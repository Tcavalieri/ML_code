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oshhenderson/Desktop/ML Study Project/Data/"/>
    </mc:Choice>
  </mc:AlternateContent>
  <xr:revisionPtr revIDLastSave="0" documentId="13_ncr:1_{ECBFE637-FDC2-1F47-9DFA-77A44E9635EB}" xr6:coauthVersionLast="47" xr6:coauthVersionMax="47" xr10:uidLastSave="{00000000-0000-0000-0000-000000000000}"/>
  <bookViews>
    <workbookView xWindow="-4640" yWindow="-28300" windowWidth="52200" windowHeight="26360" activeTab="2" xr2:uid="{F28C7F6D-13AE-2948-AC9E-039A4856D8EC}"/>
  </bookViews>
  <sheets>
    <sheet name="Raw Data" sheetId="1" r:id="rId1"/>
    <sheet name="Clean Table (Backup)" sheetId="15" r:id="rId2"/>
    <sheet name="Clean Table" sheetId="14" r:id="rId3"/>
    <sheet name="Table_S1" sheetId="2" r:id="rId4"/>
    <sheet name="Table_S2" sheetId="3" r:id="rId5"/>
    <sheet name="Table_S3" sheetId="4" r:id="rId6"/>
    <sheet name="Table_S4" sheetId="5" r:id="rId7"/>
    <sheet name="Table_S5" sheetId="6" r:id="rId8"/>
    <sheet name="Table_S6" sheetId="7" r:id="rId9"/>
    <sheet name="Table_S7" sheetId="8" r:id="rId10"/>
    <sheet name="Table_S8" sheetId="9" r:id="rId11"/>
    <sheet name="Table_S9" sheetId="10" r:id="rId12"/>
    <sheet name="Table_S10" sheetId="11" r:id="rId13"/>
    <sheet name="Table_S11" sheetId="12" r:id="rId14"/>
    <sheet name="Table_S12" sheetId="13" r:id="rId15"/>
  </sheets>
  <definedNames>
    <definedName name="_xlnm._FilterDatabase" localSheetId="3" hidden="1">Table_S1!$B$9:$L$5118</definedName>
    <definedName name="_xlnm._FilterDatabase" localSheetId="13" hidden="1">Table_S11!$A$3:$C$3</definedName>
    <definedName name="_xlnm._FilterDatabase" localSheetId="14" hidden="1">Table_S12!$A$3:$B$324</definedName>
    <definedName name="_xlnm._FilterDatabase" localSheetId="4" hidden="1">Table_S2!$B$4:$I$4</definedName>
    <definedName name="_xlnm._FilterDatabase" localSheetId="5" hidden="1">Table_S3!$B$4:$J$4</definedName>
    <definedName name="bbib10" localSheetId="0">'Raw Data'!$N$23</definedName>
    <definedName name="bbib47" localSheetId="0">'Raw Data'!$N$30</definedName>
    <definedName name="bbib48" localSheetId="0">'Raw Data'!$N$35</definedName>
    <definedName name="bbib49" localSheetId="0">'Raw Data'!$N$45</definedName>
    <definedName name="bbib54" localSheetId="0">'Raw Data'!$R$61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4" l="1"/>
  <c r="S75" i="14"/>
  <c r="M123" i="15"/>
  <c r="K123" i="15"/>
  <c r="J123" i="15"/>
  <c r="I123" i="15"/>
  <c r="H123" i="15"/>
  <c r="G123" i="15"/>
  <c r="F123" i="15"/>
  <c r="E123" i="15"/>
  <c r="D123" i="15"/>
  <c r="C123" i="15"/>
  <c r="M122" i="15"/>
  <c r="K122" i="15"/>
  <c r="J122" i="15"/>
  <c r="I122" i="15"/>
  <c r="H122" i="15"/>
  <c r="G122" i="15"/>
  <c r="F122" i="15"/>
  <c r="E122" i="15"/>
  <c r="D122" i="15"/>
  <c r="C122" i="15"/>
  <c r="M121" i="15"/>
  <c r="K121" i="15"/>
  <c r="J121" i="15"/>
  <c r="I121" i="15"/>
  <c r="H121" i="15"/>
  <c r="G121" i="15"/>
  <c r="F121" i="15"/>
  <c r="E121" i="15"/>
  <c r="D121" i="15"/>
  <c r="C121" i="15"/>
  <c r="M120" i="15"/>
  <c r="K120" i="15"/>
  <c r="J120" i="15"/>
  <c r="I120" i="15"/>
  <c r="H120" i="15"/>
  <c r="G120" i="15"/>
  <c r="F120" i="15"/>
  <c r="E120" i="15"/>
  <c r="D120" i="15"/>
  <c r="C120" i="15"/>
  <c r="M119" i="15"/>
  <c r="K119" i="15"/>
  <c r="J119" i="15"/>
  <c r="I119" i="15"/>
  <c r="H119" i="15"/>
  <c r="G119" i="15"/>
  <c r="F119" i="15"/>
  <c r="E119" i="15"/>
  <c r="D119" i="15"/>
  <c r="C119" i="15"/>
  <c r="M118" i="15"/>
  <c r="K118" i="15"/>
  <c r="J118" i="15"/>
  <c r="I118" i="15"/>
  <c r="H118" i="15"/>
  <c r="G118" i="15"/>
  <c r="F118" i="15"/>
  <c r="E118" i="15"/>
  <c r="D118" i="15"/>
  <c r="C118" i="15"/>
  <c r="M117" i="15"/>
  <c r="K117" i="15"/>
  <c r="J117" i="15"/>
  <c r="I117" i="15"/>
  <c r="H117" i="15"/>
  <c r="G117" i="15"/>
  <c r="F117" i="15"/>
  <c r="E117" i="15"/>
  <c r="D117" i="15"/>
  <c r="C117" i="15"/>
  <c r="M116" i="15"/>
  <c r="K116" i="15"/>
  <c r="J116" i="15"/>
  <c r="I116" i="15"/>
  <c r="H116" i="15"/>
  <c r="G116" i="15"/>
  <c r="F116" i="15"/>
  <c r="E116" i="15"/>
  <c r="D116" i="15"/>
  <c r="C116" i="15"/>
  <c r="M115" i="15"/>
  <c r="K115" i="15"/>
  <c r="J115" i="15"/>
  <c r="I115" i="15"/>
  <c r="H115" i="15"/>
  <c r="G115" i="15"/>
  <c r="F115" i="15"/>
  <c r="E115" i="15"/>
  <c r="D115" i="15"/>
  <c r="C115" i="15"/>
  <c r="M114" i="15"/>
  <c r="K114" i="15"/>
  <c r="J114" i="15"/>
  <c r="I114" i="15"/>
  <c r="H114" i="15"/>
  <c r="G114" i="15"/>
  <c r="F114" i="15"/>
  <c r="E114" i="15"/>
  <c r="D114" i="15"/>
  <c r="C114" i="15"/>
  <c r="M113" i="15"/>
  <c r="K113" i="15"/>
  <c r="J113" i="15"/>
  <c r="I113" i="15"/>
  <c r="H113" i="15"/>
  <c r="G113" i="15"/>
  <c r="F113" i="15"/>
  <c r="E113" i="15"/>
  <c r="D113" i="15"/>
  <c r="C113" i="15"/>
  <c r="M112" i="15"/>
  <c r="K112" i="15"/>
  <c r="J112" i="15"/>
  <c r="I112" i="15"/>
  <c r="H112" i="15"/>
  <c r="G112" i="15"/>
  <c r="F112" i="15"/>
  <c r="E112" i="15"/>
  <c r="D112" i="15"/>
  <c r="C112" i="15"/>
  <c r="M111" i="15"/>
  <c r="K111" i="15"/>
  <c r="J111" i="15"/>
  <c r="I111" i="15"/>
  <c r="H111" i="15"/>
  <c r="G111" i="15"/>
  <c r="F111" i="15"/>
  <c r="E111" i="15"/>
  <c r="D111" i="15"/>
  <c r="C111" i="15"/>
  <c r="M110" i="15"/>
  <c r="K110" i="15"/>
  <c r="J110" i="15"/>
  <c r="I110" i="15"/>
  <c r="H110" i="15"/>
  <c r="G110" i="15"/>
  <c r="F110" i="15"/>
  <c r="E110" i="15"/>
  <c r="D110" i="15"/>
  <c r="C110" i="15"/>
  <c r="M109" i="15"/>
  <c r="K109" i="15"/>
  <c r="J109" i="15"/>
  <c r="I109" i="15"/>
  <c r="H109" i="15"/>
  <c r="G109" i="15"/>
  <c r="F109" i="15"/>
  <c r="E109" i="15"/>
  <c r="D109" i="15"/>
  <c r="C109" i="15"/>
  <c r="M108" i="15"/>
  <c r="K108" i="15"/>
  <c r="J108" i="15"/>
  <c r="I108" i="15"/>
  <c r="H108" i="15"/>
  <c r="G108" i="15"/>
  <c r="F108" i="15"/>
  <c r="E108" i="15"/>
  <c r="D108" i="15"/>
  <c r="C108" i="15"/>
  <c r="M107" i="15"/>
  <c r="K107" i="15"/>
  <c r="J107" i="15"/>
  <c r="I107" i="15"/>
  <c r="H107" i="15"/>
  <c r="G107" i="15"/>
  <c r="F107" i="15"/>
  <c r="E107" i="15"/>
  <c r="D107" i="15"/>
  <c r="C107" i="15"/>
  <c r="M106" i="15"/>
  <c r="K106" i="15"/>
  <c r="J106" i="15"/>
  <c r="I106" i="15"/>
  <c r="H106" i="15"/>
  <c r="G106" i="15"/>
  <c r="F106" i="15"/>
  <c r="E106" i="15"/>
  <c r="D106" i="15"/>
  <c r="C106" i="15"/>
  <c r="M105" i="15"/>
  <c r="K105" i="15"/>
  <c r="J105" i="15"/>
  <c r="I105" i="15"/>
  <c r="H105" i="15"/>
  <c r="G105" i="15"/>
  <c r="F105" i="15"/>
  <c r="E105" i="15"/>
  <c r="D105" i="15"/>
  <c r="C105" i="15"/>
  <c r="M104" i="15"/>
  <c r="K104" i="15"/>
  <c r="J104" i="15"/>
  <c r="I104" i="15"/>
  <c r="H104" i="15"/>
  <c r="G104" i="15"/>
  <c r="F104" i="15"/>
  <c r="E104" i="15"/>
  <c r="D104" i="15"/>
  <c r="C104" i="15"/>
  <c r="M103" i="15"/>
  <c r="K103" i="15"/>
  <c r="J103" i="15"/>
  <c r="I103" i="15"/>
  <c r="H103" i="15"/>
  <c r="G103" i="15"/>
  <c r="F103" i="15"/>
  <c r="E103" i="15"/>
  <c r="D103" i="15"/>
  <c r="C103" i="15"/>
  <c r="M102" i="15"/>
  <c r="K102" i="15"/>
  <c r="J102" i="15"/>
  <c r="I102" i="15"/>
  <c r="H102" i="15"/>
  <c r="G102" i="15"/>
  <c r="F102" i="15"/>
  <c r="E102" i="15"/>
  <c r="D102" i="15"/>
  <c r="C102" i="15"/>
  <c r="M101" i="15"/>
  <c r="K101" i="15"/>
  <c r="J101" i="15"/>
  <c r="I101" i="15"/>
  <c r="H101" i="15"/>
  <c r="G101" i="15"/>
  <c r="F101" i="15"/>
  <c r="E101" i="15"/>
  <c r="D101" i="15"/>
  <c r="C101" i="15"/>
  <c r="M100" i="15"/>
  <c r="K100" i="15"/>
  <c r="J100" i="15"/>
  <c r="I100" i="15"/>
  <c r="H100" i="15"/>
  <c r="G100" i="15"/>
  <c r="F100" i="15"/>
  <c r="E100" i="15"/>
  <c r="D100" i="15"/>
  <c r="C100" i="15"/>
  <c r="M99" i="15"/>
  <c r="K99" i="15"/>
  <c r="J99" i="15"/>
  <c r="I99" i="15"/>
  <c r="H99" i="15"/>
  <c r="G99" i="15"/>
  <c r="F99" i="15"/>
  <c r="E99" i="15"/>
  <c r="D99" i="15"/>
  <c r="C99" i="15"/>
  <c r="M98" i="15"/>
  <c r="K98" i="15"/>
  <c r="J98" i="15"/>
  <c r="I98" i="15"/>
  <c r="H98" i="15"/>
  <c r="G98" i="15"/>
  <c r="F98" i="15"/>
  <c r="E98" i="15"/>
  <c r="D98" i="15"/>
  <c r="C98" i="15"/>
  <c r="M97" i="15"/>
  <c r="K97" i="15"/>
  <c r="J97" i="15"/>
  <c r="I97" i="15"/>
  <c r="H97" i="15"/>
  <c r="G97" i="15"/>
  <c r="F97" i="15"/>
  <c r="E97" i="15"/>
  <c r="D97" i="15"/>
  <c r="C97" i="15"/>
  <c r="M96" i="15"/>
  <c r="K96" i="15"/>
  <c r="J96" i="15"/>
  <c r="I96" i="15"/>
  <c r="H96" i="15"/>
  <c r="G96" i="15"/>
  <c r="F96" i="15"/>
  <c r="E96" i="15"/>
  <c r="D96" i="15"/>
  <c r="C96" i="15"/>
  <c r="M95" i="15"/>
  <c r="K95" i="15"/>
  <c r="J95" i="15"/>
  <c r="I95" i="15"/>
  <c r="H95" i="15"/>
  <c r="G95" i="15"/>
  <c r="F95" i="15"/>
  <c r="E95" i="15"/>
  <c r="D95" i="15"/>
  <c r="C95" i="15"/>
  <c r="M94" i="15"/>
  <c r="K94" i="15"/>
  <c r="J94" i="15"/>
  <c r="I94" i="15"/>
  <c r="H94" i="15"/>
  <c r="G94" i="15"/>
  <c r="F94" i="15"/>
  <c r="E94" i="15"/>
  <c r="D94" i="15"/>
  <c r="C94" i="15"/>
  <c r="M93" i="15"/>
  <c r="K93" i="15"/>
  <c r="J93" i="15"/>
  <c r="I93" i="15"/>
  <c r="H93" i="15"/>
  <c r="G93" i="15"/>
  <c r="F93" i="15"/>
  <c r="E93" i="15"/>
  <c r="D93" i="15"/>
  <c r="C93" i="15"/>
  <c r="M92" i="15"/>
  <c r="K92" i="15"/>
  <c r="J92" i="15"/>
  <c r="I92" i="15"/>
  <c r="H92" i="15"/>
  <c r="G92" i="15"/>
  <c r="F92" i="15"/>
  <c r="E92" i="15"/>
  <c r="D92" i="15"/>
  <c r="C92" i="15"/>
  <c r="M91" i="15"/>
  <c r="K91" i="15"/>
  <c r="J91" i="15"/>
  <c r="I91" i="15"/>
  <c r="H91" i="15"/>
  <c r="G91" i="15"/>
  <c r="F91" i="15"/>
  <c r="E91" i="15"/>
  <c r="D91" i="15"/>
  <c r="C91" i="15"/>
  <c r="M90" i="15"/>
  <c r="K90" i="15"/>
  <c r="J90" i="15"/>
  <c r="I90" i="15"/>
  <c r="H90" i="15"/>
  <c r="G90" i="15"/>
  <c r="F90" i="15"/>
  <c r="E90" i="15"/>
  <c r="D90" i="15"/>
  <c r="C90" i="15"/>
  <c r="M89" i="15"/>
  <c r="K89" i="15"/>
  <c r="J89" i="15"/>
  <c r="I89" i="15"/>
  <c r="H89" i="15"/>
  <c r="G89" i="15"/>
  <c r="F89" i="15"/>
  <c r="E89" i="15"/>
  <c r="D89" i="15"/>
  <c r="C89" i="15"/>
  <c r="M88" i="15"/>
  <c r="K88" i="15"/>
  <c r="J88" i="15"/>
  <c r="I88" i="15"/>
  <c r="H88" i="15"/>
  <c r="G88" i="15"/>
  <c r="F88" i="15"/>
  <c r="E88" i="15"/>
  <c r="D88" i="15"/>
  <c r="C88" i="15"/>
  <c r="M87" i="15"/>
  <c r="K87" i="15"/>
  <c r="J87" i="15"/>
  <c r="I87" i="15"/>
  <c r="H87" i="15"/>
  <c r="G87" i="15"/>
  <c r="F87" i="15"/>
  <c r="E87" i="15"/>
  <c r="D87" i="15"/>
  <c r="C87" i="15"/>
  <c r="M86" i="15"/>
  <c r="K86" i="15"/>
  <c r="J86" i="15"/>
  <c r="I86" i="15"/>
  <c r="H86" i="15"/>
  <c r="G86" i="15"/>
  <c r="F86" i="15"/>
  <c r="E86" i="15"/>
  <c r="D86" i="15"/>
  <c r="C86" i="15"/>
  <c r="M85" i="15"/>
  <c r="K85" i="15"/>
  <c r="J85" i="15"/>
  <c r="I85" i="15"/>
  <c r="H85" i="15"/>
  <c r="G85" i="15"/>
  <c r="F85" i="15"/>
  <c r="E85" i="15"/>
  <c r="D85" i="15"/>
  <c r="C85" i="15"/>
  <c r="M84" i="15"/>
  <c r="K84" i="15"/>
  <c r="J84" i="15"/>
  <c r="I84" i="15"/>
  <c r="H84" i="15"/>
  <c r="G84" i="15"/>
  <c r="F84" i="15"/>
  <c r="E84" i="15"/>
  <c r="D84" i="15"/>
  <c r="C84" i="15"/>
  <c r="M83" i="15"/>
  <c r="K83" i="15"/>
  <c r="J83" i="15"/>
  <c r="I83" i="15"/>
  <c r="H83" i="15"/>
  <c r="G83" i="15"/>
  <c r="F83" i="15"/>
  <c r="E83" i="15"/>
  <c r="D83" i="15"/>
  <c r="C83" i="15"/>
  <c r="M82" i="15"/>
  <c r="K82" i="15"/>
  <c r="J82" i="15"/>
  <c r="I82" i="15"/>
  <c r="H82" i="15"/>
  <c r="G82" i="15"/>
  <c r="F82" i="15"/>
  <c r="E82" i="15"/>
  <c r="D82" i="15"/>
  <c r="C82" i="15"/>
  <c r="M81" i="15"/>
  <c r="K81" i="15"/>
  <c r="J81" i="15"/>
  <c r="I81" i="15"/>
  <c r="H81" i="15"/>
  <c r="G81" i="15"/>
  <c r="F81" i="15"/>
  <c r="E81" i="15"/>
  <c r="D81" i="15"/>
  <c r="C81" i="15"/>
  <c r="M80" i="15"/>
  <c r="K80" i="15"/>
  <c r="J80" i="15"/>
  <c r="I80" i="15"/>
  <c r="H80" i="15"/>
  <c r="G80" i="15"/>
  <c r="F80" i="15"/>
  <c r="E80" i="15"/>
  <c r="D80" i="15"/>
  <c r="C80" i="15"/>
  <c r="M79" i="15"/>
  <c r="K79" i="15"/>
  <c r="J79" i="15"/>
  <c r="I79" i="15"/>
  <c r="H79" i="15"/>
  <c r="G79" i="15"/>
  <c r="F79" i="15"/>
  <c r="E79" i="15"/>
  <c r="D79" i="15"/>
  <c r="C79" i="15"/>
  <c r="M78" i="15"/>
  <c r="K78" i="15"/>
  <c r="J78" i="15"/>
  <c r="I78" i="15"/>
  <c r="H78" i="15"/>
  <c r="G78" i="15"/>
  <c r="F78" i="15"/>
  <c r="E78" i="15"/>
  <c r="D78" i="15"/>
  <c r="C78" i="15"/>
  <c r="M77" i="15"/>
  <c r="K77" i="15"/>
  <c r="J77" i="15"/>
  <c r="I77" i="15"/>
  <c r="H77" i="15"/>
  <c r="G77" i="15"/>
  <c r="F77" i="15"/>
  <c r="E77" i="15"/>
  <c r="D77" i="15"/>
  <c r="C77" i="15"/>
  <c r="M76" i="15"/>
  <c r="K76" i="15"/>
  <c r="J76" i="15"/>
  <c r="I76" i="15"/>
  <c r="H76" i="15"/>
  <c r="G76" i="15"/>
  <c r="F76" i="15"/>
  <c r="E76" i="15"/>
  <c r="D76" i="15"/>
  <c r="C76" i="15"/>
  <c r="M75" i="15"/>
  <c r="K75" i="15"/>
  <c r="J75" i="15"/>
  <c r="I75" i="15"/>
  <c r="H75" i="15"/>
  <c r="G75" i="15"/>
  <c r="F75" i="15"/>
  <c r="E75" i="15"/>
  <c r="D75" i="15"/>
  <c r="C75" i="15"/>
  <c r="M74" i="15"/>
  <c r="K74" i="15"/>
  <c r="J74" i="15"/>
  <c r="I74" i="15"/>
  <c r="H74" i="15"/>
  <c r="G74" i="15"/>
  <c r="F74" i="15"/>
  <c r="E74" i="15"/>
  <c r="D74" i="15"/>
  <c r="C74" i="15"/>
  <c r="M73" i="15"/>
  <c r="K73" i="15"/>
  <c r="J73" i="15"/>
  <c r="I73" i="15"/>
  <c r="H73" i="15"/>
  <c r="G73" i="15"/>
  <c r="F73" i="15"/>
  <c r="E73" i="15"/>
  <c r="D73" i="15"/>
  <c r="C73" i="15"/>
  <c r="M72" i="15"/>
  <c r="K72" i="15"/>
  <c r="J72" i="15"/>
  <c r="I72" i="15"/>
  <c r="H72" i="15"/>
  <c r="G72" i="15"/>
  <c r="F72" i="15"/>
  <c r="E72" i="15"/>
  <c r="D72" i="15"/>
  <c r="C72" i="15"/>
  <c r="M71" i="15"/>
  <c r="K71" i="15"/>
  <c r="J71" i="15"/>
  <c r="I71" i="15"/>
  <c r="H71" i="15"/>
  <c r="G71" i="15"/>
  <c r="F71" i="15"/>
  <c r="E71" i="15"/>
  <c r="D71" i="15"/>
  <c r="C71" i="15"/>
  <c r="M70" i="15"/>
  <c r="K70" i="15"/>
  <c r="J70" i="15"/>
  <c r="I70" i="15"/>
  <c r="H70" i="15"/>
  <c r="G70" i="15"/>
  <c r="F70" i="15"/>
  <c r="E70" i="15"/>
  <c r="D70" i="15"/>
  <c r="C70" i="15"/>
  <c r="M69" i="15"/>
  <c r="K69" i="15"/>
  <c r="J69" i="15"/>
  <c r="I69" i="15"/>
  <c r="H69" i="15"/>
  <c r="G69" i="15"/>
  <c r="F69" i="15"/>
  <c r="E69" i="15"/>
  <c r="D69" i="15"/>
  <c r="C69" i="15"/>
  <c r="M68" i="15"/>
  <c r="K68" i="15"/>
  <c r="J68" i="15"/>
  <c r="I68" i="15"/>
  <c r="H68" i="15"/>
  <c r="G68" i="15"/>
  <c r="F68" i="15"/>
  <c r="E68" i="15"/>
  <c r="D68" i="15"/>
  <c r="C68" i="15"/>
  <c r="M67" i="15"/>
  <c r="K67" i="15"/>
  <c r="J67" i="15"/>
  <c r="I67" i="15"/>
  <c r="H67" i="15"/>
  <c r="G67" i="15"/>
  <c r="F67" i="15"/>
  <c r="E67" i="15"/>
  <c r="D67" i="15"/>
  <c r="C67" i="15"/>
  <c r="M66" i="15"/>
  <c r="K66" i="15"/>
  <c r="J66" i="15"/>
  <c r="I66" i="15"/>
  <c r="H66" i="15"/>
  <c r="G66" i="15"/>
  <c r="F66" i="15"/>
  <c r="E66" i="15"/>
  <c r="D66" i="15"/>
  <c r="C66" i="15"/>
  <c r="M65" i="15"/>
  <c r="K65" i="15"/>
  <c r="J65" i="15"/>
  <c r="I65" i="15"/>
  <c r="H65" i="15"/>
  <c r="G65" i="15"/>
  <c r="F65" i="15"/>
  <c r="E65" i="15"/>
  <c r="D65" i="15"/>
  <c r="C65" i="15"/>
  <c r="M64" i="15"/>
  <c r="K64" i="15"/>
  <c r="J64" i="15"/>
  <c r="I64" i="15"/>
  <c r="H64" i="15"/>
  <c r="G64" i="15"/>
  <c r="F64" i="15"/>
  <c r="E64" i="15"/>
  <c r="D64" i="15"/>
  <c r="C64" i="15"/>
  <c r="M63" i="15"/>
  <c r="K63" i="15"/>
  <c r="J63" i="15"/>
  <c r="I63" i="15"/>
  <c r="H63" i="15"/>
  <c r="G63" i="15"/>
  <c r="F63" i="15"/>
  <c r="E63" i="15"/>
  <c r="D63" i="15"/>
  <c r="C63" i="15"/>
  <c r="M62" i="15"/>
  <c r="K62" i="15"/>
  <c r="J62" i="15"/>
  <c r="I62" i="15"/>
  <c r="H62" i="15"/>
  <c r="G62" i="15"/>
  <c r="F62" i="15"/>
  <c r="E62" i="15"/>
  <c r="D62" i="15"/>
  <c r="C62" i="15"/>
  <c r="M61" i="15"/>
  <c r="K61" i="15"/>
  <c r="J61" i="15"/>
  <c r="I61" i="15"/>
  <c r="H61" i="15"/>
  <c r="G61" i="15"/>
  <c r="F61" i="15"/>
  <c r="E61" i="15"/>
  <c r="D61" i="15"/>
  <c r="C61" i="15"/>
  <c r="M60" i="15"/>
  <c r="K60" i="15"/>
  <c r="J60" i="15"/>
  <c r="I60" i="15"/>
  <c r="H60" i="15"/>
  <c r="G60" i="15"/>
  <c r="F60" i="15"/>
  <c r="E60" i="15"/>
  <c r="D60" i="15"/>
  <c r="C60" i="15"/>
  <c r="M59" i="15"/>
  <c r="K59" i="15"/>
  <c r="J59" i="15"/>
  <c r="I59" i="15"/>
  <c r="H59" i="15"/>
  <c r="G59" i="15"/>
  <c r="F59" i="15"/>
  <c r="E59" i="15"/>
  <c r="D59" i="15"/>
  <c r="C59" i="15"/>
  <c r="M58" i="15"/>
  <c r="K58" i="15"/>
  <c r="J58" i="15"/>
  <c r="I58" i="15"/>
  <c r="H58" i="15"/>
  <c r="G58" i="15"/>
  <c r="F58" i="15"/>
  <c r="E58" i="15"/>
  <c r="D58" i="15"/>
  <c r="C58" i="15"/>
  <c r="M57" i="15"/>
  <c r="K57" i="15"/>
  <c r="J57" i="15"/>
  <c r="I57" i="15"/>
  <c r="H57" i="15"/>
  <c r="G57" i="15"/>
  <c r="F57" i="15"/>
  <c r="E57" i="15"/>
  <c r="D57" i="15"/>
  <c r="C57" i="15"/>
  <c r="M56" i="15"/>
  <c r="K56" i="15"/>
  <c r="J56" i="15"/>
  <c r="I56" i="15"/>
  <c r="H56" i="15"/>
  <c r="G56" i="15"/>
  <c r="F56" i="15"/>
  <c r="E56" i="15"/>
  <c r="D56" i="15"/>
  <c r="C56" i="15"/>
  <c r="M55" i="15"/>
  <c r="K55" i="15"/>
  <c r="J55" i="15"/>
  <c r="I55" i="15"/>
  <c r="H55" i="15"/>
  <c r="G55" i="15"/>
  <c r="F55" i="15"/>
  <c r="E55" i="15"/>
  <c r="D55" i="15"/>
  <c r="C55" i="15"/>
  <c r="M54" i="15"/>
  <c r="K54" i="15"/>
  <c r="J54" i="15"/>
  <c r="I54" i="15"/>
  <c r="H54" i="15"/>
  <c r="G54" i="15"/>
  <c r="F54" i="15"/>
  <c r="E54" i="15"/>
  <c r="D54" i="15"/>
  <c r="C54" i="15"/>
  <c r="M53" i="15"/>
  <c r="K53" i="15"/>
  <c r="J53" i="15"/>
  <c r="I53" i="15"/>
  <c r="H53" i="15"/>
  <c r="G53" i="15"/>
  <c r="F53" i="15"/>
  <c r="E53" i="15"/>
  <c r="D53" i="15"/>
  <c r="C53" i="15"/>
  <c r="M52" i="15"/>
  <c r="K52" i="15"/>
  <c r="J52" i="15"/>
  <c r="I52" i="15"/>
  <c r="H52" i="15"/>
  <c r="G52" i="15"/>
  <c r="F52" i="15"/>
  <c r="E52" i="15"/>
  <c r="D52" i="15"/>
  <c r="C52" i="15"/>
  <c r="M51" i="15"/>
  <c r="K51" i="15"/>
  <c r="J51" i="15"/>
  <c r="I51" i="15"/>
  <c r="H51" i="15"/>
  <c r="G51" i="15"/>
  <c r="F51" i="15"/>
  <c r="E51" i="15"/>
  <c r="D51" i="15"/>
  <c r="C51" i="15"/>
  <c r="M50" i="15"/>
  <c r="K50" i="15"/>
  <c r="J50" i="15"/>
  <c r="I50" i="15"/>
  <c r="H50" i="15"/>
  <c r="G50" i="15"/>
  <c r="F50" i="15"/>
  <c r="E50" i="15"/>
  <c r="D50" i="15"/>
  <c r="C50" i="15"/>
  <c r="M49" i="15"/>
  <c r="K49" i="15"/>
  <c r="J49" i="15"/>
  <c r="I49" i="15"/>
  <c r="H49" i="15"/>
  <c r="G49" i="15"/>
  <c r="F49" i="15"/>
  <c r="E49" i="15"/>
  <c r="D49" i="15"/>
  <c r="C49" i="15"/>
  <c r="M48" i="15"/>
  <c r="K48" i="15"/>
  <c r="J48" i="15"/>
  <c r="I48" i="15"/>
  <c r="H48" i="15"/>
  <c r="G48" i="15"/>
  <c r="F48" i="15"/>
  <c r="E48" i="15"/>
  <c r="D48" i="15"/>
  <c r="C48" i="15"/>
  <c r="M47" i="15"/>
  <c r="K47" i="15"/>
  <c r="J47" i="15"/>
  <c r="I47" i="15"/>
  <c r="H47" i="15"/>
  <c r="G47" i="15"/>
  <c r="F47" i="15"/>
  <c r="E47" i="15"/>
  <c r="D47" i="15"/>
  <c r="C47" i="15"/>
  <c r="M46" i="15"/>
  <c r="K46" i="15"/>
  <c r="J46" i="15"/>
  <c r="I46" i="15"/>
  <c r="H46" i="15"/>
  <c r="G46" i="15"/>
  <c r="F46" i="15"/>
  <c r="E46" i="15"/>
  <c r="D46" i="15"/>
  <c r="C46" i="15"/>
  <c r="M45" i="15"/>
  <c r="K45" i="15"/>
  <c r="J45" i="15"/>
  <c r="I45" i="15"/>
  <c r="H45" i="15"/>
  <c r="G45" i="15"/>
  <c r="F45" i="15"/>
  <c r="E45" i="15"/>
  <c r="D45" i="15"/>
  <c r="C45" i="15"/>
  <c r="M44" i="15"/>
  <c r="K44" i="15"/>
  <c r="J44" i="15"/>
  <c r="I44" i="15"/>
  <c r="H44" i="15"/>
  <c r="G44" i="15"/>
  <c r="F44" i="15"/>
  <c r="E44" i="15"/>
  <c r="D44" i="15"/>
  <c r="C44" i="15"/>
  <c r="M43" i="15"/>
  <c r="K43" i="15"/>
  <c r="J43" i="15"/>
  <c r="I43" i="15"/>
  <c r="H43" i="15"/>
  <c r="G43" i="15"/>
  <c r="F43" i="15"/>
  <c r="E43" i="15"/>
  <c r="D43" i="15"/>
  <c r="C43" i="15"/>
  <c r="M42" i="15"/>
  <c r="K42" i="15"/>
  <c r="J42" i="15"/>
  <c r="I42" i="15"/>
  <c r="H42" i="15"/>
  <c r="G42" i="15"/>
  <c r="F42" i="15"/>
  <c r="E42" i="15"/>
  <c r="D42" i="15"/>
  <c r="C42" i="15"/>
  <c r="M41" i="15"/>
  <c r="K41" i="15"/>
  <c r="J41" i="15"/>
  <c r="I41" i="15"/>
  <c r="H41" i="15"/>
  <c r="G41" i="15"/>
  <c r="F41" i="15"/>
  <c r="E41" i="15"/>
  <c r="D41" i="15"/>
  <c r="C41" i="15"/>
  <c r="M40" i="15"/>
  <c r="K40" i="15"/>
  <c r="J40" i="15"/>
  <c r="I40" i="15"/>
  <c r="H40" i="15"/>
  <c r="G40" i="15"/>
  <c r="F40" i="15"/>
  <c r="E40" i="15"/>
  <c r="D40" i="15"/>
  <c r="C40" i="15"/>
  <c r="M39" i="15"/>
  <c r="K39" i="15"/>
  <c r="J39" i="15"/>
  <c r="I39" i="15"/>
  <c r="H39" i="15"/>
  <c r="G39" i="15"/>
  <c r="F39" i="15"/>
  <c r="E39" i="15"/>
  <c r="D39" i="15"/>
  <c r="C39" i="15"/>
  <c r="M38" i="15"/>
  <c r="K38" i="15"/>
  <c r="J38" i="15"/>
  <c r="I38" i="15"/>
  <c r="H38" i="15"/>
  <c r="G38" i="15"/>
  <c r="F38" i="15"/>
  <c r="E38" i="15"/>
  <c r="D38" i="15"/>
  <c r="C38" i="15"/>
  <c r="M37" i="15"/>
  <c r="K37" i="15"/>
  <c r="J37" i="15"/>
  <c r="I37" i="15"/>
  <c r="H37" i="15"/>
  <c r="G37" i="15"/>
  <c r="F37" i="15"/>
  <c r="E37" i="15"/>
  <c r="D37" i="15"/>
  <c r="C37" i="15"/>
  <c r="M36" i="15"/>
  <c r="K36" i="15"/>
  <c r="J36" i="15"/>
  <c r="I36" i="15"/>
  <c r="H36" i="15"/>
  <c r="G36" i="15"/>
  <c r="F36" i="15"/>
  <c r="E36" i="15"/>
  <c r="D36" i="15"/>
  <c r="C36" i="15"/>
  <c r="M35" i="15"/>
  <c r="K35" i="15"/>
  <c r="J35" i="15"/>
  <c r="I35" i="15"/>
  <c r="H35" i="15"/>
  <c r="G35" i="15"/>
  <c r="F35" i="15"/>
  <c r="E35" i="15"/>
  <c r="D35" i="15"/>
  <c r="C35" i="15"/>
  <c r="M34" i="15"/>
  <c r="K34" i="15"/>
  <c r="J34" i="15"/>
  <c r="I34" i="15"/>
  <c r="H34" i="15"/>
  <c r="G34" i="15"/>
  <c r="F34" i="15"/>
  <c r="E34" i="15"/>
  <c r="D34" i="15"/>
  <c r="C34" i="15"/>
  <c r="M33" i="15"/>
  <c r="K33" i="15"/>
  <c r="J33" i="15"/>
  <c r="I33" i="15"/>
  <c r="H33" i="15"/>
  <c r="G33" i="15"/>
  <c r="F33" i="15"/>
  <c r="E33" i="15"/>
  <c r="D33" i="15"/>
  <c r="C33" i="15"/>
  <c r="M32" i="15"/>
  <c r="K32" i="15"/>
  <c r="J32" i="15"/>
  <c r="I32" i="15"/>
  <c r="H32" i="15"/>
  <c r="G32" i="15"/>
  <c r="F32" i="15"/>
  <c r="E32" i="15"/>
  <c r="D32" i="15"/>
  <c r="C32" i="15"/>
  <c r="M31" i="15"/>
  <c r="K31" i="15"/>
  <c r="J31" i="15"/>
  <c r="I31" i="15"/>
  <c r="H31" i="15"/>
  <c r="G31" i="15"/>
  <c r="F31" i="15"/>
  <c r="E31" i="15"/>
  <c r="D31" i="15"/>
  <c r="C31" i="15"/>
  <c r="M30" i="15"/>
  <c r="K30" i="15"/>
  <c r="J30" i="15"/>
  <c r="I30" i="15"/>
  <c r="H30" i="15"/>
  <c r="G30" i="15"/>
  <c r="F30" i="15"/>
  <c r="E30" i="15"/>
  <c r="D30" i="15"/>
  <c r="C30" i="15"/>
  <c r="M29" i="15"/>
  <c r="K29" i="15"/>
  <c r="J29" i="15"/>
  <c r="I29" i="15"/>
  <c r="H29" i="15"/>
  <c r="G29" i="15"/>
  <c r="F29" i="15"/>
  <c r="E29" i="15"/>
  <c r="D29" i="15"/>
  <c r="C29" i="15"/>
  <c r="M28" i="15"/>
  <c r="K28" i="15"/>
  <c r="J28" i="15"/>
  <c r="I28" i="15"/>
  <c r="H28" i="15"/>
  <c r="G28" i="15"/>
  <c r="F28" i="15"/>
  <c r="E28" i="15"/>
  <c r="D28" i="15"/>
  <c r="C28" i="15"/>
  <c r="M27" i="15"/>
  <c r="K27" i="15"/>
  <c r="J27" i="15"/>
  <c r="I27" i="15"/>
  <c r="H27" i="15"/>
  <c r="G27" i="15"/>
  <c r="F27" i="15"/>
  <c r="E27" i="15"/>
  <c r="D27" i="15"/>
  <c r="C27" i="15"/>
  <c r="M26" i="15"/>
  <c r="K26" i="15"/>
  <c r="J26" i="15"/>
  <c r="I26" i="15"/>
  <c r="H26" i="15"/>
  <c r="G26" i="15"/>
  <c r="F26" i="15"/>
  <c r="E26" i="15"/>
  <c r="D26" i="15"/>
  <c r="C26" i="15"/>
  <c r="M25" i="15"/>
  <c r="K25" i="15"/>
  <c r="J25" i="15"/>
  <c r="I25" i="15"/>
  <c r="H25" i="15"/>
  <c r="G25" i="15"/>
  <c r="F25" i="15"/>
  <c r="E25" i="15"/>
  <c r="D25" i="15"/>
  <c r="C25" i="15"/>
  <c r="M24" i="15"/>
  <c r="K24" i="15"/>
  <c r="J24" i="15"/>
  <c r="I24" i="15"/>
  <c r="H24" i="15"/>
  <c r="G24" i="15"/>
  <c r="F24" i="15"/>
  <c r="E24" i="15"/>
  <c r="D24" i="15"/>
  <c r="C24" i="15"/>
  <c r="M23" i="15"/>
  <c r="K23" i="15"/>
  <c r="J23" i="15"/>
  <c r="I23" i="15"/>
  <c r="H23" i="15"/>
  <c r="G23" i="15"/>
  <c r="F23" i="15"/>
  <c r="E23" i="15"/>
  <c r="D23" i="15"/>
  <c r="C23" i="15"/>
  <c r="M22" i="15"/>
  <c r="K22" i="15"/>
  <c r="J22" i="15"/>
  <c r="I22" i="15"/>
  <c r="H22" i="15"/>
  <c r="G22" i="15"/>
  <c r="F22" i="15"/>
  <c r="E22" i="15"/>
  <c r="D22" i="15"/>
  <c r="C22" i="15"/>
  <c r="M21" i="15"/>
  <c r="K21" i="15"/>
  <c r="J21" i="15"/>
  <c r="I21" i="15"/>
  <c r="H21" i="15"/>
  <c r="G21" i="15"/>
  <c r="F21" i="15"/>
  <c r="E21" i="15"/>
  <c r="D21" i="15"/>
  <c r="C21" i="15"/>
  <c r="M20" i="15"/>
  <c r="K20" i="15"/>
  <c r="J20" i="15"/>
  <c r="I20" i="15"/>
  <c r="H20" i="15"/>
  <c r="G20" i="15"/>
  <c r="F20" i="15"/>
  <c r="E20" i="15"/>
  <c r="D20" i="15"/>
  <c r="C20" i="15"/>
  <c r="M19" i="15"/>
  <c r="K19" i="15"/>
  <c r="J19" i="15"/>
  <c r="I19" i="15"/>
  <c r="H19" i="15"/>
  <c r="G19" i="15"/>
  <c r="F19" i="15"/>
  <c r="E19" i="15"/>
  <c r="D19" i="15"/>
  <c r="C19" i="15"/>
  <c r="M18" i="15"/>
  <c r="K18" i="15"/>
  <c r="J18" i="15"/>
  <c r="I18" i="15"/>
  <c r="H18" i="15"/>
  <c r="G18" i="15"/>
  <c r="F18" i="15"/>
  <c r="E18" i="15"/>
  <c r="D18" i="15"/>
  <c r="C18" i="15"/>
  <c r="M17" i="15"/>
  <c r="K17" i="15"/>
  <c r="J17" i="15"/>
  <c r="I17" i="15"/>
  <c r="H17" i="15"/>
  <c r="G17" i="15"/>
  <c r="F17" i="15"/>
  <c r="E17" i="15"/>
  <c r="D17" i="15"/>
  <c r="C17" i="15"/>
  <c r="M16" i="15"/>
  <c r="K16" i="15"/>
  <c r="J16" i="15"/>
  <c r="I16" i="15"/>
  <c r="H16" i="15"/>
  <c r="G16" i="15"/>
  <c r="F16" i="15"/>
  <c r="E16" i="15"/>
  <c r="D16" i="15"/>
  <c r="C16" i="15"/>
  <c r="M15" i="15"/>
  <c r="K15" i="15"/>
  <c r="J15" i="15"/>
  <c r="I15" i="15"/>
  <c r="H15" i="15"/>
  <c r="G15" i="15"/>
  <c r="F15" i="15"/>
  <c r="E15" i="15"/>
  <c r="D15" i="15"/>
  <c r="C15" i="15"/>
  <c r="M14" i="15"/>
  <c r="K14" i="15"/>
  <c r="J14" i="15"/>
  <c r="I14" i="15"/>
  <c r="H14" i="15"/>
  <c r="G14" i="15"/>
  <c r="F14" i="15"/>
  <c r="E14" i="15"/>
  <c r="D14" i="15"/>
  <c r="C14" i="15"/>
  <c r="M13" i="15"/>
  <c r="K13" i="15"/>
  <c r="J13" i="15"/>
  <c r="I13" i="15"/>
  <c r="H13" i="15"/>
  <c r="G13" i="15"/>
  <c r="F13" i="15"/>
  <c r="E13" i="15"/>
  <c r="D13" i="15"/>
  <c r="C13" i="15"/>
  <c r="M12" i="15"/>
  <c r="K12" i="15"/>
  <c r="J12" i="15"/>
  <c r="I12" i="15"/>
  <c r="H12" i="15"/>
  <c r="G12" i="15"/>
  <c r="F12" i="15"/>
  <c r="E12" i="15"/>
  <c r="D12" i="15"/>
  <c r="C12" i="15"/>
  <c r="M11" i="15"/>
  <c r="K11" i="15"/>
  <c r="J11" i="15"/>
  <c r="I11" i="15"/>
  <c r="H11" i="15"/>
  <c r="G11" i="15"/>
  <c r="F11" i="15"/>
  <c r="E11" i="15"/>
  <c r="D11" i="15"/>
  <c r="C11" i="15"/>
  <c r="M10" i="15"/>
  <c r="K10" i="15"/>
  <c r="J10" i="15"/>
  <c r="I10" i="15"/>
  <c r="H10" i="15"/>
  <c r="G10" i="15"/>
  <c r="F10" i="15"/>
  <c r="E10" i="15"/>
  <c r="D10" i="15"/>
  <c r="C10" i="15"/>
  <c r="M9" i="15"/>
  <c r="K9" i="15"/>
  <c r="J9" i="15"/>
  <c r="I9" i="15"/>
  <c r="H9" i="15"/>
  <c r="G9" i="15"/>
  <c r="F9" i="15"/>
  <c r="E9" i="15"/>
  <c r="D9" i="15"/>
  <c r="C9" i="15"/>
  <c r="M8" i="15"/>
  <c r="K8" i="15"/>
  <c r="J8" i="15"/>
  <c r="I8" i="15"/>
  <c r="H8" i="15"/>
  <c r="G8" i="15"/>
  <c r="F8" i="15"/>
  <c r="E8" i="15"/>
  <c r="D8" i="15"/>
  <c r="C8" i="15"/>
  <c r="M7" i="15"/>
  <c r="K7" i="15"/>
  <c r="J7" i="15"/>
  <c r="I7" i="15"/>
  <c r="H7" i="15"/>
  <c r="G7" i="15"/>
  <c r="F7" i="15"/>
  <c r="E7" i="15"/>
  <c r="D7" i="15"/>
  <c r="C7" i="15"/>
  <c r="M6" i="15"/>
  <c r="K6" i="15"/>
  <c r="J6" i="15"/>
  <c r="I6" i="15"/>
  <c r="H6" i="15"/>
  <c r="G6" i="15"/>
  <c r="F6" i="15"/>
  <c r="E6" i="15"/>
  <c r="D6" i="15"/>
  <c r="C6" i="15"/>
  <c r="M5" i="15"/>
  <c r="K5" i="15"/>
  <c r="J5" i="15"/>
  <c r="I5" i="15"/>
  <c r="H5" i="15"/>
  <c r="G5" i="15"/>
  <c r="F5" i="15"/>
  <c r="E5" i="15"/>
  <c r="D5" i="15"/>
  <c r="C5" i="15"/>
  <c r="V54" i="14"/>
  <c r="V55" i="14"/>
  <c r="V56" i="14"/>
  <c r="V57" i="14"/>
  <c r="V58" i="14"/>
  <c r="V59" i="14"/>
  <c r="V60" i="14"/>
  <c r="V61" i="14"/>
  <c r="V62" i="14"/>
  <c r="V63" i="14"/>
  <c r="V64" i="14"/>
  <c r="V65" i="14"/>
  <c r="V66" i="14"/>
  <c r="V67" i="14"/>
  <c r="V68" i="14"/>
  <c r="V69" i="14"/>
  <c r="V70" i="14"/>
  <c r="V71" i="14"/>
  <c r="V72" i="14"/>
  <c r="V73" i="14"/>
  <c r="V74" i="14"/>
  <c r="V75" i="14"/>
  <c r="V76" i="14"/>
  <c r="V77" i="14"/>
  <c r="V78" i="14"/>
  <c r="V79" i="14"/>
  <c r="V80" i="14"/>
  <c r="V81" i="14"/>
  <c r="V82" i="14"/>
  <c r="V83" i="14"/>
  <c r="V84" i="14"/>
  <c r="V85" i="14"/>
  <c r="V86" i="14"/>
  <c r="V87" i="14"/>
  <c r="V88" i="14"/>
  <c r="V89" i="14"/>
  <c r="V90" i="14"/>
  <c r="V91" i="14"/>
  <c r="V92" i="14"/>
  <c r="V93" i="14"/>
  <c r="V94" i="14"/>
  <c r="V95" i="14"/>
  <c r="V96" i="14"/>
  <c r="V97" i="14"/>
  <c r="V98" i="14"/>
  <c r="T54" i="14"/>
  <c r="T55" i="14"/>
  <c r="T56" i="14"/>
  <c r="T57" i="14"/>
  <c r="T58" i="14"/>
  <c r="T62" i="14"/>
  <c r="T63" i="14"/>
  <c r="T64" i="14"/>
  <c r="T65" i="14"/>
  <c r="T66" i="14"/>
  <c r="T67" i="14"/>
  <c r="T68" i="14"/>
  <c r="T69" i="14"/>
  <c r="T70" i="14"/>
  <c r="T71" i="14"/>
  <c r="T72" i="14"/>
  <c r="T73" i="14"/>
  <c r="T74" i="14"/>
  <c r="T75" i="14"/>
  <c r="T76" i="14"/>
  <c r="T77" i="14"/>
  <c r="T78" i="14"/>
  <c r="T79" i="14"/>
  <c r="T80" i="14"/>
  <c r="T81" i="14"/>
  <c r="T82" i="14"/>
  <c r="T83" i="14"/>
  <c r="T84" i="14"/>
  <c r="T85" i="14"/>
  <c r="T86" i="14"/>
  <c r="T87" i="14"/>
  <c r="T88" i="14"/>
  <c r="T89" i="14"/>
  <c r="T90" i="14"/>
  <c r="T91" i="14"/>
  <c r="T92" i="14"/>
  <c r="T93" i="14"/>
  <c r="T94" i="14"/>
  <c r="T95" i="14"/>
  <c r="T96" i="14"/>
  <c r="T97" i="14"/>
  <c r="S54" i="14"/>
  <c r="S55" i="14"/>
  <c r="S56" i="14"/>
  <c r="S57" i="14"/>
  <c r="S58" i="14"/>
  <c r="S59" i="14"/>
  <c r="S60" i="14"/>
  <c r="S61" i="14"/>
  <c r="S62" i="14"/>
  <c r="S63" i="14"/>
  <c r="S64" i="14"/>
  <c r="S65" i="14"/>
  <c r="S66" i="14"/>
  <c r="S67" i="14"/>
  <c r="S68" i="14"/>
  <c r="S69" i="14"/>
  <c r="S70" i="14"/>
  <c r="S71" i="14"/>
  <c r="S72" i="14"/>
  <c r="S73" i="14"/>
  <c r="S74" i="14"/>
  <c r="S76" i="14"/>
  <c r="S77" i="14"/>
  <c r="S78" i="14"/>
  <c r="S79" i="14"/>
  <c r="S80" i="14"/>
  <c r="S81" i="14"/>
  <c r="S82" i="14"/>
  <c r="S83" i="14"/>
  <c r="S84" i="14"/>
  <c r="S85" i="14"/>
  <c r="S86" i="14"/>
  <c r="S87" i="14"/>
  <c r="S88" i="14"/>
  <c r="S89" i="14"/>
  <c r="S90" i="14"/>
  <c r="S91" i="14"/>
  <c r="S92" i="14"/>
  <c r="S93" i="14"/>
  <c r="S94" i="14"/>
  <c r="S95" i="14"/>
  <c r="S96" i="14"/>
  <c r="S97" i="14"/>
  <c r="S98"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4" i="14"/>
  <c r="Q85" i="14"/>
  <c r="Q86" i="14"/>
  <c r="Q87" i="14"/>
  <c r="Q88" i="14"/>
  <c r="Q89" i="14"/>
  <c r="Q90" i="14"/>
  <c r="Q91" i="14"/>
  <c r="Q92" i="14"/>
  <c r="Q93" i="14"/>
  <c r="Q94" i="14"/>
  <c r="Q95" i="14"/>
  <c r="Q96" i="14"/>
  <c r="Q97" i="14"/>
  <c r="Q98"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4" i="14"/>
  <c r="P85" i="14"/>
  <c r="P86" i="14"/>
  <c r="P87" i="14"/>
  <c r="P88" i="14"/>
  <c r="P89" i="14"/>
  <c r="P90" i="14"/>
  <c r="P91" i="14"/>
  <c r="P92" i="14"/>
  <c r="P93" i="14"/>
  <c r="P94" i="14"/>
  <c r="P95" i="14"/>
  <c r="P96" i="14"/>
  <c r="P97" i="14"/>
  <c r="P98"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M54" i="14"/>
  <c r="B54" i="14" s="1"/>
  <c r="M55" i="14"/>
  <c r="B55" i="14" s="1"/>
  <c r="M56" i="14"/>
  <c r="B56" i="14" s="1"/>
  <c r="M57" i="14"/>
  <c r="B57" i="14" s="1"/>
  <c r="M58" i="14"/>
  <c r="B58" i="14" s="1"/>
  <c r="M59" i="14"/>
  <c r="B59" i="14" s="1"/>
  <c r="M60" i="14"/>
  <c r="B60" i="14" s="1"/>
  <c r="M61" i="14"/>
  <c r="B61" i="14" s="1"/>
  <c r="M62" i="14"/>
  <c r="B62" i="14" s="1"/>
  <c r="M63" i="14"/>
  <c r="B63" i="14" s="1"/>
  <c r="M64" i="14"/>
  <c r="B64" i="14" s="1"/>
  <c r="M65" i="14"/>
  <c r="B65" i="14" s="1"/>
  <c r="M66" i="14"/>
  <c r="B66" i="14" s="1"/>
  <c r="M67" i="14"/>
  <c r="B67" i="14" s="1"/>
  <c r="M68" i="14"/>
  <c r="B68" i="14" s="1"/>
  <c r="M69" i="14"/>
  <c r="B69" i="14" s="1"/>
  <c r="M70" i="14"/>
  <c r="B70" i="14" s="1"/>
  <c r="M71" i="14"/>
  <c r="B71" i="14" s="1"/>
  <c r="M72" i="14"/>
  <c r="B72" i="14" s="1"/>
  <c r="M73" i="14"/>
  <c r="B73" i="14" s="1"/>
  <c r="M74" i="14"/>
  <c r="B74" i="14" s="1"/>
  <c r="M75" i="14"/>
  <c r="B75" i="14" s="1"/>
  <c r="M76" i="14"/>
  <c r="B76" i="14" s="1"/>
  <c r="M77" i="14"/>
  <c r="B77" i="14" s="1"/>
  <c r="M78" i="14"/>
  <c r="B78" i="14" s="1"/>
  <c r="M79" i="14"/>
  <c r="B79" i="14" s="1"/>
  <c r="M80" i="14"/>
  <c r="B80" i="14" s="1"/>
  <c r="M81" i="14"/>
  <c r="B81" i="14" s="1"/>
  <c r="M82" i="14"/>
  <c r="B82" i="14" s="1"/>
  <c r="M83" i="14"/>
  <c r="B83" i="14" s="1"/>
  <c r="M84" i="14"/>
  <c r="B84" i="14" s="1"/>
  <c r="M85" i="14"/>
  <c r="B85" i="14" s="1"/>
  <c r="M86" i="14"/>
  <c r="B86" i="14" s="1"/>
  <c r="M87" i="14"/>
  <c r="B87" i="14" s="1"/>
  <c r="M88" i="14"/>
  <c r="B88" i="14" s="1"/>
  <c r="M89" i="14"/>
  <c r="B89" i="14" s="1"/>
  <c r="M90" i="14"/>
  <c r="B90" i="14" s="1"/>
  <c r="M91" i="14"/>
  <c r="B91" i="14" s="1"/>
  <c r="M92" i="14"/>
  <c r="B92" i="14" s="1"/>
  <c r="M93" i="14"/>
  <c r="B93" i="14" s="1"/>
  <c r="M94" i="14"/>
  <c r="B94" i="14" s="1"/>
  <c r="M95" i="14"/>
  <c r="B95" i="14" s="1"/>
  <c r="M96" i="14"/>
  <c r="B96" i="14" s="1"/>
  <c r="M97" i="14"/>
  <c r="B97" i="14" s="1"/>
  <c r="M98" i="14"/>
  <c r="B98" i="14" s="1"/>
  <c r="A93" i="14"/>
  <c r="F93" i="14" s="1"/>
  <c r="A94" i="14"/>
  <c r="H94" i="14" s="1"/>
  <c r="A95" i="14"/>
  <c r="F95" i="14" s="1"/>
  <c r="A96" i="14"/>
  <c r="C96" i="14" s="1"/>
  <c r="A97" i="14"/>
  <c r="F97" i="14" s="1"/>
  <c r="A98" i="14"/>
  <c r="C98" i="14" s="1"/>
  <c r="A83" i="14"/>
  <c r="F83" i="14" s="1"/>
  <c r="A84" i="14"/>
  <c r="F84" i="14" s="1"/>
  <c r="A85" i="14"/>
  <c r="G85" i="14" s="1"/>
  <c r="A86" i="14"/>
  <c r="C86" i="14" s="1"/>
  <c r="A87" i="14"/>
  <c r="C87" i="14" s="1"/>
  <c r="A88" i="14"/>
  <c r="F88" i="14" s="1"/>
  <c r="A89" i="14"/>
  <c r="F89" i="14" s="1"/>
  <c r="A90" i="14"/>
  <c r="F90" i="14" s="1"/>
  <c r="A91" i="14"/>
  <c r="F91" i="14" s="1"/>
  <c r="A92" i="14"/>
  <c r="F92" i="14" s="1"/>
  <c r="A79" i="14"/>
  <c r="F79" i="14" s="1"/>
  <c r="A80" i="14"/>
  <c r="F80" i="14" s="1"/>
  <c r="A81" i="14"/>
  <c r="D81" i="14" s="1"/>
  <c r="A82" i="14"/>
  <c r="G82" i="14" s="1"/>
  <c r="A75" i="14"/>
  <c r="H75" i="14" s="1"/>
  <c r="A76" i="14"/>
  <c r="F76" i="14" s="1"/>
  <c r="A77" i="14"/>
  <c r="J77" i="14" s="1"/>
  <c r="A78" i="14"/>
  <c r="D78" i="14" s="1"/>
  <c r="A54" i="14"/>
  <c r="F54" i="14" s="1"/>
  <c r="A55" i="14"/>
  <c r="C55" i="14" s="1"/>
  <c r="A56" i="14"/>
  <c r="F56" i="14" s="1"/>
  <c r="A57" i="14"/>
  <c r="C57" i="14" s="1"/>
  <c r="A58" i="14"/>
  <c r="F58" i="14" s="1"/>
  <c r="A59" i="14"/>
  <c r="F59" i="14" s="1"/>
  <c r="A60" i="14"/>
  <c r="H60" i="14" s="1"/>
  <c r="A61" i="14"/>
  <c r="E61" i="14" s="1"/>
  <c r="A62" i="14"/>
  <c r="F62" i="14" s="1"/>
  <c r="A63" i="14"/>
  <c r="J63" i="14" s="1"/>
  <c r="A64" i="14"/>
  <c r="C64" i="14" s="1"/>
  <c r="A65" i="14"/>
  <c r="F65" i="14" s="1"/>
  <c r="A66" i="14"/>
  <c r="F66" i="14" s="1"/>
  <c r="A67" i="14"/>
  <c r="F67" i="14" s="1"/>
  <c r="A68" i="14"/>
  <c r="I68" i="14" s="1"/>
  <c r="A69" i="14"/>
  <c r="C69" i="14" s="1"/>
  <c r="A70" i="14"/>
  <c r="F70" i="14" s="1"/>
  <c r="A71" i="14"/>
  <c r="D71" i="14" s="1"/>
  <c r="A72" i="14"/>
  <c r="F72" i="14" s="1"/>
  <c r="A73" i="14"/>
  <c r="K73" i="14" s="1"/>
  <c r="A74" i="14"/>
  <c r="D74" i="14" s="1"/>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3"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R6" i="14"/>
  <c r="R7" i="14"/>
  <c r="R8" i="14"/>
  <c r="R9" i="14"/>
  <c r="R19" i="14"/>
  <c r="R20" i="14"/>
  <c r="R21" i="14"/>
  <c r="R22" i="14"/>
  <c r="R23" i="14"/>
  <c r="R24" i="14"/>
  <c r="R25" i="14"/>
  <c r="R26" i="14"/>
  <c r="R27" i="14"/>
  <c r="R28" i="14"/>
  <c r="R29" i="14"/>
  <c r="R31" i="14"/>
  <c r="R32" i="14"/>
  <c r="R33" i="14"/>
  <c r="R34" i="14"/>
  <c r="R35" i="14"/>
  <c r="R36" i="14"/>
  <c r="R37" i="14"/>
  <c r="R38" i="14"/>
  <c r="R39" i="14"/>
  <c r="R40" i="14"/>
  <c r="R41" i="14"/>
  <c r="R42" i="14"/>
  <c r="R43" i="14"/>
  <c r="R44" i="14"/>
  <c r="R45" i="14"/>
  <c r="R46" i="14"/>
  <c r="R47" i="14"/>
  <c r="R51" i="14"/>
  <c r="R52" i="14"/>
  <c r="Q11" i="14"/>
  <c r="Q12" i="14"/>
  <c r="Q13" i="14"/>
  <c r="Q14" i="14"/>
  <c r="Q16" i="14"/>
  <c r="Q17" i="14"/>
  <c r="Q18" i="14"/>
  <c r="Q19"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P7" i="14"/>
  <c r="P8" i="14"/>
  <c r="P11" i="14"/>
  <c r="P12" i="14"/>
  <c r="P13" i="14"/>
  <c r="P14" i="14"/>
  <c r="P15" i="14"/>
  <c r="P16" i="14"/>
  <c r="P17" i="14"/>
  <c r="P18" i="14"/>
  <c r="P19" i="14"/>
  <c r="P21" i="14"/>
  <c r="P23" i="14"/>
  <c r="P24" i="14"/>
  <c r="P25" i="14"/>
  <c r="P34" i="14"/>
  <c r="P35" i="14"/>
  <c r="P36" i="14"/>
  <c r="P37" i="14"/>
  <c r="P38" i="14"/>
  <c r="P39" i="14"/>
  <c r="P40" i="14"/>
  <c r="P41" i="14"/>
  <c r="P42" i="14"/>
  <c r="P43" i="14"/>
  <c r="P44" i="14"/>
  <c r="P45" i="14"/>
  <c r="P46" i="14"/>
  <c r="P47" i="14"/>
  <c r="P48" i="14"/>
  <c r="P49" i="14"/>
  <c r="P50" i="14"/>
  <c r="P51" i="14"/>
  <c r="P52" i="14"/>
  <c r="P53"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N34" i="14"/>
  <c r="N35" i="14"/>
  <c r="N36" i="14"/>
  <c r="N37" i="14"/>
  <c r="N38" i="14"/>
  <c r="N39" i="14"/>
  <c r="N40" i="14"/>
  <c r="N41" i="14"/>
  <c r="N42" i="14"/>
  <c r="N44" i="14"/>
  <c r="N48" i="14"/>
  <c r="N49" i="14"/>
  <c r="N50" i="14"/>
  <c r="N51" i="14"/>
  <c r="N52" i="14"/>
  <c r="N53" i="14"/>
  <c r="A6" i="14"/>
  <c r="E6" i="14" s="1"/>
  <c r="A7" i="14"/>
  <c r="C7" i="14" s="1"/>
  <c r="A8" i="14"/>
  <c r="F8" i="14" s="1"/>
  <c r="A9" i="14"/>
  <c r="F9" i="14" s="1"/>
  <c r="A10" i="14"/>
  <c r="C10" i="14" s="1"/>
  <c r="A11" i="14"/>
  <c r="G11" i="14" s="1"/>
  <c r="A12" i="14"/>
  <c r="F12" i="14" s="1"/>
  <c r="A13" i="14"/>
  <c r="K13" i="14" s="1"/>
  <c r="A14" i="14"/>
  <c r="F14" i="14" s="1"/>
  <c r="A15" i="14"/>
  <c r="F15" i="14" s="1"/>
  <c r="A16" i="14"/>
  <c r="C16" i="14" s="1"/>
  <c r="A17" i="14"/>
  <c r="C17" i="14" s="1"/>
  <c r="A18" i="14"/>
  <c r="F18" i="14" s="1"/>
  <c r="A19" i="14"/>
  <c r="J19" i="14" s="1"/>
  <c r="A20" i="14"/>
  <c r="F20" i="14" s="1"/>
  <c r="A21" i="14"/>
  <c r="G21" i="14" s="1"/>
  <c r="A22" i="14"/>
  <c r="F22" i="14" s="1"/>
  <c r="A23" i="14"/>
  <c r="H23" i="14" s="1"/>
  <c r="A24" i="14"/>
  <c r="D24" i="14" s="1"/>
  <c r="A25" i="14"/>
  <c r="F25" i="14" s="1"/>
  <c r="A26" i="14"/>
  <c r="F26" i="14" s="1"/>
  <c r="A27" i="14"/>
  <c r="F27" i="14" s="1"/>
  <c r="A28" i="14"/>
  <c r="C28" i="14" s="1"/>
  <c r="A29" i="14"/>
  <c r="G29" i="14" s="1"/>
  <c r="A30" i="14"/>
  <c r="C30" i="14" s="1"/>
  <c r="A31" i="14"/>
  <c r="F31" i="14" s="1"/>
  <c r="A32" i="14"/>
  <c r="F32" i="14" s="1"/>
  <c r="A33" i="14"/>
  <c r="D33" i="14" s="1"/>
  <c r="A34" i="14"/>
  <c r="C34" i="14" s="1"/>
  <c r="A35" i="14"/>
  <c r="F35" i="14" s="1"/>
  <c r="A36" i="14"/>
  <c r="F36" i="14" s="1"/>
  <c r="A37" i="14"/>
  <c r="F37" i="14" s="1"/>
  <c r="A38" i="14"/>
  <c r="D38" i="14" s="1"/>
  <c r="A39" i="14"/>
  <c r="K39" i="14" s="1"/>
  <c r="A40" i="14"/>
  <c r="F40" i="14" s="1"/>
  <c r="A41" i="14"/>
  <c r="C41" i="14" s="1"/>
  <c r="A42" i="14"/>
  <c r="F42" i="14" s="1"/>
  <c r="A43" i="14"/>
  <c r="F43" i="14" s="1"/>
  <c r="A44" i="14"/>
  <c r="C44" i="14" s="1"/>
  <c r="A45" i="14"/>
  <c r="C45" i="14" s="1"/>
  <c r="A46" i="14"/>
  <c r="F46" i="14" s="1"/>
  <c r="A47" i="14"/>
  <c r="F47" i="14" s="1"/>
  <c r="A48" i="14"/>
  <c r="D48" i="14" s="1"/>
  <c r="A49" i="14"/>
  <c r="F49" i="14" s="1"/>
  <c r="A50" i="14"/>
  <c r="F50" i="14" s="1"/>
  <c r="A51" i="14"/>
  <c r="F51" i="14" s="1"/>
  <c r="A52" i="14"/>
  <c r="C52" i="14" s="1"/>
  <c r="A53" i="14"/>
  <c r="F53" i="14" s="1"/>
  <c r="M53" i="14"/>
  <c r="B53" i="14" s="1"/>
  <c r="M52" i="14"/>
  <c r="B52" i="14" s="1"/>
  <c r="M51" i="14"/>
  <c r="B51" i="14" s="1"/>
  <c r="M50" i="14"/>
  <c r="B50" i="14" s="1"/>
  <c r="M44" i="14"/>
  <c r="B44" i="14" s="1"/>
  <c r="M45" i="14"/>
  <c r="B45" i="14" s="1"/>
  <c r="M46" i="14"/>
  <c r="B46" i="14" s="1"/>
  <c r="M47" i="14"/>
  <c r="B47" i="14" s="1"/>
  <c r="M48" i="14"/>
  <c r="B48" i="14" s="1"/>
  <c r="M49" i="14"/>
  <c r="B49" i="14" s="1"/>
  <c r="M42" i="14"/>
  <c r="B42" i="14" s="1"/>
  <c r="M43" i="14"/>
  <c r="B43" i="14" s="1"/>
  <c r="M40" i="14"/>
  <c r="B40" i="14" s="1"/>
  <c r="M41" i="14"/>
  <c r="B41" i="14" s="1"/>
  <c r="M6" i="14"/>
  <c r="B6" i="14" s="1"/>
  <c r="M7" i="14"/>
  <c r="B7" i="14" s="1"/>
  <c r="M8" i="14"/>
  <c r="B8" i="14" s="1"/>
  <c r="M9" i="14"/>
  <c r="B9" i="14" s="1"/>
  <c r="M10" i="14"/>
  <c r="B10" i="14" s="1"/>
  <c r="M11" i="14"/>
  <c r="B11" i="14" s="1"/>
  <c r="M12" i="14"/>
  <c r="B12" i="14" s="1"/>
  <c r="M13" i="14"/>
  <c r="B13" i="14" s="1"/>
  <c r="M14" i="14"/>
  <c r="B14" i="14" s="1"/>
  <c r="M15" i="14"/>
  <c r="B15" i="14" s="1"/>
  <c r="M16" i="14"/>
  <c r="B16" i="14" s="1"/>
  <c r="M17" i="14"/>
  <c r="B17" i="14" s="1"/>
  <c r="M18" i="14"/>
  <c r="B18" i="14" s="1"/>
  <c r="M19" i="14"/>
  <c r="B19" i="14" s="1"/>
  <c r="M20" i="14"/>
  <c r="B20" i="14" s="1"/>
  <c r="M21" i="14"/>
  <c r="B21" i="14" s="1"/>
  <c r="M22" i="14"/>
  <c r="B22" i="14" s="1"/>
  <c r="M23" i="14"/>
  <c r="B23" i="14" s="1"/>
  <c r="M24" i="14"/>
  <c r="B24" i="14" s="1"/>
  <c r="M25" i="14"/>
  <c r="B25" i="14" s="1"/>
  <c r="M26" i="14"/>
  <c r="B26" i="14" s="1"/>
  <c r="M27" i="14"/>
  <c r="B27" i="14" s="1"/>
  <c r="M28" i="14"/>
  <c r="B28" i="14" s="1"/>
  <c r="M29" i="14"/>
  <c r="B29" i="14" s="1"/>
  <c r="M30" i="14"/>
  <c r="B30" i="14" s="1"/>
  <c r="M31" i="14"/>
  <c r="B31" i="14" s="1"/>
  <c r="M32" i="14"/>
  <c r="B32" i="14" s="1"/>
  <c r="M33" i="14"/>
  <c r="B33" i="14" s="1"/>
  <c r="M34" i="14"/>
  <c r="B34" i="14" s="1"/>
  <c r="M35" i="14"/>
  <c r="B35" i="14" s="1"/>
  <c r="M36" i="14"/>
  <c r="B36" i="14" s="1"/>
  <c r="M37" i="14"/>
  <c r="B37" i="14" s="1"/>
  <c r="M38" i="14"/>
  <c r="B38" i="14" s="1"/>
  <c r="M39" i="14"/>
  <c r="B39" i="14" s="1"/>
  <c r="T5" i="14"/>
  <c r="S5" i="14"/>
  <c r="R5" i="14"/>
  <c r="M5" i="14"/>
  <c r="B5" i="14" s="1"/>
  <c r="A5" i="14"/>
  <c r="I5" i="14" s="1"/>
  <c r="I67" i="1"/>
  <c r="N45" i="14" s="1"/>
  <c r="I68" i="1"/>
  <c r="N46" i="14" s="1"/>
  <c r="I69" i="1"/>
  <c r="N47" i="14" s="1"/>
  <c r="I66" i="1"/>
  <c r="I64" i="1"/>
  <c r="N43" i="14" s="1"/>
  <c r="D297" i="1"/>
  <c r="D298" i="1"/>
  <c r="D296" i="1"/>
  <c r="D303" i="1"/>
  <c r="D304" i="1"/>
  <c r="D305" i="1"/>
  <c r="D306" i="1"/>
  <c r="D307" i="1"/>
  <c r="D308" i="1"/>
  <c r="D285" i="1"/>
  <c r="D286" i="1"/>
  <c r="D287" i="1"/>
  <c r="D288" i="1"/>
  <c r="D289" i="1"/>
  <c r="D290" i="1"/>
  <c r="D291" i="1"/>
  <c r="D292" i="1"/>
  <c r="D293" i="1"/>
  <c r="D284"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30" i="1"/>
  <c r="D208" i="1"/>
  <c r="D209" i="1"/>
  <c r="D210" i="1"/>
  <c r="D211" i="1"/>
  <c r="D212" i="1"/>
  <c r="D213" i="1"/>
  <c r="D214" i="1"/>
  <c r="D215" i="1"/>
  <c r="D216" i="1"/>
  <c r="D217" i="1"/>
  <c r="D218" i="1"/>
  <c r="D219" i="1"/>
  <c r="D220" i="1"/>
  <c r="D221" i="1"/>
  <c r="D222" i="1"/>
  <c r="D223" i="1"/>
  <c r="D224" i="1"/>
  <c r="D225" i="1"/>
  <c r="D226" i="1"/>
  <c r="D227" i="1"/>
  <c r="D207" i="1"/>
  <c r="D197" i="1"/>
  <c r="D198" i="1"/>
  <c r="D199" i="1"/>
  <c r="D200" i="1"/>
  <c r="D201" i="1"/>
  <c r="D202" i="1"/>
  <c r="D203" i="1"/>
  <c r="D204" i="1"/>
  <c r="D196" i="1"/>
  <c r="D183" i="1"/>
  <c r="D184" i="1"/>
  <c r="D185" i="1"/>
  <c r="D186" i="1"/>
  <c r="D187" i="1"/>
  <c r="D188" i="1"/>
  <c r="D189" i="1"/>
  <c r="D190" i="1"/>
  <c r="D191" i="1"/>
  <c r="D192" i="1"/>
  <c r="D193" i="1"/>
  <c r="D182" i="1"/>
  <c r="D173" i="1"/>
  <c r="D174" i="1"/>
  <c r="D175" i="1"/>
  <c r="D176" i="1"/>
  <c r="D177" i="1"/>
  <c r="D178" i="1"/>
  <c r="D179" i="1"/>
  <c r="D172"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34" i="1"/>
  <c r="D127" i="1"/>
  <c r="D128" i="1"/>
  <c r="D129" i="1"/>
  <c r="D130" i="1"/>
  <c r="D126" i="1"/>
  <c r="D114" i="1"/>
  <c r="D115" i="1"/>
  <c r="D116" i="1"/>
  <c r="D117" i="1"/>
  <c r="D118" i="1"/>
  <c r="D119" i="1"/>
  <c r="D120" i="1"/>
  <c r="D121" i="1"/>
  <c r="D122" i="1"/>
  <c r="D123" i="1"/>
  <c r="D113" i="1"/>
  <c r="D104" i="1"/>
  <c r="D105" i="1"/>
  <c r="D106" i="1"/>
  <c r="D107" i="1"/>
  <c r="D108" i="1"/>
  <c r="D109" i="1"/>
  <c r="D110" i="1"/>
  <c r="D103" i="1"/>
  <c r="D81" i="1"/>
  <c r="D82" i="1"/>
  <c r="D83" i="1"/>
  <c r="D84" i="1"/>
  <c r="D85" i="1"/>
  <c r="D86" i="1"/>
  <c r="D87" i="1"/>
  <c r="D88" i="1"/>
  <c r="D89" i="1"/>
  <c r="D90" i="1"/>
  <c r="D91" i="1"/>
  <c r="D92" i="1"/>
  <c r="D93" i="1"/>
  <c r="D94" i="1"/>
  <c r="D95" i="1"/>
  <c r="D96" i="1"/>
  <c r="D97" i="1"/>
  <c r="D98" i="1"/>
  <c r="D99" i="1"/>
  <c r="D100" i="1"/>
  <c r="D80" i="1"/>
  <c r="D66" i="1"/>
  <c r="D67" i="1"/>
  <c r="D68" i="1"/>
  <c r="D69" i="1"/>
  <c r="D71" i="1"/>
  <c r="D72" i="1"/>
  <c r="D73" i="1"/>
  <c r="D74" i="1"/>
  <c r="D75" i="1"/>
  <c r="D76" i="1"/>
  <c r="D64" i="1"/>
  <c r="D51" i="1"/>
  <c r="D52" i="1"/>
  <c r="D53" i="1"/>
  <c r="D55" i="1"/>
  <c r="D56" i="1"/>
  <c r="D57" i="1"/>
  <c r="D59" i="1"/>
  <c r="D61" i="1"/>
  <c r="D50" i="1"/>
  <c r="D41" i="1"/>
  <c r="D42" i="1"/>
  <c r="D43" i="1"/>
  <c r="D44" i="1"/>
  <c r="D45" i="1"/>
  <c r="D46" i="1"/>
  <c r="D47" i="1"/>
  <c r="D40" i="1"/>
  <c r="D14" i="1"/>
  <c r="D15" i="1"/>
  <c r="D16" i="1"/>
  <c r="D17" i="1"/>
  <c r="D18" i="1"/>
  <c r="D20" i="1"/>
  <c r="D21" i="1"/>
  <c r="D22" i="1"/>
  <c r="D23" i="1"/>
  <c r="D25" i="1"/>
  <c r="D26" i="1"/>
  <c r="D27" i="1"/>
  <c r="D28" i="1"/>
  <c r="D30" i="1"/>
  <c r="D31" i="1"/>
  <c r="D32" i="1"/>
  <c r="D33" i="1"/>
  <c r="D35" i="1"/>
  <c r="D36" i="1"/>
  <c r="D37" i="1"/>
  <c r="D13" i="1"/>
  <c r="I41" i="1"/>
  <c r="N27" i="14" s="1"/>
  <c r="I42" i="1"/>
  <c r="N28" i="14" s="1"/>
  <c r="I43" i="1"/>
  <c r="N29" i="14" s="1"/>
  <c r="I44" i="1"/>
  <c r="N30" i="14" s="1"/>
  <c r="I45" i="1"/>
  <c r="N31" i="14" s="1"/>
  <c r="I46" i="1"/>
  <c r="N32" i="14" s="1"/>
  <c r="I47" i="1"/>
  <c r="N33" i="14" s="1"/>
  <c r="I40" i="1"/>
  <c r="N26" i="14" s="1"/>
  <c r="I14" i="1"/>
  <c r="N6" i="14" s="1"/>
  <c r="I15" i="1"/>
  <c r="N7" i="14" s="1"/>
  <c r="I16" i="1"/>
  <c r="N8" i="14" s="1"/>
  <c r="I17" i="1"/>
  <c r="N9" i="14" s="1"/>
  <c r="I18" i="1"/>
  <c r="N10" i="14" s="1"/>
  <c r="I20" i="1"/>
  <c r="N11" i="14" s="1"/>
  <c r="I21" i="1"/>
  <c r="N12" i="14" s="1"/>
  <c r="I22" i="1"/>
  <c r="N13" i="14" s="1"/>
  <c r="I23" i="1"/>
  <c r="N14" i="14" s="1"/>
  <c r="I25" i="1"/>
  <c r="N15" i="14" s="1"/>
  <c r="I26" i="1"/>
  <c r="N16" i="14" s="1"/>
  <c r="I27" i="1"/>
  <c r="N17" i="14" s="1"/>
  <c r="I28" i="1"/>
  <c r="N18" i="14" s="1"/>
  <c r="I30" i="1"/>
  <c r="N19" i="14" s="1"/>
  <c r="I31" i="1"/>
  <c r="N20" i="14" s="1"/>
  <c r="I32" i="1"/>
  <c r="N21" i="14" s="1"/>
  <c r="I33" i="1"/>
  <c r="N22" i="14" s="1"/>
  <c r="I35" i="1"/>
  <c r="N23" i="14" s="1"/>
  <c r="I36" i="1"/>
  <c r="N24" i="14" s="1"/>
  <c r="I37" i="1"/>
  <c r="N25" i="14" s="1"/>
  <c r="I13" i="1"/>
  <c r="N5" i="14" s="1"/>
  <c r="F98" i="14" l="1"/>
  <c r="F82" i="14"/>
  <c r="F96" i="14"/>
  <c r="F78" i="14"/>
  <c r="F94" i="14"/>
  <c r="F86" i="14"/>
  <c r="F68" i="14"/>
  <c r="F64" i="14"/>
  <c r="F60" i="14"/>
  <c r="F52" i="14"/>
  <c r="F48" i="14"/>
  <c r="F44" i="14"/>
  <c r="F28" i="14"/>
  <c r="F24" i="14"/>
  <c r="F16" i="14"/>
  <c r="F87" i="14"/>
  <c r="F75" i="14"/>
  <c r="F71" i="14"/>
  <c r="F63" i="14"/>
  <c r="F55" i="14"/>
  <c r="F39" i="14"/>
  <c r="F23" i="14"/>
  <c r="F19" i="14"/>
  <c r="F11" i="14"/>
  <c r="F7" i="14"/>
  <c r="F74" i="14"/>
  <c r="F38" i="14"/>
  <c r="F34" i="14"/>
  <c r="F30" i="14"/>
  <c r="F10" i="14"/>
  <c r="F6" i="14"/>
  <c r="F85" i="14"/>
  <c r="F81" i="14"/>
  <c r="F77" i="14"/>
  <c r="F73" i="14"/>
  <c r="F69" i="14"/>
  <c r="F61" i="14"/>
  <c r="F57" i="14"/>
  <c r="F45" i="14"/>
  <c r="F41" i="14"/>
  <c r="F33" i="14"/>
  <c r="F29" i="14"/>
  <c r="F21" i="14"/>
  <c r="F17" i="14"/>
  <c r="F13" i="14"/>
  <c r="F5" i="14"/>
  <c r="D29" i="14"/>
  <c r="J5" i="14"/>
  <c r="E44" i="14"/>
  <c r="C11" i="14"/>
  <c r="H48" i="14"/>
  <c r="D98" i="14"/>
  <c r="D55" i="14"/>
  <c r="E28" i="14"/>
  <c r="G64" i="14"/>
  <c r="D86" i="14"/>
  <c r="D44" i="14"/>
  <c r="E86" i="14"/>
  <c r="E11" i="14"/>
  <c r="D64" i="14"/>
  <c r="D41" i="14"/>
  <c r="E64" i="14"/>
  <c r="I50" i="14"/>
  <c r="K50" i="14"/>
  <c r="J50" i="14"/>
  <c r="E50" i="14"/>
  <c r="H50" i="14"/>
  <c r="G50" i="14"/>
  <c r="J40" i="14"/>
  <c r="G40" i="14"/>
  <c r="K31" i="14"/>
  <c r="J31" i="14"/>
  <c r="G31" i="14"/>
  <c r="C31" i="14"/>
  <c r="D31" i="14"/>
  <c r="E31" i="14"/>
  <c r="K27" i="14"/>
  <c r="J27" i="14"/>
  <c r="G27" i="14"/>
  <c r="I27" i="14"/>
  <c r="C27" i="14"/>
  <c r="H27" i="14"/>
  <c r="E27" i="14"/>
  <c r="H25" i="14"/>
  <c r="K25" i="14"/>
  <c r="J25" i="14"/>
  <c r="G25" i="14"/>
  <c r="I25" i="14"/>
  <c r="H15" i="14"/>
  <c r="K15" i="14"/>
  <c r="J15" i="14"/>
  <c r="G15" i="14"/>
  <c r="I15" i="14"/>
  <c r="C15" i="14"/>
  <c r="D15" i="14"/>
  <c r="E15" i="14"/>
  <c r="K12" i="14"/>
  <c r="J12" i="14"/>
  <c r="I12" i="14"/>
  <c r="H12" i="14"/>
  <c r="G12" i="14"/>
  <c r="E12" i="14"/>
  <c r="K8" i="14"/>
  <c r="J8" i="14"/>
  <c r="I8" i="14"/>
  <c r="D8" i="14"/>
  <c r="C8" i="14"/>
  <c r="G8" i="14"/>
  <c r="E8" i="14"/>
  <c r="I70" i="14"/>
  <c r="K70" i="14"/>
  <c r="J70" i="14"/>
  <c r="G70" i="14"/>
  <c r="H70" i="14"/>
  <c r="D70" i="14"/>
  <c r="E70" i="14"/>
  <c r="K62" i="14"/>
  <c r="J62" i="14"/>
  <c r="I62" i="14"/>
  <c r="G62" i="14"/>
  <c r="H62" i="14"/>
  <c r="E62" i="14"/>
  <c r="I54" i="14"/>
  <c r="H54" i="14"/>
  <c r="D54" i="14"/>
  <c r="K54" i="14"/>
  <c r="C54" i="14"/>
  <c r="J54" i="14"/>
  <c r="G54" i="14"/>
  <c r="E54" i="14"/>
  <c r="K92" i="14"/>
  <c r="J92" i="14"/>
  <c r="I92" i="14"/>
  <c r="H92" i="14"/>
  <c r="G92" i="14"/>
  <c r="K84" i="14"/>
  <c r="J84" i="14"/>
  <c r="I84" i="14"/>
  <c r="H84" i="14"/>
  <c r="E84" i="14"/>
  <c r="G84" i="14"/>
  <c r="I47" i="14"/>
  <c r="K47" i="14"/>
  <c r="E47" i="14"/>
  <c r="H47" i="14"/>
  <c r="J47" i="14"/>
  <c r="D47" i="14"/>
  <c r="G47" i="14"/>
  <c r="I42" i="14"/>
  <c r="K42" i="14"/>
  <c r="E42" i="14"/>
  <c r="H42" i="14"/>
  <c r="J42" i="14"/>
  <c r="G42" i="14"/>
  <c r="K37" i="14"/>
  <c r="J37" i="14"/>
  <c r="G37" i="14"/>
  <c r="I37" i="14"/>
  <c r="H22" i="14"/>
  <c r="K22" i="14"/>
  <c r="J22" i="14"/>
  <c r="G22" i="14"/>
  <c r="I22" i="14"/>
  <c r="E22" i="14"/>
  <c r="C78" i="14"/>
  <c r="C25" i="14"/>
  <c r="D50" i="14"/>
  <c r="H53" i="14"/>
  <c r="D53" i="14"/>
  <c r="K53" i="14"/>
  <c r="J53" i="14"/>
  <c r="C53" i="14"/>
  <c r="I53" i="14"/>
  <c r="K49" i="14"/>
  <c r="I49" i="14"/>
  <c r="H49" i="14"/>
  <c r="D49" i="14"/>
  <c r="J49" i="14"/>
  <c r="G49" i="14"/>
  <c r="E49" i="14"/>
  <c r="C49" i="14"/>
  <c r="K46" i="14"/>
  <c r="H46" i="14"/>
  <c r="D46" i="14"/>
  <c r="J46" i="14"/>
  <c r="I46" i="14"/>
  <c r="C46" i="14"/>
  <c r="G46" i="14"/>
  <c r="E46" i="14"/>
  <c r="K43" i="14"/>
  <c r="I43" i="14"/>
  <c r="H43" i="14"/>
  <c r="D43" i="14"/>
  <c r="C43" i="14"/>
  <c r="G43" i="14"/>
  <c r="E43" i="14"/>
  <c r="K69" i="14"/>
  <c r="E69" i="14"/>
  <c r="I65" i="14"/>
  <c r="H65" i="14"/>
  <c r="D65" i="14"/>
  <c r="G65" i="14"/>
  <c r="E65" i="14"/>
  <c r="C65" i="14"/>
  <c r="K65" i="14"/>
  <c r="J65" i="14"/>
  <c r="K57" i="14"/>
  <c r="J57" i="14"/>
  <c r="I57" i="14"/>
  <c r="G57" i="14"/>
  <c r="E57" i="14"/>
  <c r="H57" i="14"/>
  <c r="I77" i="14"/>
  <c r="G77" i="14"/>
  <c r="E77" i="14"/>
  <c r="H77" i="14"/>
  <c r="K77" i="14"/>
  <c r="I81" i="14"/>
  <c r="G81" i="14"/>
  <c r="E81" i="14"/>
  <c r="K81" i="14"/>
  <c r="J81" i="14"/>
  <c r="H81" i="14"/>
  <c r="I91" i="14"/>
  <c r="G91" i="14"/>
  <c r="E91" i="14"/>
  <c r="H91" i="14"/>
  <c r="K91" i="14"/>
  <c r="J91" i="14"/>
  <c r="I87" i="14"/>
  <c r="G87" i="14"/>
  <c r="E87" i="14"/>
  <c r="K87" i="14"/>
  <c r="J87" i="14"/>
  <c r="H87" i="14"/>
  <c r="I83" i="14"/>
  <c r="G83" i="14"/>
  <c r="E83" i="14"/>
  <c r="H83" i="14"/>
  <c r="J83" i="14"/>
  <c r="D83" i="14"/>
  <c r="I96" i="14"/>
  <c r="K96" i="14"/>
  <c r="J96" i="14"/>
  <c r="H96" i="14"/>
  <c r="E96" i="14"/>
  <c r="G96" i="14"/>
  <c r="K5" i="14"/>
  <c r="C94" i="14"/>
  <c r="C91" i="14"/>
  <c r="C82" i="14"/>
  <c r="C77" i="14"/>
  <c r="C74" i="14"/>
  <c r="C56" i="14"/>
  <c r="C48" i="14"/>
  <c r="C42" i="14"/>
  <c r="D96" i="14"/>
  <c r="D91" i="14"/>
  <c r="D84" i="14"/>
  <c r="D62" i="14"/>
  <c r="D27" i="14"/>
  <c r="D22" i="14"/>
  <c r="D6" i="14"/>
  <c r="E56" i="14"/>
  <c r="E25" i="14"/>
  <c r="G55" i="14"/>
  <c r="H8" i="14"/>
  <c r="J43" i="14"/>
  <c r="H74" i="14"/>
  <c r="I74" i="14"/>
  <c r="G74" i="14"/>
  <c r="E66" i="14"/>
  <c r="G66" i="14"/>
  <c r="H58" i="14"/>
  <c r="D58" i="14"/>
  <c r="K58" i="14"/>
  <c r="J58" i="14"/>
  <c r="I58" i="14"/>
  <c r="C58" i="14"/>
  <c r="G58" i="14"/>
  <c r="E58" i="14"/>
  <c r="K78" i="14"/>
  <c r="J78" i="14"/>
  <c r="I78" i="14"/>
  <c r="H78" i="14"/>
  <c r="G78" i="14"/>
  <c r="K82" i="14"/>
  <c r="J82" i="14"/>
  <c r="I82" i="14"/>
  <c r="H82" i="14"/>
  <c r="E82" i="14"/>
  <c r="K88" i="14"/>
  <c r="J88" i="14"/>
  <c r="E88" i="14"/>
  <c r="D88" i="14"/>
  <c r="G88" i="14"/>
  <c r="H88" i="14"/>
  <c r="I97" i="14"/>
  <c r="G97" i="14"/>
  <c r="E97" i="14"/>
  <c r="D97" i="14"/>
  <c r="K97" i="14"/>
  <c r="H97" i="14"/>
  <c r="J97" i="14"/>
  <c r="C92" i="14"/>
  <c r="C50" i="14"/>
  <c r="C40" i="14"/>
  <c r="D92" i="14"/>
  <c r="K64" i="14"/>
  <c r="J64" i="14"/>
  <c r="I64" i="14"/>
  <c r="K56" i="14"/>
  <c r="J56" i="14"/>
  <c r="I56" i="14"/>
  <c r="G56" i="14"/>
  <c r="H56" i="14"/>
  <c r="I76" i="14"/>
  <c r="K76" i="14"/>
  <c r="J76" i="14"/>
  <c r="H76" i="14"/>
  <c r="E76" i="14"/>
  <c r="I80" i="14"/>
  <c r="K80" i="14"/>
  <c r="J80" i="14"/>
  <c r="H80" i="14"/>
  <c r="D80" i="14"/>
  <c r="E80" i="14"/>
  <c r="G80" i="14"/>
  <c r="I90" i="14"/>
  <c r="K90" i="14"/>
  <c r="J90" i="14"/>
  <c r="H90" i="14"/>
  <c r="E90" i="14"/>
  <c r="I86" i="14"/>
  <c r="K86" i="14"/>
  <c r="J86" i="14"/>
  <c r="H86" i="14"/>
  <c r="G86" i="14"/>
  <c r="K95" i="14"/>
  <c r="J95" i="14"/>
  <c r="I95" i="14"/>
  <c r="D95" i="14"/>
  <c r="H95" i="14"/>
  <c r="G95" i="14"/>
  <c r="C95" i="14"/>
  <c r="K93" i="14"/>
  <c r="J93" i="14"/>
  <c r="D93" i="14"/>
  <c r="I93" i="14"/>
  <c r="E93" i="14"/>
  <c r="C93" i="14"/>
  <c r="H93" i="14"/>
  <c r="G93" i="14"/>
  <c r="C90" i="14"/>
  <c r="C84" i="14"/>
  <c r="C81" i="14"/>
  <c r="C76" i="14"/>
  <c r="C71" i="14"/>
  <c r="C62" i="14"/>
  <c r="C37" i="14"/>
  <c r="C22" i="14"/>
  <c r="D94" i="14"/>
  <c r="D90" i="14"/>
  <c r="D77" i="14"/>
  <c r="D57" i="14"/>
  <c r="D37" i="14"/>
  <c r="D21" i="14"/>
  <c r="E95" i="14"/>
  <c r="E78" i="14"/>
  <c r="E53" i="14"/>
  <c r="E37" i="14"/>
  <c r="E21" i="14"/>
  <c r="G94" i="14"/>
  <c r="G76" i="14"/>
  <c r="G53" i="14"/>
  <c r="H64" i="14"/>
  <c r="H37" i="14"/>
  <c r="I88" i="14"/>
  <c r="I31" i="14"/>
  <c r="D12" i="14"/>
  <c r="K36" i="14"/>
  <c r="J36" i="14"/>
  <c r="I36" i="14"/>
  <c r="H36" i="14"/>
  <c r="G36" i="14"/>
  <c r="E36" i="14"/>
  <c r="K30" i="14"/>
  <c r="J30" i="14"/>
  <c r="I30" i="14"/>
  <c r="G30" i="14"/>
  <c r="E30" i="14"/>
  <c r="H30" i="14"/>
  <c r="K26" i="14"/>
  <c r="J26" i="14"/>
  <c r="I26" i="14"/>
  <c r="C26" i="14"/>
  <c r="H26" i="14"/>
  <c r="D26" i="14"/>
  <c r="G26" i="14"/>
  <c r="E26" i="14"/>
  <c r="K24" i="14"/>
  <c r="J24" i="14"/>
  <c r="I24" i="14"/>
  <c r="H24" i="14"/>
  <c r="C24" i="14"/>
  <c r="G24" i="14"/>
  <c r="E24" i="14"/>
  <c r="K21" i="14"/>
  <c r="J21" i="14"/>
  <c r="I21" i="14"/>
  <c r="C21" i="14"/>
  <c r="H21" i="14"/>
  <c r="K18" i="14"/>
  <c r="J18" i="14"/>
  <c r="I18" i="14"/>
  <c r="H18" i="14"/>
  <c r="C18" i="14"/>
  <c r="G18" i="14"/>
  <c r="E18" i="14"/>
  <c r="H11" i="14"/>
  <c r="K11" i="14"/>
  <c r="D11" i="14"/>
  <c r="J11" i="14"/>
  <c r="H7" i="14"/>
  <c r="K7" i="14"/>
  <c r="D7" i="14"/>
  <c r="J7" i="14"/>
  <c r="I7" i="14"/>
  <c r="G7" i="14"/>
  <c r="E7" i="14"/>
  <c r="K52" i="14"/>
  <c r="J52" i="14"/>
  <c r="I52" i="14"/>
  <c r="H52" i="14"/>
  <c r="G52" i="14"/>
  <c r="E52" i="14"/>
  <c r="K48" i="14"/>
  <c r="J48" i="14"/>
  <c r="I48" i="14"/>
  <c r="K45" i="14"/>
  <c r="J45" i="14"/>
  <c r="I45" i="14"/>
  <c r="G45" i="14"/>
  <c r="E45" i="14"/>
  <c r="H45" i="14"/>
  <c r="K41" i="14"/>
  <c r="J41" i="14"/>
  <c r="I41" i="14"/>
  <c r="H41" i="14"/>
  <c r="G41" i="14"/>
  <c r="E41" i="14"/>
  <c r="I38" i="14"/>
  <c r="K38" i="14"/>
  <c r="J38" i="14"/>
  <c r="E38" i="14"/>
  <c r="H38" i="14"/>
  <c r="G38" i="14"/>
  <c r="C38" i="14"/>
  <c r="I35" i="14"/>
  <c r="K35" i="14"/>
  <c r="E35" i="14"/>
  <c r="H35" i="14"/>
  <c r="J35" i="14"/>
  <c r="D35" i="14"/>
  <c r="C35" i="14"/>
  <c r="G35" i="14"/>
  <c r="I33" i="14"/>
  <c r="K33" i="14"/>
  <c r="J33" i="14"/>
  <c r="E33" i="14"/>
  <c r="H33" i="14"/>
  <c r="C33" i="14"/>
  <c r="G33" i="14"/>
  <c r="C29" i="14"/>
  <c r="I29" i="14"/>
  <c r="K29" i="14"/>
  <c r="E29" i="14"/>
  <c r="H29" i="14"/>
  <c r="J29" i="14"/>
  <c r="I23" i="14"/>
  <c r="K23" i="14"/>
  <c r="E23" i="14"/>
  <c r="J23" i="14"/>
  <c r="D23" i="14"/>
  <c r="C23" i="14"/>
  <c r="G23" i="14"/>
  <c r="I20" i="14"/>
  <c r="K20" i="14"/>
  <c r="J20" i="14"/>
  <c r="E20" i="14"/>
  <c r="H20" i="14"/>
  <c r="D20" i="14"/>
  <c r="G20" i="14"/>
  <c r="I17" i="14"/>
  <c r="K17" i="14"/>
  <c r="E17" i="14"/>
  <c r="J17" i="14"/>
  <c r="H17" i="14"/>
  <c r="D17" i="14"/>
  <c r="H14" i="14"/>
  <c r="I14" i="14"/>
  <c r="E14" i="14"/>
  <c r="H10" i="14"/>
  <c r="K10" i="14"/>
  <c r="J10" i="14"/>
  <c r="I10" i="14"/>
  <c r="G10" i="14"/>
  <c r="E10" i="14"/>
  <c r="D10" i="14"/>
  <c r="H6" i="14"/>
  <c r="K6" i="14"/>
  <c r="J6" i="14"/>
  <c r="I6" i="14"/>
  <c r="G6" i="14"/>
  <c r="K72" i="14"/>
  <c r="J72" i="14"/>
  <c r="H72" i="14"/>
  <c r="D72" i="14"/>
  <c r="C72" i="14"/>
  <c r="I72" i="14"/>
  <c r="K51" i="14"/>
  <c r="J51" i="14"/>
  <c r="I51" i="14"/>
  <c r="G51" i="14"/>
  <c r="H51" i="14"/>
  <c r="D51" i="14"/>
  <c r="E51" i="14"/>
  <c r="K44" i="14"/>
  <c r="J44" i="14"/>
  <c r="I44" i="14"/>
  <c r="G44" i="14"/>
  <c r="H44" i="14"/>
  <c r="K34" i="14"/>
  <c r="H34" i="14"/>
  <c r="D34" i="14"/>
  <c r="J34" i="14"/>
  <c r="I34" i="14"/>
  <c r="G34" i="14"/>
  <c r="E34" i="14"/>
  <c r="K32" i="14"/>
  <c r="I32" i="14"/>
  <c r="H32" i="14"/>
  <c r="D32" i="14"/>
  <c r="J32" i="14"/>
  <c r="G32" i="14"/>
  <c r="E32" i="14"/>
  <c r="K28" i="14"/>
  <c r="H28" i="14"/>
  <c r="D28" i="14"/>
  <c r="J28" i="14"/>
  <c r="I28" i="14"/>
  <c r="G28" i="14"/>
  <c r="H19" i="14"/>
  <c r="K19" i="14"/>
  <c r="I19" i="14"/>
  <c r="D19" i="14"/>
  <c r="C19" i="14"/>
  <c r="G19" i="14"/>
  <c r="E19" i="14"/>
  <c r="H16" i="14"/>
  <c r="K16" i="14"/>
  <c r="D16" i="14"/>
  <c r="J16" i="14"/>
  <c r="I16" i="14"/>
  <c r="G16" i="14"/>
  <c r="K9" i="14"/>
  <c r="J9" i="14"/>
  <c r="I9" i="14"/>
  <c r="H9" i="14"/>
  <c r="E9" i="14"/>
  <c r="C9" i="14"/>
  <c r="D9" i="14"/>
  <c r="G9" i="14"/>
  <c r="K71" i="14"/>
  <c r="J71" i="14"/>
  <c r="I71" i="14"/>
  <c r="H71" i="14"/>
  <c r="G71" i="14"/>
  <c r="E71" i="14"/>
  <c r="G67" i="14"/>
  <c r="I67" i="14"/>
  <c r="H67" i="14"/>
  <c r="I59" i="14"/>
  <c r="E59" i="14"/>
  <c r="H59" i="14"/>
  <c r="K59" i="14"/>
  <c r="J59" i="14"/>
  <c r="D59" i="14"/>
  <c r="G59" i="14"/>
  <c r="I55" i="14"/>
  <c r="K55" i="14"/>
  <c r="J55" i="14"/>
  <c r="E55" i="14"/>
  <c r="H55" i="14"/>
  <c r="K75" i="14"/>
  <c r="J75" i="14"/>
  <c r="I75" i="14"/>
  <c r="D75" i="14"/>
  <c r="C75" i="14"/>
  <c r="E75" i="14"/>
  <c r="G75" i="14"/>
  <c r="K79" i="14"/>
  <c r="J79" i="14"/>
  <c r="D79" i="14"/>
  <c r="I79" i="14"/>
  <c r="E79" i="14"/>
  <c r="C79" i="14"/>
  <c r="H79" i="14"/>
  <c r="G79" i="14"/>
  <c r="K89" i="14"/>
  <c r="J89" i="14"/>
  <c r="I89" i="14"/>
  <c r="D89" i="14"/>
  <c r="C89" i="14"/>
  <c r="E89" i="14"/>
  <c r="G89" i="14"/>
  <c r="K85" i="14"/>
  <c r="J85" i="14"/>
  <c r="D85" i="14"/>
  <c r="C85" i="14"/>
  <c r="H85" i="14"/>
  <c r="I85" i="14"/>
  <c r="E85" i="14"/>
  <c r="K98" i="14"/>
  <c r="J98" i="14"/>
  <c r="I98" i="14"/>
  <c r="E98" i="14"/>
  <c r="H98" i="14"/>
  <c r="G98" i="14"/>
  <c r="K94" i="14"/>
  <c r="J94" i="14"/>
  <c r="I94" i="14"/>
  <c r="E94" i="14"/>
  <c r="C97" i="14"/>
  <c r="C88" i="14"/>
  <c r="C83" i="14"/>
  <c r="C80" i="14"/>
  <c r="C70" i="14"/>
  <c r="C59" i="14"/>
  <c r="C51" i="14"/>
  <c r="C47" i="14"/>
  <c r="C36" i="14"/>
  <c r="C32" i="14"/>
  <c r="C20" i="14"/>
  <c r="C12" i="14"/>
  <c r="C6" i="14"/>
  <c r="D87" i="14"/>
  <c r="D82" i="14"/>
  <c r="D76" i="14"/>
  <c r="D69" i="14"/>
  <c r="D56" i="14"/>
  <c r="D52" i="14"/>
  <c r="D45" i="14"/>
  <c r="D42" i="14"/>
  <c r="D36" i="14"/>
  <c r="D30" i="14"/>
  <c r="D25" i="14"/>
  <c r="D18" i="14"/>
  <c r="E92" i="14"/>
  <c r="E72" i="14"/>
  <c r="E48" i="14"/>
  <c r="E16" i="14"/>
  <c r="G90" i="14"/>
  <c r="G72" i="14"/>
  <c r="G48" i="14"/>
  <c r="G17" i="14"/>
  <c r="H89" i="14"/>
  <c r="H31" i="14"/>
  <c r="I11" i="14"/>
  <c r="K83" i="14"/>
  <c r="C63" i="14"/>
  <c r="D63" i="14"/>
  <c r="G63" i="14"/>
  <c r="H63" i="14"/>
  <c r="I63" i="14"/>
  <c r="K63" i="14"/>
  <c r="E63" i="14"/>
  <c r="C73" i="14"/>
  <c r="I73" i="14"/>
  <c r="D73" i="14"/>
  <c r="E74" i="14"/>
  <c r="G73" i="14"/>
  <c r="J74" i="14"/>
  <c r="K74" i="14"/>
  <c r="H73" i="14"/>
  <c r="E73" i="14"/>
  <c r="J73" i="14"/>
  <c r="C68" i="14"/>
  <c r="D68" i="14"/>
  <c r="E68" i="14"/>
  <c r="G69" i="14"/>
  <c r="H66" i="14"/>
  <c r="I66" i="14"/>
  <c r="J67" i="14"/>
  <c r="K67" i="14"/>
  <c r="J68" i="14"/>
  <c r="K68" i="14"/>
  <c r="C67" i="14"/>
  <c r="D67" i="14"/>
  <c r="E67" i="14"/>
  <c r="G68" i="14"/>
  <c r="H69" i="14"/>
  <c r="I69" i="14"/>
  <c r="J66" i="14"/>
  <c r="K66" i="14"/>
  <c r="C66" i="14"/>
  <c r="D66" i="14"/>
  <c r="H68" i="14"/>
  <c r="J69" i="14"/>
  <c r="J61" i="14"/>
  <c r="C61" i="14"/>
  <c r="H61" i="14"/>
  <c r="J60" i="14"/>
  <c r="D61" i="14"/>
  <c r="G61" i="14"/>
  <c r="I61" i="14"/>
  <c r="K61" i="14"/>
  <c r="G60" i="14"/>
  <c r="D60" i="14"/>
  <c r="I60" i="14"/>
  <c r="K60" i="14"/>
  <c r="C60" i="14"/>
  <c r="E60" i="14"/>
  <c r="H40" i="14"/>
  <c r="E40" i="14"/>
  <c r="K40" i="14"/>
  <c r="D40" i="14"/>
  <c r="I40" i="14"/>
  <c r="D39" i="14"/>
  <c r="E39" i="14"/>
  <c r="C39" i="14"/>
  <c r="G39" i="14"/>
  <c r="H39" i="14"/>
  <c r="I39" i="14"/>
  <c r="J39" i="14"/>
  <c r="J14" i="14"/>
  <c r="C14" i="14"/>
  <c r="G14" i="14"/>
  <c r="K14" i="14"/>
  <c r="D14" i="14"/>
  <c r="D13" i="14"/>
  <c r="H13" i="14"/>
  <c r="J13" i="14"/>
  <c r="C13" i="14"/>
  <c r="E13" i="14"/>
  <c r="G13" i="14"/>
  <c r="I13" i="14"/>
  <c r="C5" i="14"/>
  <c r="G5" i="14"/>
  <c r="D5" i="14"/>
  <c r="H5" i="14"/>
  <c r="E5" i="14"/>
</calcChain>
</file>

<file path=xl/sharedStrings.xml><?xml version="1.0" encoding="utf-8"?>
<sst xmlns="http://schemas.openxmlformats.org/spreadsheetml/2006/main" count="24195" uniqueCount="7003">
  <si>
    <t xml:space="preserve">CO2 Uptake Conversions </t>
  </si>
  <si>
    <t>Number</t>
  </si>
  <si>
    <t>From 'Unit' to mmol/g</t>
  </si>
  <si>
    <t>Formula</t>
  </si>
  <si>
    <t>Notes</t>
  </si>
  <si>
    <t>All Units Coherent Unless Stated Otherwise</t>
  </si>
  <si>
    <t>cm3(STP)/g</t>
  </si>
  <si>
    <t>"Value"/22.414</t>
  </si>
  <si>
    <t>mg/g</t>
  </si>
  <si>
    <t>("Value"/1000)/44.01</t>
  </si>
  <si>
    <t>cm3(STP)/cm3</t>
  </si>
  <si>
    <t xml:space="preserve">("Value"/22.414)/Density </t>
  </si>
  <si>
    <t xml:space="preserve">Needs MOF Density </t>
  </si>
  <si>
    <t>Do I Need to Include Table headings for this Data???</t>
  </si>
  <si>
    <t>Is it worth mentioning conversions for things other than Uptake?</t>
  </si>
  <si>
    <t>mL/g</t>
  </si>
  <si>
    <t xml:space="preserve">Review on Applications of Metal Organic Frameworks for CO2 Capture and the Performance Enhancement Mechanisms - Table 2 </t>
  </si>
  <si>
    <t>https://www.sciencedirect.com/science/article/pii/S1364032122003471?via%3Dihub</t>
  </si>
  <si>
    <t>Common Name</t>
  </si>
  <si>
    <t>Reported CO2 Uptake</t>
  </si>
  <si>
    <t>Reported Unit</t>
  </si>
  <si>
    <t>Standard Uptake, mmol/g</t>
  </si>
  <si>
    <t>Converted (Y/N)</t>
  </si>
  <si>
    <t>Formula Used (No.)</t>
  </si>
  <si>
    <t>Temperature, K</t>
  </si>
  <si>
    <t>Pressure, bar</t>
  </si>
  <si>
    <t>Surface Area, m2/g</t>
  </si>
  <si>
    <t>Pore Volume, cm3/g</t>
  </si>
  <si>
    <t>Pore Size Diameter, A</t>
  </si>
  <si>
    <t>Density, g/cm3</t>
  </si>
  <si>
    <t>Paper</t>
  </si>
  <si>
    <t>Table No.</t>
  </si>
  <si>
    <t>Notes/Questions</t>
  </si>
  <si>
    <t>Reference DOI</t>
  </si>
  <si>
    <t>Zeolite 13X</t>
  </si>
  <si>
    <t>mmol/g</t>
  </si>
  <si>
    <t>N</t>
  </si>
  <si>
    <t>32 bar</t>
  </si>
  <si>
    <t>ND</t>
  </si>
  <si>
    <t>[10]</t>
  </si>
  <si>
    <t>BET Surface Areas</t>
  </si>
  <si>
    <t>MOF-2</t>
  </si>
  <si>
    <t>MOF-505</t>
  </si>
  <si>
    <t>MOF-177</t>
  </si>
  <si>
    <t>50 bar</t>
  </si>
  <si>
    <t>[47]</t>
  </si>
  <si>
    <t>MIL-101a</t>
  </si>
  <si>
    <t>MIL-101b</t>
  </si>
  <si>
    <t>MIL-101c</t>
  </si>
  <si>
    <t>[48]</t>
  </si>
  <si>
    <t>MOF-205</t>
  </si>
  <si>
    <t>MOF-200</t>
  </si>
  <si>
    <t>MOF-210</t>
  </si>
  <si>
    <t>IRMOF-11</t>
  </si>
  <si>
    <t>IRMOF-3</t>
  </si>
  <si>
    <t>IRMOF-6</t>
  </si>
  <si>
    <t>IRMOF-1</t>
  </si>
  <si>
    <t>PCN-61</t>
  </si>
  <si>
    <t>35 bar</t>
  </si>
  <si>
    <t>[49]</t>
  </si>
  <si>
    <t>PCN-66</t>
  </si>
  <si>
    <t>PCN-68</t>
  </si>
  <si>
    <t>Review on Applications of Metal Organic Frameworks for CO2 Capture and the Performance Enhancement Mechanisms - Table 3</t>
  </si>
  <si>
    <t>5.05/10.45/12.4</t>
  </si>
  <si>
    <t>[50]</t>
  </si>
  <si>
    <t>Geometric Surface Area</t>
  </si>
  <si>
    <t>UMCM-150</t>
  </si>
  <si>
    <t>9.25/10.55/13.25</t>
  </si>
  <si>
    <r>
      <t>UMCM-150(N)</t>
    </r>
    <r>
      <rPr>
        <sz val="11"/>
        <color rgb="FF1F1F1F"/>
        <rFont val="Aptos Narrow"/>
        <scheme val="minor"/>
      </rPr>
      <t>2</t>
    </r>
  </si>
  <si>
    <t>9.45/11.55/13.35</t>
  </si>
  <si>
    <t>MIL-47</t>
  </si>
  <si>
    <t>8.65/14.25</t>
  </si>
  <si>
    <t>UMCM-1</t>
  </si>
  <si>
    <t>10.45/14.05/23.75</t>
  </si>
  <si>
    <t>11.25/14.45</t>
  </si>
  <si>
    <t>Review on Applications of Metal Organic Frameworks for CO2 Capture and the Performance Enhancement Mechanisms - Table 4</t>
  </si>
  <si>
    <t>Zn-MOF-74</t>
  </si>
  <si>
    <t>BET Surface Area &amp; pressure was converted from Atm</t>
  </si>
  <si>
    <t>Ni-MOF-74</t>
  </si>
  <si>
    <t>Co-MOF-74</t>
  </si>
  <si>
    <t>Mg-MOF-74</t>
  </si>
  <si>
    <r>
      <t>MOF-74-Co</t>
    </r>
    <r>
      <rPr>
        <sz val="11"/>
        <color rgb="FF1F1F1F"/>
        <rFont val="Aptos Narrow"/>
        <scheme val="minor"/>
      </rPr>
      <t>1</t>
    </r>
  </si>
  <si>
    <t>[52]</t>
  </si>
  <si>
    <r>
      <t>MOF-74-Co</t>
    </r>
    <r>
      <rPr>
        <sz val="11"/>
        <color rgb="FF1F1F1F"/>
        <rFont val="Aptos Narrow"/>
        <scheme val="minor"/>
      </rPr>
      <t>2</t>
    </r>
  </si>
  <si>
    <r>
      <t>MOF-74-Co</t>
    </r>
    <r>
      <rPr>
        <sz val="11"/>
        <color rgb="FF1F1F1F"/>
        <rFont val="Aptos Narrow"/>
        <scheme val="minor"/>
      </rPr>
      <t>3</t>
    </r>
  </si>
  <si>
    <t>AMINO-MIL-53 (AI)</t>
  </si>
  <si>
    <t>[53]</t>
  </si>
  <si>
    <t>BIO_MOF-11</t>
  </si>
  <si>
    <t>[54]</t>
  </si>
  <si>
    <t>Review on Applications of Metal Organic Frameworks for CO2 Capture and the Performance Enhancement Mechanisms - Table 5</t>
  </si>
  <si>
    <t>ZIF-8</t>
  </si>
  <si>
    <t>1.16nm</t>
  </si>
  <si>
    <t>[60]</t>
  </si>
  <si>
    <t>ZIF-7</t>
  </si>
  <si>
    <t>0.29nm</t>
  </si>
  <si>
    <t>[62]</t>
  </si>
  <si>
    <t>ZIF-9</t>
  </si>
  <si>
    <t>ZIF-12</t>
  </si>
  <si>
    <t>0.32nm</t>
  </si>
  <si>
    <t>ZIF-69</t>
  </si>
  <si>
    <t>~3.1</t>
  </si>
  <si>
    <t>~1</t>
  </si>
  <si>
    <t>0.78nm</t>
  </si>
  <si>
    <t xml:space="preserve">Why can Values be approximated? </t>
  </si>
  <si>
    <t>ZIF-78</t>
  </si>
  <si>
    <t>ZIF-78 &gt; ZIF-82, -81, −69 &gt; ZIF-68,-79 &gt; ZIF-70</t>
  </si>
  <si>
    <t>0.71nm</t>
  </si>
  <si>
    <t>[21]</t>
  </si>
  <si>
    <t>What on earth is this uptake?</t>
  </si>
  <si>
    <t>ZIF-81</t>
  </si>
  <si>
    <t>0.74nm</t>
  </si>
  <si>
    <t>ZIF-79</t>
  </si>
  <si>
    <t>0.75nm</t>
  </si>
  <si>
    <t>ZIF-68</t>
  </si>
  <si>
    <t>1.03nm</t>
  </si>
  <si>
    <t>ZIF-82</t>
  </si>
  <si>
    <t>1.23nm</t>
  </si>
  <si>
    <t xml:space="preserve">Research progress of Metal Organic Frameworks Based Materials for CO2 Capture and CO2 to Alcohols Conversion - Table 1 </t>
  </si>
  <si>
    <t>https://www.sciencedirect.com/science/article/pii/S001085452300382X?via%3Dihub</t>
  </si>
  <si>
    <t>CSD Code</t>
  </si>
  <si>
    <t>CO2 Adsorption Capacity, mmol/g</t>
  </si>
  <si>
    <t>Adsorption Selectivity (CO2/N2=0.15/0.85)</t>
  </si>
  <si>
    <t>Q, KJ/mol</t>
  </si>
  <si>
    <t>/</t>
  </si>
  <si>
    <t>273,1</t>
  </si>
  <si>
    <t>[46]</t>
  </si>
  <si>
    <t>Adsorption Capacity ISN'T the same as Uptake? Thus, I use heat and selectivity to calculate?</t>
  </si>
  <si>
    <t xml:space="preserve">Original Table includes "Functional" and "Linkers", what are these? </t>
  </si>
  <si>
    <r>
      <t>Zn</t>
    </r>
    <r>
      <rPr>
        <sz val="11"/>
        <color theme="1"/>
        <rFont val="Georgia"/>
        <family val="1"/>
      </rPr>
      <t>0.75</t>
    </r>
    <r>
      <rPr>
        <sz val="14"/>
        <color theme="1"/>
        <rFont val="Georgia"/>
        <family val="1"/>
      </rPr>
      <t>Mg</t>
    </r>
    <r>
      <rPr>
        <sz val="11"/>
        <color theme="1"/>
        <rFont val="Georgia"/>
        <family val="1"/>
      </rPr>
      <t>0.25</t>
    </r>
    <r>
      <rPr>
        <sz val="14"/>
        <color theme="1"/>
        <rFont val="Georgia"/>
        <family val="1"/>
      </rPr>
      <t>-MOF-74</t>
    </r>
  </si>
  <si>
    <t>Cu-OATA</t>
  </si>
  <si>
    <t>298,1</t>
  </si>
  <si>
    <t>Cu(I)Zn@MIL-100(Fe)-10</t>
  </si>
  <si>
    <t>MOF-808</t>
  </si>
  <si>
    <t>MOF-808-EDTA</t>
  </si>
  <si>
    <t>MOF-808-EDTA-ED-1.2</t>
  </si>
  <si>
    <t>Mg2(dobpdc)(3-4-3)</t>
  </si>
  <si>
    <t>273,0.04</t>
  </si>
  <si>
    <t>[55]</t>
  </si>
  <si>
    <t>MOF-808-DL-Lys</t>
  </si>
  <si>
    <t>298,0.15</t>
  </si>
  <si>
    <t>[57]</t>
  </si>
  <si>
    <t>MOF-808-Gly</t>
  </si>
  <si>
    <t>NaOH CDMOF</t>
  </si>
  <si>
    <t>313,1</t>
  </si>
  <si>
    <t>[58]</t>
  </si>
  <si>
    <t>RbOH CDMOF</t>
  </si>
  <si>
    <t>CsOH CDMOF</t>
  </si>
  <si>
    <t>KOH CDMOF</t>
  </si>
  <si>
    <r>
      <t>KHCO</t>
    </r>
    <r>
      <rPr>
        <sz val="11"/>
        <color theme="1"/>
        <rFont val="Georgia"/>
        <family val="1"/>
      </rPr>
      <t>3</t>
    </r>
    <r>
      <rPr>
        <sz val="14"/>
        <color theme="1"/>
        <rFont val="Georgia"/>
        <family val="1"/>
      </rPr>
      <t> CD-MOF</t>
    </r>
  </si>
  <si>
    <t>300,1</t>
  </si>
  <si>
    <t>[59]</t>
  </si>
  <si>
    <t>[64]</t>
  </si>
  <si>
    <t>pyMOF-74b</t>
  </si>
  <si>
    <t>pyMOF-74c</t>
  </si>
  <si>
    <t>Research progress of Metal Organic Frameworks Based Materials for CO2 Capture and CO2 to Alcohols Conversion - Table 2</t>
  </si>
  <si>
    <t>HHU-2-Cl</t>
  </si>
  <si>
    <t>[65]</t>
  </si>
  <si>
    <t>HHU-2-Br</t>
  </si>
  <si>
    <t>MOF-801</t>
  </si>
  <si>
    <t>β-CD-MOF</t>
  </si>
  <si>
    <t>6.95 (50/50)</t>
  </si>
  <si>
    <t>[66]</t>
  </si>
  <si>
    <r>
      <t>NH</t>
    </r>
    <r>
      <rPr>
        <sz val="11"/>
        <color theme="1"/>
        <rFont val="Georgia"/>
        <family val="1"/>
      </rPr>
      <t>2</t>
    </r>
    <r>
      <rPr>
        <sz val="14"/>
        <color theme="1"/>
        <rFont val="Georgia"/>
        <family val="1"/>
      </rPr>
      <t>-β-CD-MOF</t>
    </r>
  </si>
  <si>
    <t>947.52 (50/50)</t>
  </si>
  <si>
    <t>MIL-101(Cr)</t>
  </si>
  <si>
    <t>[67]</t>
  </si>
  <si>
    <r>
      <t>MIL-101(Cr)–NH</t>
    </r>
    <r>
      <rPr>
        <sz val="11"/>
        <color theme="1"/>
        <rFont val="Georgia"/>
        <family val="1"/>
      </rPr>
      <t>2</t>
    </r>
  </si>
  <si>
    <r>
      <t>MIL-101(Cr)–NH</t>
    </r>
    <r>
      <rPr>
        <sz val="11"/>
        <color theme="1"/>
        <rFont val="Georgia"/>
        <family val="1"/>
      </rPr>
      <t>2</t>
    </r>
    <r>
      <rPr>
        <sz val="14"/>
        <color theme="1"/>
        <rFont val="Georgia"/>
        <family val="1"/>
      </rPr>
      <t>-F0.5</t>
    </r>
  </si>
  <si>
    <t>Research progress of Metal Organic Frameworks Based Materials for CO2 Capture and CO2 to Alcohols Conversion - Table 3</t>
  </si>
  <si>
    <t>[74]</t>
  </si>
  <si>
    <t>DIL-2/Cu BTC</t>
  </si>
  <si>
    <t>UiO-67</t>
  </si>
  <si>
    <t>[72]</t>
  </si>
  <si>
    <t>UiO-67-MIMS(0.25)</t>
  </si>
  <si>
    <t>UiO-67-ILs-Cl</t>
  </si>
  <si>
    <t>MFM-102</t>
  </si>
  <si>
    <t>[75]</t>
  </si>
  <si>
    <r>
      <t>MFM-102-NO</t>
    </r>
    <r>
      <rPr>
        <sz val="11"/>
        <color theme="1"/>
        <rFont val="Georgia"/>
        <family val="1"/>
      </rPr>
      <t>2</t>
    </r>
  </si>
  <si>
    <r>
      <t>MFM-102-NH</t>
    </r>
    <r>
      <rPr>
        <sz val="11"/>
        <color theme="1"/>
        <rFont val="Georgia"/>
        <family val="1"/>
      </rPr>
      <t>2</t>
    </r>
  </si>
  <si>
    <r>
      <t>UiO-66-NH</t>
    </r>
    <r>
      <rPr>
        <sz val="11"/>
        <color theme="1"/>
        <rFont val="Georgia"/>
        <family val="1"/>
      </rPr>
      <t>2</t>
    </r>
  </si>
  <si>
    <t>[76]</t>
  </si>
  <si>
    <t>PI-UiO/GO-1</t>
  </si>
  <si>
    <t>[79]</t>
  </si>
  <si>
    <t>Research progress of Metal Organic Frameworks Based Materials for CO2 Capture and CO2 to Alcohols Conversion - Table 4</t>
  </si>
  <si>
    <t>[84]</t>
  </si>
  <si>
    <r>
      <t>[Co</t>
    </r>
    <r>
      <rPr>
        <sz val="11"/>
        <color theme="1"/>
        <rFont val="Georgia"/>
        <family val="1"/>
      </rPr>
      <t>3</t>
    </r>
    <r>
      <rPr>
        <sz val="14"/>
        <color theme="1"/>
        <rFont val="Georgia"/>
        <family val="1"/>
      </rPr>
      <t>(L)</t>
    </r>
    <r>
      <rPr>
        <sz val="11"/>
        <color theme="1"/>
        <rFont val="Georgia"/>
        <family val="1"/>
      </rPr>
      <t>2</t>
    </r>
    <r>
      <rPr>
        <sz val="14"/>
        <color theme="1"/>
        <rFont val="Georgia"/>
        <family val="1"/>
      </rPr>
      <t>(2,2′-bipy)</t>
    </r>
    <r>
      <rPr>
        <sz val="11"/>
        <color theme="1"/>
        <rFont val="Georgia"/>
        <family val="1"/>
      </rPr>
      <t>2</t>
    </r>
    <r>
      <rPr>
        <sz val="14"/>
        <color theme="1"/>
        <rFont val="Georgia"/>
        <family val="1"/>
      </rPr>
      <t>](DMF)</t>
    </r>
    <r>
      <rPr>
        <sz val="11"/>
        <color theme="1"/>
        <rFont val="Georgia"/>
        <family val="1"/>
      </rPr>
      <t>3</t>
    </r>
    <r>
      <rPr>
        <sz val="14"/>
        <color theme="1"/>
        <rFont val="Georgia"/>
        <family val="1"/>
      </rPr>
      <t> (H</t>
    </r>
    <r>
      <rPr>
        <sz val="11"/>
        <color theme="1"/>
        <rFont val="Georgia"/>
        <family val="1"/>
      </rPr>
      <t>2</t>
    </r>
    <r>
      <rPr>
        <sz val="14"/>
        <color theme="1"/>
        <rFont val="Georgia"/>
        <family val="1"/>
      </rPr>
      <t>O)</t>
    </r>
    <r>
      <rPr>
        <sz val="11"/>
        <color theme="1"/>
        <rFont val="Georgia"/>
        <family val="1"/>
      </rPr>
      <t>3</t>
    </r>
  </si>
  <si>
    <t>[85]</t>
  </si>
  <si>
    <t>ZnDATZBDC</t>
  </si>
  <si>
    <t>[86]</t>
  </si>
  <si>
    <t>JLU-MOF107</t>
  </si>
  <si>
    <r>
      <t>6(CO</t>
    </r>
    <r>
      <rPr>
        <sz val="11"/>
        <color theme="1"/>
        <rFont val="Georgia"/>
        <family val="1"/>
      </rPr>
      <t>2</t>
    </r>
    <r>
      <rPr>
        <sz val="14"/>
        <color theme="1"/>
        <rFont val="Georgia"/>
        <family val="1"/>
      </rPr>
      <t>:CH</t>
    </r>
    <r>
      <rPr>
        <sz val="11"/>
        <color theme="1"/>
        <rFont val="Georgia"/>
        <family val="1"/>
      </rPr>
      <t>4</t>
    </r>
    <r>
      <rPr>
        <sz val="14"/>
        <color theme="1"/>
        <rFont val="Georgia"/>
        <family val="1"/>
      </rPr>
      <t> = 0.05:0.95)</t>
    </r>
  </si>
  <si>
    <t>[87]</t>
  </si>
  <si>
    <t>FJU-27a</t>
  </si>
  <si>
    <t>[88]</t>
  </si>
  <si>
    <t>Metal Organic frameworks for CO2 Capture: Tailoring Structure and Function Through Modification Strategies  - Table 2</t>
  </si>
  <si>
    <t>https://www.sciencedirect.com/science/article/pii/S1385894725081835?via%3Dihub</t>
  </si>
  <si>
    <t>Adsorption Selectivity</t>
  </si>
  <si>
    <t>MIL-101-Ni</t>
  </si>
  <si>
    <t>MIL-101-Cu</t>
  </si>
  <si>
    <t>11.80 </t>
  </si>
  <si>
    <t>Mg-MOF-74-K</t>
  </si>
  <si>
    <t>0.5 K-Mg/DOBDC-MOF</t>
  </si>
  <si>
    <t>MIL-100 (Fe)</t>
  </si>
  <si>
    <t>MOF-74(Mn)</t>
  </si>
  <si>
    <t>MOFs (MIL-100(Fe, Al))</t>
  </si>
  <si>
    <r>
      <t>Zn</t>
    </r>
    <r>
      <rPr>
        <sz val="11"/>
        <color rgb="FF1F1F1F"/>
        <rFont val="Georgia"/>
        <family val="1"/>
      </rPr>
      <t>0.5</t>
    </r>
    <r>
      <rPr>
        <sz val="14"/>
        <color rgb="FF1F1F1F"/>
        <rFont val="Georgia"/>
        <family val="1"/>
      </rPr>
      <t>Ni</t>
    </r>
    <r>
      <rPr>
        <sz val="11"/>
        <color rgb="FF1F1F1F"/>
        <rFont val="Georgia"/>
        <family val="1"/>
      </rPr>
      <t>0.5</t>
    </r>
    <r>
      <rPr>
        <sz val="14"/>
        <color rgb="FF1F1F1F"/>
        <rFont val="Georgia"/>
        <family val="1"/>
      </rPr>
      <t>MOF-74</t>
    </r>
  </si>
  <si>
    <t>NiCo-MOF-74</t>
  </si>
  <si>
    <t>Ni6Co1-MOF-74</t>
  </si>
  <si>
    <t>Ni1Co6-MOF-74</t>
  </si>
  <si>
    <t>chem-4Li MOF</t>
  </si>
  <si>
    <t>MIL-101(Cr, Mg)</t>
  </si>
  <si>
    <t>MIL-100(Fe, Al) (10 %Al)</t>
  </si>
  <si>
    <t>MIL-100(Fe, Al) (20 %Al)</t>
  </si>
  <si>
    <r>
      <t>Zn-(ZnOH)</t>
    </r>
    <r>
      <rPr>
        <sz val="11"/>
        <color rgb="FF1F1F1F"/>
        <rFont val="Georgia"/>
        <family val="1"/>
      </rPr>
      <t>4</t>
    </r>
    <r>
      <rPr>
        <sz val="14"/>
        <color rgb="FF1F1F1F"/>
        <rFont val="Georgia"/>
        <family val="1"/>
      </rPr>
      <t>(bibta)</t>
    </r>
    <r>
      <rPr>
        <sz val="11"/>
        <color rgb="FF1F1F1F"/>
        <rFont val="Georgia"/>
        <family val="1"/>
      </rPr>
      <t>3</t>
    </r>
  </si>
  <si>
    <r>
      <t>Ce-UiO-66-NH</t>
    </r>
    <r>
      <rPr>
        <sz val="11"/>
        <color rgb="FF1F1F1F"/>
        <rFont val="Georgia"/>
        <family val="1"/>
      </rPr>
      <t>2</t>
    </r>
  </si>
  <si>
    <r>
      <t>MIP-207-NH</t>
    </r>
    <r>
      <rPr>
        <sz val="11"/>
        <color rgb="FF1F1F1F"/>
        <rFont val="Georgia"/>
        <family val="1"/>
      </rPr>
      <t>2</t>
    </r>
    <r>
      <rPr>
        <sz val="14"/>
        <color rgb="FF1F1F1F"/>
        <rFont val="Georgia"/>
        <family val="1"/>
      </rPr>
      <t>–25 %</t>
    </r>
  </si>
  <si>
    <r>
      <t>UiO-66-NO</t>
    </r>
    <r>
      <rPr>
        <sz val="11"/>
        <color rgb="FF1F1F1F"/>
        <rFont val="Georgia"/>
        <family val="1"/>
      </rPr>
      <t>2</t>
    </r>
    <r>
      <rPr>
        <sz val="14"/>
        <color rgb="FF1F1F1F"/>
        <rFont val="Georgia"/>
        <family val="1"/>
      </rPr>
      <t>-NH</t>
    </r>
    <r>
      <rPr>
        <sz val="11"/>
        <color rgb="FF1F1F1F"/>
        <rFont val="Georgia"/>
        <family val="1"/>
      </rPr>
      <t>2</t>
    </r>
    <r>
      <rPr>
        <sz val="14"/>
        <color rgb="FF1F1F1F"/>
        <rFont val="Georgia"/>
        <family val="1"/>
      </rPr>
      <t> (10 %)</t>
    </r>
  </si>
  <si>
    <r>
      <t>UiO-66-NO</t>
    </r>
    <r>
      <rPr>
        <sz val="11"/>
        <color rgb="FF1F1F1F"/>
        <rFont val="Georgia"/>
        <family val="1"/>
      </rPr>
      <t>2</t>
    </r>
    <r>
      <rPr>
        <sz val="14"/>
        <color rgb="FF1F1F1F"/>
        <rFont val="Georgia"/>
        <family val="1"/>
      </rPr>
      <t>-NH</t>
    </r>
    <r>
      <rPr>
        <sz val="11"/>
        <color rgb="FF1F1F1F"/>
        <rFont val="Georgia"/>
        <family val="1"/>
      </rPr>
      <t>2</t>
    </r>
    <r>
      <rPr>
        <sz val="14"/>
        <color rgb="FF1F1F1F"/>
        <rFont val="Georgia"/>
        <family val="1"/>
      </rPr>
      <t> (75 %)</t>
    </r>
  </si>
  <si>
    <r>
      <t>DUT-4-SO</t>
    </r>
    <r>
      <rPr>
        <sz val="11"/>
        <color rgb="FF1F1F1F"/>
        <rFont val="Georgia"/>
        <family val="1"/>
      </rPr>
      <t>3</t>
    </r>
    <r>
      <rPr>
        <sz val="14"/>
        <color rgb="FF1F1F1F"/>
        <rFont val="Georgia"/>
        <family val="1"/>
      </rPr>
      <t>H (50)</t>
    </r>
  </si>
  <si>
    <r>
      <t>MFM-102-NO</t>
    </r>
    <r>
      <rPr>
        <sz val="11"/>
        <color rgb="FF1F1F1F"/>
        <rFont val="Georgia"/>
        <family val="1"/>
      </rPr>
      <t>2</t>
    </r>
  </si>
  <si>
    <r>
      <t>MFM-102-NH</t>
    </r>
    <r>
      <rPr>
        <sz val="11"/>
        <color rgb="FF1F1F1F"/>
        <rFont val="Georgia"/>
        <family val="1"/>
      </rPr>
      <t>2</t>
    </r>
  </si>
  <si>
    <r>
      <t>Al-MIL-53-OH</t>
    </r>
    <r>
      <rPr>
        <sz val="11"/>
        <color rgb="FF1F1F1F"/>
        <rFont val="Georgia"/>
        <family val="1"/>
      </rPr>
      <t>25</t>
    </r>
  </si>
  <si>
    <r>
      <t>Al-MIL-53-OH</t>
    </r>
    <r>
      <rPr>
        <sz val="11"/>
        <color rgb="FF1F1F1F"/>
        <rFont val="Georgia"/>
        <family val="1"/>
      </rPr>
      <t>50</t>
    </r>
  </si>
  <si>
    <t>DOBDC@MIL-100(Fe)</t>
  </si>
  <si>
    <r>
      <t>UiO-66-SO</t>
    </r>
    <r>
      <rPr>
        <sz val="11"/>
        <color rgb="FF1F1F1F"/>
        <rFont val="Georgia"/>
        <family val="1"/>
      </rPr>
      <t>3−</t>
    </r>
    <r>
      <rPr>
        <sz val="14"/>
        <color rgb="FF1F1F1F"/>
        <rFont val="Georgia"/>
        <family val="1"/>
      </rPr>
      <t>-NH</t>
    </r>
    <r>
      <rPr>
        <sz val="11"/>
        <color rgb="FF1F1F1F"/>
        <rFont val="Georgia"/>
        <family val="1"/>
      </rPr>
      <t>3+</t>
    </r>
  </si>
  <si>
    <r>
      <t>UiO-66-NO</t>
    </r>
    <r>
      <rPr>
        <sz val="11"/>
        <color rgb="FF1F1F1F"/>
        <rFont val="Georgia"/>
        <family val="1"/>
      </rPr>
      <t>2</t>
    </r>
    <r>
      <rPr>
        <sz val="14"/>
        <color rgb="FF1F1F1F"/>
        <rFont val="Georgia"/>
        <family val="1"/>
      </rPr>
      <t>-NH</t>
    </r>
    <r>
      <rPr>
        <sz val="11"/>
        <color rgb="FF1F1F1F"/>
        <rFont val="Georgia"/>
        <family val="1"/>
      </rPr>
      <t>2</t>
    </r>
  </si>
  <si>
    <r>
      <t>UiO-66(Zr)-NH</t>
    </r>
    <r>
      <rPr>
        <sz val="11"/>
        <color rgb="FF1F1F1F"/>
        <rFont val="Georgia"/>
        <family val="1"/>
      </rPr>
      <t>2</t>
    </r>
  </si>
  <si>
    <t xml:space="preserve">A Review on Production of Metal Organic Frameworks (MOF) for CO2 Adsorption - Table 2 </t>
  </si>
  <si>
    <t>https://www.sciencedirect.com/science/article/pii/S004896971935082X?via%3Dihub</t>
  </si>
  <si>
    <t>Surface Area, m2/g (BET)</t>
  </si>
  <si>
    <t>Surface Area, m2/g (Langmuir)</t>
  </si>
  <si>
    <t>(MIL-96)</t>
  </si>
  <si>
    <r>
      <t>~3.7 mmol g</t>
    </r>
    <r>
      <rPr>
        <sz val="11"/>
        <color rgb="FF1F1F1F"/>
        <rFont val="Georgia"/>
        <family val="1"/>
      </rPr>
      <t>−1</t>
    </r>
  </si>
  <si>
    <t>mm/g</t>
  </si>
  <si>
    <t>303 K</t>
  </si>
  <si>
    <t>3.5 bar</t>
  </si>
  <si>
    <t>2.5 ~ 3.5</t>
  </si>
  <si>
    <t>Strange pressures, 1P/P1</t>
  </si>
  <si>
    <t>(Loiseau et al., 2006)</t>
  </si>
  <si>
    <r>
      <t>Zn</t>
    </r>
    <r>
      <rPr>
        <sz val="11"/>
        <color rgb="FF1F1F1F"/>
        <rFont val="Georgia"/>
        <family val="1"/>
      </rPr>
      <t>2</t>
    </r>
    <r>
      <rPr>
        <sz val="14"/>
        <color rgb="FF1F1F1F"/>
        <rFont val="Georgia"/>
        <family val="1"/>
      </rPr>
      <t>(cnc)</t>
    </r>
    <r>
      <rPr>
        <sz val="11"/>
        <color rgb="FF1F1F1F"/>
        <rFont val="Georgia"/>
        <family val="1"/>
      </rPr>
      <t>2</t>
    </r>
    <r>
      <rPr>
        <sz val="14"/>
        <color rgb="FF1F1F1F"/>
        <rFont val="Georgia"/>
        <family val="1"/>
      </rPr>
      <t>(dpt)</t>
    </r>
  </si>
  <si>
    <r>
      <t>~150 mL g</t>
    </r>
    <r>
      <rPr>
        <sz val="11"/>
        <color rgb="FF1F1F1F"/>
        <rFont val="Georgia"/>
        <family val="1"/>
      </rPr>
      <t>−1</t>
    </r>
  </si>
  <si>
    <t>195 K</t>
  </si>
  <si>
    <r>
      <t>1P/P</t>
    </r>
    <r>
      <rPr>
        <sz val="11"/>
        <color rgb="FF1F1F1F"/>
        <rFont val="Georgia"/>
        <family val="1"/>
      </rPr>
      <t>1</t>
    </r>
  </si>
  <si>
    <t>~3.7</t>
  </si>
  <si>
    <t>(Xue et al., 2008)</t>
  </si>
  <si>
    <r>
      <t>Zn</t>
    </r>
    <r>
      <rPr>
        <sz val="11"/>
        <color rgb="FF1F1F1F"/>
        <rFont val="Georgia"/>
        <family val="1"/>
      </rPr>
      <t>2</t>
    </r>
    <r>
      <rPr>
        <sz val="14"/>
        <color rgb="FF1F1F1F"/>
        <rFont val="Georgia"/>
        <family val="1"/>
      </rPr>
      <t>(ndc)</t>
    </r>
    <r>
      <rPr>
        <sz val="11"/>
        <color rgb="FF1F1F1F"/>
        <rFont val="Georgia"/>
        <family val="1"/>
      </rPr>
      <t>2</t>
    </r>
    <r>
      <rPr>
        <sz val="14"/>
        <color rgb="FF1F1F1F"/>
        <rFont val="Georgia"/>
        <family val="1"/>
      </rPr>
      <t>(dpni)</t>
    </r>
  </si>
  <si>
    <r>
      <t>4.3 mmol g</t>
    </r>
    <r>
      <rPr>
        <sz val="11"/>
        <color rgb="FF1F1F1F"/>
        <rFont val="Georgia"/>
        <family val="1"/>
      </rPr>
      <t>−1</t>
    </r>
  </si>
  <si>
    <t>296 K</t>
  </si>
  <si>
    <t>1750 kPa</t>
  </si>
  <si>
    <t>4 ~ 5</t>
  </si>
  <si>
    <t>(Bae et al., 2008b)</t>
  </si>
  <si>
    <r>
      <t>E</t>
    </r>
    <r>
      <rPr>
        <sz val="11"/>
        <color rgb="FF1F1F1F"/>
        <rFont val="Georgia"/>
        <family val="1"/>
      </rPr>
      <t>r2</t>
    </r>
    <r>
      <rPr>
        <sz val="14"/>
        <color rgb="FF1F1F1F"/>
        <rFont val="Georgia"/>
        <family val="1"/>
      </rPr>
      <t>(pda)</t>
    </r>
    <r>
      <rPr>
        <sz val="11"/>
        <color rgb="FF1F1F1F"/>
        <rFont val="Georgia"/>
        <family val="1"/>
      </rPr>
      <t>3</t>
    </r>
  </si>
  <si>
    <r>
      <t>~24 mg g</t>
    </r>
    <r>
      <rPr>
        <sz val="11"/>
        <color rgb="FF1F1F1F"/>
        <rFont val="Georgia"/>
        <family val="1"/>
      </rPr>
      <t>−1</t>
    </r>
  </si>
  <si>
    <t>273 K</t>
  </si>
  <si>
    <t>760 torr</t>
  </si>
  <si>
    <t>~3.4</t>
  </si>
  <si>
    <t>(Pan et al., 2003)</t>
  </si>
  <si>
    <t>(ZIF-100)</t>
  </si>
  <si>
    <r>
      <t>~0.95 mmol g</t>
    </r>
    <r>
      <rPr>
        <sz val="11"/>
        <color rgb="FF1F1F1F"/>
        <rFont val="Georgia"/>
        <family val="1"/>
      </rPr>
      <t>−1</t>
    </r>
  </si>
  <si>
    <t>298 K</t>
  </si>
  <si>
    <t>850 torr</t>
  </si>
  <si>
    <t>(Wang et al., 2008)</t>
  </si>
  <si>
    <t>MIL-102</t>
  </si>
  <si>
    <r>
      <t>~3.4 mmol g</t>
    </r>
    <r>
      <rPr>
        <sz val="11"/>
        <color rgb="FF1F1F1F"/>
        <rFont val="Georgia"/>
        <family val="1"/>
      </rPr>
      <t>−1</t>
    </r>
  </si>
  <si>
    <t>304 K</t>
  </si>
  <si>
    <t>3 MPa</t>
  </si>
  <si>
    <t>(Surblé et al., 2006)</t>
  </si>
  <si>
    <t>(CUK-1)</t>
  </si>
  <si>
    <r>
      <t>~88 mL g</t>
    </r>
    <r>
      <rPr>
        <sz val="11"/>
        <color rgb="FF1F1F1F"/>
        <rFont val="Georgia"/>
        <family val="1"/>
      </rPr>
      <t>−1</t>
    </r>
  </si>
  <si>
    <t>(Yoon et al., 2007)</t>
  </si>
  <si>
    <r>
      <t>Zn</t>
    </r>
    <r>
      <rPr>
        <sz val="11"/>
        <color rgb="FF1F1F1F"/>
        <rFont val="Georgia"/>
        <family val="1"/>
      </rPr>
      <t>3</t>
    </r>
    <r>
      <rPr>
        <sz val="14"/>
        <color rgb="FF1F1F1F"/>
        <rFont val="Georgia"/>
        <family val="1"/>
      </rPr>
      <t>(OH)(</t>
    </r>
    <r>
      <rPr>
        <i/>
        <sz val="14"/>
        <color rgb="FF1F1F1F"/>
        <rFont val="Georgia"/>
        <family val="1"/>
      </rPr>
      <t>p</t>
    </r>
    <r>
      <rPr>
        <sz val="14"/>
        <color rgb="FF1F1F1F"/>
        <rFont val="Georgia"/>
        <family val="1"/>
      </rPr>
      <t>-cdc)</t>
    </r>
    <r>
      <rPr>
        <sz val="11"/>
        <color rgb="FF1F1F1F"/>
        <rFont val="Georgia"/>
        <family val="1"/>
      </rPr>
      <t>2.5</t>
    </r>
  </si>
  <si>
    <r>
      <t>~0.586 mmol g</t>
    </r>
    <r>
      <rPr>
        <sz val="11"/>
        <color rgb="FF1F1F1F"/>
        <rFont val="Georgia"/>
        <family val="1"/>
      </rPr>
      <t>−1</t>
    </r>
  </si>
  <si>
    <t>0.5 bar</t>
  </si>
  <si>
    <t>3  x 5</t>
  </si>
  <si>
    <t>why is the pore size "3 x 5"</t>
  </si>
  <si>
    <t>(Bae et al., 2008a)</t>
  </si>
  <si>
    <t>A Review on Production of Metal Organic Frameworks (MOF) for CO2 Adsorption - Table 3</t>
  </si>
  <si>
    <t>(MIL-53)</t>
  </si>
  <si>
    <r>
      <t>~7.5 mmol g</t>
    </r>
    <r>
      <rPr>
        <sz val="11"/>
        <color theme="1"/>
        <rFont val="Georgia"/>
        <family val="1"/>
      </rPr>
      <t>−1</t>
    </r>
  </si>
  <si>
    <t>20 bar</t>
  </si>
  <si>
    <t>(Llewellyn et al., 2006)</t>
  </si>
  <si>
    <r>
      <t>Zn(adc)(4,4′-bpe)</t>
    </r>
    <r>
      <rPr>
        <sz val="11"/>
        <color theme="1"/>
        <rFont val="Georgia"/>
        <family val="1"/>
      </rPr>
      <t>0.5</t>
    </r>
  </si>
  <si>
    <r>
      <t>~130 mmol g</t>
    </r>
    <r>
      <rPr>
        <sz val="11"/>
        <color theme="1"/>
        <rFont val="Georgia"/>
        <family val="1"/>
      </rPr>
      <t>−1</t>
    </r>
  </si>
  <si>
    <t>1p/p°</t>
  </si>
  <si>
    <t>(Chen et al., 2007a)</t>
  </si>
  <si>
    <r>
      <t>Ni</t>
    </r>
    <r>
      <rPr>
        <sz val="11"/>
        <color theme="1"/>
        <rFont val="Georgia"/>
        <family val="1"/>
      </rPr>
      <t>2</t>
    </r>
    <r>
      <rPr>
        <sz val="14"/>
        <color theme="1"/>
        <rFont val="Georgia"/>
        <family val="1"/>
      </rPr>
      <t>(cyclam)</t>
    </r>
    <r>
      <rPr>
        <sz val="11"/>
        <color theme="1"/>
        <rFont val="Georgia"/>
        <family val="1"/>
      </rPr>
      <t>2</t>
    </r>
    <r>
      <rPr>
        <sz val="14"/>
        <color theme="1"/>
        <rFont val="Georgia"/>
        <family val="1"/>
      </rPr>
      <t>(mtb)</t>
    </r>
  </si>
  <si>
    <r>
      <t>57 mL g</t>
    </r>
    <r>
      <rPr>
        <sz val="11"/>
        <color theme="1"/>
        <rFont val="Georgia"/>
        <family val="1"/>
      </rPr>
      <t>−1</t>
    </r>
  </si>
  <si>
    <t>1 atm</t>
  </si>
  <si>
    <t>(Cheon and Suh, 2008)</t>
  </si>
  <si>
    <r>
      <t>Cu(fam)(4,4′-bpe)</t>
    </r>
    <r>
      <rPr>
        <sz val="11"/>
        <color theme="1"/>
        <rFont val="Georgia"/>
        <family val="1"/>
      </rPr>
      <t>0.5</t>
    </r>
  </si>
  <si>
    <r>
      <t>100 mL g</t>
    </r>
    <r>
      <rPr>
        <sz val="11"/>
        <color theme="1"/>
        <rFont val="Georgia"/>
        <family val="1"/>
      </rPr>
      <t>−1</t>
    </r>
  </si>
  <si>
    <t>(Chen et al., 2007b)</t>
  </si>
  <si>
    <t>(PCN-5)</t>
  </si>
  <si>
    <r>
      <t>~210 mg g</t>
    </r>
    <r>
      <rPr>
        <sz val="11"/>
        <color theme="1"/>
        <rFont val="Georgia"/>
        <family val="1"/>
      </rPr>
      <t>−1</t>
    </r>
  </si>
  <si>
    <t>(Ma et al., 2007b)</t>
  </si>
  <si>
    <r>
      <t>Cu(dhbc)</t>
    </r>
    <r>
      <rPr>
        <sz val="11"/>
        <color theme="1"/>
        <rFont val="Georgia"/>
        <family val="1"/>
      </rPr>
      <t>2</t>
    </r>
    <r>
      <rPr>
        <sz val="14"/>
        <color theme="1"/>
        <rFont val="Georgia"/>
        <family val="1"/>
      </rPr>
      <t>(4,4′-bpy)</t>
    </r>
  </si>
  <si>
    <r>
      <t>~70 mL g</t>
    </r>
    <r>
      <rPr>
        <sz val="11"/>
        <color theme="1"/>
        <rFont val="Georgia"/>
        <family val="1"/>
      </rPr>
      <t>−1</t>
    </r>
  </si>
  <si>
    <t>0.4 ~ 8 atm</t>
  </si>
  <si>
    <t>(Kitaura et al., 2003)</t>
  </si>
  <si>
    <r>
      <t>Cu(bdc)(4,4′-bpy)</t>
    </r>
    <r>
      <rPr>
        <sz val="11"/>
        <color theme="1"/>
        <rFont val="Georgia"/>
        <family val="1"/>
      </rPr>
      <t>0.5</t>
    </r>
  </si>
  <si>
    <t>0.1 ~ 0.2 MPa</t>
  </si>
  <si>
    <t>MIL-53 M = Al, Cr</t>
  </si>
  <si>
    <r>
      <t>~10 mmol g</t>
    </r>
    <r>
      <rPr>
        <sz val="11"/>
        <color theme="1"/>
        <rFont val="Georgia"/>
        <family val="1"/>
      </rPr>
      <t>−1</t>
    </r>
  </si>
  <si>
    <t>30 bar</t>
  </si>
  <si>
    <t>(Bourrelly et al., 2005)</t>
  </si>
  <si>
    <r>
      <t>[Ni(bpe)</t>
    </r>
    <r>
      <rPr>
        <sz val="11"/>
        <color theme="1"/>
        <rFont val="Georgia"/>
        <family val="1"/>
      </rPr>
      <t>2</t>
    </r>
    <r>
      <rPr>
        <sz val="14"/>
        <color theme="1"/>
        <rFont val="Georgia"/>
        <family val="1"/>
      </rPr>
      <t>(N(CN)</t>
    </r>
    <r>
      <rPr>
        <sz val="11"/>
        <color theme="1"/>
        <rFont val="Georgia"/>
        <family val="1"/>
      </rPr>
      <t>2</t>
    </r>
    <r>
      <rPr>
        <sz val="14"/>
        <color theme="1"/>
        <rFont val="Georgia"/>
        <family val="1"/>
      </rPr>
      <t>)] (N(CN)</t>
    </r>
    <r>
      <rPr>
        <sz val="11"/>
        <color theme="1"/>
        <rFont val="Georgia"/>
        <family val="1"/>
      </rPr>
      <t>2</t>
    </r>
    <r>
      <rPr>
        <sz val="14"/>
        <color theme="1"/>
        <rFont val="Georgia"/>
        <family val="1"/>
      </rPr>
      <t>)</t>
    </r>
  </si>
  <si>
    <r>
      <t>~35 mL g</t>
    </r>
    <r>
      <rPr>
        <sz val="11"/>
        <color theme="1"/>
        <rFont val="Georgia"/>
        <family val="1"/>
      </rPr>
      <t>−1</t>
    </r>
  </si>
  <si>
    <t>(Maji et al., 2007)</t>
  </si>
  <si>
    <t>(ZIF-20)</t>
  </si>
  <si>
    <t>(Hayashi et al., 2007)</t>
  </si>
  <si>
    <t>Cu(pyrdc)(bpp)</t>
  </si>
  <si>
    <t>Differed adsorption capacity</t>
  </si>
  <si>
    <t>Different pressure</t>
  </si>
  <si>
    <t>(Maji et al., 2005)</t>
  </si>
  <si>
    <r>
      <t>Zn</t>
    </r>
    <r>
      <rPr>
        <sz val="11"/>
        <color theme="1"/>
        <rFont val="Georgia"/>
        <family val="1"/>
      </rPr>
      <t>2</t>
    </r>
    <r>
      <rPr>
        <sz val="14"/>
        <color theme="1"/>
        <rFont val="Georgia"/>
        <family val="1"/>
      </rPr>
      <t>(tcom)(4,4′-bpy)</t>
    </r>
  </si>
  <si>
    <t>5 wt%</t>
  </si>
  <si>
    <t>1 bar</t>
  </si>
  <si>
    <t>A Review on Production of Metal Organic Frameworks (MOF) for CO2 Adsorption - Table 4</t>
  </si>
  <si>
    <t>ALL WT%</t>
  </si>
  <si>
    <t>(Furukawa et al., 2010)</t>
  </si>
  <si>
    <t>(Millward and Yaghi, 2005)</t>
  </si>
  <si>
    <t>HKUST-1</t>
  </si>
  <si>
    <t>A Review on Production of Metal Organic Frameworks (MOF) for CO2 Adsorption - Table 6</t>
  </si>
  <si>
    <t>UiO(bpdc)</t>
  </si>
  <si>
    <t>(Li et al., 2014a)</t>
  </si>
  <si>
    <t>NU-111</t>
  </si>
  <si>
    <t>(Luo et al., 2013)</t>
  </si>
  <si>
    <t>DGC-MIL-101</t>
  </si>
  <si>
    <t>(Kim et al., 2013)</t>
  </si>
  <si>
    <t>HTS-MIL-101</t>
  </si>
  <si>
    <t>ZJU-32</t>
  </si>
  <si>
    <t>(Cai et al., 2014a)</t>
  </si>
  <si>
    <t>UTSA-62a</t>
  </si>
  <si>
    <t>(He et al., 2013)</t>
  </si>
  <si>
    <t>Basolite® C 300</t>
  </si>
  <si>
    <t>(Deniz et al., 2013)</t>
  </si>
  <si>
    <t>Basolite@ A100</t>
  </si>
  <si>
    <t>DMOF</t>
  </si>
  <si>
    <t>(Burtch et al., 2013)</t>
  </si>
  <si>
    <t>DMOF-NO2</t>
  </si>
  <si>
    <t>DMOF-DM1/2</t>
  </si>
  <si>
    <t>DMOF-Cl2</t>
  </si>
  <si>
    <t>DMOF-DM</t>
  </si>
  <si>
    <t>DMOF-OH</t>
  </si>
  <si>
    <t>DMOF-Br</t>
  </si>
  <si>
    <t>DMOF-TM1/2</t>
  </si>
  <si>
    <t>DMOF-A</t>
  </si>
  <si>
    <t>(Ye et al., 2013)</t>
  </si>
  <si>
    <t>IRMOF-8</t>
  </si>
  <si>
    <t>(Orefuwa et al., 2013)</t>
  </si>
  <si>
    <r>
      <t>IRMOF-8-NO</t>
    </r>
    <r>
      <rPr>
        <sz val="11"/>
        <color rgb="FF1F1F1F"/>
        <rFont val="Georgia"/>
        <family val="1"/>
      </rPr>
      <t>2</t>
    </r>
  </si>
  <si>
    <t>A Review on Production of Metal Organic Frameworks (MOF) for CO2 Adsorption - Table 7</t>
  </si>
  <si>
    <t>DMOF-TM</t>
  </si>
  <si>
    <t>(Wu et al., 2013)</t>
  </si>
  <si>
    <t>Mg/DOBDC</t>
  </si>
  <si>
    <t>(Li et al., 2014b)</t>
  </si>
  <si>
    <t>Co/DOBDC</t>
  </si>
  <si>
    <t>Ni/DOBDC</t>
  </si>
  <si>
    <t>MIL-100(Cr)</t>
  </si>
  <si>
    <r>
      <t>Mg</t>
    </r>
    <r>
      <rPr>
        <sz val="11"/>
        <color theme="1"/>
        <rFont val="Georgia"/>
        <family val="1"/>
      </rPr>
      <t>2</t>
    </r>
    <r>
      <rPr>
        <sz val="14"/>
        <color theme="1"/>
        <rFont val="Georgia"/>
        <family val="1"/>
      </rPr>
      <t>(dobpdc)</t>
    </r>
  </si>
  <si>
    <t>(Mason et al., 2015)</t>
  </si>
  <si>
    <r>
      <t>mmen-Mg</t>
    </r>
    <r>
      <rPr>
        <sz val="11"/>
        <color theme="1"/>
        <rFont val="Georgia"/>
        <family val="1"/>
      </rPr>
      <t>2</t>
    </r>
    <r>
      <rPr>
        <sz val="14"/>
        <color theme="1"/>
        <rFont val="Georgia"/>
        <family val="1"/>
      </rPr>
      <t>(dobpdc)</t>
    </r>
  </si>
  <si>
    <r>
      <t>Ni</t>
    </r>
    <r>
      <rPr>
        <sz val="11"/>
        <color theme="1"/>
        <rFont val="Georgia"/>
        <family val="1"/>
      </rPr>
      <t>2</t>
    </r>
    <r>
      <rPr>
        <sz val="14"/>
        <color theme="1"/>
        <rFont val="Georgia"/>
        <family val="1"/>
      </rPr>
      <t>(dobpdc)</t>
    </r>
  </si>
  <si>
    <r>
      <t>mmen-Ni</t>
    </r>
    <r>
      <rPr>
        <sz val="11"/>
        <color theme="1"/>
        <rFont val="Georgia"/>
        <family val="1"/>
      </rPr>
      <t>2</t>
    </r>
    <r>
      <rPr>
        <sz val="14"/>
        <color theme="1"/>
        <rFont val="Georgia"/>
        <family val="1"/>
      </rPr>
      <t>(dobpdc)</t>
    </r>
  </si>
  <si>
    <t>mmen-CuBTTri</t>
  </si>
  <si>
    <r>
      <t>[Zn</t>
    </r>
    <r>
      <rPr>
        <sz val="11"/>
        <color theme="1"/>
        <rFont val="Georgia"/>
        <family val="1"/>
      </rPr>
      <t>2</t>
    </r>
    <r>
      <rPr>
        <sz val="14"/>
        <color theme="1"/>
        <rFont val="Georgia"/>
        <family val="1"/>
      </rPr>
      <t>(BME-bdc)x(DBbdc) </t>
    </r>
    <r>
      <rPr>
        <sz val="11"/>
        <color theme="1"/>
        <rFont val="Georgia"/>
        <family val="1"/>
      </rPr>
      <t>2</t>
    </r>
    <r>
      <rPr>
        <sz val="14"/>
        <color theme="1"/>
        <rFont val="Georgia"/>
        <family val="1"/>
      </rPr>
      <t>.xdabco]n</t>
    </r>
  </si>
  <si>
    <t>(Bon et al., 2015)</t>
  </si>
  <si>
    <t>CPM-33b</t>
  </si>
  <si>
    <t>(Zhao et al., 2015)</t>
  </si>
  <si>
    <t>CPM-33a</t>
  </si>
  <si>
    <t>Cu-TDPAH</t>
  </si>
  <si>
    <t>(Liu et al., 2014)</t>
  </si>
  <si>
    <t>Ni-DOBDC</t>
  </si>
  <si>
    <t>(Bae et al., 2014)</t>
  </si>
  <si>
    <t>Py-Ni-DOBDC</t>
  </si>
  <si>
    <t>ZJNU-40</t>
  </si>
  <si>
    <t>(Song et al., 2014a)</t>
  </si>
  <si>
    <t>JLU-Liu22</t>
  </si>
  <si>
    <t>(Wang et al., 2015)</t>
  </si>
  <si>
    <t>UNLPF-1</t>
  </si>
  <si>
    <t>(Johnson et al., 2013)</t>
  </si>
  <si>
    <t>UTSA-49</t>
  </si>
  <si>
    <t>(Xiong et al., 2014)</t>
  </si>
  <si>
    <t>rht-MOF-pyr</t>
  </si>
  <si>
    <t>(Gao et al., 2015)</t>
  </si>
  <si>
    <t>rht-MOF-1</t>
  </si>
  <si>
    <t>ZnAcBPDC</t>
  </si>
  <si>
    <t>(Keceli et al., 2014)</t>
  </si>
  <si>
    <t>ZnBuBPDC</t>
  </si>
  <si>
    <r>
      <t>{[H</t>
    </r>
    <r>
      <rPr>
        <sz val="11"/>
        <color theme="1"/>
        <rFont val="Georgia"/>
        <family val="1"/>
      </rPr>
      <t>2</t>
    </r>
    <r>
      <rPr>
        <sz val="14"/>
        <color theme="1"/>
        <rFont val="Georgia"/>
        <family val="1"/>
      </rPr>
      <t>N(CH</t>
    </r>
    <r>
      <rPr>
        <sz val="11"/>
        <color theme="1"/>
        <rFont val="Georgia"/>
        <family val="1"/>
      </rPr>
      <t>3</t>
    </r>
    <r>
      <rPr>
        <sz val="14"/>
        <color theme="1"/>
        <rFont val="Georgia"/>
        <family val="1"/>
      </rPr>
      <t>)</t>
    </r>
    <r>
      <rPr>
        <sz val="11"/>
        <color theme="1"/>
        <rFont val="Georgia"/>
        <family val="1"/>
      </rPr>
      <t>2</t>
    </r>
    <r>
      <rPr>
        <sz val="14"/>
        <color theme="1"/>
        <rFont val="Georgia"/>
        <family val="1"/>
      </rPr>
      <t>]</t>
    </r>
    <r>
      <rPr>
        <sz val="11"/>
        <color theme="1"/>
        <rFont val="Georgia"/>
        <family val="1"/>
      </rPr>
      <t>4</t>
    </r>
    <r>
      <rPr>
        <sz val="14"/>
        <color theme="1"/>
        <rFont val="Georgia"/>
        <family val="1"/>
      </rPr>
      <t>[Zn9O</t>
    </r>
    <r>
      <rPr>
        <sz val="11"/>
        <color theme="1"/>
        <rFont val="Georgia"/>
        <family val="1"/>
      </rPr>
      <t>2</t>
    </r>
    <r>
      <rPr>
        <sz val="14"/>
        <color theme="1"/>
        <rFont val="Georgia"/>
        <family val="1"/>
      </rPr>
      <t>(BTC)0.6(H</t>
    </r>
    <r>
      <rPr>
        <sz val="11"/>
        <color theme="1"/>
        <rFont val="Georgia"/>
        <family val="1"/>
      </rPr>
      <t>2</t>
    </r>
    <r>
      <rPr>
        <sz val="14"/>
        <color theme="1"/>
        <rFont val="Georgia"/>
        <family val="1"/>
      </rPr>
      <t>O)</t>
    </r>
    <r>
      <rPr>
        <sz val="11"/>
        <color theme="1"/>
        <rFont val="Georgia"/>
        <family val="1"/>
      </rPr>
      <t>3</t>
    </r>
    <r>
      <rPr>
        <sz val="14"/>
        <color theme="1"/>
        <rFont val="Georgia"/>
        <family val="1"/>
      </rPr>
      <t>].3DMA}cn</t>
    </r>
  </si>
  <si>
    <t>(Li et al., 2015)</t>
  </si>
  <si>
    <t>CuBTTri</t>
  </si>
  <si>
    <t>(Das et al., 2013)</t>
  </si>
  <si>
    <r>
      <t>IRMOF-74-III-CH</t>
    </r>
    <r>
      <rPr>
        <sz val="11"/>
        <color theme="1"/>
        <rFont val="Georgia"/>
        <family val="1"/>
      </rPr>
      <t>2</t>
    </r>
    <r>
      <rPr>
        <sz val="14"/>
        <color theme="1"/>
        <rFont val="Georgia"/>
        <family val="1"/>
      </rPr>
      <t>NH</t>
    </r>
    <r>
      <rPr>
        <sz val="11"/>
        <color theme="1"/>
        <rFont val="Georgia"/>
        <family val="1"/>
      </rPr>
      <t>2</t>
    </r>
  </si>
  <si>
    <t>(Fracaroli et al., 2014)</t>
  </si>
  <si>
    <r>
      <t>IRMOF-74-III-NH</t>
    </r>
    <r>
      <rPr>
        <sz val="11"/>
        <color theme="1"/>
        <rFont val="Georgia"/>
        <family val="1"/>
      </rPr>
      <t>2</t>
    </r>
  </si>
  <si>
    <r>
      <t>IRMOF-74-IIICH</t>
    </r>
    <r>
      <rPr>
        <sz val="11"/>
        <color theme="1"/>
        <rFont val="Georgia"/>
        <family val="1"/>
      </rPr>
      <t>2</t>
    </r>
    <r>
      <rPr>
        <sz val="14"/>
        <color theme="1"/>
        <rFont val="Georgia"/>
        <family val="1"/>
      </rPr>
      <t>NHMe</t>
    </r>
  </si>
  <si>
    <t>SIFSIX-3-Ni</t>
  </si>
  <si>
    <t>(Elsaidi et al., 2015)</t>
  </si>
  <si>
    <t>SIFSIX-3-Co</t>
  </si>
  <si>
    <t>SIFSIX-3-Zn</t>
  </si>
  <si>
    <t>Zn/Ni-ZIF-8–1000</t>
  </si>
  <si>
    <t>(Li et al., 2014c)</t>
  </si>
  <si>
    <t>(Wu et al., 2014)</t>
  </si>
  <si>
    <t>UiO-66(Ti56)</t>
  </si>
  <si>
    <t>(Lau et al., 2013)</t>
  </si>
  <si>
    <t>CPM-5</t>
  </si>
  <si>
    <t>(Sabouni et al., 2013)</t>
  </si>
  <si>
    <t>ZIF-7-R</t>
  </si>
  <si>
    <t>(Cai et al., 2014b)</t>
  </si>
  <si>
    <t>Zn(5-mtz)(2-eim) .(guest)[ZTIF-1]</t>
  </si>
  <si>
    <t>(Wang et al., 2014)</t>
  </si>
  <si>
    <r>
      <t>[Cu(tba)</t>
    </r>
    <r>
      <rPr>
        <sz val="11"/>
        <color theme="1"/>
        <rFont val="Georgia"/>
        <family val="1"/>
      </rPr>
      <t>2</t>
    </r>
    <r>
      <rPr>
        <sz val="14"/>
        <color theme="1"/>
        <rFont val="Georgia"/>
        <family val="1"/>
      </rPr>
      <t>]n</t>
    </r>
  </si>
  <si>
    <t>(Du et al., 2014)</t>
  </si>
  <si>
    <t>Zn-DABCO</t>
  </si>
  <si>
    <t>(Chaemchuen et al., 2015)</t>
  </si>
  <si>
    <r>
      <t>[Zn</t>
    </r>
    <r>
      <rPr>
        <sz val="11"/>
        <color theme="1"/>
        <rFont val="Georgia"/>
        <family val="1"/>
      </rPr>
      <t>2</t>
    </r>
    <r>
      <rPr>
        <sz val="14"/>
        <color theme="1"/>
        <rFont val="Georgia"/>
        <family val="1"/>
      </rPr>
      <t>(TMTA)(DMF)</t>
    </r>
    <r>
      <rPr>
        <sz val="11"/>
        <color theme="1"/>
        <rFont val="Georgia"/>
        <family val="1"/>
      </rPr>
      <t>2</t>
    </r>
    <r>
      <rPr>
        <sz val="14"/>
        <color theme="1"/>
        <rFont val="Georgia"/>
        <family val="1"/>
      </rPr>
      <t>].NO</t>
    </r>
    <r>
      <rPr>
        <sz val="11"/>
        <color theme="1"/>
        <rFont val="Georgia"/>
        <family val="1"/>
      </rPr>
      <t>3</t>
    </r>
    <r>
      <rPr>
        <sz val="14"/>
        <color theme="1"/>
        <rFont val="Georgia"/>
        <family val="1"/>
      </rPr>
      <t>·2H</t>
    </r>
    <r>
      <rPr>
        <sz val="11"/>
        <color theme="1"/>
        <rFont val="Georgia"/>
        <family val="1"/>
      </rPr>
      <t>2</t>
    </r>
    <r>
      <rPr>
        <sz val="14"/>
        <color theme="1"/>
        <rFont val="Georgia"/>
        <family val="1"/>
      </rPr>
      <t>O3DMF</t>
    </r>
  </si>
  <si>
    <r>
      <t>94.2 (cm</t>
    </r>
    <r>
      <rPr>
        <sz val="11"/>
        <color theme="1"/>
        <rFont val="Georgia"/>
        <family val="1"/>
      </rPr>
      <t>3</t>
    </r>
    <r>
      <rPr>
        <sz val="14"/>
        <color theme="1"/>
        <rFont val="Georgia"/>
        <family val="1"/>
      </rPr>
      <t> g</t>
    </r>
    <r>
      <rPr>
        <sz val="11"/>
        <color theme="1"/>
        <rFont val="Georgia"/>
        <family val="1"/>
      </rPr>
      <t>−1</t>
    </r>
    <r>
      <rPr>
        <sz val="14"/>
        <color theme="1"/>
        <rFont val="Georgia"/>
        <family val="1"/>
      </rPr>
      <t>)</t>
    </r>
  </si>
  <si>
    <t>–</t>
  </si>
  <si>
    <t>A Review on Production of Metal Organic Frameworks (MOF) for CO2 Adsorption - Table 10</t>
  </si>
  <si>
    <t>Cu-TDPAT</t>
  </si>
  <si>
    <r>
      <t>132 cm</t>
    </r>
    <r>
      <rPr>
        <sz val="11"/>
        <color theme="1"/>
        <rFont val="Georgia"/>
        <family val="1"/>
      </rPr>
      <t>3</t>
    </r>
    <r>
      <rPr>
        <sz val="14"/>
        <color theme="1"/>
        <rFont val="Georgia"/>
        <family val="1"/>
      </rPr>
      <t>/g</t>
    </r>
  </si>
  <si>
    <r>
      <t>CO</t>
    </r>
    <r>
      <rPr>
        <sz val="11"/>
        <color theme="1"/>
        <rFont val="Georgia"/>
        <family val="1"/>
      </rPr>
      <t>2</t>
    </r>
    <r>
      <rPr>
        <sz val="14"/>
        <color theme="1"/>
        <rFont val="Georgia"/>
        <family val="1"/>
      </rPr>
      <t>/N</t>
    </r>
    <r>
      <rPr>
        <sz val="11"/>
        <color theme="1"/>
        <rFont val="Georgia"/>
        <family val="1"/>
      </rPr>
      <t>2</t>
    </r>
    <r>
      <rPr>
        <sz val="14"/>
        <color theme="1"/>
        <rFont val="Georgia"/>
        <family val="1"/>
      </rPr>
      <t> (79)</t>
    </r>
  </si>
  <si>
    <t>(Li et al., 2012)</t>
  </si>
  <si>
    <t>MIL-101 (Cr)</t>
  </si>
  <si>
    <t>28 mmol/g</t>
  </si>
  <si>
    <r>
      <t>CO</t>
    </r>
    <r>
      <rPr>
        <sz val="11"/>
        <color theme="1"/>
        <rFont val="Georgia"/>
        <family val="1"/>
      </rPr>
      <t>2</t>
    </r>
    <r>
      <rPr>
        <sz val="14"/>
        <color theme="1"/>
        <rFont val="Georgia"/>
        <family val="1"/>
      </rPr>
      <t>/CH</t>
    </r>
    <r>
      <rPr>
        <sz val="11"/>
        <color theme="1"/>
        <rFont val="Georgia"/>
        <family val="1"/>
      </rPr>
      <t>4</t>
    </r>
  </si>
  <si>
    <t>&lt;50</t>
  </si>
  <si>
    <t>(Llewellyn et al., 2008)</t>
  </si>
  <si>
    <t>34 mmol/g</t>
  </si>
  <si>
    <t>40 mmol/ g</t>
  </si>
  <si>
    <t>MOP: metal–organic polyhedron (Cu II)</t>
  </si>
  <si>
    <t>12.1 mmol/g</t>
  </si>
  <si>
    <r>
      <t>CO</t>
    </r>
    <r>
      <rPr>
        <sz val="11"/>
        <color theme="1"/>
        <rFont val="Georgia"/>
        <family val="1"/>
      </rPr>
      <t>2</t>
    </r>
    <r>
      <rPr>
        <sz val="14"/>
        <color theme="1"/>
        <rFont val="Georgia"/>
        <family val="1"/>
      </rPr>
      <t>/N</t>
    </r>
    <r>
      <rPr>
        <sz val="11"/>
        <color theme="1"/>
        <rFont val="Georgia"/>
        <family val="1"/>
      </rPr>
      <t>2</t>
    </r>
  </si>
  <si>
    <r>
      <t>10</t>
    </r>
    <r>
      <rPr>
        <sz val="11"/>
        <color theme="1"/>
        <rFont val="Georgia"/>
        <family val="1"/>
      </rPr>
      <t>−5</t>
    </r>
  </si>
  <si>
    <t>(López-Olvera et al., 2017)</t>
  </si>
  <si>
    <t>M/DOBDC M: Mg, Ni, Co, Zn</t>
  </si>
  <si>
    <t>Mg/DOBDC: ~250 mg/g</t>
  </si>
  <si>
    <t>293–298</t>
  </si>
  <si>
    <t>(Yazaydın et al., 2009)</t>
  </si>
  <si>
    <t>M−DABCO M = Ni, Co, Cu, Zn</t>
  </si>
  <si>
    <t>Ni: 2.4 mmol /g</t>
  </si>
  <si>
    <t>Ni: 2120</t>
  </si>
  <si>
    <t>(Cabello et al., 2014)</t>
  </si>
  <si>
    <t>Ni &gt; Zn &gt; Cu &gt; Co</t>
  </si>
  <si>
    <t>Zn: 1870</t>
  </si>
  <si>
    <t>Cu:1616</t>
  </si>
  <si>
    <t>Co: 2022</t>
  </si>
  <si>
    <t>A Review on Production of Metal Organic Frameworks (MOF) for CO2 Adsorption - Table 12</t>
  </si>
  <si>
    <t>(Liu et al., 2013b)</t>
  </si>
  <si>
    <t>Parent</t>
  </si>
  <si>
    <t>10.2(wt %) (T: 298 K) (P: 1 atm)</t>
  </si>
  <si>
    <t>30.5–28.7</t>
  </si>
  <si>
    <t>804 (4 5 7)</t>
  </si>
  <si>
    <t>11.5(wt %) (T: 298 K) (P: 1 atm)</t>
  </si>
  <si>
    <t>31.6–29.1</t>
  </si>
  <si>
    <t>466 (3 0 8)</t>
  </si>
  <si>
    <t>8.6(wt %) (T: 298 K) (P: 1 atm)</t>
  </si>
  <si>
    <t>30.8–25.2</t>
  </si>
  <si>
    <t>378 (1 9 5)</t>
  </si>
  <si>
    <t>A Review on Production of Metal Organic Frameworks (MOF) for CO2 Adsorption - Table 13</t>
  </si>
  <si>
    <t>Before</t>
  </si>
  <si>
    <t>After</t>
  </si>
  <si>
    <t>why are there before and after values, what relevance do they have?</t>
  </si>
  <si>
    <t>Ni-DOBDC-Pyridine</t>
  </si>
  <si>
    <t>low</t>
  </si>
  <si>
    <r>
      <t>IRMOF-74-CH</t>
    </r>
    <r>
      <rPr>
        <sz val="11"/>
        <color theme="1"/>
        <rFont val="Georgia"/>
        <family val="1"/>
      </rPr>
      <t>2</t>
    </r>
    <r>
      <rPr>
        <sz val="14"/>
        <color theme="1"/>
        <rFont val="Georgia"/>
        <family val="1"/>
      </rPr>
      <t>-NH</t>
    </r>
    <r>
      <rPr>
        <sz val="11"/>
        <color theme="1"/>
        <rFont val="Georgia"/>
        <family val="1"/>
      </rPr>
      <t>2</t>
    </r>
    <r>
      <rPr>
        <sz val="14"/>
        <color theme="1"/>
        <rFont val="Georgia"/>
        <family val="1"/>
      </rPr>
      <t>-</t>
    </r>
  </si>
  <si>
    <r>
      <t>3.2 (mmol g</t>
    </r>
    <r>
      <rPr>
        <sz val="11"/>
        <color theme="1"/>
        <rFont val="Georgia"/>
        <family val="1"/>
      </rPr>
      <t>−1</t>
    </r>
    <r>
      <rPr>
        <sz val="14"/>
        <color theme="1"/>
        <rFont val="Georgia"/>
        <family val="1"/>
      </rPr>
      <t>)</t>
    </r>
  </si>
  <si>
    <t>(Lee et al., 2014)</t>
  </si>
  <si>
    <t>en-Cu-BTTir</t>
  </si>
  <si>
    <r>
      <t>0.277 (mmol g</t>
    </r>
    <r>
      <rPr>
        <sz val="11"/>
        <color theme="1"/>
        <rFont val="Georgia"/>
        <family val="1"/>
      </rPr>
      <t>−1</t>
    </r>
    <r>
      <rPr>
        <sz val="14"/>
        <color theme="1"/>
        <rFont val="Georgia"/>
        <family val="1"/>
      </rPr>
      <t>)</t>
    </r>
  </si>
  <si>
    <r>
      <t>0.366 (mmol g</t>
    </r>
    <r>
      <rPr>
        <sz val="11"/>
        <color theme="1"/>
        <rFont val="Georgia"/>
        <family val="1"/>
      </rPr>
      <t>−1</t>
    </r>
    <r>
      <rPr>
        <sz val="14"/>
        <color theme="1"/>
        <rFont val="Georgia"/>
        <family val="1"/>
      </rPr>
      <t>)</t>
    </r>
  </si>
  <si>
    <t>up to 0.06</t>
  </si>
  <si>
    <t>(Gadipelli and Guo, 2014)</t>
  </si>
  <si>
    <t>Mmen-Cu-BTTir</t>
  </si>
  <si>
    <r>
      <t>0.37 (mmol g</t>
    </r>
    <r>
      <rPr>
        <sz val="11"/>
        <color theme="1"/>
        <rFont val="Georgia"/>
        <family val="1"/>
      </rPr>
      <t>−1</t>
    </r>
    <r>
      <rPr>
        <sz val="14"/>
        <color theme="1"/>
        <rFont val="Georgia"/>
        <family val="1"/>
      </rPr>
      <t>)</t>
    </r>
  </si>
  <si>
    <r>
      <t>2.38 (mmol g</t>
    </r>
    <r>
      <rPr>
        <sz val="11"/>
        <color theme="1"/>
        <rFont val="Georgia"/>
        <family val="1"/>
      </rPr>
      <t>−1</t>
    </r>
    <r>
      <rPr>
        <sz val="14"/>
        <color theme="1"/>
        <rFont val="Georgia"/>
        <family val="1"/>
      </rPr>
      <t>)</t>
    </r>
  </si>
  <si>
    <t>−96</t>
  </si>
  <si>
    <t>(Lin et al., 2013)</t>
  </si>
  <si>
    <t>MIL-101-PEI (Polyethylen imine)</t>
  </si>
  <si>
    <r>
      <t>0.33 (mmol g</t>
    </r>
    <r>
      <rPr>
        <sz val="11"/>
        <color theme="1"/>
        <rFont val="Georgia"/>
        <family val="1"/>
      </rPr>
      <t>−1</t>
    </r>
    <r>
      <rPr>
        <sz val="14"/>
        <color theme="1"/>
        <rFont val="Georgia"/>
        <family val="1"/>
      </rPr>
      <t>)</t>
    </r>
  </si>
  <si>
    <r>
      <t>4.2 (mmol g</t>
    </r>
    <r>
      <rPr>
        <sz val="11"/>
        <color theme="1"/>
        <rFont val="Georgia"/>
        <family val="1"/>
      </rPr>
      <t>−1</t>
    </r>
    <r>
      <rPr>
        <sz val="14"/>
        <color theme="1"/>
        <rFont val="Georgia"/>
        <family val="1"/>
      </rPr>
      <t>)</t>
    </r>
  </si>
  <si>
    <t>(Su et al., 2017)</t>
  </si>
  <si>
    <t>Mg-MOF-74 -TEPA (Tetraethylenepentamine)</t>
  </si>
  <si>
    <t>23.4 wt%</t>
  </si>
  <si>
    <t>26.9 wt%</t>
  </si>
  <si>
    <t>760torr</t>
  </si>
  <si>
    <t xml:space="preserve">After values are better, as we want the material in its prime. </t>
  </si>
  <si>
    <t>clean</t>
  </si>
  <si>
    <t>Cd, Ni</t>
  </si>
  <si>
    <t>ZURROT</t>
  </si>
  <si>
    <t>ZURQOS</t>
  </si>
  <si>
    <t>charged</t>
  </si>
  <si>
    <t>Cr, Na</t>
  </si>
  <si>
    <t>ZUQVOW</t>
  </si>
  <si>
    <t>Mn</t>
  </si>
  <si>
    <t>ZUQVIQ</t>
  </si>
  <si>
    <t>ZUQVEM</t>
  </si>
  <si>
    <t>ZUQVAI</t>
  </si>
  <si>
    <t>Zn</t>
  </si>
  <si>
    <t>ZNGLUD01</t>
  </si>
  <si>
    <t>ZNGLUD</t>
  </si>
  <si>
    <t>Cu</t>
  </si>
  <si>
    <t>ZISYAD</t>
  </si>
  <si>
    <t>ZINDAD</t>
  </si>
  <si>
    <t>Cu, Si</t>
  </si>
  <si>
    <t>ZIMTAS</t>
  </si>
  <si>
    <t>Ce</t>
  </si>
  <si>
    <t>ZIMJOW</t>
  </si>
  <si>
    <t>ZILFOR</t>
  </si>
  <si>
    <t>Co</t>
  </si>
  <si>
    <t>ZILBIH</t>
  </si>
  <si>
    <t>ZILBED</t>
  </si>
  <si>
    <t>ZILBAZ</t>
  </si>
  <si>
    <t>ZIKJOU</t>
  </si>
  <si>
    <t>ZIKJIO</t>
  </si>
  <si>
    <t>ZIJVOF02</t>
  </si>
  <si>
    <t>ZIJVOF01</t>
  </si>
  <si>
    <t>ZIJVOF</t>
  </si>
  <si>
    <t>ZIJVAR</t>
  </si>
  <si>
    <t>Co, Li</t>
  </si>
  <si>
    <t>ZIHTEP</t>
  </si>
  <si>
    <t>ZIGWUJ</t>
  </si>
  <si>
    <t>Cr</t>
  </si>
  <si>
    <t>ZIGFEC</t>
  </si>
  <si>
    <t>ZIDVAL</t>
  </si>
  <si>
    <t>In</t>
  </si>
  <si>
    <t>ZIDNEH</t>
  </si>
  <si>
    <t>ZIDDIB</t>
  </si>
  <si>
    <t>Sr</t>
  </si>
  <si>
    <t>ZIBGIC</t>
  </si>
  <si>
    <t>Eu</t>
  </si>
  <si>
    <t>ZEZQIG</t>
  </si>
  <si>
    <t>Gd</t>
  </si>
  <si>
    <t>ZEZQEC</t>
  </si>
  <si>
    <t>Tb</t>
  </si>
  <si>
    <t>ZEZQAY</t>
  </si>
  <si>
    <t>Dy</t>
  </si>
  <si>
    <t>ZEZPUR</t>
  </si>
  <si>
    <t>ZEZPOL</t>
  </si>
  <si>
    <t>ZEXKUK</t>
  </si>
  <si>
    <t>Nd</t>
  </si>
  <si>
    <t>ZETQIA</t>
  </si>
  <si>
    <t>ZETQEW</t>
  </si>
  <si>
    <t>ZETQAS</t>
  </si>
  <si>
    <t>ZETPUL</t>
  </si>
  <si>
    <t>Cd, Eu</t>
  </si>
  <si>
    <t>ZETMOC</t>
  </si>
  <si>
    <t>Al</t>
  </si>
  <si>
    <t>ZESZEE</t>
  </si>
  <si>
    <t>Cd</t>
  </si>
  <si>
    <t>ZESTIC01</t>
  </si>
  <si>
    <t>ZESTIC</t>
  </si>
  <si>
    <t>Si, Zn</t>
  </si>
  <si>
    <t>ZESFUY</t>
  </si>
  <si>
    <t>Ca</t>
  </si>
  <si>
    <t>ZERQOE</t>
  </si>
  <si>
    <t>ZERNUH</t>
  </si>
  <si>
    <t>Ho</t>
  </si>
  <si>
    <t>ZERNOB</t>
  </si>
  <si>
    <t>ZERNIV</t>
  </si>
  <si>
    <t>Y</t>
  </si>
  <si>
    <t>ZERNAN</t>
  </si>
  <si>
    <t>manual</t>
  </si>
  <si>
    <t>removed duplicate -OH groups</t>
  </si>
  <si>
    <t>ZELROZ</t>
  </si>
  <si>
    <t>ZELQAK</t>
  </si>
  <si>
    <t>K</t>
  </si>
  <si>
    <t>ZEKROY</t>
  </si>
  <si>
    <t>Li</t>
  </si>
  <si>
    <t>ZEKRIS</t>
  </si>
  <si>
    <t>ZEJCUO</t>
  </si>
  <si>
    <t>ZEGSUB</t>
  </si>
  <si>
    <t>Co, Nd</t>
  </si>
  <si>
    <t>ZEFVOX</t>
  </si>
  <si>
    <t>Co, Pr</t>
  </si>
  <si>
    <t>ZEFVIR</t>
  </si>
  <si>
    <t>Co, Sm</t>
  </si>
  <si>
    <t>ZEFVEN</t>
  </si>
  <si>
    <t>Pr</t>
  </si>
  <si>
    <t>ZEDZAL</t>
  </si>
  <si>
    <t>ZEDWAI</t>
  </si>
  <si>
    <t>Sm</t>
  </si>
  <si>
    <t>ZEDVUB</t>
  </si>
  <si>
    <t>ZEDVOV</t>
  </si>
  <si>
    <t>ZEDVIP</t>
  </si>
  <si>
    <t>ZEDROR</t>
  </si>
  <si>
    <t>Ba</t>
  </si>
  <si>
    <t>ZEDRAD</t>
  </si>
  <si>
    <t>ZEDQOQ</t>
  </si>
  <si>
    <t>ZEDQEG</t>
  </si>
  <si>
    <t>ZEDHIB</t>
  </si>
  <si>
    <t>ZECKOJ</t>
  </si>
  <si>
    <t>ZECKID</t>
  </si>
  <si>
    <t>Ce, Si</t>
  </si>
  <si>
    <t>ZEBMAW</t>
  </si>
  <si>
    <t>ZAZBUZ</t>
  </si>
  <si>
    <t>Sm, W</t>
  </si>
  <si>
    <t>ZAYKER</t>
  </si>
  <si>
    <t>Nd, W</t>
  </si>
  <si>
    <t>ZAYKAN</t>
  </si>
  <si>
    <t>Ce, W</t>
  </si>
  <si>
    <t>ZAYJOA</t>
  </si>
  <si>
    <t>ZAXQUM</t>
  </si>
  <si>
    <t>ZAVPIX</t>
  </si>
  <si>
    <t>Mn, Ru</t>
  </si>
  <si>
    <t>ZAVMIU</t>
  </si>
  <si>
    <t>Np</t>
  </si>
  <si>
    <t>ZASWOF</t>
  </si>
  <si>
    <t>ZASTUK</t>
  </si>
  <si>
    <t>ZASJAG</t>
  </si>
  <si>
    <t>ZARZAV</t>
  </si>
  <si>
    <t>Fe</t>
  </si>
  <si>
    <t>ZARTAP03</t>
  </si>
  <si>
    <t>K, U</t>
  </si>
  <si>
    <t>ZARQAM</t>
  </si>
  <si>
    <t>U</t>
  </si>
  <si>
    <t>ZARPUF</t>
  </si>
  <si>
    <t>ZARMAI</t>
  </si>
  <si>
    <t>ZARLUB</t>
  </si>
  <si>
    <t>ZARLIP</t>
  </si>
  <si>
    <t>ZARLEL</t>
  </si>
  <si>
    <t>Fe, Li</t>
  </si>
  <si>
    <t>ZADDAJ</t>
  </si>
  <si>
    <t>ion</t>
  </si>
  <si>
    <t>Ag</t>
  </si>
  <si>
    <t>ZABQIC</t>
  </si>
  <si>
    <t>YUZXAT</t>
  </si>
  <si>
    <t>YUXQOY</t>
  </si>
  <si>
    <t>YUXQIS</t>
  </si>
  <si>
    <t>YUWKIL</t>
  </si>
  <si>
    <t>YUWKEH</t>
  </si>
  <si>
    <t>Ga</t>
  </si>
  <si>
    <t>YUWHOO</t>
  </si>
  <si>
    <t>YUVSUE</t>
  </si>
  <si>
    <t>YUVGOL</t>
  </si>
  <si>
    <t>removed bound oxygen atoms</t>
  </si>
  <si>
    <t>YUSWEP</t>
  </si>
  <si>
    <t>YUSGOJ</t>
  </si>
  <si>
    <t>YUSGID</t>
  </si>
  <si>
    <t>YURKIG</t>
  </si>
  <si>
    <t>La</t>
  </si>
  <si>
    <t>YURKEC</t>
  </si>
  <si>
    <t>YURKAY</t>
  </si>
  <si>
    <t>YURJUR</t>
  </si>
  <si>
    <t>YUPSIM</t>
  </si>
  <si>
    <t>YUNKIC</t>
  </si>
  <si>
    <t>YUMFES</t>
  </si>
  <si>
    <t>YUKKAR</t>
  </si>
  <si>
    <t>YUKBIP01</t>
  </si>
  <si>
    <t>YUKBIP</t>
  </si>
  <si>
    <t>YUJNOH</t>
  </si>
  <si>
    <t>YUJNIB</t>
  </si>
  <si>
    <t>YUGZIK</t>
  </si>
  <si>
    <t>YUGZEG</t>
  </si>
  <si>
    <t>YUGLES</t>
  </si>
  <si>
    <t>YUCZOM</t>
  </si>
  <si>
    <t>YUCNEQ</t>
  </si>
  <si>
    <t>YUBFUX</t>
  </si>
  <si>
    <t>YUBFOR</t>
  </si>
  <si>
    <t>YOZQAG</t>
  </si>
  <si>
    <t>removed duplicate -Br atoms</t>
  </si>
  <si>
    <t>YOZCAS</t>
  </si>
  <si>
    <t>YOZBUL01</t>
  </si>
  <si>
    <t>YOZBOF</t>
  </si>
  <si>
    <t>YORZAH</t>
  </si>
  <si>
    <t>YOPMAS</t>
  </si>
  <si>
    <t>YONNUL</t>
  </si>
  <si>
    <t>YONNAR</t>
  </si>
  <si>
    <t>Mo</t>
  </si>
  <si>
    <t>YOMBAE</t>
  </si>
  <si>
    <t>YOCMAF</t>
  </si>
  <si>
    <t>YIZWIN</t>
  </si>
  <si>
    <t>YIWPEZ</t>
  </si>
  <si>
    <t>YIWMIA</t>
  </si>
  <si>
    <t>YIWMEW</t>
  </si>
  <si>
    <t>YIWLOF</t>
  </si>
  <si>
    <t>YIWLEV</t>
  </si>
  <si>
    <t>Cu, Sr</t>
  </si>
  <si>
    <t>YISFEL</t>
  </si>
  <si>
    <t>YILJAG</t>
  </si>
  <si>
    <t>YIKLUZ</t>
  </si>
  <si>
    <t>YIKJUZ</t>
  </si>
  <si>
    <t>YIKJOT</t>
  </si>
  <si>
    <t>Mo, Na</t>
  </si>
  <si>
    <t>YIGFIF</t>
  </si>
  <si>
    <t>YICTUZ</t>
  </si>
  <si>
    <t>Pb</t>
  </si>
  <si>
    <t>YICREI</t>
  </si>
  <si>
    <t>YICGOI</t>
  </si>
  <si>
    <t>Co, Mo</t>
  </si>
  <si>
    <t>YEZKOF</t>
  </si>
  <si>
    <t>Cr, Ni</t>
  </si>
  <si>
    <t>YEZKIZ</t>
  </si>
  <si>
    <t>Co, Cr</t>
  </si>
  <si>
    <t>YEZKEV</t>
  </si>
  <si>
    <t>YEZFIU</t>
  </si>
  <si>
    <t>YEYYAC</t>
  </si>
  <si>
    <t>removed free solvents</t>
  </si>
  <si>
    <t>YEYVOO</t>
  </si>
  <si>
    <t>YEYVII</t>
  </si>
  <si>
    <t>YEYFEP</t>
  </si>
  <si>
    <t>Zr</t>
  </si>
  <si>
    <t>YEYCUC</t>
  </si>
  <si>
    <t>YEYBOV</t>
  </si>
  <si>
    <t>YEWWUU</t>
  </si>
  <si>
    <t>YEVQUM</t>
  </si>
  <si>
    <t>YEVQOG</t>
  </si>
  <si>
    <t>Ni</t>
  </si>
  <si>
    <t>YERJEL</t>
  </si>
  <si>
    <t>Eu, K, Ni</t>
  </si>
  <si>
    <t>YEQRIV</t>
  </si>
  <si>
    <t>K, Pt, Yb</t>
  </si>
  <si>
    <t>YEQRER</t>
  </si>
  <si>
    <t>Cu, Mn, Na</t>
  </si>
  <si>
    <t>YENLUA</t>
  </si>
  <si>
    <t>YEMMAF</t>
  </si>
  <si>
    <t>YEMLUY</t>
  </si>
  <si>
    <t>YEMLOS</t>
  </si>
  <si>
    <t>YEMJAC</t>
  </si>
  <si>
    <t>YELYOE</t>
  </si>
  <si>
    <t>YEKXOD</t>
  </si>
  <si>
    <t>YEKXIX</t>
  </si>
  <si>
    <t>YEKXET</t>
  </si>
  <si>
    <t>YEKWOC</t>
  </si>
  <si>
    <t>YEKQOW</t>
  </si>
  <si>
    <t>YEHGID</t>
  </si>
  <si>
    <t>YEGYIU</t>
  </si>
  <si>
    <t>YEGTEK</t>
  </si>
  <si>
    <t>YEGTAG</t>
  </si>
  <si>
    <t>clean_h</t>
  </si>
  <si>
    <t>Ag, Cd</t>
  </si>
  <si>
    <t>YEGRAD</t>
  </si>
  <si>
    <t>YEGKOM</t>
  </si>
  <si>
    <t>YEGDAR</t>
  </si>
  <si>
    <t>Pd</t>
  </si>
  <si>
    <t>YEGCUJ</t>
  </si>
  <si>
    <t>YECQUS02</t>
  </si>
  <si>
    <t>YECNEB</t>
  </si>
  <si>
    <t>YAZZEG</t>
  </si>
  <si>
    <t>YAZZAC</t>
  </si>
  <si>
    <t>YAZYIJ</t>
  </si>
  <si>
    <t>YAZYEF</t>
  </si>
  <si>
    <t>YAZWOM</t>
  </si>
  <si>
    <t>YAZFOW</t>
  </si>
  <si>
    <t>Th</t>
  </si>
  <si>
    <t>YAYPAR</t>
  </si>
  <si>
    <t>Ba, U</t>
  </si>
  <si>
    <t>YAYLIV</t>
  </si>
  <si>
    <t>YAYLER</t>
  </si>
  <si>
    <t>YAXBOP</t>
  </si>
  <si>
    <t>YAWKOX</t>
  </si>
  <si>
    <t>YAWFEI</t>
  </si>
  <si>
    <t>YATTUK</t>
  </si>
  <si>
    <t>YASPEP</t>
  </si>
  <si>
    <t>YASNAJ</t>
  </si>
  <si>
    <t>Hg, Mn</t>
  </si>
  <si>
    <t>YASLUA</t>
  </si>
  <si>
    <t>YARYOF</t>
  </si>
  <si>
    <t>YARYEV</t>
  </si>
  <si>
    <t>YARSIV</t>
  </si>
  <si>
    <t>YARSAN</t>
  </si>
  <si>
    <t>YARKEJ</t>
  </si>
  <si>
    <t>YARKAF</t>
  </si>
  <si>
    <t>YARGIJ</t>
  </si>
  <si>
    <t>YARGAB</t>
  </si>
  <si>
    <t>YARFII</t>
  </si>
  <si>
    <t>YARDIG</t>
  </si>
  <si>
    <t>YARDEC</t>
  </si>
  <si>
    <t>YARBUQ</t>
  </si>
  <si>
    <t>YAQZUN</t>
  </si>
  <si>
    <t>YAQZEX</t>
  </si>
  <si>
    <t>YAQZAT</t>
  </si>
  <si>
    <t>YAQDIF</t>
  </si>
  <si>
    <t>YAPYUK</t>
  </si>
  <si>
    <t>YAPSAL</t>
  </si>
  <si>
    <t>Cs</t>
  </si>
  <si>
    <t>YAPRUE</t>
  </si>
  <si>
    <t>YAPMAF</t>
  </si>
  <si>
    <t>YAPLUY</t>
  </si>
  <si>
    <t>YAPLOS</t>
  </si>
  <si>
    <t>YAPLIM</t>
  </si>
  <si>
    <t>YANBAR02</t>
  </si>
  <si>
    <t>YANBAR01</t>
  </si>
  <si>
    <t>YANBAR</t>
  </si>
  <si>
    <t>YAHPED</t>
  </si>
  <si>
    <t>K, Lu</t>
  </si>
  <si>
    <t>YAFGAP</t>
  </si>
  <si>
    <t>Co, Ho</t>
  </si>
  <si>
    <t>YAFDAM</t>
  </si>
  <si>
    <t>Co, Er</t>
  </si>
  <si>
    <t>YADMIB</t>
  </si>
  <si>
    <t>Co, Yb</t>
  </si>
  <si>
    <t>YACHUH</t>
  </si>
  <si>
    <t>Co, Dy</t>
  </si>
  <si>
    <t>YACHOB</t>
  </si>
  <si>
    <t>Co, Tb</t>
  </si>
  <si>
    <t>YACHIV</t>
  </si>
  <si>
    <t>Mg</t>
  </si>
  <si>
    <t>YABPAU</t>
  </si>
  <si>
    <t>XUZDUS</t>
  </si>
  <si>
    <t>XUYXAR</t>
  </si>
  <si>
    <t>XUYDIF</t>
  </si>
  <si>
    <t>XUWVUG</t>
  </si>
  <si>
    <t>XUWVEQ</t>
  </si>
  <si>
    <t>XUVHEB</t>
  </si>
  <si>
    <t>Ga, Rb</t>
  </si>
  <si>
    <t>XUVGUQ01</t>
  </si>
  <si>
    <t>XUVGUQ</t>
  </si>
  <si>
    <t>XUTQEI</t>
  </si>
  <si>
    <t>XUPCAM</t>
  </si>
  <si>
    <t>XUNJOG</t>
  </si>
  <si>
    <t>XUNJIA</t>
  </si>
  <si>
    <t>XUNJEW</t>
  </si>
  <si>
    <t>XUNHAQ</t>
  </si>
  <si>
    <t>XUNGUJ</t>
  </si>
  <si>
    <t>XUNGOD</t>
  </si>
  <si>
    <t>XUMVEH</t>
  </si>
  <si>
    <t>XUMVAD</t>
  </si>
  <si>
    <t>XUMTUV</t>
  </si>
  <si>
    <t>XUMFIV</t>
  </si>
  <si>
    <t>Fe, Mn</t>
  </si>
  <si>
    <t>XULCIR</t>
  </si>
  <si>
    <t>neutral</t>
  </si>
  <si>
    <t>XUKYEI</t>
  </si>
  <si>
    <t>XUJCUB</t>
  </si>
  <si>
    <t>XUGWUS</t>
  </si>
  <si>
    <t>XUGSEY</t>
  </si>
  <si>
    <t>Cd, Zn</t>
  </si>
  <si>
    <t>XUCNOZ</t>
  </si>
  <si>
    <t>XUBJAF03</t>
  </si>
  <si>
    <t>XUBJAF02</t>
  </si>
  <si>
    <t>XUBJAF01</t>
  </si>
  <si>
    <t>XUBJAF</t>
  </si>
  <si>
    <t>XOXMED</t>
  </si>
  <si>
    <t>XOVYUD</t>
  </si>
  <si>
    <t>XOVYIR</t>
  </si>
  <si>
    <t>XOVXEM</t>
  </si>
  <si>
    <t>XOVXAI</t>
  </si>
  <si>
    <t>XOVVOU</t>
  </si>
  <si>
    <t>XOVVIO</t>
  </si>
  <si>
    <t>XOVVEK</t>
  </si>
  <si>
    <t>Na, Zn</t>
  </si>
  <si>
    <t>XOVQIJ</t>
  </si>
  <si>
    <t>XOVQEF</t>
  </si>
  <si>
    <t>XOVPON</t>
  </si>
  <si>
    <t>XOVPIH</t>
  </si>
  <si>
    <t>La, Na</t>
  </si>
  <si>
    <t>XOTXAG</t>
  </si>
  <si>
    <t>Ba, Eu</t>
  </si>
  <si>
    <t>XOTKIA</t>
  </si>
  <si>
    <t>XOSQUR</t>
  </si>
  <si>
    <t>XOQXOR</t>
  </si>
  <si>
    <t>XOQXIL</t>
  </si>
  <si>
    <t>XOQXEH</t>
  </si>
  <si>
    <t>XOPVII</t>
  </si>
  <si>
    <t>XOPLOE</t>
  </si>
  <si>
    <t>Co, Cr, K, W</t>
  </si>
  <si>
    <t>XONGUD</t>
  </si>
  <si>
    <t>Er</t>
  </si>
  <si>
    <t>XOMJUE</t>
  </si>
  <si>
    <t>XOMJOY</t>
  </si>
  <si>
    <t>XOMCIL</t>
  </si>
  <si>
    <t>XOLYUS</t>
  </si>
  <si>
    <t>Sm, Zn</t>
  </si>
  <si>
    <t>XOKHIP</t>
  </si>
  <si>
    <t>XOKHAH</t>
  </si>
  <si>
    <t>XOJXAW</t>
  </si>
  <si>
    <t>XOJWID</t>
  </si>
  <si>
    <t>XOJWEZ</t>
  </si>
  <si>
    <t>XOJPIW</t>
  </si>
  <si>
    <t>Ni, V</t>
  </si>
  <si>
    <t>XOJCUV</t>
  </si>
  <si>
    <t>XOHLEM01</t>
  </si>
  <si>
    <t>XOHLEM</t>
  </si>
  <si>
    <t>Cu, La</t>
  </si>
  <si>
    <t>XOHJUA</t>
  </si>
  <si>
    <t>XOHFIK</t>
  </si>
  <si>
    <t>Cu, Sm</t>
  </si>
  <si>
    <t>XOFTOC</t>
  </si>
  <si>
    <t>Ce, Cu</t>
  </si>
  <si>
    <t>XOFTIW</t>
  </si>
  <si>
    <t>XOBXIW</t>
  </si>
  <si>
    <t>XITYOP</t>
  </si>
  <si>
    <t>XISVUR</t>
  </si>
  <si>
    <t>Cs, Cu</t>
  </si>
  <si>
    <t>XIRWEB</t>
  </si>
  <si>
    <t>XIPTIA</t>
  </si>
  <si>
    <t>XIPTEW</t>
  </si>
  <si>
    <t>XIPTAS</t>
  </si>
  <si>
    <t>Co, Gd</t>
  </si>
  <si>
    <t>XIPBOO</t>
  </si>
  <si>
    <t>XIPBII</t>
  </si>
  <si>
    <t>XINWUO</t>
  </si>
  <si>
    <t>XINRAP</t>
  </si>
  <si>
    <t>XINJAH</t>
  </si>
  <si>
    <t>XINHOT</t>
  </si>
  <si>
    <t>XINFUW</t>
  </si>
  <si>
    <t>XIMPOA</t>
  </si>
  <si>
    <t>Mn, Zn</t>
  </si>
  <si>
    <t>XILVIZ</t>
  </si>
  <si>
    <t>XILVEV</t>
  </si>
  <si>
    <t>XILDUT</t>
  </si>
  <si>
    <t>XIJNUA</t>
  </si>
  <si>
    <t>XIHXET</t>
  </si>
  <si>
    <t>XIHXAP</t>
  </si>
  <si>
    <t>XIHSEN01</t>
  </si>
  <si>
    <t>XIHSEN</t>
  </si>
  <si>
    <t>XIHSAJ</t>
  </si>
  <si>
    <t>XIHRIQ</t>
  </si>
  <si>
    <t>Li, Mo</t>
  </si>
  <si>
    <t>XIGWUF</t>
  </si>
  <si>
    <t>XIGHIF</t>
  </si>
  <si>
    <t>XIGHAX</t>
  </si>
  <si>
    <t>removed bound solvents</t>
  </si>
  <si>
    <t>XIGFOJ</t>
  </si>
  <si>
    <t>XIFHIF</t>
  </si>
  <si>
    <t>XIDBUJ</t>
  </si>
  <si>
    <t>Hf</t>
  </si>
  <si>
    <t>XICZAM</t>
  </si>
  <si>
    <t>XICYIT</t>
  </si>
  <si>
    <t>XICYEP</t>
  </si>
  <si>
    <t>XICYAL</t>
  </si>
  <si>
    <t>XICNOO02</t>
  </si>
  <si>
    <t>XICNOO01</t>
  </si>
  <si>
    <t>XICNOO</t>
  </si>
  <si>
    <t>XICDUI</t>
  </si>
  <si>
    <t>XIBZUF</t>
  </si>
  <si>
    <t>XEZPUP</t>
  </si>
  <si>
    <t>Cu, Mn</t>
  </si>
  <si>
    <t>XEYMAR</t>
  </si>
  <si>
    <t>XEXNEV</t>
  </si>
  <si>
    <t>XEXMEU</t>
  </si>
  <si>
    <t>XEXLUJ</t>
  </si>
  <si>
    <t>XEXLOD</t>
  </si>
  <si>
    <t>XEXLIX</t>
  </si>
  <si>
    <t>XEXLAP</t>
  </si>
  <si>
    <t>XEWRUO</t>
  </si>
  <si>
    <t>Eu, Zn</t>
  </si>
  <si>
    <t>XEWFAI</t>
  </si>
  <si>
    <t>Cu, Gd</t>
  </si>
  <si>
    <t>XEWDUA</t>
  </si>
  <si>
    <t>XESLAK</t>
  </si>
  <si>
    <t>XESKUD</t>
  </si>
  <si>
    <t>XESKOX</t>
  </si>
  <si>
    <t>XESKIR</t>
  </si>
  <si>
    <t>XESKEN</t>
  </si>
  <si>
    <t>XESKAJ</t>
  </si>
  <si>
    <t>XEQRAO</t>
  </si>
  <si>
    <t>XEQLEM</t>
  </si>
  <si>
    <t>XEQGEH</t>
  </si>
  <si>
    <t>Na, V</t>
  </si>
  <si>
    <t>XENZUN</t>
  </si>
  <si>
    <t>XENMOU</t>
  </si>
  <si>
    <t>XENMIO</t>
  </si>
  <si>
    <t>XENKIM</t>
  </si>
  <si>
    <t>XEKMIL</t>
  </si>
  <si>
    <t>XEKDUO</t>
  </si>
  <si>
    <t>K, La, Pt</t>
  </si>
  <si>
    <t>XEKCOH</t>
  </si>
  <si>
    <t>XEKCAT01</t>
  </si>
  <si>
    <t>XEJXER</t>
  </si>
  <si>
    <t>XEJXAN</t>
  </si>
  <si>
    <t>XEJWUG</t>
  </si>
  <si>
    <t>XEJVOZ</t>
  </si>
  <si>
    <t>Al, Cu</t>
  </si>
  <si>
    <t>XEJTIR</t>
  </si>
  <si>
    <t>XEJJOM</t>
  </si>
  <si>
    <t>XEJJIG</t>
  </si>
  <si>
    <t>XEHTUB</t>
  </si>
  <si>
    <t>XEHSUZ</t>
  </si>
  <si>
    <t>XEHSOT</t>
  </si>
  <si>
    <t>XEHSIN</t>
  </si>
  <si>
    <t>XEHSEJ</t>
  </si>
  <si>
    <t>XEHSAF</t>
  </si>
  <si>
    <t>XEHFUL02</t>
  </si>
  <si>
    <t>XEHFUL01</t>
  </si>
  <si>
    <t>XEHFUL</t>
  </si>
  <si>
    <t>XEGKUR</t>
  </si>
  <si>
    <t>XEGKOL</t>
  </si>
  <si>
    <t>XEGKIF</t>
  </si>
  <si>
    <t>XEGKEB</t>
  </si>
  <si>
    <t>XEGKAX</t>
  </si>
  <si>
    <t>XEGJUQ</t>
  </si>
  <si>
    <t>XEGJOK</t>
  </si>
  <si>
    <t>XEGJIE</t>
  </si>
  <si>
    <t>XEDPON</t>
  </si>
  <si>
    <t>XEDPIH</t>
  </si>
  <si>
    <t>XEDPED</t>
  </si>
  <si>
    <t>Ti</t>
  </si>
  <si>
    <t>XEDLUN01</t>
  </si>
  <si>
    <t>XEDLUN</t>
  </si>
  <si>
    <t>XEDGIY</t>
  </si>
  <si>
    <t>removed bound water molecule</t>
  </si>
  <si>
    <t>XECJUK</t>
  </si>
  <si>
    <t>XECBUD</t>
  </si>
  <si>
    <t>XEBHOC</t>
  </si>
  <si>
    <t>XAZGEK</t>
  </si>
  <si>
    <t>XAZGAG</t>
  </si>
  <si>
    <t>XAYNAM</t>
  </si>
  <si>
    <t>XAYMUF</t>
  </si>
  <si>
    <t>XAXQEU</t>
  </si>
  <si>
    <t>XAWZOM</t>
  </si>
  <si>
    <t>XAWVUN</t>
  </si>
  <si>
    <t>XAVQIU01</t>
  </si>
  <si>
    <t>XAVQIU</t>
  </si>
  <si>
    <t>V</t>
  </si>
  <si>
    <t>XAVDEF</t>
  </si>
  <si>
    <t>XASFAY</t>
  </si>
  <si>
    <t>XAQMOS</t>
  </si>
  <si>
    <t>XAPYAO</t>
  </si>
  <si>
    <t>XAPTUE</t>
  </si>
  <si>
    <t>XAPSOY</t>
  </si>
  <si>
    <t>XAPDEY</t>
  </si>
  <si>
    <t>XANMIJ</t>
  </si>
  <si>
    <t>XANLUV</t>
  </si>
  <si>
    <t>Ca, Ni</t>
  </si>
  <si>
    <t>XAMLUS</t>
  </si>
  <si>
    <t>removed duplicate -methoxy ligands</t>
  </si>
  <si>
    <t>XAMHEA</t>
  </si>
  <si>
    <t>XAMDUM07</t>
  </si>
  <si>
    <t>XAMDUM06</t>
  </si>
  <si>
    <t>XAMDUM05</t>
  </si>
  <si>
    <t>XAMDUM04</t>
  </si>
  <si>
    <t>XAMDUM03</t>
  </si>
  <si>
    <t>XAMDUM02</t>
  </si>
  <si>
    <t>XAMDUM01</t>
  </si>
  <si>
    <t>XAMDUM</t>
  </si>
  <si>
    <t>XALXUF01</t>
  </si>
  <si>
    <t>XALXUF</t>
  </si>
  <si>
    <t>XALTOV</t>
  </si>
  <si>
    <t>Co, Zn</t>
  </si>
  <si>
    <t>XALTIP</t>
  </si>
  <si>
    <t>Au, Cu</t>
  </si>
  <si>
    <t>XALTEK</t>
  </si>
  <si>
    <t>XALROT</t>
  </si>
  <si>
    <t>XALMOO</t>
  </si>
  <si>
    <t>XALMII</t>
  </si>
  <si>
    <t>XALDOE</t>
  </si>
  <si>
    <t>XALDIY</t>
  </si>
  <si>
    <t>XALDEU</t>
  </si>
  <si>
    <t>XALDAQ</t>
  </si>
  <si>
    <t>XALCUJ</t>
  </si>
  <si>
    <t>XALCET</t>
  </si>
  <si>
    <t>XALCAP</t>
  </si>
  <si>
    <t>XALBIW</t>
  </si>
  <si>
    <t>XALBES</t>
  </si>
  <si>
    <t>XAKZOZ</t>
  </si>
  <si>
    <t>XAKZEP</t>
  </si>
  <si>
    <t>XAKZAL</t>
  </si>
  <si>
    <t>XAKYUE</t>
  </si>
  <si>
    <t>XAKVIP</t>
  </si>
  <si>
    <t>XAKRAE</t>
  </si>
  <si>
    <t>XAKQOR</t>
  </si>
  <si>
    <t>XAKQIL</t>
  </si>
  <si>
    <t>XAJQAC</t>
  </si>
  <si>
    <t>XAHQAA</t>
  </si>
  <si>
    <t>XAHPUT</t>
  </si>
  <si>
    <t>XAHPON</t>
  </si>
  <si>
    <t>XAHPIH</t>
  </si>
  <si>
    <t>XAHPED</t>
  </si>
  <si>
    <t>XAHPAZ</t>
  </si>
  <si>
    <t>XAGDAL</t>
  </si>
  <si>
    <t>XAGCUE</t>
  </si>
  <si>
    <t>XAGCIS02</t>
  </si>
  <si>
    <t>XAGCIS01</t>
  </si>
  <si>
    <t>XAGCIS</t>
  </si>
  <si>
    <t>XAGCEO01</t>
  </si>
  <si>
    <t>XAGCEO</t>
  </si>
  <si>
    <t>XAFXOT</t>
  </si>
  <si>
    <t>XAFNOH01</t>
  </si>
  <si>
    <t>XAFNOH</t>
  </si>
  <si>
    <t>XAFFUH</t>
  </si>
  <si>
    <t>XAFFOB</t>
  </si>
  <si>
    <t>XAFFIV</t>
  </si>
  <si>
    <t>XAFFER</t>
  </si>
  <si>
    <t>XAFFAN</t>
  </si>
  <si>
    <t>XADGAM</t>
  </si>
  <si>
    <t>XADFEP</t>
  </si>
  <si>
    <t>XADFAL</t>
  </si>
  <si>
    <t>XADDUD</t>
  </si>
  <si>
    <t>XADDOX</t>
  </si>
  <si>
    <t>removed bound oxygen to Cu</t>
  </si>
  <si>
    <t>XADDIR</t>
  </si>
  <si>
    <t>XADDEN</t>
  </si>
  <si>
    <t>XADDAJ</t>
  </si>
  <si>
    <t>added missing hydrogen + geom. Minimization (cg/fine setting)</t>
  </si>
  <si>
    <t>XADCOW</t>
  </si>
  <si>
    <t>XACZEH</t>
  </si>
  <si>
    <t>XACYAB</t>
  </si>
  <si>
    <t>XACGIT</t>
  </si>
  <si>
    <t>XACFEN</t>
  </si>
  <si>
    <t>WUZRUE</t>
  </si>
  <si>
    <t>WUWRAI</t>
  </si>
  <si>
    <t>WUWQUB</t>
  </si>
  <si>
    <t>WUWQEL</t>
  </si>
  <si>
    <t>Cu, Eu</t>
  </si>
  <si>
    <t>WUTCAP</t>
  </si>
  <si>
    <t>WUTBUI</t>
  </si>
  <si>
    <t>WUTBOC</t>
  </si>
  <si>
    <t>Cu, Nd</t>
  </si>
  <si>
    <t>WUTBIW</t>
  </si>
  <si>
    <t>WUTBES</t>
  </si>
  <si>
    <t>Fe, Nb</t>
  </si>
  <si>
    <t>WUQRAC</t>
  </si>
  <si>
    <t>Cu, Na, Zn</t>
  </si>
  <si>
    <t>WUPNIF</t>
  </si>
  <si>
    <t>WUNVIL</t>
  </si>
  <si>
    <t>WUNVEH</t>
  </si>
  <si>
    <t>WUNTAB</t>
  </si>
  <si>
    <t>WUNSII02</t>
  </si>
  <si>
    <t>WUNSII01</t>
  </si>
  <si>
    <t>WUNSII</t>
  </si>
  <si>
    <t>WUNSEE02</t>
  </si>
  <si>
    <t>WUNSEE01</t>
  </si>
  <si>
    <t>WUNSEE</t>
  </si>
  <si>
    <t>WUHJIT</t>
  </si>
  <si>
    <t>WUDNAK</t>
  </si>
  <si>
    <t>WUCRUH</t>
  </si>
  <si>
    <t>WOZSOT</t>
  </si>
  <si>
    <t>Co, V</t>
  </si>
  <si>
    <t>WOWHIZ</t>
  </si>
  <si>
    <t>WOWHEV</t>
  </si>
  <si>
    <t>WOWHAR</t>
  </si>
  <si>
    <t>WOWGEU</t>
  </si>
  <si>
    <t>WOQDUB</t>
  </si>
  <si>
    <t>Ag, Cr</t>
  </si>
  <si>
    <t>WOPWOO</t>
  </si>
  <si>
    <t>WOPDEL</t>
  </si>
  <si>
    <t>WONZUV</t>
  </si>
  <si>
    <t>WONZOP</t>
  </si>
  <si>
    <t>WONXIH</t>
  </si>
  <si>
    <t>WOMFIO</t>
  </si>
  <si>
    <t>WOLRIZ</t>
  </si>
  <si>
    <t>WOLREV</t>
  </si>
  <si>
    <t>WOLMUG</t>
  </si>
  <si>
    <t>WOJJOV</t>
  </si>
  <si>
    <t>WOHZAU01</t>
  </si>
  <si>
    <t>WOHZAU</t>
  </si>
  <si>
    <t>Cu, K</t>
  </si>
  <si>
    <t>WOHSOB</t>
  </si>
  <si>
    <t>Cu, Na</t>
  </si>
  <si>
    <t>WOHSIV</t>
  </si>
  <si>
    <t>WOHDON</t>
  </si>
  <si>
    <t>WOHBOL</t>
  </si>
  <si>
    <t>WOHBIF</t>
  </si>
  <si>
    <t>WOGLAG</t>
  </si>
  <si>
    <t>WOGHEG</t>
  </si>
  <si>
    <t>WODFOL</t>
  </si>
  <si>
    <t>WOCWAN</t>
  </si>
  <si>
    <t>WOCVUG01</t>
  </si>
  <si>
    <t>WOCVUG</t>
  </si>
  <si>
    <t>K, Zr</t>
  </si>
  <si>
    <t>WOCJII</t>
  </si>
  <si>
    <t>WOBHOL</t>
  </si>
  <si>
    <t>WOBHIF02</t>
  </si>
  <si>
    <t>WOBHIF01</t>
  </si>
  <si>
    <t>WOBHIF</t>
  </si>
  <si>
    <t>WOBHEB01</t>
  </si>
  <si>
    <t>WOBHEB</t>
  </si>
  <si>
    <t>WIZDEP</t>
  </si>
  <si>
    <t>WIZDAL</t>
  </si>
  <si>
    <t>WIYZOU</t>
  </si>
  <si>
    <t>WIYMOG</t>
  </si>
  <si>
    <t>WIYFAM</t>
  </si>
  <si>
    <t>WIWHUG</t>
  </si>
  <si>
    <t>WILGEE</t>
  </si>
  <si>
    <t>Co, K</t>
  </si>
  <si>
    <t>WIKYAQ</t>
  </si>
  <si>
    <t>WIKXUJ</t>
  </si>
  <si>
    <t>WIJDID</t>
  </si>
  <si>
    <t>WIJDAV</t>
  </si>
  <si>
    <t>WIHVEP</t>
  </si>
  <si>
    <t>WIHVAL</t>
  </si>
  <si>
    <t>Na</t>
  </si>
  <si>
    <t>WIHCUM</t>
  </si>
  <si>
    <t>WIFGOJ</t>
  </si>
  <si>
    <t>WIFBAQ</t>
  </si>
  <si>
    <t>WIDZUG</t>
  </si>
  <si>
    <t>WIDZOA</t>
  </si>
  <si>
    <t>WICQIJ</t>
  </si>
  <si>
    <t>WICGEV</t>
  </si>
  <si>
    <t>B, Fe, Zn</t>
  </si>
  <si>
    <t>WIBSAD</t>
  </si>
  <si>
    <t>Co, La</t>
  </si>
  <si>
    <t>WEZCIO</t>
  </si>
  <si>
    <t>WEYMIY</t>
  </si>
  <si>
    <t>Ba, V</t>
  </si>
  <si>
    <t>WEXNIW</t>
  </si>
  <si>
    <t>WEWTOI</t>
  </si>
  <si>
    <t>WEWGAH</t>
  </si>
  <si>
    <t>WEVZUT</t>
  </si>
  <si>
    <t>Cu, Pr</t>
  </si>
  <si>
    <t>WEVRUK</t>
  </si>
  <si>
    <t>WEVQUJ</t>
  </si>
  <si>
    <t>WEVQOD</t>
  </si>
  <si>
    <t>Cu, Y</t>
  </si>
  <si>
    <t>WEVQIX</t>
  </si>
  <si>
    <t>WERKUZ</t>
  </si>
  <si>
    <t>Ca, K, Zr</t>
  </si>
  <si>
    <t>WENSIS</t>
  </si>
  <si>
    <t>WENLAE</t>
  </si>
  <si>
    <t>WENKUX</t>
  </si>
  <si>
    <t>WENKOR</t>
  </si>
  <si>
    <t>WENKIL</t>
  </si>
  <si>
    <t>WENKEH</t>
  </si>
  <si>
    <t>WENDIE</t>
  </si>
  <si>
    <t>WEMXIX</t>
  </si>
  <si>
    <t>WEMNAF</t>
  </si>
  <si>
    <t>WEMJII</t>
  </si>
  <si>
    <t>WEMHED</t>
  </si>
  <si>
    <t>Be</t>
  </si>
  <si>
    <t>WEMGAY</t>
  </si>
  <si>
    <t>WEMFUR</t>
  </si>
  <si>
    <t>WEMFOL</t>
  </si>
  <si>
    <t>WEMFIF</t>
  </si>
  <si>
    <t>WEMFEB</t>
  </si>
  <si>
    <t>WEMFAX</t>
  </si>
  <si>
    <t>WEMDUP</t>
  </si>
  <si>
    <t>WEMDOJ</t>
  </si>
  <si>
    <t>WEMDID</t>
  </si>
  <si>
    <t>WEMDAV</t>
  </si>
  <si>
    <t>WEMCUO</t>
  </si>
  <si>
    <t>WEMCOI</t>
  </si>
  <si>
    <t>WEMCIC</t>
  </si>
  <si>
    <t>WEMCEY</t>
  </si>
  <si>
    <t>Yb</t>
  </si>
  <si>
    <t>WEMCAU</t>
  </si>
  <si>
    <t>WEMBUN</t>
  </si>
  <si>
    <t>WELTUD</t>
  </si>
  <si>
    <t>WEJSAH</t>
  </si>
  <si>
    <t>WEHRIL</t>
  </si>
  <si>
    <t>WEHQEG</t>
  </si>
  <si>
    <t>WEHQAC</t>
  </si>
  <si>
    <t>WEHPOP</t>
  </si>
  <si>
    <t>WEHPIJ</t>
  </si>
  <si>
    <t>WEHNAA</t>
  </si>
  <si>
    <t>WEHJOK</t>
  </si>
  <si>
    <t>WEHJIE</t>
  </si>
  <si>
    <t>WEHJEA</t>
  </si>
  <si>
    <t>WEHJAW</t>
  </si>
  <si>
    <t>WEHHUO</t>
  </si>
  <si>
    <t>WEHHOI</t>
  </si>
  <si>
    <t>WEHHIC</t>
  </si>
  <si>
    <t>WEHHEY</t>
  </si>
  <si>
    <t>WEGGAS</t>
  </si>
  <si>
    <t>WEGFUL</t>
  </si>
  <si>
    <t>WEGDIX</t>
  </si>
  <si>
    <t>WEFZIS</t>
  </si>
  <si>
    <t>WEFXIQ</t>
  </si>
  <si>
    <t>WEFXEM</t>
  </si>
  <si>
    <t>WEFCAN</t>
  </si>
  <si>
    <t>Cu, Tb</t>
  </si>
  <si>
    <t>WEDXEK</t>
  </si>
  <si>
    <t>WEDXAG</t>
  </si>
  <si>
    <t>WEDWUZ</t>
  </si>
  <si>
    <t>WEDQED</t>
  </si>
  <si>
    <t>WECSAZ01</t>
  </si>
  <si>
    <t>WECSAZ</t>
  </si>
  <si>
    <t>WECJIZ</t>
  </si>
  <si>
    <t>WECJAR</t>
  </si>
  <si>
    <t>WECFAN01</t>
  </si>
  <si>
    <t>WECFAN</t>
  </si>
  <si>
    <t>WEBZEK</t>
  </si>
  <si>
    <t>WEBREC</t>
  </si>
  <si>
    <t>WEBLAQ</t>
  </si>
  <si>
    <t>In, Zn</t>
  </si>
  <si>
    <t>WEBKOF</t>
  </si>
  <si>
    <t>WEBKOD</t>
  </si>
  <si>
    <t>Co, In</t>
  </si>
  <si>
    <t>WEBKIZ</t>
  </si>
  <si>
    <t>WEBKIX</t>
  </si>
  <si>
    <t>B, La</t>
  </si>
  <si>
    <t>WAZRAS</t>
  </si>
  <si>
    <t>B, Ce</t>
  </si>
  <si>
    <t>WAZQUL</t>
  </si>
  <si>
    <t>B, Eu</t>
  </si>
  <si>
    <t>WAZQIZ</t>
  </si>
  <si>
    <t>solvent removal + hydrogenation + geom. Minimization (fine setting/cg)</t>
  </si>
  <si>
    <t>WAYMOA</t>
  </si>
  <si>
    <t>WAYMIU</t>
  </si>
  <si>
    <t>WAYMEQ</t>
  </si>
  <si>
    <t>WAYKAK</t>
  </si>
  <si>
    <t>WAWGOQ</t>
  </si>
  <si>
    <t>Ba, Co</t>
  </si>
  <si>
    <t>WAVWEW</t>
  </si>
  <si>
    <t>In, Mg</t>
  </si>
  <si>
    <t>WAVROC</t>
  </si>
  <si>
    <t>In, Mn</t>
  </si>
  <si>
    <t>WAVRAO</t>
  </si>
  <si>
    <t>WAVQUH</t>
  </si>
  <si>
    <t>In, Nd</t>
  </si>
  <si>
    <t>WAVQIV</t>
  </si>
  <si>
    <t>La, Mo</t>
  </si>
  <si>
    <t>WASVES</t>
  </si>
  <si>
    <t>WASTUG</t>
  </si>
  <si>
    <t>WASNOU</t>
  </si>
  <si>
    <t>WASNIO</t>
  </si>
  <si>
    <t>WARWOC</t>
  </si>
  <si>
    <t>WARJAC</t>
  </si>
  <si>
    <t>WAQFAX</t>
  </si>
  <si>
    <t>WAQDOJ</t>
  </si>
  <si>
    <t>WANJIF</t>
  </si>
  <si>
    <t>WAMRIN02</t>
  </si>
  <si>
    <t>WAMRIN01</t>
  </si>
  <si>
    <t>WAMRIN</t>
  </si>
  <si>
    <t>WAMREJ</t>
  </si>
  <si>
    <t>WALCIX</t>
  </si>
  <si>
    <t>WALCET</t>
  </si>
  <si>
    <t>WALBOC02</t>
  </si>
  <si>
    <t>WALBOC01</t>
  </si>
  <si>
    <t>WALBOC</t>
  </si>
  <si>
    <t>WAJLEA</t>
  </si>
  <si>
    <t>Li, Zn</t>
  </si>
  <si>
    <t>WAJJOI01</t>
  </si>
  <si>
    <t>WAJJOI</t>
  </si>
  <si>
    <t>WAJJEY01</t>
  </si>
  <si>
    <t>WAJJEY</t>
  </si>
  <si>
    <t>WAJJAU</t>
  </si>
  <si>
    <t>WAJHUM</t>
  </si>
  <si>
    <t>WAJHOG</t>
  </si>
  <si>
    <t>WAJHIA</t>
  </si>
  <si>
    <t>WAHREE</t>
  </si>
  <si>
    <t>WAHNUQ</t>
  </si>
  <si>
    <t>WAHMUP</t>
  </si>
  <si>
    <t>Au, Fe</t>
  </si>
  <si>
    <t>WAHMEY01</t>
  </si>
  <si>
    <t>WAGZEL</t>
  </si>
  <si>
    <t>WAGYUA</t>
  </si>
  <si>
    <t>WAFKAQ</t>
  </si>
  <si>
    <t>WABTOK</t>
  </si>
  <si>
    <t>Ni, Sb, W</t>
  </si>
  <si>
    <t>VUSQIK</t>
  </si>
  <si>
    <t>VUSKEA</t>
  </si>
  <si>
    <t>VUSKAW</t>
  </si>
  <si>
    <t>VUSJUP</t>
  </si>
  <si>
    <t>VURYOX</t>
  </si>
  <si>
    <t>VURYIR</t>
  </si>
  <si>
    <t>VURMOL</t>
  </si>
  <si>
    <t>VUQLEZ</t>
  </si>
  <si>
    <t>VUQKUO</t>
  </si>
  <si>
    <t>VUQKOI</t>
  </si>
  <si>
    <t>VUQKAU02</t>
  </si>
  <si>
    <t>VUQKAU</t>
  </si>
  <si>
    <t>VUQJUN01</t>
  </si>
  <si>
    <t>VUQJUN</t>
  </si>
  <si>
    <t>VUNYUZ</t>
  </si>
  <si>
    <t>VUNCAJ</t>
  </si>
  <si>
    <t>VULKOD</t>
  </si>
  <si>
    <t>VULKIX</t>
  </si>
  <si>
    <t>VUKHOZ</t>
  </si>
  <si>
    <t>VUJBIM</t>
  </si>
  <si>
    <t>VUJBEI</t>
  </si>
  <si>
    <t>VUHJAK</t>
  </si>
  <si>
    <t>VUDQOB</t>
  </si>
  <si>
    <t>VOYWUB</t>
  </si>
  <si>
    <t>Ca, Sr</t>
  </si>
  <si>
    <t>VOTMAS</t>
  </si>
  <si>
    <t>VORBUA</t>
  </si>
  <si>
    <t>VONBUW</t>
  </si>
  <si>
    <t>VONBIK</t>
  </si>
  <si>
    <t>VOLQOD</t>
  </si>
  <si>
    <t>VOGTIV</t>
  </si>
  <si>
    <t>VODSEM</t>
  </si>
  <si>
    <t>VODQIP</t>
  </si>
  <si>
    <t>VODPOU</t>
  </si>
  <si>
    <t>VOCXUH</t>
  </si>
  <si>
    <t>VOCNOQ</t>
  </si>
  <si>
    <t>VOCKUT</t>
  </si>
  <si>
    <t>VIZRIH</t>
  </si>
  <si>
    <t>VIZQEC</t>
  </si>
  <si>
    <t>VIXCUB</t>
  </si>
  <si>
    <t>VISTUM</t>
  </si>
  <si>
    <t>VISTOG</t>
  </si>
  <si>
    <t>Pt, Zn</t>
  </si>
  <si>
    <t>VIRVEY</t>
  </si>
  <si>
    <t>VIRPOC</t>
  </si>
  <si>
    <t>VIPZAX</t>
  </si>
  <si>
    <t>VIPYOK</t>
  </si>
  <si>
    <t>VIPXUO</t>
  </si>
  <si>
    <t>Cr, Mn</t>
  </si>
  <si>
    <t>VINHEH</t>
  </si>
  <si>
    <t>VILXOE</t>
  </si>
  <si>
    <t>VIGRIO</t>
  </si>
  <si>
    <t>Ag, Na</t>
  </si>
  <si>
    <t>VIGNOQ</t>
  </si>
  <si>
    <t>Tm</t>
  </si>
  <si>
    <t>VIFBUJ</t>
  </si>
  <si>
    <t>VIFBOD</t>
  </si>
  <si>
    <t>VIDXOX</t>
  </si>
  <si>
    <t>VICYUD</t>
  </si>
  <si>
    <t>VICLAW</t>
  </si>
  <si>
    <t>VICDOC</t>
  </si>
  <si>
    <t>Cd, K</t>
  </si>
  <si>
    <t>VEZMOE</t>
  </si>
  <si>
    <t>VEZMIY</t>
  </si>
  <si>
    <t>VEYVEC</t>
  </si>
  <si>
    <t>VEYREY</t>
  </si>
  <si>
    <t>VEXYON</t>
  </si>
  <si>
    <t>VEXVAW</t>
  </si>
  <si>
    <t>VEXTUO</t>
  </si>
  <si>
    <t>VEWXAY</t>
  </si>
  <si>
    <t>VEWLAM</t>
  </si>
  <si>
    <t>VEWKUF</t>
  </si>
  <si>
    <t>VEVJUD</t>
  </si>
  <si>
    <t>removed water molecules (bound)</t>
  </si>
  <si>
    <t>VETVAS</t>
  </si>
  <si>
    <t>VETTUK</t>
  </si>
  <si>
    <t>VETTOE</t>
  </si>
  <si>
    <t>VETTIZ</t>
  </si>
  <si>
    <t>VETTAR</t>
  </si>
  <si>
    <t>VETSUK</t>
  </si>
  <si>
    <t>VETSOE</t>
  </si>
  <si>
    <t>VETMIS</t>
  </si>
  <si>
    <t>Ba, Sm</t>
  </si>
  <si>
    <t>VEQCEA</t>
  </si>
  <si>
    <t>Ba, Gd</t>
  </si>
  <si>
    <t>VEQCAW</t>
  </si>
  <si>
    <t>Ba, Tb</t>
  </si>
  <si>
    <t>VEQBUP</t>
  </si>
  <si>
    <t>Ba, Dy</t>
  </si>
  <si>
    <t>VEQBOJ</t>
  </si>
  <si>
    <t>VEQBID</t>
  </si>
  <si>
    <t>VEPDEB</t>
  </si>
  <si>
    <t>VEMTAJ01</t>
  </si>
  <si>
    <t>VEMMIK</t>
  </si>
  <si>
    <t>VEMMEG</t>
  </si>
  <si>
    <t>VEMMAC</t>
  </si>
  <si>
    <t>VEJYUF02</t>
  </si>
  <si>
    <t>VEJYUF01</t>
  </si>
  <si>
    <t>VEJYIT01</t>
  </si>
  <si>
    <t>VEJYIT</t>
  </si>
  <si>
    <t>VEJHEZ</t>
  </si>
  <si>
    <t>Pr, Sb</t>
  </si>
  <si>
    <t>VEHXEN</t>
  </si>
  <si>
    <t>VEHROR</t>
  </si>
  <si>
    <t>VEHRIL</t>
  </si>
  <si>
    <t>VEHPUU</t>
  </si>
  <si>
    <t>Na, Ni</t>
  </si>
  <si>
    <t>VEHNED</t>
  </si>
  <si>
    <t>VEHNAZ</t>
  </si>
  <si>
    <t>VEHKOK</t>
  </si>
  <si>
    <t>VEHKIE</t>
  </si>
  <si>
    <t>VEHKEA</t>
  </si>
  <si>
    <t>VEHKAW</t>
  </si>
  <si>
    <t>VEHJUP</t>
  </si>
  <si>
    <t>VEHJOJ</t>
  </si>
  <si>
    <t>VEGXUC</t>
  </si>
  <si>
    <t>VEGXOW</t>
  </si>
  <si>
    <t>VEGXIQ01</t>
  </si>
  <si>
    <t>VEGXIQ</t>
  </si>
  <si>
    <t>VEGMOK04</t>
  </si>
  <si>
    <t>VEGMOK03</t>
  </si>
  <si>
    <t>VEGMOK02</t>
  </si>
  <si>
    <t>VEGMOK01</t>
  </si>
  <si>
    <t>VEGMOK</t>
  </si>
  <si>
    <t>VEGMIE01</t>
  </si>
  <si>
    <t>VEGMIE</t>
  </si>
  <si>
    <t>VEGCAN</t>
  </si>
  <si>
    <t>VEGBUG</t>
  </si>
  <si>
    <t>VEFMAW</t>
  </si>
  <si>
    <t>VEFLUP</t>
  </si>
  <si>
    <t>VEFJOG</t>
  </si>
  <si>
    <t>Co, W</t>
  </si>
  <si>
    <t>VEFCEQ</t>
  </si>
  <si>
    <t>VEDVUW</t>
  </si>
  <si>
    <t>VEDGIW</t>
  </si>
  <si>
    <t>VEDGES</t>
  </si>
  <si>
    <t>VEDGAO</t>
  </si>
  <si>
    <t>VEDFOB</t>
  </si>
  <si>
    <t>VEDFIV</t>
  </si>
  <si>
    <t>VEDFER</t>
  </si>
  <si>
    <t>VEDFAN</t>
  </si>
  <si>
    <t>Dy, Zn</t>
  </si>
  <si>
    <t>VEDDIT</t>
  </si>
  <si>
    <t>VECWUX</t>
  </si>
  <si>
    <t>VEBHUG</t>
  </si>
  <si>
    <t>VAZTOG</t>
  </si>
  <si>
    <t>VAZROF</t>
  </si>
  <si>
    <t>VAZMOA</t>
  </si>
  <si>
    <t>VAZMIU</t>
  </si>
  <si>
    <t>VAZMEQ</t>
  </si>
  <si>
    <t>VAZMAM</t>
  </si>
  <si>
    <t>VAZLUF</t>
  </si>
  <si>
    <t>VAZLOZ</t>
  </si>
  <si>
    <t>VAZLIT</t>
  </si>
  <si>
    <t>VAZLEP</t>
  </si>
  <si>
    <t>VAZLAL</t>
  </si>
  <si>
    <t>VAZKUE</t>
  </si>
  <si>
    <t>VAYDOQ</t>
  </si>
  <si>
    <t>VAXVEX</t>
  </si>
  <si>
    <t>VATYEV</t>
  </si>
  <si>
    <t>VATYAR</t>
  </si>
  <si>
    <t>VATXEU</t>
  </si>
  <si>
    <t>Sc</t>
  </si>
  <si>
    <t>VASKOR</t>
  </si>
  <si>
    <t>VARWIW</t>
  </si>
  <si>
    <t>VARWES</t>
  </si>
  <si>
    <t>La, Y</t>
  </si>
  <si>
    <t>VARRIP</t>
  </si>
  <si>
    <t>Gd, La</t>
  </si>
  <si>
    <t>VARREL</t>
  </si>
  <si>
    <t>VARJEF</t>
  </si>
  <si>
    <t>VAQLEG</t>
  </si>
  <si>
    <t>VAQLAC</t>
  </si>
  <si>
    <t>Pt, Sr</t>
  </si>
  <si>
    <t>VAPFUP</t>
  </si>
  <si>
    <t>Ba, Pt</t>
  </si>
  <si>
    <t>VAPFOJ</t>
  </si>
  <si>
    <t>VAPBAR</t>
  </si>
  <si>
    <t>VAKRIK</t>
  </si>
  <si>
    <t>VAKREG</t>
  </si>
  <si>
    <t>VAKBIU</t>
  </si>
  <si>
    <t>VAJTUX</t>
  </si>
  <si>
    <t>VAHVOR</t>
  </si>
  <si>
    <t>VAHSIH</t>
  </si>
  <si>
    <t>Cu, Er</t>
  </si>
  <si>
    <t>VAHQAY</t>
  </si>
  <si>
    <t>Cu, Dy</t>
  </si>
  <si>
    <t>VAHPUR</t>
  </si>
  <si>
    <t>VAGTUU</t>
  </si>
  <si>
    <t>VAGTAA</t>
  </si>
  <si>
    <t>VAGMOH</t>
  </si>
  <si>
    <t>VAGMIB01</t>
  </si>
  <si>
    <t>VAGMIB</t>
  </si>
  <si>
    <t>VAGMEX</t>
  </si>
  <si>
    <t>VAGMAT</t>
  </si>
  <si>
    <t>VAGKOF</t>
  </si>
  <si>
    <t>VACFUB01</t>
  </si>
  <si>
    <t>VACFUB</t>
  </si>
  <si>
    <t>VACFOV01</t>
  </si>
  <si>
    <t>VACFOV</t>
  </si>
  <si>
    <t>UZUNEJ</t>
  </si>
  <si>
    <t>UZUNAF01</t>
  </si>
  <si>
    <t>UZUNAF</t>
  </si>
  <si>
    <t>UZIJUJ</t>
  </si>
  <si>
    <t>UZATAR</t>
  </si>
  <si>
    <t>Nd, Zn</t>
  </si>
  <si>
    <t>UZANEP</t>
  </si>
  <si>
    <t>Gd, Zn</t>
  </si>
  <si>
    <t>UZANAL</t>
  </si>
  <si>
    <t>UZAMUE</t>
  </si>
  <si>
    <t>UZAFAD</t>
  </si>
  <si>
    <t>UYOXUC</t>
  </si>
  <si>
    <t>UYOFIY</t>
  </si>
  <si>
    <t>UYAQER</t>
  </si>
  <si>
    <t>UYAQAN</t>
  </si>
  <si>
    <t>UYAPOA</t>
  </si>
  <si>
    <t>UXUZAP</t>
  </si>
  <si>
    <t>UXUYUI</t>
  </si>
  <si>
    <t>UXUPIN</t>
  </si>
  <si>
    <t>UXUPEJ</t>
  </si>
  <si>
    <t>UXUNUX</t>
  </si>
  <si>
    <t>UXEQOE</t>
  </si>
  <si>
    <t>UXEHIP</t>
  </si>
  <si>
    <t>UXABUR</t>
  </si>
  <si>
    <t>UXABOL</t>
  </si>
  <si>
    <t>UWUTIQ</t>
  </si>
  <si>
    <t>UWOWAF</t>
  </si>
  <si>
    <t>UWELIS</t>
  </si>
  <si>
    <t>UWAGAB04</t>
  </si>
  <si>
    <t>UWAGAB03</t>
  </si>
  <si>
    <t>UWAGAB02</t>
  </si>
  <si>
    <t>UWAGAB01</t>
  </si>
  <si>
    <t>UWAFUU</t>
  </si>
  <si>
    <t>UWAFOO</t>
  </si>
  <si>
    <t>UVUQAE</t>
  </si>
  <si>
    <t>UVUPUX</t>
  </si>
  <si>
    <t>UVUPOR</t>
  </si>
  <si>
    <t>UVUFUN</t>
  </si>
  <si>
    <t>UVINAP</t>
  </si>
  <si>
    <t>UVEXAV</t>
  </si>
  <si>
    <t>Mn, Nb</t>
  </si>
  <si>
    <t>UVEWIC01</t>
  </si>
  <si>
    <t>UVEWIC</t>
  </si>
  <si>
    <t>UVEVUN</t>
  </si>
  <si>
    <t>UVEVEX</t>
  </si>
  <si>
    <t>UVEVAT</t>
  </si>
  <si>
    <t>UVASAM</t>
  </si>
  <si>
    <t>UVARUF</t>
  </si>
  <si>
    <t>UVAROZ</t>
  </si>
  <si>
    <t>UVARIT</t>
  </si>
  <si>
    <t>UTUMAY</t>
  </si>
  <si>
    <t>UTULUR</t>
  </si>
  <si>
    <t>UTOTUT01</t>
  </si>
  <si>
    <t>UTOTUT</t>
  </si>
  <si>
    <t>UTODIR</t>
  </si>
  <si>
    <t>UTEXIB</t>
  </si>
  <si>
    <t>UTEXAT</t>
  </si>
  <si>
    <t>UTEWUM</t>
  </si>
  <si>
    <t>UTEWOG</t>
  </si>
  <si>
    <t>USUBUG</t>
  </si>
  <si>
    <t>UQULAU</t>
  </si>
  <si>
    <t>UQUHAQ</t>
  </si>
  <si>
    <t>UPOZAB</t>
  </si>
  <si>
    <t>UPOVOL</t>
  </si>
  <si>
    <t>UNIPAJ</t>
  </si>
  <si>
    <t>UNIGEE</t>
  </si>
  <si>
    <t>UNEBIZ</t>
  </si>
  <si>
    <t>UNAZIT</t>
  </si>
  <si>
    <t>UNACIW</t>
  </si>
  <si>
    <t>UNACES</t>
  </si>
  <si>
    <t>UNABUH01</t>
  </si>
  <si>
    <t>UNABUH</t>
  </si>
  <si>
    <t>Cu, Mo</t>
  </si>
  <si>
    <t>UNABIV</t>
  </si>
  <si>
    <t>UMUXAC</t>
  </si>
  <si>
    <t>UMUTUS</t>
  </si>
  <si>
    <t>UMUTOM</t>
  </si>
  <si>
    <t>UMORIY</t>
  </si>
  <si>
    <t>UMEXUF</t>
  </si>
  <si>
    <t>UMEMAB</t>
  </si>
  <si>
    <t>UMELUU</t>
  </si>
  <si>
    <t>Cd, Cu</t>
  </si>
  <si>
    <t>UMARAC</t>
  </si>
  <si>
    <t>ULUVUT</t>
  </si>
  <si>
    <t>ULUPUM01</t>
  </si>
  <si>
    <t>ULOGIL</t>
  </si>
  <si>
    <t>Si, V</t>
  </si>
  <si>
    <t>UKUPUL</t>
  </si>
  <si>
    <t>UKUMAO01</t>
  </si>
  <si>
    <t>UKUMAO</t>
  </si>
  <si>
    <t>Ag, Fe</t>
  </si>
  <si>
    <t>UKULOB01</t>
  </si>
  <si>
    <t>UKULOB</t>
  </si>
  <si>
    <t>UKUCAF</t>
  </si>
  <si>
    <t>UKUBUY</t>
  </si>
  <si>
    <t>UKUBOS</t>
  </si>
  <si>
    <t>UKUBIM</t>
  </si>
  <si>
    <t>Co, Cu</t>
  </si>
  <si>
    <t>UKIQOV</t>
  </si>
  <si>
    <t>UKIQIP</t>
  </si>
  <si>
    <t>UKAQIH</t>
  </si>
  <si>
    <t>UKAQED</t>
  </si>
  <si>
    <t>UKAQAZ</t>
  </si>
  <si>
    <t>UKAPUS</t>
  </si>
  <si>
    <t>UJOWIA</t>
  </si>
  <si>
    <t>Cu, W</t>
  </si>
  <si>
    <t>UJOWEW</t>
  </si>
  <si>
    <t>UJIZET</t>
  </si>
  <si>
    <t>UJEFOE01</t>
  </si>
  <si>
    <t>UJEFOE</t>
  </si>
  <si>
    <t>UJEDIX</t>
  </si>
  <si>
    <t>UJARAZ</t>
  </si>
  <si>
    <t>UJAQUS</t>
  </si>
  <si>
    <t>UJAQEC</t>
  </si>
  <si>
    <t>UJAQAY</t>
  </si>
  <si>
    <t>UHISOU</t>
  </si>
  <si>
    <t>UHAXUW</t>
  </si>
  <si>
    <t>UHADAI</t>
  </si>
  <si>
    <t>UGUQOC</t>
  </si>
  <si>
    <t>UGUHEK</t>
  </si>
  <si>
    <t>Lu</t>
  </si>
  <si>
    <t>UGUHAG</t>
  </si>
  <si>
    <t>UGUGUZ</t>
  </si>
  <si>
    <t>UGOSOY</t>
  </si>
  <si>
    <t>UGEPEB01</t>
  </si>
  <si>
    <t>UGEPEB</t>
  </si>
  <si>
    <t>Mo, Ni</t>
  </si>
  <si>
    <t>UGAQEY</t>
  </si>
  <si>
    <t>UFUTIY</t>
  </si>
  <si>
    <t>UFUQIV</t>
  </si>
  <si>
    <t>UFUNAK</t>
  </si>
  <si>
    <t>UFUMUD02</t>
  </si>
  <si>
    <t>UFUMUD01</t>
  </si>
  <si>
    <t>UFUMUD</t>
  </si>
  <si>
    <t>UFOFIF</t>
  </si>
  <si>
    <t>UFIREI</t>
  </si>
  <si>
    <t>Cu, Ho</t>
  </si>
  <si>
    <t>UFEXIN</t>
  </si>
  <si>
    <t>UFEXEJ</t>
  </si>
  <si>
    <t>UFEVIL</t>
  </si>
  <si>
    <t>UFENAW</t>
  </si>
  <si>
    <t>UFATEA01</t>
  </si>
  <si>
    <t>UFASEA</t>
  </si>
  <si>
    <t>UFASAW</t>
  </si>
  <si>
    <t>UFANEV</t>
  </si>
  <si>
    <t>UDOVUG</t>
  </si>
  <si>
    <t>UDIHOF</t>
  </si>
  <si>
    <t>UDIHIZ</t>
  </si>
  <si>
    <t>UDIDAO</t>
  </si>
  <si>
    <t>Bi</t>
  </si>
  <si>
    <t>UDICER</t>
  </si>
  <si>
    <t>UDICAN</t>
  </si>
  <si>
    <t>UDEPIE</t>
  </si>
  <si>
    <t>removed water molecules + bound oxygen atoms + hydrogenation + geom. Minimization (fine/cg)</t>
  </si>
  <si>
    <t>UDEMEW</t>
  </si>
  <si>
    <t>UDANAQ</t>
  </si>
  <si>
    <t>UCOXOZ</t>
  </si>
  <si>
    <t>UCOJED</t>
  </si>
  <si>
    <t>UCOJAZ</t>
  </si>
  <si>
    <t>neutral_b</t>
  </si>
  <si>
    <t>UCOCUM</t>
  </si>
  <si>
    <t>UCEXOQ</t>
  </si>
  <si>
    <t>UCEXIK</t>
  </si>
  <si>
    <t>UCEXEG</t>
  </si>
  <si>
    <t>UCEXAC</t>
  </si>
  <si>
    <t>Cu, Zn</t>
  </si>
  <si>
    <t>UBUROY</t>
  </si>
  <si>
    <t>UBUMAH</t>
  </si>
  <si>
    <t>UBULUA</t>
  </si>
  <si>
    <t>UBULIO</t>
  </si>
  <si>
    <t>Cu, U</t>
  </si>
  <si>
    <t>UBOGAV</t>
  </si>
  <si>
    <t>UBIPAY</t>
  </si>
  <si>
    <t>UBACUX</t>
  </si>
  <si>
    <t>UBACOR</t>
  </si>
  <si>
    <t>TUWPIL</t>
  </si>
  <si>
    <t>Er, Mn</t>
  </si>
  <si>
    <t>TUVDUJ</t>
  </si>
  <si>
    <t>Gd, Mn</t>
  </si>
  <si>
    <t>TUVDOD</t>
  </si>
  <si>
    <t>Mn, Pr</t>
  </si>
  <si>
    <t>TUVDIX</t>
  </si>
  <si>
    <t>TUTZUD</t>
  </si>
  <si>
    <t>TUTZOX</t>
  </si>
  <si>
    <t>TUTJAU</t>
  </si>
  <si>
    <t>TUTHOG</t>
  </si>
  <si>
    <t>Ag, Zn</t>
  </si>
  <si>
    <t>TUSGUJ</t>
  </si>
  <si>
    <t>TUMGUD</t>
  </si>
  <si>
    <t>TUMGOX</t>
  </si>
  <si>
    <t>TULLIW</t>
  </si>
  <si>
    <t>TUGSUK</t>
  </si>
  <si>
    <t>TUGSOE</t>
  </si>
  <si>
    <t>TUDQOZ</t>
  </si>
  <si>
    <t>TUDMEL</t>
  </si>
  <si>
    <t>TUDMAH</t>
  </si>
  <si>
    <t>TUDKEJ</t>
  </si>
  <si>
    <t>TUDKAF</t>
  </si>
  <si>
    <t>TUDJUY</t>
  </si>
  <si>
    <t>TUDJOS</t>
  </si>
  <si>
    <t>TUDJIM</t>
  </si>
  <si>
    <t>TUDJEI</t>
  </si>
  <si>
    <t>TUDJAE</t>
  </si>
  <si>
    <t>TUDHUW</t>
  </si>
  <si>
    <t>TUCJAD</t>
  </si>
  <si>
    <t>TOZHAR</t>
  </si>
  <si>
    <t>Fe, V</t>
  </si>
  <si>
    <t>TOVJAP</t>
  </si>
  <si>
    <t>TONQOD</t>
  </si>
  <si>
    <t>TONLOY</t>
  </si>
  <si>
    <t>TONBUU</t>
  </si>
  <si>
    <t>TONBOO</t>
  </si>
  <si>
    <t>TONBII</t>
  </si>
  <si>
    <t>TOLGOR</t>
  </si>
  <si>
    <t>TOKDON</t>
  </si>
  <si>
    <t>TOHZAS</t>
  </si>
  <si>
    <t>TOHYUL</t>
  </si>
  <si>
    <t>TOHSAL</t>
  </si>
  <si>
    <t>TOHPUC</t>
  </si>
  <si>
    <t>TIZVIH01</t>
  </si>
  <si>
    <t>TIZVIH</t>
  </si>
  <si>
    <t>TIZVED01</t>
  </si>
  <si>
    <t>TIZVED</t>
  </si>
  <si>
    <t>TIVYAZ01</t>
  </si>
  <si>
    <t>TIVXOM</t>
  </si>
  <si>
    <t>TIVFIO</t>
  </si>
  <si>
    <t>TIVFEK</t>
  </si>
  <si>
    <t>TIVFAG</t>
  </si>
  <si>
    <t>TISLIR</t>
  </si>
  <si>
    <t>TISKOW</t>
  </si>
  <si>
    <t>TISHAF</t>
  </si>
  <si>
    <t>TISGUY</t>
  </si>
  <si>
    <t>TIRRIW</t>
  </si>
  <si>
    <t>TIRQOB</t>
  </si>
  <si>
    <t>TIRLIQ</t>
  </si>
  <si>
    <t>Dy, Na</t>
  </si>
  <si>
    <t>TIQHIL</t>
  </si>
  <si>
    <t>Na, Tb</t>
  </si>
  <si>
    <t>TIQHEH</t>
  </si>
  <si>
    <t>Gd, Na</t>
  </si>
  <si>
    <t>TIQHAD</t>
  </si>
  <si>
    <t>Eu, Na</t>
  </si>
  <si>
    <t>TIQGUW</t>
  </si>
  <si>
    <t>TIQGIK</t>
  </si>
  <si>
    <t>TIQGEG01</t>
  </si>
  <si>
    <t>TIQGEG</t>
  </si>
  <si>
    <t>TIMMIM</t>
  </si>
  <si>
    <t>TILDIC</t>
  </si>
  <si>
    <t>TIKXER</t>
  </si>
  <si>
    <t>TIKMUW</t>
  </si>
  <si>
    <t>TIGDOD</t>
  </si>
  <si>
    <t>TIFHEX</t>
  </si>
  <si>
    <t>TIFHAT</t>
  </si>
  <si>
    <t>TIFDOB</t>
  </si>
  <si>
    <t>Mn, Mo</t>
  </si>
  <si>
    <t>TIFBOA</t>
  </si>
  <si>
    <t>TIDMEA</t>
  </si>
  <si>
    <t>TICPOL</t>
  </si>
  <si>
    <t>Ce, Co</t>
  </si>
  <si>
    <t>TEYLIU</t>
  </si>
  <si>
    <t>TEYHIP</t>
  </si>
  <si>
    <t>TEXTOH</t>
  </si>
  <si>
    <t>TEWGEJ01</t>
  </si>
  <si>
    <t>TEWGEJ</t>
  </si>
  <si>
    <t>TEWFUY01</t>
  </si>
  <si>
    <t>TEWFUY</t>
  </si>
  <si>
    <t>TEVZUQ</t>
  </si>
  <si>
    <t>TEVZOK</t>
  </si>
  <si>
    <t>TEVZIE</t>
  </si>
  <si>
    <t>TEVZEA</t>
  </si>
  <si>
    <t>TETZID</t>
  </si>
  <si>
    <t>TETZEZ</t>
  </si>
  <si>
    <t>TETWUM</t>
  </si>
  <si>
    <t>TETWOG</t>
  </si>
  <si>
    <t>TESHAB</t>
  </si>
  <si>
    <t>TESGUU</t>
  </si>
  <si>
    <t>TESGOO</t>
  </si>
  <si>
    <t>TERNUA</t>
  </si>
  <si>
    <t>Rh, Zn</t>
  </si>
  <si>
    <t>TERFUT</t>
  </si>
  <si>
    <t>Ir, Zn</t>
  </si>
  <si>
    <t>TERFIH</t>
  </si>
  <si>
    <t>Ba, Zn</t>
  </si>
  <si>
    <t>TEQVOC</t>
  </si>
  <si>
    <t>hydrogenation</t>
  </si>
  <si>
    <t>Mg, Zn</t>
  </si>
  <si>
    <t>TEQVAO</t>
  </si>
  <si>
    <t>TEQTEQ</t>
  </si>
  <si>
    <t>TEQTAM</t>
  </si>
  <si>
    <t>TEQPEM</t>
  </si>
  <si>
    <t>TEQPAI</t>
  </si>
  <si>
    <t>TEPGUS</t>
  </si>
  <si>
    <t>TENLIJ</t>
  </si>
  <si>
    <t>TEMPEI</t>
  </si>
  <si>
    <t>TEMPAE</t>
  </si>
  <si>
    <t>TEJQAC</t>
  </si>
  <si>
    <t>TEJLOL</t>
  </si>
  <si>
    <t>TEJGIA01</t>
  </si>
  <si>
    <t>TEJGIA</t>
  </si>
  <si>
    <t>TEJGEW</t>
  </si>
  <si>
    <t>TEJGAS</t>
  </si>
  <si>
    <t>Nd, Ru</t>
  </si>
  <si>
    <t>TEHRUU</t>
  </si>
  <si>
    <t>TEFWOR</t>
  </si>
  <si>
    <t>TEFWIL</t>
  </si>
  <si>
    <t>TEDSIG</t>
  </si>
  <si>
    <t>TEDLUK</t>
  </si>
  <si>
    <t>TEDHAN</t>
  </si>
  <si>
    <t>TEDGUG</t>
  </si>
  <si>
    <t>TEDGOA</t>
  </si>
  <si>
    <t>TECVEE</t>
  </si>
  <si>
    <t>TECTUS</t>
  </si>
  <si>
    <t>TEBYIK</t>
  </si>
  <si>
    <t>TEBWII</t>
  </si>
  <si>
    <t>TEBSAW</t>
  </si>
  <si>
    <t>TEBFUD</t>
  </si>
  <si>
    <t>TEBCEK</t>
  </si>
  <si>
    <t>Cd, Gd</t>
  </si>
  <si>
    <t>TAZLUD</t>
  </si>
  <si>
    <t>TAZLOX</t>
  </si>
  <si>
    <t>Cd, Sm</t>
  </si>
  <si>
    <t>TAZLIR</t>
  </si>
  <si>
    <t>TAYNEN</t>
  </si>
  <si>
    <t>TAXHUX</t>
  </si>
  <si>
    <t>TATSIS</t>
  </si>
  <si>
    <t>TATPOV</t>
  </si>
  <si>
    <t>Cu, Fe</t>
  </si>
  <si>
    <t>TASZEU</t>
  </si>
  <si>
    <t>TASZAQ</t>
  </si>
  <si>
    <t>TASYUJ</t>
  </si>
  <si>
    <t>TASXIW</t>
  </si>
  <si>
    <t>TASWOB</t>
  </si>
  <si>
    <t>TASVUG</t>
  </si>
  <si>
    <t>TASJUT</t>
  </si>
  <si>
    <t>TARWEO</t>
  </si>
  <si>
    <t>TARWAK</t>
  </si>
  <si>
    <t>TARVUD</t>
  </si>
  <si>
    <t>TARVOX</t>
  </si>
  <si>
    <t>TAQGEZ</t>
  </si>
  <si>
    <t>TAPXOZ</t>
  </si>
  <si>
    <t>Na, Yb</t>
  </si>
  <si>
    <t>TAPXIT01</t>
  </si>
  <si>
    <t>TAPXIT</t>
  </si>
  <si>
    <t>TAPKAY</t>
  </si>
  <si>
    <t>TAPHOJ</t>
  </si>
  <si>
    <t>TANLAX</t>
  </si>
  <si>
    <t>TANBOZ</t>
  </si>
  <si>
    <t>Co, Eu</t>
  </si>
  <si>
    <t>TANBIV</t>
  </si>
  <si>
    <t>TANBER</t>
  </si>
  <si>
    <t>TANBAN</t>
  </si>
  <si>
    <t>TAMZUE</t>
  </si>
  <si>
    <t>TAMJEY</t>
  </si>
  <si>
    <t>TAMJAU</t>
  </si>
  <si>
    <t>TALJUM</t>
  </si>
  <si>
    <t>TAKYOV</t>
  </si>
  <si>
    <t>TAKYEL</t>
  </si>
  <si>
    <t>Cu, V</t>
  </si>
  <si>
    <t>TAGSEB</t>
  </si>
  <si>
    <t>Pu</t>
  </si>
  <si>
    <t>TAGCIP</t>
  </si>
  <si>
    <t>TAGBUZ</t>
  </si>
  <si>
    <t>TAFCIO</t>
  </si>
  <si>
    <t>TAFBIN</t>
  </si>
  <si>
    <t>Ni, W</t>
  </si>
  <si>
    <t>TADYII</t>
  </si>
  <si>
    <t>TADYEE</t>
  </si>
  <si>
    <t>removed bound symmetric solvents</t>
  </si>
  <si>
    <t>TADWIG</t>
  </si>
  <si>
    <t>TADWEC</t>
  </si>
  <si>
    <t>TADCAE</t>
  </si>
  <si>
    <t>TACYAX</t>
  </si>
  <si>
    <t>TACPAP</t>
  </si>
  <si>
    <t>TACJIS</t>
  </si>
  <si>
    <t>SUTBIT</t>
  </si>
  <si>
    <t>SUSZOW</t>
  </si>
  <si>
    <t>SUSZIQ</t>
  </si>
  <si>
    <t>SUPLOF</t>
  </si>
  <si>
    <t>SUNLET</t>
  </si>
  <si>
    <t>SUNJOB01</t>
  </si>
  <si>
    <t>SUNJOB</t>
  </si>
  <si>
    <t>SUNJIV</t>
  </si>
  <si>
    <t>SUNJER</t>
  </si>
  <si>
    <t>SUNHUF</t>
  </si>
  <si>
    <t>SULKIU</t>
  </si>
  <si>
    <t>SUKYON</t>
  </si>
  <si>
    <t>SUKYIH</t>
  </si>
  <si>
    <t>Cd, Cs</t>
  </si>
  <si>
    <t>SUKPAQ</t>
  </si>
  <si>
    <t>Cd, Na</t>
  </si>
  <si>
    <t>SUKNUI</t>
  </si>
  <si>
    <t>SUKNOC</t>
  </si>
  <si>
    <t>SUJREV</t>
  </si>
  <si>
    <t>SUJQOE</t>
  </si>
  <si>
    <t>SUJNUH</t>
  </si>
  <si>
    <t>SUHHOT</t>
  </si>
  <si>
    <t>SUGWEX03</t>
  </si>
  <si>
    <t>SUGVUM</t>
  </si>
  <si>
    <t>SOYWOT</t>
  </si>
  <si>
    <t>SOXZIP</t>
  </si>
  <si>
    <t>SOXHUI</t>
  </si>
  <si>
    <t>Rb, Si</t>
  </si>
  <si>
    <t>SOWYOS</t>
  </si>
  <si>
    <t>Na, Si</t>
  </si>
  <si>
    <t>SOWYIM</t>
  </si>
  <si>
    <t>SOVHAM</t>
  </si>
  <si>
    <t>SOTTUR</t>
  </si>
  <si>
    <t>SOQDEI</t>
  </si>
  <si>
    <t>K, Tb</t>
  </si>
  <si>
    <t>SOPPOD</t>
  </si>
  <si>
    <t>SONVIB</t>
  </si>
  <si>
    <t>SONVEX</t>
  </si>
  <si>
    <t>SONVAT</t>
  </si>
  <si>
    <t>SONTUL</t>
  </si>
  <si>
    <t>removed duplicate amino groups + geom. Minimization (cg/fine)</t>
  </si>
  <si>
    <t>SONTAR</t>
  </si>
  <si>
    <t>SOMCON</t>
  </si>
  <si>
    <t>SOKKOT</t>
  </si>
  <si>
    <t>SOJGOO</t>
  </si>
  <si>
    <t>SOJDEB</t>
  </si>
  <si>
    <t>SOHMUY</t>
  </si>
  <si>
    <t>SOHMEI</t>
  </si>
  <si>
    <t>SOHGUS</t>
  </si>
  <si>
    <t>SOGWIV</t>
  </si>
  <si>
    <t>SODZIV</t>
  </si>
  <si>
    <t>SOCPOQ</t>
  </si>
  <si>
    <t>SOBZOY</t>
  </si>
  <si>
    <t>SIZPUN</t>
  </si>
  <si>
    <t>Ce, Ni</t>
  </si>
  <si>
    <t>SIZPEX</t>
  </si>
  <si>
    <t>Ni, Pr</t>
  </si>
  <si>
    <t>SIZPAT</t>
  </si>
  <si>
    <t>SIWGUB</t>
  </si>
  <si>
    <t>Ag, Mn</t>
  </si>
  <si>
    <t>SIVKAK</t>
  </si>
  <si>
    <t>Ni, Sr</t>
  </si>
  <si>
    <t>SISFEH</t>
  </si>
  <si>
    <t>SIQQEO</t>
  </si>
  <si>
    <t>Ca, Cu</t>
  </si>
  <si>
    <t>SIPWUK</t>
  </si>
  <si>
    <t>SIPVOD</t>
  </si>
  <si>
    <t>SINXET</t>
  </si>
  <si>
    <t>SIKYER</t>
  </si>
  <si>
    <t>SIFVAG</t>
  </si>
  <si>
    <t>SICZOV</t>
  </si>
  <si>
    <t>SICZIP</t>
  </si>
  <si>
    <t>SICDAL</t>
  </si>
  <si>
    <t>SIBMIB</t>
  </si>
  <si>
    <t>SEYFEI</t>
  </si>
  <si>
    <t>SEYFAE</t>
  </si>
  <si>
    <t>SEYDUW</t>
  </si>
  <si>
    <t>SEWCED</t>
  </si>
  <si>
    <t>SEVWEV</t>
  </si>
  <si>
    <t>SEVLEM</t>
  </si>
  <si>
    <t>Mo, Zn</t>
  </si>
  <si>
    <t>SETXAS</t>
  </si>
  <si>
    <t>SETWUL</t>
  </si>
  <si>
    <t>SETWOF</t>
  </si>
  <si>
    <t>Cr, Zn</t>
  </si>
  <si>
    <t>SETTAO</t>
  </si>
  <si>
    <t>SETSOB</t>
  </si>
  <si>
    <t>SETSIV</t>
  </si>
  <si>
    <t>SETQUF</t>
  </si>
  <si>
    <t>SETQOZ</t>
  </si>
  <si>
    <t>SETPEO</t>
  </si>
  <si>
    <t>SETFUT</t>
  </si>
  <si>
    <t>SESDEA</t>
  </si>
  <si>
    <t>SERWAP</t>
  </si>
  <si>
    <t>SERKOQ</t>
  </si>
  <si>
    <t>SERKEG</t>
  </si>
  <si>
    <t>SERKAC</t>
  </si>
  <si>
    <t>SERJUV</t>
  </si>
  <si>
    <t>SERJOP</t>
  </si>
  <si>
    <t>SERCEZ</t>
  </si>
  <si>
    <t>SEQTEP</t>
  </si>
  <si>
    <t>SEQSOY</t>
  </si>
  <si>
    <t>SEQSIS</t>
  </si>
  <si>
    <t>SENWOZ</t>
  </si>
  <si>
    <t>SENWIT</t>
  </si>
  <si>
    <t>SENWEP</t>
  </si>
  <si>
    <t>SENWAL</t>
  </si>
  <si>
    <t>SENVIR</t>
  </si>
  <si>
    <t>SEMNIJ</t>
  </si>
  <si>
    <t>SEMNEF</t>
  </si>
  <si>
    <t>SEMFOH</t>
  </si>
  <si>
    <t>SEMFIB</t>
  </si>
  <si>
    <t>SEMFEX</t>
  </si>
  <si>
    <t>SEJBAL</t>
  </si>
  <si>
    <t>SEHZUB</t>
  </si>
  <si>
    <t>SEHXIN</t>
  </si>
  <si>
    <t>SEHTEF</t>
  </si>
  <si>
    <t>SEHTAB</t>
  </si>
  <si>
    <t>SEHSUU</t>
  </si>
  <si>
    <t>SEHSOO</t>
  </si>
  <si>
    <t>SEGBOX</t>
  </si>
  <si>
    <t>SEGBIR</t>
  </si>
  <si>
    <t>SEFSOM</t>
  </si>
  <si>
    <t>SEFNIB</t>
  </si>
  <si>
    <t>SEFBOV</t>
  </si>
  <si>
    <t>SAYKIO</t>
  </si>
  <si>
    <t>SAXFII</t>
  </si>
  <si>
    <t>SATNOR01</t>
  </si>
  <si>
    <t>SATNOR</t>
  </si>
  <si>
    <t>SATCEX</t>
  </si>
  <si>
    <t>SATCAT</t>
  </si>
  <si>
    <t>SATBIA</t>
  </si>
  <si>
    <t>SATBEW</t>
  </si>
  <si>
    <t>SARNOQ</t>
  </si>
  <si>
    <t>SARMOO</t>
  </si>
  <si>
    <t>SARMII</t>
  </si>
  <si>
    <t>SARMEE</t>
  </si>
  <si>
    <t>SARHEA</t>
  </si>
  <si>
    <t>SARHAW</t>
  </si>
  <si>
    <t>SARGUP</t>
  </si>
  <si>
    <t>SARCAR</t>
  </si>
  <si>
    <t>SARBUK</t>
  </si>
  <si>
    <t>SARBOE</t>
  </si>
  <si>
    <t>SAQZOB</t>
  </si>
  <si>
    <t>SAQQOR</t>
  </si>
  <si>
    <t>SAQQIL</t>
  </si>
  <si>
    <t>SAQQEH</t>
  </si>
  <si>
    <t>SAQQAD</t>
  </si>
  <si>
    <t>Al, Zn</t>
  </si>
  <si>
    <t>SAPJIE</t>
  </si>
  <si>
    <t>Ga, Zn</t>
  </si>
  <si>
    <t>SAPJEA</t>
  </si>
  <si>
    <t>SAPBIW</t>
  </si>
  <si>
    <t>SAMLAV03</t>
  </si>
  <si>
    <t>SAMLAV02</t>
  </si>
  <si>
    <t>SAMLAV01</t>
  </si>
  <si>
    <t>removed duplicate oxygen atoms + geom. Minimization (cg/fine)</t>
  </si>
  <si>
    <t>SAMLAV</t>
  </si>
  <si>
    <t>SALRON</t>
  </si>
  <si>
    <t>SALLAT</t>
  </si>
  <si>
    <t>SAKRED</t>
  </si>
  <si>
    <t>SAKRAZ</t>
  </si>
  <si>
    <t>SAKNOJ</t>
  </si>
  <si>
    <t>SAKDEP</t>
  </si>
  <si>
    <t>SAHYOQ05</t>
  </si>
  <si>
    <t>SAHYOQ04</t>
  </si>
  <si>
    <t>SAHYOQ03</t>
  </si>
  <si>
    <t>SAHYOQ02</t>
  </si>
  <si>
    <t>SAHYOQ</t>
  </si>
  <si>
    <t>SAHYIL</t>
  </si>
  <si>
    <t>SAHYIK</t>
  </si>
  <si>
    <t>SAHYAD03</t>
  </si>
  <si>
    <t>SAHYAD02</t>
  </si>
  <si>
    <t>SAHYAD01</t>
  </si>
  <si>
    <t>SAHYAD</t>
  </si>
  <si>
    <t>Fe, Na</t>
  </si>
  <si>
    <t>SAHNIZ</t>
  </si>
  <si>
    <t>SADMUH</t>
  </si>
  <si>
    <t>SADMOB</t>
  </si>
  <si>
    <t>SADMIV</t>
  </si>
  <si>
    <t>SADLOA</t>
  </si>
  <si>
    <t>SADLIU</t>
  </si>
  <si>
    <t>SADLEQ</t>
  </si>
  <si>
    <t>SACDUX</t>
  </si>
  <si>
    <t>SACDOR</t>
  </si>
  <si>
    <t>SABWAU</t>
  </si>
  <si>
    <t>added hydrogen to hydroxyl + geom. Minimization (cg; medium)</t>
  </si>
  <si>
    <t>SABVUN</t>
  </si>
  <si>
    <t>SABVOH01</t>
  </si>
  <si>
    <t>SABVOH</t>
  </si>
  <si>
    <t>RUWXEN</t>
  </si>
  <si>
    <t>RUWXAJ</t>
  </si>
  <si>
    <t>RUWWUC</t>
  </si>
  <si>
    <t>RUWWOW01</t>
  </si>
  <si>
    <t>RUWWOW</t>
  </si>
  <si>
    <t>RUVMAX</t>
  </si>
  <si>
    <t>RUVKOJ</t>
  </si>
  <si>
    <t>RUVKAV</t>
  </si>
  <si>
    <t>Pd, Zn</t>
  </si>
  <si>
    <t>RUTPAY01</t>
  </si>
  <si>
    <t>removed duplicate dimethylimidazolium moiety</t>
  </si>
  <si>
    <t>RUTNOK</t>
  </si>
  <si>
    <t>Na, Sn, Te</t>
  </si>
  <si>
    <t>RUTBUE</t>
  </si>
  <si>
    <t>Cd, Co</t>
  </si>
  <si>
    <t>RUSSAA</t>
  </si>
  <si>
    <t>RURQEB</t>
  </si>
  <si>
    <t>Fe, Pt</t>
  </si>
  <si>
    <t>RURPEA</t>
  </si>
  <si>
    <t>RUPZIM</t>
  </si>
  <si>
    <t>RUPRUQ</t>
  </si>
  <si>
    <t>RUMWUS</t>
  </si>
  <si>
    <t>RULXUS</t>
  </si>
  <si>
    <t>RULXOM</t>
  </si>
  <si>
    <t>Cu, Yb</t>
  </si>
  <si>
    <t>RULQIY</t>
  </si>
  <si>
    <t>RUJGOT</t>
  </si>
  <si>
    <t>RUHCED</t>
  </si>
  <si>
    <t>RUFMUA01</t>
  </si>
  <si>
    <t>RUFMUA</t>
  </si>
  <si>
    <t>Au, Pt, Zn</t>
  </si>
  <si>
    <t>RUCGOM</t>
  </si>
  <si>
    <t>RUBTAK02</t>
  </si>
  <si>
    <t>RUBTAK01</t>
  </si>
  <si>
    <t>Ag, Tb</t>
  </si>
  <si>
    <t>RUBHUS</t>
  </si>
  <si>
    <t>Ag, La</t>
  </si>
  <si>
    <t>RUBHOM</t>
  </si>
  <si>
    <t>ROSCEH</t>
  </si>
  <si>
    <t>RONZUP</t>
  </si>
  <si>
    <t>RONZID</t>
  </si>
  <si>
    <t>RONCIG</t>
  </si>
  <si>
    <t>ROJNEJ</t>
  </si>
  <si>
    <t>ROGSAI</t>
  </si>
  <si>
    <t>ROGMEG</t>
  </si>
  <si>
    <t>ROGLOP</t>
  </si>
  <si>
    <t>RIYDEJ</t>
  </si>
  <si>
    <t>RIXBIK</t>
  </si>
  <si>
    <t>RIXBEG</t>
  </si>
  <si>
    <t>RIWSUM</t>
  </si>
  <si>
    <t>B, Cd</t>
  </si>
  <si>
    <t>RIVDEF</t>
  </si>
  <si>
    <t>Ca, Tb</t>
  </si>
  <si>
    <t>RIPTAM</t>
  </si>
  <si>
    <t>RIPNIP</t>
  </si>
  <si>
    <t>RINPEJ</t>
  </si>
  <si>
    <t>RILVOZ</t>
  </si>
  <si>
    <t>Ca, Gd</t>
  </si>
  <si>
    <t>RIHXIR</t>
  </si>
  <si>
    <t>RIHJUO</t>
  </si>
  <si>
    <t>RIGWIP</t>
  </si>
  <si>
    <t>RIFSOQ</t>
  </si>
  <si>
    <t>RIFQUT</t>
  </si>
  <si>
    <t>RIFQEC</t>
  </si>
  <si>
    <t>RIFDUG01</t>
  </si>
  <si>
    <t>RIDKOE</t>
  </si>
  <si>
    <t>B, Zn</t>
  </si>
  <si>
    <t>RIDGIW</t>
  </si>
  <si>
    <t>RIDDUE</t>
  </si>
  <si>
    <t>RIDCEN</t>
  </si>
  <si>
    <t>RICHIV</t>
  </si>
  <si>
    <t>RICBEM</t>
  </si>
  <si>
    <t>RIBTAZ</t>
  </si>
  <si>
    <t>RIBDEN</t>
  </si>
  <si>
    <t>RIBDAJ</t>
  </si>
  <si>
    <t>REZVAU</t>
  </si>
  <si>
    <t>REYPIW</t>
  </si>
  <si>
    <t>REYNUG</t>
  </si>
  <si>
    <t>REYCOP</t>
  </si>
  <si>
    <t>REYCEF</t>
  </si>
  <si>
    <t>REYBAA</t>
  </si>
  <si>
    <t>REXFUX</t>
  </si>
  <si>
    <t>REXFOR</t>
  </si>
  <si>
    <t>REXFIL</t>
  </si>
  <si>
    <t>REXFEH</t>
  </si>
  <si>
    <t>REXFAD</t>
  </si>
  <si>
    <t>REXDUV</t>
  </si>
  <si>
    <t>REXDOP</t>
  </si>
  <si>
    <t>REXDIJ</t>
  </si>
  <si>
    <t>REXDEF</t>
  </si>
  <si>
    <t>REXDAB</t>
  </si>
  <si>
    <t>REXCUU</t>
  </si>
  <si>
    <t>REXCOO</t>
  </si>
  <si>
    <t>REXCII</t>
  </si>
  <si>
    <t>REWNEO01</t>
  </si>
  <si>
    <t>REWNEO</t>
  </si>
  <si>
    <t>REWLEM</t>
  </si>
  <si>
    <t>RETBEZ</t>
  </si>
  <si>
    <t>RESWUI02</t>
  </si>
  <si>
    <t>RESWUI01</t>
  </si>
  <si>
    <t>RESWUI</t>
  </si>
  <si>
    <t>RESWOC</t>
  </si>
  <si>
    <t>RESSAK</t>
  </si>
  <si>
    <t>RESQAJ</t>
  </si>
  <si>
    <t>REPCIZ</t>
  </si>
  <si>
    <t>RENWEM01</t>
  </si>
  <si>
    <t>RENWEM</t>
  </si>
  <si>
    <t>RELLAW</t>
  </si>
  <si>
    <t>REJVOS</t>
  </si>
  <si>
    <t>REJLIC</t>
  </si>
  <si>
    <t>REJLEY</t>
  </si>
  <si>
    <t>REHMEY</t>
  </si>
  <si>
    <t>REHJIZ</t>
  </si>
  <si>
    <t>REHJEV</t>
  </si>
  <si>
    <t>REHHOD</t>
  </si>
  <si>
    <t>REGYOT</t>
  </si>
  <si>
    <t>REGXOS</t>
  </si>
  <si>
    <t>REGRIG</t>
  </si>
  <si>
    <t>REGREC</t>
  </si>
  <si>
    <t>REGRAY</t>
  </si>
  <si>
    <t>REGQUR</t>
  </si>
  <si>
    <t>REGLOG</t>
  </si>
  <si>
    <t>REGJIW02</t>
  </si>
  <si>
    <t>REGJIW01</t>
  </si>
  <si>
    <t>REGJIW</t>
  </si>
  <si>
    <t>Ca, Zn</t>
  </si>
  <si>
    <t>REFTUT</t>
  </si>
  <si>
    <t>REFTON</t>
  </si>
  <si>
    <t>In, K</t>
  </si>
  <si>
    <t>REFJET</t>
  </si>
  <si>
    <t>REDYEG</t>
  </si>
  <si>
    <t>REDROI</t>
  </si>
  <si>
    <t>REBCAE</t>
  </si>
  <si>
    <t>RAZYOI</t>
  </si>
  <si>
    <t>RAZYIC</t>
  </si>
  <si>
    <t>RAZXIA</t>
  </si>
  <si>
    <t>RAZGOQ</t>
  </si>
  <si>
    <t>RAYMOV</t>
  </si>
  <si>
    <t>RAYMIP</t>
  </si>
  <si>
    <t>RAYMAH</t>
  </si>
  <si>
    <t>RAYMAG</t>
  </si>
  <si>
    <t>RAYLUA</t>
  </si>
  <si>
    <t>RAYLOU</t>
  </si>
  <si>
    <t>RAYLIO</t>
  </si>
  <si>
    <t>RAYLEK</t>
  </si>
  <si>
    <t>RAYLAG</t>
  </si>
  <si>
    <t>RAYKUZ</t>
  </si>
  <si>
    <t>RAYKIN</t>
  </si>
  <si>
    <t>RAYKEJ</t>
  </si>
  <si>
    <t>RAYFEE</t>
  </si>
  <si>
    <t>RAYFAA</t>
  </si>
  <si>
    <t>RAXYOF</t>
  </si>
  <si>
    <t>B, Cu</t>
  </si>
  <si>
    <t>RAXROX</t>
  </si>
  <si>
    <t>RAXDAX</t>
  </si>
  <si>
    <t>RAXCOK</t>
  </si>
  <si>
    <t>RAXCEA</t>
  </si>
  <si>
    <t>RAXCAW</t>
  </si>
  <si>
    <t>RAVXOD</t>
  </si>
  <si>
    <t>RAVXIX</t>
  </si>
  <si>
    <t>RAVXET</t>
  </si>
  <si>
    <t>RAVXAP</t>
  </si>
  <si>
    <t>RAVWUI</t>
  </si>
  <si>
    <t>RAVWOC</t>
  </si>
  <si>
    <t>RAVWIW</t>
  </si>
  <si>
    <t>RAVWES</t>
  </si>
  <si>
    <t>RAVWAO</t>
  </si>
  <si>
    <t>RAVVUH</t>
  </si>
  <si>
    <t>RAVVOA02</t>
  </si>
  <si>
    <t>RAVVOA01</t>
  </si>
  <si>
    <t>RAVVOA</t>
  </si>
  <si>
    <t>RAVVIU01</t>
  </si>
  <si>
    <t>RAVVIU</t>
  </si>
  <si>
    <t>RAVJOP</t>
  </si>
  <si>
    <t>RATVEP</t>
  </si>
  <si>
    <t>RATSAI</t>
  </si>
  <si>
    <t>RATRUB</t>
  </si>
  <si>
    <t>RATNIL</t>
  </si>
  <si>
    <t>RATDAS02</t>
  </si>
  <si>
    <t>RATCUL03</t>
  </si>
  <si>
    <t>RATCUL02</t>
  </si>
  <si>
    <t>RATCUL01</t>
  </si>
  <si>
    <t>RASXIT</t>
  </si>
  <si>
    <t>RASXEP01</t>
  </si>
  <si>
    <t>RASKIH</t>
  </si>
  <si>
    <t>RARYOZ</t>
  </si>
  <si>
    <t>RAQVEM</t>
  </si>
  <si>
    <t>RAPYUE</t>
  </si>
  <si>
    <t>RAPYOY</t>
  </si>
  <si>
    <t>RAJFAL</t>
  </si>
  <si>
    <t>RAHNOF</t>
  </si>
  <si>
    <t>RAHBUZ</t>
  </si>
  <si>
    <t>Ba, Ge</t>
  </si>
  <si>
    <t>RAGYAB</t>
  </si>
  <si>
    <t>RAGREY</t>
  </si>
  <si>
    <t>RAFRUL</t>
  </si>
  <si>
    <t>RACZIG</t>
  </si>
  <si>
    <t>RACZEC</t>
  </si>
  <si>
    <t>RACHUA01</t>
  </si>
  <si>
    <t>RACHUA</t>
  </si>
  <si>
    <t>RABHIH</t>
  </si>
  <si>
    <t>RABHAZ</t>
  </si>
  <si>
    <t>QUVFET</t>
  </si>
  <si>
    <t>QUVFAP</t>
  </si>
  <si>
    <t>QUVDUH</t>
  </si>
  <si>
    <t>QUVDOB</t>
  </si>
  <si>
    <t>QUTTII</t>
  </si>
  <si>
    <t>QUSFEP</t>
  </si>
  <si>
    <t>Cd, Li</t>
  </si>
  <si>
    <t>QUSCAJ</t>
  </si>
  <si>
    <t>QUSBIQ</t>
  </si>
  <si>
    <t>QUSBIP</t>
  </si>
  <si>
    <t>QUSBEM</t>
  </si>
  <si>
    <t>QURSEC</t>
  </si>
  <si>
    <t>QUQPUO</t>
  </si>
  <si>
    <t>QUQPOI</t>
  </si>
  <si>
    <t>QUQPIC</t>
  </si>
  <si>
    <t>QUQHAM</t>
  </si>
  <si>
    <t>QUQGEP</t>
  </si>
  <si>
    <t>QUQGAL</t>
  </si>
  <si>
    <t>QUQFOY</t>
  </si>
  <si>
    <t>QUQFIS</t>
  </si>
  <si>
    <t>QUPZAC</t>
  </si>
  <si>
    <t>QUPJAN</t>
  </si>
  <si>
    <t>QUPHUF</t>
  </si>
  <si>
    <t>QUPHIT</t>
  </si>
  <si>
    <t>QUPDEL</t>
  </si>
  <si>
    <t>QUNMUI</t>
  </si>
  <si>
    <t>QULMIU</t>
  </si>
  <si>
    <t>QULLEP</t>
  </si>
  <si>
    <t>QULKIS</t>
  </si>
  <si>
    <t>QUKYUR</t>
  </si>
  <si>
    <t>QUKYOL</t>
  </si>
  <si>
    <t>QUJFUX</t>
  </si>
  <si>
    <t>Nd, Re, Se</t>
  </si>
  <si>
    <t>QUGPAJ</t>
  </si>
  <si>
    <t>QUGNOV</t>
  </si>
  <si>
    <t>QUGBUQ</t>
  </si>
  <si>
    <t>QUFTAM</t>
  </si>
  <si>
    <t>Al, Mg</t>
  </si>
  <si>
    <t>QUFGIH</t>
  </si>
  <si>
    <t>QUFFED</t>
  </si>
  <si>
    <t>QUDJOP</t>
  </si>
  <si>
    <t>QUDJIJ</t>
  </si>
  <si>
    <t>QUBZIX</t>
  </si>
  <si>
    <t>QQQGTA03</t>
  </si>
  <si>
    <t>QQQGTA02</t>
  </si>
  <si>
    <t>QQQGTA01</t>
  </si>
  <si>
    <t>QOZFUG</t>
  </si>
  <si>
    <t>QOZDOY</t>
  </si>
  <si>
    <t>QOXNIB</t>
  </si>
  <si>
    <t>QOWRAV</t>
  </si>
  <si>
    <t>QOWQUO</t>
  </si>
  <si>
    <t>QOWLEU</t>
  </si>
  <si>
    <t>QOVWOO</t>
  </si>
  <si>
    <t>QOVGOY01</t>
  </si>
  <si>
    <t>QOVGOY</t>
  </si>
  <si>
    <t>QOVDEL</t>
  </si>
  <si>
    <t>QOSXAY</t>
  </si>
  <si>
    <t>QOPZIF</t>
  </si>
  <si>
    <t>QOPHEI</t>
  </si>
  <si>
    <t>QOPCII</t>
  </si>
  <si>
    <t>QONQEQ</t>
  </si>
  <si>
    <t>QOMFEE</t>
  </si>
  <si>
    <t>QOMFAA</t>
  </si>
  <si>
    <t>QOMDUS</t>
  </si>
  <si>
    <t>QOKCID</t>
  </si>
  <si>
    <t>QOJVAM</t>
  </si>
  <si>
    <t>QOHTUD</t>
  </si>
  <si>
    <t>QOHTOX</t>
  </si>
  <si>
    <t>QOCSAD</t>
  </si>
  <si>
    <t>QOCRUW</t>
  </si>
  <si>
    <t>QOCBEQ</t>
  </si>
  <si>
    <t>QIYQAR</t>
  </si>
  <si>
    <t>QIWDOQ</t>
  </si>
  <si>
    <t>Cd, Fe</t>
  </si>
  <si>
    <t>QIVBUT</t>
  </si>
  <si>
    <t>QITYOI</t>
  </si>
  <si>
    <t>QITMUC</t>
  </si>
  <si>
    <t>QITMOW</t>
  </si>
  <si>
    <t>QISVEU</t>
  </si>
  <si>
    <t>QISVAQ</t>
  </si>
  <si>
    <t>Mo, Rh</t>
  </si>
  <si>
    <t>QISRIV</t>
  </si>
  <si>
    <t>QISKIN</t>
  </si>
  <si>
    <t>QIRYAS</t>
  </si>
  <si>
    <t>Mn, Re</t>
  </si>
  <si>
    <t>QIGBIR</t>
  </si>
  <si>
    <t>QIFLUO</t>
  </si>
  <si>
    <t>QIFLOI</t>
  </si>
  <si>
    <t>QIFLIC</t>
  </si>
  <si>
    <t>QIDDAI02</t>
  </si>
  <si>
    <t>QIDDAI01</t>
  </si>
  <si>
    <t>QIDDAI</t>
  </si>
  <si>
    <t>QIBTEA</t>
  </si>
  <si>
    <t>QIBTAW</t>
  </si>
  <si>
    <t>QEZZOL</t>
  </si>
  <si>
    <t>QEZZIF</t>
  </si>
  <si>
    <t>QEYWUN</t>
  </si>
  <si>
    <t>QEWDON</t>
  </si>
  <si>
    <t>QEVKOS</t>
  </si>
  <si>
    <t>QETSOY</t>
  </si>
  <si>
    <t>QETCUO</t>
  </si>
  <si>
    <t>QESYOD</t>
  </si>
  <si>
    <t>QERZUI01</t>
  </si>
  <si>
    <t>QERZUI</t>
  </si>
  <si>
    <t>QERWAL</t>
  </si>
  <si>
    <t>QEPZUH</t>
  </si>
  <si>
    <t>QEPZOB</t>
  </si>
  <si>
    <t>QEKLUP</t>
  </si>
  <si>
    <t>QEKLID01</t>
  </si>
  <si>
    <t>QEKLID</t>
  </si>
  <si>
    <t>QEJYIP</t>
  </si>
  <si>
    <t>QEGNOH</t>
  </si>
  <si>
    <t>QEGGUE</t>
  </si>
  <si>
    <t>QEFNAQ</t>
  </si>
  <si>
    <t>QEDZEG</t>
  </si>
  <si>
    <t>QEBKUF</t>
  </si>
  <si>
    <t>QEBGEL</t>
  </si>
  <si>
    <t>QEBGAH</t>
  </si>
  <si>
    <t>QAYTOZ</t>
  </si>
  <si>
    <t>QAWRIQ</t>
  </si>
  <si>
    <t>QAWREM</t>
  </si>
  <si>
    <t>Nd, Ni</t>
  </si>
  <si>
    <t>QAVZAQ</t>
  </si>
  <si>
    <t>La, Ni</t>
  </si>
  <si>
    <t>QAVYUJ</t>
  </si>
  <si>
    <t>QAVWAN</t>
  </si>
  <si>
    <t>QAVDEW</t>
  </si>
  <si>
    <t>QAVBUL</t>
  </si>
  <si>
    <t>QATRAG</t>
  </si>
  <si>
    <t>QATPUX</t>
  </si>
  <si>
    <t>QATLEE</t>
  </si>
  <si>
    <t>QATHOK</t>
  </si>
  <si>
    <t>QATHIE</t>
  </si>
  <si>
    <t>Fe, K</t>
  </si>
  <si>
    <t>QASSUZ</t>
  </si>
  <si>
    <t>QARTEK</t>
  </si>
  <si>
    <t>QARTAG</t>
  </si>
  <si>
    <t>QARCET</t>
  </si>
  <si>
    <t>QAQSAD</t>
  </si>
  <si>
    <t>QAQRUW01</t>
  </si>
  <si>
    <t>QAQRUW</t>
  </si>
  <si>
    <t>QAPQAA</t>
  </si>
  <si>
    <t>QAMVEH01</t>
  </si>
  <si>
    <t>QAMVEH</t>
  </si>
  <si>
    <t>QALNIA</t>
  </si>
  <si>
    <t>QALNEW</t>
  </si>
  <si>
    <t>QALGUH</t>
  </si>
  <si>
    <t>Ba, Cd</t>
  </si>
  <si>
    <t>QAHMUJ</t>
  </si>
  <si>
    <t>QAGQEW</t>
  </si>
  <si>
    <t>Sn</t>
  </si>
  <si>
    <t>QADBII</t>
  </si>
  <si>
    <t>B, Co, Cu</t>
  </si>
  <si>
    <t>QABVEW</t>
  </si>
  <si>
    <t>PUZMAZ</t>
  </si>
  <si>
    <t>PUZLUS</t>
  </si>
  <si>
    <t>PUZLOM</t>
  </si>
  <si>
    <t>Co, Na</t>
  </si>
  <si>
    <t>PUWYAI</t>
  </si>
  <si>
    <t>PUWDOA</t>
  </si>
  <si>
    <t>PUWDEQ</t>
  </si>
  <si>
    <t>PUWCUF</t>
  </si>
  <si>
    <t>PUWCOZ</t>
  </si>
  <si>
    <t>PUWCEP</t>
  </si>
  <si>
    <t>PUTYAE</t>
  </si>
  <si>
    <t>PUSXIL01</t>
  </si>
  <si>
    <t>PUSXIL</t>
  </si>
  <si>
    <t>PUSDOX</t>
  </si>
  <si>
    <t>PUSDIR</t>
  </si>
  <si>
    <t>PURTEC</t>
  </si>
  <si>
    <t>PURSOK</t>
  </si>
  <si>
    <t>PURRIE</t>
  </si>
  <si>
    <t>PURQUP</t>
  </si>
  <si>
    <t>PURQOJ</t>
  </si>
  <si>
    <t>Ce, Na</t>
  </si>
  <si>
    <t>PURQID</t>
  </si>
  <si>
    <t>PURQEZ</t>
  </si>
  <si>
    <t>PURJIW</t>
  </si>
  <si>
    <t>PURJES</t>
  </si>
  <si>
    <t>PURJAO</t>
  </si>
  <si>
    <t>PUQYAC</t>
  </si>
  <si>
    <t>PUQXUV</t>
  </si>
  <si>
    <t>PUQHIT</t>
  </si>
  <si>
    <t>PUQHEP</t>
  </si>
  <si>
    <t>PUPXII</t>
  </si>
  <si>
    <t>PUPNAQ</t>
  </si>
  <si>
    <t>PUPHUE</t>
  </si>
  <si>
    <t>PUNSUN</t>
  </si>
  <si>
    <t>PUNFIO</t>
  </si>
  <si>
    <t>PUMNOB</t>
  </si>
  <si>
    <t>Cd, Hg</t>
  </si>
  <si>
    <t>PUMNIV</t>
  </si>
  <si>
    <t>Cu, Na, W</t>
  </si>
  <si>
    <t>PULDOQ</t>
  </si>
  <si>
    <t>PUJQEQ</t>
  </si>
  <si>
    <t>PUDSUD</t>
  </si>
  <si>
    <t>PUDSOX</t>
  </si>
  <si>
    <t>PUDSIR01</t>
  </si>
  <si>
    <t>PUDSIR</t>
  </si>
  <si>
    <t>Au, Sn</t>
  </si>
  <si>
    <t>POZKUL</t>
  </si>
  <si>
    <t>POZHUI</t>
  </si>
  <si>
    <t>Ag, Eu</t>
  </si>
  <si>
    <t>POXHUG</t>
  </si>
  <si>
    <t>Ag, Dy</t>
  </si>
  <si>
    <t>POXHOA</t>
  </si>
  <si>
    <t>Ag, Ho</t>
  </si>
  <si>
    <t>POXHIU</t>
  </si>
  <si>
    <t>POVXII</t>
  </si>
  <si>
    <t>PORVUO</t>
  </si>
  <si>
    <t>POQXAV</t>
  </si>
  <si>
    <t>POLNAG</t>
  </si>
  <si>
    <t>POKXIX</t>
  </si>
  <si>
    <t>POKGEC</t>
  </si>
  <si>
    <t>POJTUE</t>
  </si>
  <si>
    <t>POJTOY01</t>
  </si>
  <si>
    <t>POCPAZ</t>
  </si>
  <si>
    <t>POBYAH</t>
  </si>
  <si>
    <t>POBMOJ01</t>
  </si>
  <si>
    <t>PIZPOD</t>
  </si>
  <si>
    <t>PIZPIX</t>
  </si>
  <si>
    <t>PIZPET</t>
  </si>
  <si>
    <t>PIZPAP</t>
  </si>
  <si>
    <t>PIZNOB</t>
  </si>
  <si>
    <t>PIYZAZ</t>
  </si>
  <si>
    <t>PIXPET</t>
  </si>
  <si>
    <t>PIXHOV</t>
  </si>
  <si>
    <t>PILWIS</t>
  </si>
  <si>
    <t>Rb</t>
  </si>
  <si>
    <t>PIKBUH</t>
  </si>
  <si>
    <t>PIJROR</t>
  </si>
  <si>
    <t>PIJJOI</t>
  </si>
  <si>
    <t>PIHWAG</t>
  </si>
  <si>
    <t>PIHNUQ</t>
  </si>
  <si>
    <t>PIHJOH</t>
  </si>
  <si>
    <t>PIGXUZ</t>
  </si>
  <si>
    <t>PIGXAF</t>
  </si>
  <si>
    <t>PIFPIE</t>
  </si>
  <si>
    <t>PIDMEV01</t>
  </si>
  <si>
    <t>PIDMEV</t>
  </si>
  <si>
    <t>PICTIG</t>
  </si>
  <si>
    <t>PIBPIA</t>
  </si>
  <si>
    <t>PIBPEW01</t>
  </si>
  <si>
    <t>PIBPEW</t>
  </si>
  <si>
    <t>PIBPAS01</t>
  </si>
  <si>
    <t>PIBNUK01</t>
  </si>
  <si>
    <t>PIBNUK</t>
  </si>
  <si>
    <t>PEYVEV</t>
  </si>
  <si>
    <t>PEYSIW</t>
  </si>
  <si>
    <t>PEYPIU</t>
  </si>
  <si>
    <t>PEYPAM</t>
  </si>
  <si>
    <t>PEXTUI</t>
  </si>
  <si>
    <t>PEXBIF</t>
  </si>
  <si>
    <t>PEWXUL01</t>
  </si>
  <si>
    <t>PEWXUL</t>
  </si>
  <si>
    <t>PEWLUA</t>
  </si>
  <si>
    <t>PEWKOT</t>
  </si>
  <si>
    <t>PEWGEF</t>
  </si>
  <si>
    <t>PEWFII</t>
  </si>
  <si>
    <t>PEVZAT</t>
  </si>
  <si>
    <t>PEVYUM</t>
  </si>
  <si>
    <t>PEVXAQ</t>
  </si>
  <si>
    <t>PEVQOY</t>
  </si>
  <si>
    <t>PEVQIS</t>
  </si>
  <si>
    <t>PEVQEO</t>
  </si>
  <si>
    <t>PEVQAK</t>
  </si>
  <si>
    <t>PEVPUD</t>
  </si>
  <si>
    <t>PEVLIN</t>
  </si>
  <si>
    <t>PEVLEJ</t>
  </si>
  <si>
    <t>PEVJOQ</t>
  </si>
  <si>
    <t>PETWOC</t>
  </si>
  <si>
    <t>PETVER</t>
  </si>
  <si>
    <t>PETVEQ</t>
  </si>
  <si>
    <t>PESTUD</t>
  </si>
  <si>
    <t>U, Zn</t>
  </si>
  <si>
    <t>PERSEM</t>
  </si>
  <si>
    <t>PEQWAK</t>
  </si>
  <si>
    <t>PEQTIQ</t>
  </si>
  <si>
    <t>PEQRUZ</t>
  </si>
  <si>
    <t>PEQHUQ</t>
  </si>
  <si>
    <t>PEQHOK</t>
  </si>
  <si>
    <t>PEPXIS</t>
  </si>
  <si>
    <t>PEPLOM</t>
  </si>
  <si>
    <t>PEPLIG</t>
  </si>
  <si>
    <t>PEPLEC</t>
  </si>
  <si>
    <t>PEPKUR</t>
  </si>
  <si>
    <t>PEPHOJ</t>
  </si>
  <si>
    <t>PEPFAT</t>
  </si>
  <si>
    <t>PEPBAO</t>
  </si>
  <si>
    <t>PENZUE</t>
  </si>
  <si>
    <t>PENNUT</t>
  </si>
  <si>
    <t>PENNON</t>
  </si>
  <si>
    <t>PENNAZ</t>
  </si>
  <si>
    <t>PEMRIK</t>
  </si>
  <si>
    <t>PEMREG</t>
  </si>
  <si>
    <t>PEMGIZ</t>
  </si>
  <si>
    <t>PELXIP</t>
  </si>
  <si>
    <t>PELWEK</t>
  </si>
  <si>
    <t>PELRIJ</t>
  </si>
  <si>
    <t>PELQII</t>
  </si>
  <si>
    <t>PELNEA01</t>
  </si>
  <si>
    <t>PELGOE</t>
  </si>
  <si>
    <t>PELGIY</t>
  </si>
  <si>
    <t>PEKVAE</t>
  </si>
  <si>
    <t>PEKKAS</t>
  </si>
  <si>
    <t>PEKDAM</t>
  </si>
  <si>
    <t>PEKCUF</t>
  </si>
  <si>
    <t>PEJRON</t>
  </si>
  <si>
    <t>PEJRIH</t>
  </si>
  <si>
    <t>PEJRED</t>
  </si>
  <si>
    <t>PEJRAZ</t>
  </si>
  <si>
    <t>PEJPOL</t>
  </si>
  <si>
    <t>PEJPIF</t>
  </si>
  <si>
    <t>PEJPEB</t>
  </si>
  <si>
    <t>PEJPAX</t>
  </si>
  <si>
    <t>PEJNOJ</t>
  </si>
  <si>
    <t>PEJMUN</t>
  </si>
  <si>
    <t>PEJMOI</t>
  </si>
  <si>
    <t>PEJFOA</t>
  </si>
  <si>
    <t>PEHQID</t>
  </si>
  <si>
    <t>B, Fe, Rh</t>
  </si>
  <si>
    <t>PEHBIO</t>
  </si>
  <si>
    <t>PEGQUP</t>
  </si>
  <si>
    <t>PEGQOJ</t>
  </si>
  <si>
    <t>PEGQID</t>
  </si>
  <si>
    <t>PEGQAV</t>
  </si>
  <si>
    <t>PEGPUO</t>
  </si>
  <si>
    <t>PEGCIP</t>
  </si>
  <si>
    <t>PEGCEL</t>
  </si>
  <si>
    <t>PEGCAH</t>
  </si>
  <si>
    <t>PEGBUA</t>
  </si>
  <si>
    <t>PEGBEK02</t>
  </si>
  <si>
    <t>PEGBEK01</t>
  </si>
  <si>
    <t>PEGBEK</t>
  </si>
  <si>
    <t>PEGBAG</t>
  </si>
  <si>
    <t>PEFTAX</t>
  </si>
  <si>
    <t>PEFSUQ</t>
  </si>
  <si>
    <t>PEFSEA</t>
  </si>
  <si>
    <t>PEFRUP01</t>
  </si>
  <si>
    <t>PEFRUP</t>
  </si>
  <si>
    <t>PEFRID01</t>
  </si>
  <si>
    <t>PEFRID</t>
  </si>
  <si>
    <t>PEDMOB</t>
  </si>
  <si>
    <t>PEDMER</t>
  </si>
  <si>
    <t>Ba, Ti</t>
  </si>
  <si>
    <t>PEDGUA</t>
  </si>
  <si>
    <t>PECMOB</t>
  </si>
  <si>
    <t>PEBXIF</t>
  </si>
  <si>
    <t>PEBNEP</t>
  </si>
  <si>
    <t>PAZXUJ</t>
  </si>
  <si>
    <t>PAVLUU</t>
  </si>
  <si>
    <t>PAVKIH</t>
  </si>
  <si>
    <t>PASTOU</t>
  </si>
  <si>
    <t>PASNEE</t>
  </si>
  <si>
    <t>PASNAA01</t>
  </si>
  <si>
    <t>PASNAA</t>
  </si>
  <si>
    <t>PASMUT</t>
  </si>
  <si>
    <t>PASKAX</t>
  </si>
  <si>
    <t>PARVUB</t>
  </si>
  <si>
    <t>PARPII</t>
  </si>
  <si>
    <t>PARNON</t>
  </si>
  <si>
    <t>PARNIH</t>
  </si>
  <si>
    <t>PARMIG</t>
  </si>
  <si>
    <t>PARKUQ</t>
  </si>
  <si>
    <t>PARHEW</t>
  </si>
  <si>
    <t>PARHAS</t>
  </si>
  <si>
    <t>PARFOF</t>
  </si>
  <si>
    <t>Fe, Ni</t>
  </si>
  <si>
    <t>PAQVOU</t>
  </si>
  <si>
    <t>PAQFIY</t>
  </si>
  <si>
    <t>Cs, U</t>
  </si>
  <si>
    <t>PAPYOW</t>
  </si>
  <si>
    <t>PAPXUB</t>
  </si>
  <si>
    <t>PAPVIN</t>
  </si>
  <si>
    <t>PAPVEJ</t>
  </si>
  <si>
    <t>PAPRUU</t>
  </si>
  <si>
    <t>PAPROO</t>
  </si>
  <si>
    <t>PAPPIH</t>
  </si>
  <si>
    <t>PAPPED</t>
  </si>
  <si>
    <t>PAPHEV</t>
  </si>
  <si>
    <t>PANYOU</t>
  </si>
  <si>
    <t>PANYEK</t>
  </si>
  <si>
    <t>PAMVEG</t>
  </si>
  <si>
    <t>PAMTUU</t>
  </si>
  <si>
    <t>PAMTOO</t>
  </si>
  <si>
    <t>PAMTII</t>
  </si>
  <si>
    <t>PAMHIW</t>
  </si>
  <si>
    <t>PAMHES01</t>
  </si>
  <si>
    <t>PAMHES</t>
  </si>
  <si>
    <t>PAMGIV</t>
  </si>
  <si>
    <t>PALTON</t>
  </si>
  <si>
    <t>PAKXIK</t>
  </si>
  <si>
    <t>PADBAZ</t>
  </si>
  <si>
    <t>PACZUQ</t>
  </si>
  <si>
    <t>PABXAT</t>
  </si>
  <si>
    <t>OYUSAD</t>
  </si>
  <si>
    <t>OYUJUO</t>
  </si>
  <si>
    <t>OYOSAX</t>
  </si>
  <si>
    <t>OYODEM</t>
  </si>
  <si>
    <t>OYODAI</t>
  </si>
  <si>
    <t>OYIVEY</t>
  </si>
  <si>
    <t>OYEJOS</t>
  </si>
  <si>
    <t>OYEBIE</t>
  </si>
  <si>
    <t>OXUPUT</t>
  </si>
  <si>
    <t>OXOLAP</t>
  </si>
  <si>
    <t>OXITOF</t>
  </si>
  <si>
    <t>OXAZIX</t>
  </si>
  <si>
    <t>OXAPEJ</t>
  </si>
  <si>
    <t>OXAMIK</t>
  </si>
  <si>
    <t>OXALUV</t>
  </si>
  <si>
    <t>OXALIJ</t>
  </si>
  <si>
    <t>OWIZAW</t>
  </si>
  <si>
    <t>OWIVEW</t>
  </si>
  <si>
    <t>OWIVAS</t>
  </si>
  <si>
    <t>OWITUK</t>
  </si>
  <si>
    <t>OWITOE</t>
  </si>
  <si>
    <t>OWITIY</t>
  </si>
  <si>
    <t>OWITEU</t>
  </si>
  <si>
    <t>OWITAQ</t>
  </si>
  <si>
    <t>Ag, W</t>
  </si>
  <si>
    <t>OWETIU</t>
  </si>
  <si>
    <t>OWAVOY</t>
  </si>
  <si>
    <t>OWAVIS</t>
  </si>
  <si>
    <t>OVIZUP</t>
  </si>
  <si>
    <t>OVIZID</t>
  </si>
  <si>
    <t>Co, U</t>
  </si>
  <si>
    <t>OVIWIA</t>
  </si>
  <si>
    <t>OVIDON</t>
  </si>
  <si>
    <t>OVICUS</t>
  </si>
  <si>
    <t>OVEXOD</t>
  </si>
  <si>
    <t>OVEJIJ</t>
  </si>
  <si>
    <t>Li, Mg</t>
  </si>
  <si>
    <t>OVADAR</t>
  </si>
  <si>
    <t>OTOROF</t>
  </si>
  <si>
    <t>OTENEH</t>
  </si>
  <si>
    <t>OTAXOX</t>
  </si>
  <si>
    <t>OTAVUB</t>
  </si>
  <si>
    <t>OTAVOV</t>
  </si>
  <si>
    <t>OTAVAH</t>
  </si>
  <si>
    <t>OTATOT</t>
  </si>
  <si>
    <t>OTARUX02</t>
  </si>
  <si>
    <t>OTARUX01</t>
  </si>
  <si>
    <t>OTARUX</t>
  </si>
  <si>
    <t>OTARIL</t>
  </si>
  <si>
    <t>OSOMIT</t>
  </si>
  <si>
    <t>OSIXIY</t>
  </si>
  <si>
    <t>OSIXEU</t>
  </si>
  <si>
    <t>OSIWUJ</t>
  </si>
  <si>
    <t>OSIWOD01</t>
  </si>
  <si>
    <t>OSILOS</t>
  </si>
  <si>
    <t>OSIKUX</t>
  </si>
  <si>
    <t>OSIKIL</t>
  </si>
  <si>
    <t>OSAXAI</t>
  </si>
  <si>
    <t>OSAWEL</t>
  </si>
  <si>
    <t>OSAVUA</t>
  </si>
  <si>
    <t>OSAVEK</t>
  </si>
  <si>
    <t>ORAQUU</t>
  </si>
  <si>
    <t>Gd, Re, Se</t>
  </si>
  <si>
    <t>ORAGEU</t>
  </si>
  <si>
    <t>OQIRAI</t>
  </si>
  <si>
    <t>OQIQUB01</t>
  </si>
  <si>
    <t>OQIQUB</t>
  </si>
  <si>
    <t>OQETEK</t>
  </si>
  <si>
    <t>Cd, Pd</t>
  </si>
  <si>
    <t>OQESEJ</t>
  </si>
  <si>
    <t>OQESAF</t>
  </si>
  <si>
    <t>OQEROS</t>
  </si>
  <si>
    <t>OQEPUW</t>
  </si>
  <si>
    <t>OQANIE</t>
  </si>
  <si>
    <t>OPURIB01</t>
  </si>
  <si>
    <t>OPURIB</t>
  </si>
  <si>
    <t>OPOZEZ</t>
  </si>
  <si>
    <t>OPOYUO</t>
  </si>
  <si>
    <t>OPOBOL</t>
  </si>
  <si>
    <t>OPOBIF</t>
  </si>
  <si>
    <t>OPIWEQ</t>
  </si>
  <si>
    <t>OPIPOT</t>
  </si>
  <si>
    <t>OPENUT</t>
  </si>
  <si>
    <t>OPENON</t>
  </si>
  <si>
    <t>OPENIH</t>
  </si>
  <si>
    <t>OPAPUR</t>
  </si>
  <si>
    <t>OPAPOL</t>
  </si>
  <si>
    <t>OPAPIF</t>
  </si>
  <si>
    <t>OPAPEB</t>
  </si>
  <si>
    <t>ONIXOZ</t>
  </si>
  <si>
    <t>ONEYOW</t>
  </si>
  <si>
    <t>OMORUE</t>
  </si>
  <si>
    <t>OMEWUZ</t>
  </si>
  <si>
    <t>OMAXEG</t>
  </si>
  <si>
    <t>OMAWOP</t>
  </si>
  <si>
    <t>OLURUI01</t>
  </si>
  <si>
    <t>OLURUI</t>
  </si>
  <si>
    <t>OLUCAZ</t>
  </si>
  <si>
    <t>OLOKEF</t>
  </si>
  <si>
    <t>OLOGEC</t>
  </si>
  <si>
    <t>OLEKUM</t>
  </si>
  <si>
    <t>OKIYIR03</t>
  </si>
  <si>
    <t>OKIYIR02</t>
  </si>
  <si>
    <t>OKIYIR01</t>
  </si>
  <si>
    <t>OKIYIR</t>
  </si>
  <si>
    <t>OKIYAJ</t>
  </si>
  <si>
    <t>OKIXIQ02</t>
  </si>
  <si>
    <t>OKIXIQ01</t>
  </si>
  <si>
    <t>OKIXIQ</t>
  </si>
  <si>
    <t>OKIWUB01</t>
  </si>
  <si>
    <t>OKIWUB</t>
  </si>
  <si>
    <t>OKIWEL02</t>
  </si>
  <si>
    <t>OKIWEL01</t>
  </si>
  <si>
    <t>OKIWEL</t>
  </si>
  <si>
    <t>OKIVIO02</t>
  </si>
  <si>
    <t>OKIVIO01</t>
  </si>
  <si>
    <t>OKIVIO</t>
  </si>
  <si>
    <t>OKIVAG01</t>
  </si>
  <si>
    <t>OKIVAG</t>
  </si>
  <si>
    <t>OKITIM02</t>
  </si>
  <si>
    <t>OKITIM01</t>
  </si>
  <si>
    <t>OKITIM</t>
  </si>
  <si>
    <t>OKITAE</t>
  </si>
  <si>
    <t>OKIQAB</t>
  </si>
  <si>
    <t>OKIPUU</t>
  </si>
  <si>
    <t>OKIPOO</t>
  </si>
  <si>
    <t>OKINIG</t>
  </si>
  <si>
    <t>OKILIE</t>
  </si>
  <si>
    <t>OKILEA</t>
  </si>
  <si>
    <t>OKIKEZ</t>
  </si>
  <si>
    <t>OKIKAV</t>
  </si>
  <si>
    <t>OKIJUO</t>
  </si>
  <si>
    <t>OKABEI</t>
  </si>
  <si>
    <t>OKABAE</t>
  </si>
  <si>
    <t>OJONOQ</t>
  </si>
  <si>
    <t>OJIWIO</t>
  </si>
  <si>
    <t>OJIWAG</t>
  </si>
  <si>
    <t>OJIDAN</t>
  </si>
  <si>
    <t>OJICUG</t>
  </si>
  <si>
    <t>OJICEQ</t>
  </si>
  <si>
    <t>OJAKUG</t>
  </si>
  <si>
    <t>OJAKOA</t>
  </si>
  <si>
    <t>OHUKIM</t>
  </si>
  <si>
    <t>OHOMIH</t>
  </si>
  <si>
    <t>OHOLIH</t>
  </si>
  <si>
    <t>OHOFIA</t>
  </si>
  <si>
    <t>OHOFEW</t>
  </si>
  <si>
    <t>OHAZAZ</t>
  </si>
  <si>
    <t>OHAQEU</t>
  </si>
  <si>
    <t>OHAKIS</t>
  </si>
  <si>
    <t>OHAKEO</t>
  </si>
  <si>
    <t>OGURAK</t>
  </si>
  <si>
    <t>OGUPIQ</t>
  </si>
  <si>
    <t>OGOWAJ</t>
  </si>
  <si>
    <t>OGOJOJ</t>
  </si>
  <si>
    <t>OGIYUZ</t>
  </si>
  <si>
    <t>OGIYOT</t>
  </si>
  <si>
    <t>OGIYAF</t>
  </si>
  <si>
    <t>OGIKAR</t>
  </si>
  <si>
    <t>OGECOU</t>
  </si>
  <si>
    <t>OGEBAF</t>
  </si>
  <si>
    <t>OGAXUR</t>
  </si>
  <si>
    <t>OGAGIN</t>
  </si>
  <si>
    <t>OGAGEJ</t>
  </si>
  <si>
    <t>OGAGAF</t>
  </si>
  <si>
    <t>OFUYUL</t>
  </si>
  <si>
    <t>OFUSEP</t>
  </si>
  <si>
    <t>OFUSAL</t>
  </si>
  <si>
    <t>OFUDUQ</t>
  </si>
  <si>
    <t>OFUCAV</t>
  </si>
  <si>
    <t>OFORUX</t>
  </si>
  <si>
    <t>OFODET</t>
  </si>
  <si>
    <t>OFODAP</t>
  </si>
  <si>
    <t>OFOCUI</t>
  </si>
  <si>
    <t>OFIWOQ</t>
  </si>
  <si>
    <t>OFIWIK01</t>
  </si>
  <si>
    <t>OFIWIK</t>
  </si>
  <si>
    <t>OFESIC</t>
  </si>
  <si>
    <t>OFESEY</t>
  </si>
  <si>
    <t>OFESAU</t>
  </si>
  <si>
    <t>OFERUN04</t>
  </si>
  <si>
    <t>OFERUN03</t>
  </si>
  <si>
    <t>OFERUN02</t>
  </si>
  <si>
    <t>OFERUN</t>
  </si>
  <si>
    <t>OFEREX</t>
  </si>
  <si>
    <t>OFEHEO</t>
  </si>
  <si>
    <t>OFEHAK</t>
  </si>
  <si>
    <t>OFAWEZ</t>
  </si>
  <si>
    <t>OFAWAV</t>
  </si>
  <si>
    <t>ODUNEH</t>
  </si>
  <si>
    <t>ODOXEK</t>
  </si>
  <si>
    <t>ODONIF</t>
  </si>
  <si>
    <t>ODONEB</t>
  </si>
  <si>
    <t>ODODUI</t>
  </si>
  <si>
    <t>Cd, Si</t>
  </si>
  <si>
    <t>ODODOC</t>
  </si>
  <si>
    <t>ODODIW</t>
  </si>
  <si>
    <t>ODODES</t>
  </si>
  <si>
    <t>ODIXEG</t>
  </si>
  <si>
    <t>ODIXAC</t>
  </si>
  <si>
    <t>ODIMAQ</t>
  </si>
  <si>
    <t>ODELOZ</t>
  </si>
  <si>
    <t>ODAJAG</t>
  </si>
  <si>
    <t>ODAHIK</t>
  </si>
  <si>
    <t>OCUPUY</t>
  </si>
  <si>
    <t>OCUPOS</t>
  </si>
  <si>
    <t>hydrogenation + geom. Minimization (fine setting/cg)</t>
  </si>
  <si>
    <t>OCUNAC</t>
  </si>
  <si>
    <t>OCUGEZ01</t>
  </si>
  <si>
    <t>OCUGEZ</t>
  </si>
  <si>
    <t>OCIZIL</t>
  </si>
  <si>
    <t>OCIYUW</t>
  </si>
  <si>
    <t>OCIVIH</t>
  </si>
  <si>
    <t>OCAQOY</t>
  </si>
  <si>
    <t>OCACUR</t>
  </si>
  <si>
    <t>OBUFIB</t>
  </si>
  <si>
    <t>OBUFEX</t>
  </si>
  <si>
    <t>removed oxygen atoms (free)</t>
  </si>
  <si>
    <t>OBUBOC</t>
  </si>
  <si>
    <t>OBONUO</t>
  </si>
  <si>
    <t>OBODEQ</t>
  </si>
  <si>
    <t>OBEPER</t>
  </si>
  <si>
    <t>OBENUF</t>
  </si>
  <si>
    <t>OBEDEE</t>
  </si>
  <si>
    <t>OBEDAA</t>
  </si>
  <si>
    <t>NUYWOU</t>
  </si>
  <si>
    <t>NUYWEK</t>
  </si>
  <si>
    <t>NUXMAU</t>
  </si>
  <si>
    <t>NUVYOT</t>
  </si>
  <si>
    <t>NUVYIN</t>
  </si>
  <si>
    <t>La, Zn</t>
  </si>
  <si>
    <t>NUVWIL</t>
  </si>
  <si>
    <t>NUVWEH</t>
  </si>
  <si>
    <t>NUTQEZ</t>
  </si>
  <si>
    <t>NUTQAV</t>
  </si>
  <si>
    <t>NURMUJ</t>
  </si>
  <si>
    <t>NULMAJ</t>
  </si>
  <si>
    <t>NUJCIE</t>
  </si>
  <si>
    <t>NUHPAI</t>
  </si>
  <si>
    <t>NUGROX</t>
  </si>
  <si>
    <t>NUGRIR</t>
  </si>
  <si>
    <t>NUFTOY</t>
  </si>
  <si>
    <t>NUDLAA</t>
  </si>
  <si>
    <t>NUCREJ</t>
  </si>
  <si>
    <t>NOQLOV01</t>
  </si>
  <si>
    <t>NOQLOV</t>
  </si>
  <si>
    <t>NOKPEJ</t>
  </si>
  <si>
    <t>NOKLIJ</t>
  </si>
  <si>
    <t>NOHFOG</t>
  </si>
  <si>
    <t>As, Pb</t>
  </si>
  <si>
    <t>NOFRAC</t>
  </si>
  <si>
    <t>Eu, La</t>
  </si>
  <si>
    <t>NOFQII</t>
  </si>
  <si>
    <t>NOFHUM</t>
  </si>
  <si>
    <t>NOFHOG</t>
  </si>
  <si>
    <t>NOCLUN</t>
  </si>
  <si>
    <t>NOCLOH03</t>
  </si>
  <si>
    <t>NOCLOH02</t>
  </si>
  <si>
    <t>NOCLOH01</t>
  </si>
  <si>
    <t>NOCLOH</t>
  </si>
  <si>
    <t>NOCKUM</t>
  </si>
  <si>
    <t>NOCKOG</t>
  </si>
  <si>
    <t>NIZZOM</t>
  </si>
  <si>
    <t>NIZZIG</t>
  </si>
  <si>
    <t>NIZZEC</t>
  </si>
  <si>
    <t>NIZZAY</t>
  </si>
  <si>
    <t>NIVWIY</t>
  </si>
  <si>
    <t>NIVNUC</t>
  </si>
  <si>
    <t>NIVNOW</t>
  </si>
  <si>
    <t>NITADY</t>
  </si>
  <si>
    <t>NISPEL</t>
  </si>
  <si>
    <t>NISCOJ</t>
  </si>
  <si>
    <t>NISBEX</t>
  </si>
  <si>
    <t>NIRNAD</t>
  </si>
  <si>
    <t>NIRMUW</t>
  </si>
  <si>
    <t>NIRDOI</t>
  </si>
  <si>
    <t>Cd, Zr</t>
  </si>
  <si>
    <t>NIRDEX</t>
  </si>
  <si>
    <t>NINVAI</t>
  </si>
  <si>
    <t>NINHOH</t>
  </si>
  <si>
    <t>NIMVIP</t>
  </si>
  <si>
    <t>NIMVEL</t>
  </si>
  <si>
    <t>NIMTEJ</t>
  </si>
  <si>
    <t>NIKZEN02</t>
  </si>
  <si>
    <t>NIKZEN01</t>
  </si>
  <si>
    <t>NIKZEN</t>
  </si>
  <si>
    <t>NIKZAJ02</t>
  </si>
  <si>
    <t>NIKZAJ01</t>
  </si>
  <si>
    <t>NIKZAJ</t>
  </si>
  <si>
    <t>NIKYUC02</t>
  </si>
  <si>
    <t>NIKYUC01</t>
  </si>
  <si>
    <t>NIKYUC</t>
  </si>
  <si>
    <t>NIKYOW02</t>
  </si>
  <si>
    <t>NIKYOW01</t>
  </si>
  <si>
    <t>NIKYOW</t>
  </si>
  <si>
    <t>NIKJUN</t>
  </si>
  <si>
    <t>NIKJOH</t>
  </si>
  <si>
    <t>NIKJIB</t>
  </si>
  <si>
    <t>NIKDIU</t>
  </si>
  <si>
    <t>NIKDEQ</t>
  </si>
  <si>
    <t>NIKDAM</t>
  </si>
  <si>
    <t>NIJZOV</t>
  </si>
  <si>
    <t>NIJZIP01</t>
  </si>
  <si>
    <t>NIJZIP</t>
  </si>
  <si>
    <t>NIHBIQ02</t>
  </si>
  <si>
    <t>NIHBIQ01</t>
  </si>
  <si>
    <t>NIHBIQ</t>
  </si>
  <si>
    <t>NIHBEM02</t>
  </si>
  <si>
    <t>NIHBEM01</t>
  </si>
  <si>
    <t>NIHBEM</t>
  </si>
  <si>
    <t>NIGNUO</t>
  </si>
  <si>
    <t>NIGHOA</t>
  </si>
  <si>
    <t>NIGGIU</t>
  </si>
  <si>
    <t>NIGGEQ</t>
  </si>
  <si>
    <t>NIGGAM</t>
  </si>
  <si>
    <t>NIGFUF</t>
  </si>
  <si>
    <t>NIGFOZ</t>
  </si>
  <si>
    <t>NIGFIT</t>
  </si>
  <si>
    <t>NIGDIS</t>
  </si>
  <si>
    <t>NIGDEO</t>
  </si>
  <si>
    <t>NIGBOW</t>
  </si>
  <si>
    <t>NIFZOT</t>
  </si>
  <si>
    <t>NIFZIN</t>
  </si>
  <si>
    <t>NIFZEJ</t>
  </si>
  <si>
    <t>NIFZAF</t>
  </si>
  <si>
    <t>Co, Tm</t>
  </si>
  <si>
    <t>NIFYUY</t>
  </si>
  <si>
    <t>Co, Lu</t>
  </si>
  <si>
    <t>NIFYOS</t>
  </si>
  <si>
    <t>NIFTIH</t>
  </si>
  <si>
    <t>NICZAA01</t>
  </si>
  <si>
    <t>Ba, Cu</t>
  </si>
  <si>
    <t>NICJUG</t>
  </si>
  <si>
    <t>NICJOA</t>
  </si>
  <si>
    <t>NIBXUT</t>
  </si>
  <si>
    <t>NIBJAK</t>
  </si>
  <si>
    <t>NIBHUC</t>
  </si>
  <si>
    <t>NIBHOW</t>
  </si>
  <si>
    <t>NIBBOR</t>
  </si>
  <si>
    <t>NHBZZN10</t>
  </si>
  <si>
    <t>NEZWOG01</t>
  </si>
  <si>
    <t>NEZWOG</t>
  </si>
  <si>
    <t>NEYYOG</t>
  </si>
  <si>
    <t>NEYBEZ</t>
  </si>
  <si>
    <t>NEXXIZ</t>
  </si>
  <si>
    <t>NEXXEV</t>
  </si>
  <si>
    <t>NEXVUI</t>
  </si>
  <si>
    <t>NEXDOK</t>
  </si>
  <si>
    <t>NEVVIU</t>
  </si>
  <si>
    <t>NEVVEQ</t>
  </si>
  <si>
    <t>NEVVAM</t>
  </si>
  <si>
    <t>NEVQAH</t>
  </si>
  <si>
    <t>NEVPUA</t>
  </si>
  <si>
    <t>NEVJEF</t>
  </si>
  <si>
    <t>NEVGIE</t>
  </si>
  <si>
    <t>NETHOJ</t>
  </si>
  <si>
    <t>Eu, W</t>
  </si>
  <si>
    <t>NETFAU</t>
  </si>
  <si>
    <t>NESVEO</t>
  </si>
  <si>
    <t>NESVAK</t>
  </si>
  <si>
    <t>NESTAI</t>
  </si>
  <si>
    <t>NESSOV</t>
  </si>
  <si>
    <t>NERVOV</t>
  </si>
  <si>
    <t>NERVIP01</t>
  </si>
  <si>
    <t>NERVIP</t>
  </si>
  <si>
    <t>NERVEN</t>
  </si>
  <si>
    <t>NERVEL</t>
  </si>
  <si>
    <t>NERVAJ</t>
  </si>
  <si>
    <t>NERTAH</t>
  </si>
  <si>
    <t>NERSUA</t>
  </si>
  <si>
    <t>Ni, Yb</t>
  </si>
  <si>
    <t>NERNON</t>
  </si>
  <si>
    <t>NERMON</t>
  </si>
  <si>
    <t>NEPWIQ</t>
  </si>
  <si>
    <t>NENHAQ</t>
  </si>
  <si>
    <t>NELWIL</t>
  </si>
  <si>
    <t>NEKBEL</t>
  </si>
  <si>
    <t>NEJYUY</t>
  </si>
  <si>
    <t>NEJSOM</t>
  </si>
  <si>
    <t>NEJSIG</t>
  </si>
  <si>
    <t>NEJSEC</t>
  </si>
  <si>
    <t>NEJSAY</t>
  </si>
  <si>
    <t>NEJRUR</t>
  </si>
  <si>
    <t>NEHZIK</t>
  </si>
  <si>
    <t>NEHNEV01</t>
  </si>
  <si>
    <t>NEHNEV</t>
  </si>
  <si>
    <t>V, Zn</t>
  </si>
  <si>
    <t>NEGZUW</t>
  </si>
  <si>
    <t>Gd, Ru</t>
  </si>
  <si>
    <t>NEGMUI</t>
  </si>
  <si>
    <t>NEGGOX</t>
  </si>
  <si>
    <t>NEFTOJ</t>
  </si>
  <si>
    <t>Mn, Ni</t>
  </si>
  <si>
    <t>NEDWIE</t>
  </si>
  <si>
    <t>Co, Mn</t>
  </si>
  <si>
    <t>NEDWEA</t>
  </si>
  <si>
    <t>NEDWAW</t>
  </si>
  <si>
    <t>NEDVUP</t>
  </si>
  <si>
    <t>NEDVOJ</t>
  </si>
  <si>
    <t>Cs, K, Mo</t>
  </si>
  <si>
    <t>NEDJAJ</t>
  </si>
  <si>
    <t>NAZZEV</t>
  </si>
  <si>
    <t>NAZBAT</t>
  </si>
  <si>
    <t>NAYZUK</t>
  </si>
  <si>
    <t>NAYZOE</t>
  </si>
  <si>
    <t>NAYXOC</t>
  </si>
  <si>
    <t>NAYMOQ</t>
  </si>
  <si>
    <t>NAYKAB</t>
  </si>
  <si>
    <t>NAYHAY</t>
  </si>
  <si>
    <t>NAYGUR</t>
  </si>
  <si>
    <t>NAXVOY03</t>
  </si>
  <si>
    <t>NAXVOY02</t>
  </si>
  <si>
    <t>NAXVOY01</t>
  </si>
  <si>
    <t>NAXLEF</t>
  </si>
  <si>
    <t>NAXKOO01</t>
  </si>
  <si>
    <t>NAVJAW01</t>
  </si>
  <si>
    <t>NAVJAW</t>
  </si>
  <si>
    <t>NATXUC</t>
  </si>
  <si>
    <t>NATXOW</t>
  </si>
  <si>
    <t>NATXIR</t>
  </si>
  <si>
    <t>NATNOM</t>
  </si>
  <si>
    <t>NATNIG</t>
  </si>
  <si>
    <t>Mn, Mo, Na, Zn</t>
  </si>
  <si>
    <t>NATHOH</t>
  </si>
  <si>
    <t>NASMIF</t>
  </si>
  <si>
    <t>Eu, Mn</t>
  </si>
  <si>
    <t>NASMEB</t>
  </si>
  <si>
    <t>NASDIW</t>
  </si>
  <si>
    <t>NASCIV</t>
  </si>
  <si>
    <t>NARTUX</t>
  </si>
  <si>
    <t>NARTIL</t>
  </si>
  <si>
    <t>NARHEV</t>
  </si>
  <si>
    <t>NARHAR</t>
  </si>
  <si>
    <t>NAQLAT</t>
  </si>
  <si>
    <t>NAPZUB</t>
  </si>
  <si>
    <t>NAPZOV</t>
  </si>
  <si>
    <t>NAPFUG</t>
  </si>
  <si>
    <t>NAPFOA01</t>
  </si>
  <si>
    <t>NAPFOA</t>
  </si>
  <si>
    <t>NANZOS</t>
  </si>
  <si>
    <t>NANYUX02</t>
  </si>
  <si>
    <t>NANYUX01</t>
  </si>
  <si>
    <t>NANYUX</t>
  </si>
  <si>
    <t>La, Mg</t>
  </si>
  <si>
    <t>NANMEW</t>
  </si>
  <si>
    <t>NANMAS</t>
  </si>
  <si>
    <t>Mn, Re, Te</t>
  </si>
  <si>
    <t>NAMZIL</t>
  </si>
  <si>
    <t>NALYEG</t>
  </si>
  <si>
    <t>NALWOO</t>
  </si>
  <si>
    <t>NAKNUK</t>
  </si>
  <si>
    <t>NAKLIW</t>
  </si>
  <si>
    <t>NAJZII</t>
  </si>
  <si>
    <t>NAJMIV</t>
  </si>
  <si>
    <t>NAJGAH</t>
  </si>
  <si>
    <t>NAGQET</t>
  </si>
  <si>
    <t>NAGBUU</t>
  </si>
  <si>
    <t>NAFRUI</t>
  </si>
  <si>
    <t>NADZID</t>
  </si>
  <si>
    <t>NADZEZ</t>
  </si>
  <si>
    <t>NACYUM</t>
  </si>
  <si>
    <t>Cd, V</t>
  </si>
  <si>
    <t>NACYOG</t>
  </si>
  <si>
    <t>NACVUI</t>
  </si>
  <si>
    <t>NABNUA</t>
  </si>
  <si>
    <t>NABMUA01</t>
  </si>
  <si>
    <t>NABMUA</t>
  </si>
  <si>
    <t>NABCIE</t>
  </si>
  <si>
    <t>NABCEA</t>
  </si>
  <si>
    <t>MUZHUL</t>
  </si>
  <si>
    <t>MUXJAQ02</t>
  </si>
  <si>
    <t>MUXJAQ01</t>
  </si>
  <si>
    <t>MUXHUI01</t>
  </si>
  <si>
    <t>MUXHIW01</t>
  </si>
  <si>
    <t>MUWQEB</t>
  </si>
  <si>
    <t>MUVJIX</t>
  </si>
  <si>
    <t>MUVHER</t>
  </si>
  <si>
    <t>MUVHAN</t>
  </si>
  <si>
    <t>MUVGUG</t>
  </si>
  <si>
    <t>MUVGOA</t>
  </si>
  <si>
    <t>MUTZUX</t>
  </si>
  <si>
    <t>MUTVUT</t>
  </si>
  <si>
    <t>MUSCIN</t>
  </si>
  <si>
    <t>MURTUO</t>
  </si>
  <si>
    <t>MURNIX</t>
  </si>
  <si>
    <t>MURCOR</t>
  </si>
  <si>
    <t>MURCIL</t>
  </si>
  <si>
    <t>MURCAD</t>
  </si>
  <si>
    <t>MUPYUS</t>
  </si>
  <si>
    <t>MUPYIG</t>
  </si>
  <si>
    <t>MUNPAN</t>
  </si>
  <si>
    <t>MULXOH</t>
  </si>
  <si>
    <t>MULQOA</t>
  </si>
  <si>
    <t>MUKRIU</t>
  </si>
  <si>
    <t>MUJRIT</t>
  </si>
  <si>
    <t>MUGFOK</t>
  </si>
  <si>
    <t>MUFJED</t>
  </si>
  <si>
    <t>MUFJAZ01</t>
  </si>
  <si>
    <t>MUFJAZ</t>
  </si>
  <si>
    <t>MUFHUR</t>
  </si>
  <si>
    <t>MUDTEL</t>
  </si>
  <si>
    <t>MUDTAH</t>
  </si>
  <si>
    <t>MUDLON</t>
  </si>
  <si>
    <t>MUDLIH</t>
  </si>
  <si>
    <t>B, Li</t>
  </si>
  <si>
    <t>MUCLOM</t>
  </si>
  <si>
    <t>MOZFIR</t>
  </si>
  <si>
    <t>MOYYIJ</t>
  </si>
  <si>
    <t>MOYYEF</t>
  </si>
  <si>
    <t>MOYNEU</t>
  </si>
  <si>
    <t>MOYMET</t>
  </si>
  <si>
    <t>MOXPUL</t>
  </si>
  <si>
    <t>MOXPOF</t>
  </si>
  <si>
    <t>MOXPIZ</t>
  </si>
  <si>
    <t>MOXPEV</t>
  </si>
  <si>
    <t>MOXNUJ</t>
  </si>
  <si>
    <t>MOXJOZ</t>
  </si>
  <si>
    <t>MOXDOT01</t>
  </si>
  <si>
    <t>MOXDOT</t>
  </si>
  <si>
    <t>MOXDIN01</t>
  </si>
  <si>
    <t>MOTMAK</t>
  </si>
  <si>
    <t>MOSDUT</t>
  </si>
  <si>
    <t>MOQSIV</t>
  </si>
  <si>
    <t>MOLRIP</t>
  </si>
  <si>
    <t>MOJJUR</t>
  </si>
  <si>
    <t>MOGYAI</t>
  </si>
  <si>
    <t>MOGXUB</t>
  </si>
  <si>
    <t>MOGVAG</t>
  </si>
  <si>
    <t>MOGNAY</t>
  </si>
  <si>
    <t>MOGMIE</t>
  </si>
  <si>
    <t>MOFLAV</t>
  </si>
  <si>
    <t>MOFKUO</t>
  </si>
  <si>
    <t>MODPEA</t>
  </si>
  <si>
    <t>MODPAW</t>
  </si>
  <si>
    <t>MODNUO</t>
  </si>
  <si>
    <t>MODNOI</t>
  </si>
  <si>
    <t>MODNIC</t>
  </si>
  <si>
    <t>MODNEY</t>
  </si>
  <si>
    <t>MODNAU</t>
  </si>
  <si>
    <t>MODMUN</t>
  </si>
  <si>
    <t>MODMOH</t>
  </si>
  <si>
    <t>MODDEP</t>
  </si>
  <si>
    <t>MOCKEV</t>
  </si>
  <si>
    <t>MOCKAR</t>
  </si>
  <si>
    <t>MOCJIY</t>
  </si>
  <si>
    <t>MOCJEU</t>
  </si>
  <si>
    <t>MOCJAQ</t>
  </si>
  <si>
    <t>MOCHUI</t>
  </si>
  <si>
    <t>MOCHOC</t>
  </si>
  <si>
    <t>MOCHIW</t>
  </si>
  <si>
    <t>MOCHES</t>
  </si>
  <si>
    <t>MOBBOU</t>
  </si>
  <si>
    <t>MOBBIO</t>
  </si>
  <si>
    <t>MIZKOW</t>
  </si>
  <si>
    <t>MIZJUB</t>
  </si>
  <si>
    <t>MIYHAE</t>
  </si>
  <si>
    <t>MIYGUX</t>
  </si>
  <si>
    <t>MIYGOR</t>
  </si>
  <si>
    <t>MIYGIL</t>
  </si>
  <si>
    <t>MIVWEU</t>
  </si>
  <si>
    <t>MIVPIR</t>
  </si>
  <si>
    <t>MIVPEN</t>
  </si>
  <si>
    <t>MIVPAJ</t>
  </si>
  <si>
    <t>MIVNUB</t>
  </si>
  <si>
    <t>MITTAL</t>
  </si>
  <si>
    <t>MITSIS</t>
  </si>
  <si>
    <t>MITSEO</t>
  </si>
  <si>
    <t>MITGUR01</t>
  </si>
  <si>
    <t>MITGUR</t>
  </si>
  <si>
    <t>MITGOL</t>
  </si>
  <si>
    <t>MITGIF</t>
  </si>
  <si>
    <t>MIRLUU</t>
  </si>
  <si>
    <t>MIQLEE</t>
  </si>
  <si>
    <t>MINVUA01</t>
  </si>
  <si>
    <t>MINVUA</t>
  </si>
  <si>
    <t>MINCER</t>
  </si>
  <si>
    <t>MIMVEJ</t>
  </si>
  <si>
    <t>MIKJAR</t>
  </si>
  <si>
    <t>MIJYEK</t>
  </si>
  <si>
    <t>MIJMAU</t>
  </si>
  <si>
    <t>Nd, Pt</t>
  </si>
  <si>
    <t>MIHMEW</t>
  </si>
  <si>
    <t>MIHMAS</t>
  </si>
  <si>
    <t>MIHLUL</t>
  </si>
  <si>
    <t>MIHLOF</t>
  </si>
  <si>
    <t>MIHLIZ</t>
  </si>
  <si>
    <t>MIHLEV</t>
  </si>
  <si>
    <t>MIHLAR</t>
  </si>
  <si>
    <t>MIHHUG</t>
  </si>
  <si>
    <t>MIHHOA</t>
  </si>
  <si>
    <t>MIHHIV</t>
  </si>
  <si>
    <t>MIHHIU</t>
  </si>
  <si>
    <t>MIHHER</t>
  </si>
  <si>
    <t>MIHHAN</t>
  </si>
  <si>
    <t>MIHBAG</t>
  </si>
  <si>
    <t>MIGVON</t>
  </si>
  <si>
    <t>MIFVEE</t>
  </si>
  <si>
    <t>MIFTUS</t>
  </si>
  <si>
    <t>MIFTIG</t>
  </si>
  <si>
    <t>MIFTEC</t>
  </si>
  <si>
    <t>MIFSUR</t>
  </si>
  <si>
    <t>MIFSAX</t>
  </si>
  <si>
    <t>MIFROK</t>
  </si>
  <si>
    <t>MIFQOJ</t>
  </si>
  <si>
    <t>Ba, Co, Na</t>
  </si>
  <si>
    <t>MIFQEY</t>
  </si>
  <si>
    <t>MIFPUO</t>
  </si>
  <si>
    <t>MIFNUM</t>
  </si>
  <si>
    <t>MIFLIY</t>
  </si>
  <si>
    <t>MIFKUJ</t>
  </si>
  <si>
    <t>MIFGEP01</t>
  </si>
  <si>
    <t>MIFGEP</t>
  </si>
  <si>
    <t>MIDRAT</t>
  </si>
  <si>
    <t>MIDCAF</t>
  </si>
  <si>
    <t>MICPEU</t>
  </si>
  <si>
    <t>MICPAQ</t>
  </si>
  <si>
    <t>MICNUI</t>
  </si>
  <si>
    <t>MICNOC</t>
  </si>
  <si>
    <t>MICNIW</t>
  </si>
  <si>
    <t>MICNES</t>
  </si>
  <si>
    <t>MICDEJ</t>
  </si>
  <si>
    <t>MICCUY</t>
  </si>
  <si>
    <t>MICCIM</t>
  </si>
  <si>
    <t>MIBQAR19</t>
  </si>
  <si>
    <t>MIBQAR18</t>
  </si>
  <si>
    <t>MIBQAR16</t>
  </si>
  <si>
    <t>MIBQAR15</t>
  </si>
  <si>
    <t>MIBQAR14</t>
  </si>
  <si>
    <t>MIBQAR13</t>
  </si>
  <si>
    <t>MIBQAR12</t>
  </si>
  <si>
    <t>MIBQAR11</t>
  </si>
  <si>
    <t>MIBQAR10</t>
  </si>
  <si>
    <t>MIBQAR08</t>
  </si>
  <si>
    <t>MIBQAR07</t>
  </si>
  <si>
    <t>MIBQAR06</t>
  </si>
  <si>
    <t>MIBQAR05</t>
  </si>
  <si>
    <t>MIBQAR04</t>
  </si>
  <si>
    <t>MIBQAR03</t>
  </si>
  <si>
    <t>MIBQAR02</t>
  </si>
  <si>
    <t>MIBQAR01</t>
  </si>
  <si>
    <t>MIBQAR</t>
  </si>
  <si>
    <t>MIBMER</t>
  </si>
  <si>
    <t>MEXJAC</t>
  </si>
  <si>
    <t>MEWNEH</t>
  </si>
  <si>
    <t>METYIU</t>
  </si>
  <si>
    <t>MEKDUC</t>
  </si>
  <si>
    <t>MEKBAH</t>
  </si>
  <si>
    <t>MEJZUY</t>
  </si>
  <si>
    <t>MEJZOS</t>
  </si>
  <si>
    <t>MEJZIM</t>
  </si>
  <si>
    <t>MEJZEI</t>
  </si>
  <si>
    <t>MEJQOJ</t>
  </si>
  <si>
    <t>MEJQID</t>
  </si>
  <si>
    <t>MEJQEZ</t>
  </si>
  <si>
    <t>MEHPAQ</t>
  </si>
  <si>
    <t>MEHMET</t>
  </si>
  <si>
    <t>MEGFIN</t>
  </si>
  <si>
    <t>removed one of symmetric Cl- on porphyrin</t>
  </si>
  <si>
    <t>Cd, Mn</t>
  </si>
  <si>
    <t>MEGBEH</t>
  </si>
  <si>
    <t>MEGBAD</t>
  </si>
  <si>
    <t>MEFZUU</t>
  </si>
  <si>
    <t>MEFYUT</t>
  </si>
  <si>
    <t>MEFJUE</t>
  </si>
  <si>
    <t>MEFHUC</t>
  </si>
  <si>
    <t>MECWIB</t>
  </si>
  <si>
    <t>MECWEX</t>
  </si>
  <si>
    <t>MECLEL</t>
  </si>
  <si>
    <t>MAZTIR</t>
  </si>
  <si>
    <t>MAZSUD</t>
  </si>
  <si>
    <t>MAZJEC</t>
  </si>
  <si>
    <t>MAZJAY</t>
  </si>
  <si>
    <t>MAYYAN</t>
  </si>
  <si>
    <t>MAYXUG</t>
  </si>
  <si>
    <t>MAYPIM</t>
  </si>
  <si>
    <t>MAYKOO</t>
  </si>
  <si>
    <t>MAXFIA</t>
  </si>
  <si>
    <t>MAWFAT</t>
  </si>
  <si>
    <t>MAVNUU</t>
  </si>
  <si>
    <t>MATVIN</t>
  </si>
  <si>
    <t>MATVEJ</t>
  </si>
  <si>
    <t>MATVAF</t>
  </si>
  <si>
    <t>MATTUX</t>
  </si>
  <si>
    <t>MATTOR</t>
  </si>
  <si>
    <t>MATBAM</t>
  </si>
  <si>
    <t>MASZUD</t>
  </si>
  <si>
    <t>MASZOX</t>
  </si>
  <si>
    <t>MARXEK</t>
  </si>
  <si>
    <t>MARPOL</t>
  </si>
  <si>
    <t>MARJAQ</t>
  </si>
  <si>
    <t>MARDAM</t>
  </si>
  <si>
    <t>MAQZOV</t>
  </si>
  <si>
    <t>MAPFOY</t>
  </si>
  <si>
    <t>MAPFIS</t>
  </si>
  <si>
    <t>MANLOD</t>
  </si>
  <si>
    <t>MANLIX</t>
  </si>
  <si>
    <t>MANLAP</t>
  </si>
  <si>
    <t>MAMVED</t>
  </si>
  <si>
    <t>MALYOP</t>
  </si>
  <si>
    <t>MALYIJ</t>
  </si>
  <si>
    <t>MAKXAZ</t>
  </si>
  <si>
    <t>MAKSUO</t>
  </si>
  <si>
    <t>MAJHUC</t>
  </si>
  <si>
    <t>MAJHOW</t>
  </si>
  <si>
    <t>MAHTAR01</t>
  </si>
  <si>
    <t>MAHTAR</t>
  </si>
  <si>
    <t>MAGBAZ</t>
  </si>
  <si>
    <t>MAFZOK</t>
  </si>
  <si>
    <t>MAFZIE</t>
  </si>
  <si>
    <t>MAFJIO</t>
  </si>
  <si>
    <t>MAFDII</t>
  </si>
  <si>
    <t>MADWAQ</t>
  </si>
  <si>
    <t>MADVUJ</t>
  </si>
  <si>
    <t>MACKAE</t>
  </si>
  <si>
    <t>MACHIJ</t>
  </si>
  <si>
    <t>MABLAD</t>
  </si>
  <si>
    <t>MABKIK01</t>
  </si>
  <si>
    <t>MABKEG</t>
  </si>
  <si>
    <t>MABJUV01</t>
  </si>
  <si>
    <t>MABJUV</t>
  </si>
  <si>
    <t>MABJOP</t>
  </si>
  <si>
    <t>LUYHAP</t>
  </si>
  <si>
    <t>LUXFEQ</t>
  </si>
  <si>
    <t>LUXDEO</t>
  </si>
  <si>
    <t>LUWYUY</t>
  </si>
  <si>
    <t>LUVTEC</t>
  </si>
  <si>
    <t>LUVTAY</t>
  </si>
  <si>
    <t>LUTDAG</t>
  </si>
  <si>
    <t>LUTCIN</t>
  </si>
  <si>
    <t>LUTCEJ</t>
  </si>
  <si>
    <t>LUTCAF</t>
  </si>
  <si>
    <t>LUTBUY</t>
  </si>
  <si>
    <t>LUTBEI</t>
  </si>
  <si>
    <t>LUSZUV</t>
  </si>
  <si>
    <t>LUSZOP01</t>
  </si>
  <si>
    <t>LUSZOP</t>
  </si>
  <si>
    <t>LUSZIJ01</t>
  </si>
  <si>
    <t>LUSZIJ</t>
  </si>
  <si>
    <t>LUSJOZ</t>
  </si>
  <si>
    <t>LUSJIT</t>
  </si>
  <si>
    <t>LUSJEP</t>
  </si>
  <si>
    <t>LUSJAL</t>
  </si>
  <si>
    <t>LUSHUD</t>
  </si>
  <si>
    <t>LUSHOX02</t>
  </si>
  <si>
    <t>LUSHOX01</t>
  </si>
  <si>
    <t>LUSHOX</t>
  </si>
  <si>
    <t>LUSHIR</t>
  </si>
  <si>
    <t>LURRIA</t>
  </si>
  <si>
    <t>LURGEL</t>
  </si>
  <si>
    <t>LUQGAG</t>
  </si>
  <si>
    <t>LUPYAX</t>
  </si>
  <si>
    <t>LUPTAS</t>
  </si>
  <si>
    <t>LUPHIN</t>
  </si>
  <si>
    <t>W, Zn</t>
  </si>
  <si>
    <t>LUNBIF</t>
  </si>
  <si>
    <t>LUNBEB</t>
  </si>
  <si>
    <t>Fe, W</t>
  </si>
  <si>
    <t>LUNBAX</t>
  </si>
  <si>
    <t>Mn, W</t>
  </si>
  <si>
    <t>LUMZUO</t>
  </si>
  <si>
    <t>LUMDIG</t>
  </si>
  <si>
    <t>LUMDEC</t>
  </si>
  <si>
    <t>LULXEW</t>
  </si>
  <si>
    <t>LULXAS</t>
  </si>
  <si>
    <t>LULWUL</t>
  </si>
  <si>
    <t>LULJAE</t>
  </si>
  <si>
    <t>LULHUW</t>
  </si>
  <si>
    <t>LUKRUE</t>
  </si>
  <si>
    <t>LUKRIS</t>
  </si>
  <si>
    <t>LUKREO</t>
  </si>
  <si>
    <t>LUKLIN</t>
  </si>
  <si>
    <t>LUFQUZ02</t>
  </si>
  <si>
    <t>LUFNEG</t>
  </si>
  <si>
    <t>LUFNAC05</t>
  </si>
  <si>
    <t>LUFNAC04</t>
  </si>
  <si>
    <t>LUFNAC03</t>
  </si>
  <si>
    <t>LUFNAC02</t>
  </si>
  <si>
    <t>LUFNAC01</t>
  </si>
  <si>
    <t>LUFNAC</t>
  </si>
  <si>
    <t>LUDVIP</t>
  </si>
  <si>
    <t>LUCDIW</t>
  </si>
  <si>
    <t>LUCDES</t>
  </si>
  <si>
    <t>LUCDAO</t>
  </si>
  <si>
    <t>LUBMAW</t>
  </si>
  <si>
    <t>LOWQIX</t>
  </si>
  <si>
    <t>removed duplicate amino group + hydrogenation + geom. Minimization (cg/fine setting)</t>
  </si>
  <si>
    <t>LOWPUI</t>
  </si>
  <si>
    <t>LOQSUG</t>
  </si>
  <si>
    <t>LOQSOA</t>
  </si>
  <si>
    <t>LOQSIU</t>
  </si>
  <si>
    <t>LOQSEQ</t>
  </si>
  <si>
    <t>LOQLIN</t>
  </si>
  <si>
    <t>added missing hydrogen + geom. Minimization (cg/ fine setting)</t>
  </si>
  <si>
    <t>LOQLEJ</t>
  </si>
  <si>
    <t>Ge, Zn</t>
  </si>
  <si>
    <t>LOLQIM</t>
  </si>
  <si>
    <t>LOJNAA</t>
  </si>
  <si>
    <t>LOJFUL</t>
  </si>
  <si>
    <t>LOJFOF</t>
  </si>
  <si>
    <t>LOFZUB</t>
  </si>
  <si>
    <t>Tb, V</t>
  </si>
  <si>
    <t>LOFVUY01</t>
  </si>
  <si>
    <t>LOFVUY</t>
  </si>
  <si>
    <t>LOFCUF</t>
  </si>
  <si>
    <t>LODPUQ</t>
  </si>
  <si>
    <t>LODPOK</t>
  </si>
  <si>
    <t>LOBHAM</t>
  </si>
  <si>
    <t>LIZWEX</t>
  </si>
  <si>
    <t>LIXWAR01</t>
  </si>
  <si>
    <t>LIXWAR</t>
  </si>
  <si>
    <t>LIXNIP</t>
  </si>
  <si>
    <t>LIWXIZ</t>
  </si>
  <si>
    <t>LIVTEP</t>
  </si>
  <si>
    <t>LIRVAK</t>
  </si>
  <si>
    <t>LIRTEM</t>
  </si>
  <si>
    <t>LIRNEH</t>
  </si>
  <si>
    <t>LIQGEY</t>
  </si>
  <si>
    <t>LIQCUK</t>
  </si>
  <si>
    <t>LIKFOB</t>
  </si>
  <si>
    <t>LIKCOY</t>
  </si>
  <si>
    <t>LIJXEI</t>
  </si>
  <si>
    <t>LIHSIF</t>
  </si>
  <si>
    <t>LIHSEB</t>
  </si>
  <si>
    <t>LIHRIE</t>
  </si>
  <si>
    <t>LIHFAK</t>
  </si>
  <si>
    <t>LIGHAM</t>
  </si>
  <si>
    <t>LIFWOO</t>
  </si>
  <si>
    <t>LIFWEE</t>
  </si>
  <si>
    <t>LIFQIC</t>
  </si>
  <si>
    <t>LIDZUV</t>
  </si>
  <si>
    <t>LIDZOP</t>
  </si>
  <si>
    <t>LIDWIG</t>
  </si>
  <si>
    <t>LICSUM</t>
  </si>
  <si>
    <t>LIBZIG</t>
  </si>
  <si>
    <t>LIBJAJ</t>
  </si>
  <si>
    <t>LEZZEX</t>
  </si>
  <si>
    <t>LEZLAF</t>
  </si>
  <si>
    <t>LEWVAL</t>
  </si>
  <si>
    <t>LEWTUD01</t>
  </si>
  <si>
    <t>LEWTUD</t>
  </si>
  <si>
    <t>LEVYOC</t>
  </si>
  <si>
    <t>LEVNOQ01</t>
  </si>
  <si>
    <t>LEVNOQ</t>
  </si>
  <si>
    <t>LEVLEF</t>
  </si>
  <si>
    <t>LEVDIB</t>
  </si>
  <si>
    <t>LETRUZ</t>
  </si>
  <si>
    <t>LETROT</t>
  </si>
  <si>
    <t>LETRIN</t>
  </si>
  <si>
    <t>LETRAF</t>
  </si>
  <si>
    <t>LETQEI</t>
  </si>
  <si>
    <t>LETQAE01</t>
  </si>
  <si>
    <t>LETQAE</t>
  </si>
  <si>
    <t>LETPUX</t>
  </si>
  <si>
    <t>LETPOR01</t>
  </si>
  <si>
    <t>LETPOR</t>
  </si>
  <si>
    <t>LETFEW</t>
  </si>
  <si>
    <t>LESWAI</t>
  </si>
  <si>
    <t>LERNEC01</t>
  </si>
  <si>
    <t>LERNEC</t>
  </si>
  <si>
    <t>LERNAY02</t>
  </si>
  <si>
    <t>LERNAY01</t>
  </si>
  <si>
    <t>LERNAY</t>
  </si>
  <si>
    <t>LEPLEZ</t>
  </si>
  <si>
    <t>LEPLAV</t>
  </si>
  <si>
    <t>LENRUS</t>
  </si>
  <si>
    <t>LENKIA</t>
  </si>
  <si>
    <t>LENGAO</t>
  </si>
  <si>
    <t>LEMVOP</t>
  </si>
  <si>
    <t>LEMNOH</t>
  </si>
  <si>
    <t>LELRUR</t>
  </si>
  <si>
    <t>LELROL</t>
  </si>
  <si>
    <t>LELMIA01</t>
  </si>
  <si>
    <t>LELMEW</t>
  </si>
  <si>
    <t>LELDUD</t>
  </si>
  <si>
    <t>LELCUB01</t>
  </si>
  <si>
    <t>LELCUB</t>
  </si>
  <si>
    <t>LEJRIC</t>
  </si>
  <si>
    <t>LEJCIO</t>
  </si>
  <si>
    <t>LEJCEK</t>
  </si>
  <si>
    <t>LEJCAG</t>
  </si>
  <si>
    <t>LEJBUX</t>
  </si>
  <si>
    <t>LEHXUT</t>
  </si>
  <si>
    <t>LEHTID</t>
  </si>
  <si>
    <t>LEGGOU</t>
  </si>
  <si>
    <t>LEGGIO</t>
  </si>
  <si>
    <t>LEGGEK</t>
  </si>
  <si>
    <t>LEDPIU</t>
  </si>
  <si>
    <t>LEDNIT</t>
  </si>
  <si>
    <t>LEDNEP</t>
  </si>
  <si>
    <t>LEDLEN</t>
  </si>
  <si>
    <t>LEDLAJ</t>
  </si>
  <si>
    <t>LEDHIN</t>
  </si>
  <si>
    <t>LEDHEJ</t>
  </si>
  <si>
    <t>LEDCAA</t>
  </si>
  <si>
    <t>LECQEQ</t>
  </si>
  <si>
    <t>LECHUX</t>
  </si>
  <si>
    <t>LECGIL</t>
  </si>
  <si>
    <t>LECGEH</t>
  </si>
  <si>
    <t>LECFUW</t>
  </si>
  <si>
    <t>Cu, Se</t>
  </si>
  <si>
    <t>LECFEG</t>
  </si>
  <si>
    <t>LECFAC</t>
  </si>
  <si>
    <t>LAZXOB</t>
  </si>
  <si>
    <t>LAZSIQ</t>
  </si>
  <si>
    <t>LAZPUZ</t>
  </si>
  <si>
    <t>LAZPOT</t>
  </si>
  <si>
    <t>LAZPIN</t>
  </si>
  <si>
    <t>LAZLEF</t>
  </si>
  <si>
    <t>LAZKUU</t>
  </si>
  <si>
    <t>LAZJAZ</t>
  </si>
  <si>
    <t>LAZHUR</t>
  </si>
  <si>
    <t>removed bound water molecules</t>
  </si>
  <si>
    <t>LAZGOK</t>
  </si>
  <si>
    <t>LAYGAV</t>
  </si>
  <si>
    <t>LAXJAX</t>
  </si>
  <si>
    <t>LAXGOH01</t>
  </si>
  <si>
    <t>LAWGUM</t>
  </si>
  <si>
    <t>LAWGOG</t>
  </si>
  <si>
    <t>LAWGIA</t>
  </si>
  <si>
    <t>LAWGEW</t>
  </si>
  <si>
    <t>LAVTUZ</t>
  </si>
  <si>
    <t>LAVTOT</t>
  </si>
  <si>
    <t>LAVTIN</t>
  </si>
  <si>
    <t>LAVTEJ01</t>
  </si>
  <si>
    <t>LAVTEJ</t>
  </si>
  <si>
    <t>LAVTAF</t>
  </si>
  <si>
    <t>LAVSUY</t>
  </si>
  <si>
    <t>LASYOU</t>
  </si>
  <si>
    <t>LASWIN</t>
  </si>
  <si>
    <t>LASWEJ</t>
  </si>
  <si>
    <t>LASQON</t>
  </si>
  <si>
    <t>LASPOM</t>
  </si>
  <si>
    <t>LASMAV</t>
  </si>
  <si>
    <t>LASDEQ</t>
  </si>
  <si>
    <t>LARZEL</t>
  </si>
  <si>
    <t>LARVIL</t>
  </si>
  <si>
    <t>LARPOL</t>
  </si>
  <si>
    <t>LANCOU</t>
  </si>
  <si>
    <t>LALYOO</t>
  </si>
  <si>
    <t>LALPOF</t>
  </si>
  <si>
    <t>LALPIZ</t>
  </si>
  <si>
    <t>LALFUB</t>
  </si>
  <si>
    <t>LAKFIN</t>
  </si>
  <si>
    <t>LAJLIT</t>
  </si>
  <si>
    <t>LAJLEP</t>
  </si>
  <si>
    <t>LAJLAL</t>
  </si>
  <si>
    <t>LAJKUE</t>
  </si>
  <si>
    <t>LAJDUV03</t>
  </si>
  <si>
    <t>LAJDUV02</t>
  </si>
  <si>
    <t>LAJDUV01</t>
  </si>
  <si>
    <t>LAJDUV</t>
  </si>
  <si>
    <t>LAGWUN</t>
  </si>
  <si>
    <t>LAGWEX</t>
  </si>
  <si>
    <t>LAGVOG</t>
  </si>
  <si>
    <t>LAGRIW</t>
  </si>
  <si>
    <t>LAGRES</t>
  </si>
  <si>
    <t>LAGQOB</t>
  </si>
  <si>
    <t>LAGQER</t>
  </si>
  <si>
    <t>LAGPAM</t>
  </si>
  <si>
    <t>LAGNUE</t>
  </si>
  <si>
    <t>LAGNOY</t>
  </si>
  <si>
    <t>LAGNIS</t>
  </si>
  <si>
    <t>LAGNEO</t>
  </si>
  <si>
    <t>LAGNAK</t>
  </si>
  <si>
    <t>LAGMUD</t>
  </si>
  <si>
    <t>LAGHIL</t>
  </si>
  <si>
    <t>LAGDOO</t>
  </si>
  <si>
    <t>LAGDII</t>
  </si>
  <si>
    <t>LAGDEE</t>
  </si>
  <si>
    <t>LAGDAA</t>
  </si>
  <si>
    <t>LAGCUT</t>
  </si>
  <si>
    <t>LAGCON</t>
  </si>
  <si>
    <t>LAGCIH</t>
  </si>
  <si>
    <t>LAGCED</t>
  </si>
  <si>
    <t>LAGCAZ</t>
  </si>
  <si>
    <t>LAGBUS</t>
  </si>
  <si>
    <t>removed bound/free solvents manually</t>
  </si>
  <si>
    <t>LAFROB</t>
  </si>
  <si>
    <t>LAFRIV</t>
  </si>
  <si>
    <t>LAFRER</t>
  </si>
  <si>
    <t>LAFRAN</t>
  </si>
  <si>
    <t>LAFQUG</t>
  </si>
  <si>
    <t>LAFQOA</t>
  </si>
  <si>
    <t>LADHEF</t>
  </si>
  <si>
    <t>LACJAC</t>
  </si>
  <si>
    <t>Ca, Pb</t>
  </si>
  <si>
    <t>LACGED</t>
  </si>
  <si>
    <t>LACGAZ</t>
  </si>
  <si>
    <t>LABQAI</t>
  </si>
  <si>
    <t>LABPUB</t>
  </si>
  <si>
    <t>LABPOV</t>
  </si>
  <si>
    <t>LABJUV</t>
  </si>
  <si>
    <t>LABGAY</t>
  </si>
  <si>
    <t>KUXTUT</t>
  </si>
  <si>
    <t>KUXLUL</t>
  </si>
  <si>
    <t>KUQXIE</t>
  </si>
  <si>
    <t>KUNWEW</t>
  </si>
  <si>
    <t>KULRIT</t>
  </si>
  <si>
    <t>KUJPAH</t>
  </si>
  <si>
    <t>KUJNUZ</t>
  </si>
  <si>
    <t>KUJNOT</t>
  </si>
  <si>
    <t>KUJNEJ</t>
  </si>
  <si>
    <t>KUGZIW</t>
  </si>
  <si>
    <t>KUGQIN</t>
  </si>
  <si>
    <t>KUDMAY</t>
  </si>
  <si>
    <t>KUDLUR</t>
  </si>
  <si>
    <t>Co, Pb</t>
  </si>
  <si>
    <t>KUCXIP</t>
  </si>
  <si>
    <t>KUCDIW</t>
  </si>
  <si>
    <t>KUBQAA</t>
  </si>
  <si>
    <t>KONYOB</t>
  </si>
  <si>
    <t>KONCIA</t>
  </si>
  <si>
    <t>KOMHAW</t>
  </si>
  <si>
    <t>KOMGUP</t>
  </si>
  <si>
    <t>KOLWEO</t>
  </si>
  <si>
    <t>KOJZIT</t>
  </si>
  <si>
    <t>added missing hydrogen</t>
  </si>
  <si>
    <t>KOJZEP</t>
  </si>
  <si>
    <t>KOJZAL</t>
  </si>
  <si>
    <t>KOJYEO</t>
  </si>
  <si>
    <t>KOJCUI</t>
  </si>
  <si>
    <t>K, Zn</t>
  </si>
  <si>
    <t>KOHKOI</t>
  </si>
  <si>
    <t>KOHKIC</t>
  </si>
  <si>
    <t>KOGJOG</t>
  </si>
  <si>
    <t>KOFPEB05</t>
  </si>
  <si>
    <t>KOFPEB04</t>
  </si>
  <si>
    <t>KOFPEB03</t>
  </si>
  <si>
    <t>KOFPEB02</t>
  </si>
  <si>
    <t>KOFPEB01</t>
  </si>
  <si>
    <t>KOFPEB</t>
  </si>
  <si>
    <t>KOCWEF</t>
  </si>
  <si>
    <t>KOBPUN</t>
  </si>
  <si>
    <t>KOBPIB</t>
  </si>
  <si>
    <t>KIYMIQ</t>
  </si>
  <si>
    <t>KIYMIP</t>
  </si>
  <si>
    <t>KIYMEM</t>
  </si>
  <si>
    <t>KIYMAI</t>
  </si>
  <si>
    <t>KIXXOG</t>
  </si>
  <si>
    <t>KIXKOS</t>
  </si>
  <si>
    <t>KIVFEB</t>
  </si>
  <si>
    <t>KIVFAX</t>
  </si>
  <si>
    <t>KIVDUP</t>
  </si>
  <si>
    <t>KISPOS</t>
  </si>
  <si>
    <t>KIRKAZ</t>
  </si>
  <si>
    <t>KIQKOK</t>
  </si>
  <si>
    <t>KIPZEQ</t>
  </si>
  <si>
    <t>KIPKIF</t>
  </si>
  <si>
    <t>KIPKEB</t>
  </si>
  <si>
    <t>KIPKAX</t>
  </si>
  <si>
    <t>KIPJOK</t>
  </si>
  <si>
    <t>KIPJIE</t>
  </si>
  <si>
    <t>KINQAB</t>
  </si>
  <si>
    <t>KINPUU</t>
  </si>
  <si>
    <t>KINNUS</t>
  </si>
  <si>
    <t>KINLAW</t>
  </si>
  <si>
    <t>KINKAV</t>
  </si>
  <si>
    <t>KINJUO</t>
  </si>
  <si>
    <t>KINHAS</t>
  </si>
  <si>
    <t>KINFEU</t>
  </si>
  <si>
    <t>KINFAQ</t>
  </si>
  <si>
    <t>KINDOC</t>
  </si>
  <si>
    <t>KINDIW</t>
  </si>
  <si>
    <t>KILJEV</t>
  </si>
  <si>
    <t>KILFUI</t>
  </si>
  <si>
    <t>KIKFIV</t>
  </si>
  <si>
    <t>KIKDIT</t>
  </si>
  <si>
    <t>KIJYIM</t>
  </si>
  <si>
    <t>KIJRUS</t>
  </si>
  <si>
    <t>KIHTOL</t>
  </si>
  <si>
    <t>KIGCEK</t>
  </si>
  <si>
    <t>KIFXOO</t>
  </si>
  <si>
    <t>KIFWUT</t>
  </si>
  <si>
    <t>KIFKEQ</t>
  </si>
  <si>
    <t>KIFKAM</t>
  </si>
  <si>
    <t>KIFJUF</t>
  </si>
  <si>
    <t>KIFJIT</t>
  </si>
  <si>
    <t>KIDVIE</t>
  </si>
  <si>
    <t>KIDDOS</t>
  </si>
  <si>
    <t>KIDDIM</t>
  </si>
  <si>
    <t>KICXEB</t>
  </si>
  <si>
    <t>As, Co, W</t>
  </si>
  <si>
    <t>KICXAX</t>
  </si>
  <si>
    <t>KIBYAW</t>
  </si>
  <si>
    <t>KIBXUP</t>
  </si>
  <si>
    <t>KIBDIJ</t>
  </si>
  <si>
    <t>KIBDEF</t>
  </si>
  <si>
    <t>Mn, Re, Se</t>
  </si>
  <si>
    <t>KEYYET</t>
  </si>
  <si>
    <t>KEYFIF01</t>
  </si>
  <si>
    <t>KEYFIF</t>
  </si>
  <si>
    <t>KEYDEZ</t>
  </si>
  <si>
    <t>KEXPOU</t>
  </si>
  <si>
    <t>KEXKEF</t>
  </si>
  <si>
    <t>KEXKAB</t>
  </si>
  <si>
    <t>KEXFAU</t>
  </si>
  <si>
    <t>KEWZOD</t>
  </si>
  <si>
    <t>KEVWUF</t>
  </si>
  <si>
    <t>KEVVIS</t>
  </si>
  <si>
    <t>KETSEI</t>
  </si>
  <si>
    <t>KETHEY</t>
  </si>
  <si>
    <t>KESHAT</t>
  </si>
  <si>
    <t>KESGAS</t>
  </si>
  <si>
    <t>Ag, Co</t>
  </si>
  <si>
    <t>KESBIU01</t>
  </si>
  <si>
    <t>KESBIU</t>
  </si>
  <si>
    <t>KEQZAJ</t>
  </si>
  <si>
    <t>KEQDER</t>
  </si>
  <si>
    <t>KENJEU</t>
  </si>
  <si>
    <t>KEJQAR01</t>
  </si>
  <si>
    <t>KEJHIQ</t>
  </si>
  <si>
    <t>KEJBOQ</t>
  </si>
  <si>
    <t>removed duplicate Cl atoms + geom. Minimization (fine/cg setting)</t>
  </si>
  <si>
    <t>KEHGOV</t>
  </si>
  <si>
    <t>KEHGAH</t>
  </si>
  <si>
    <t>KEGYAX</t>
  </si>
  <si>
    <t>KEFWID</t>
  </si>
  <si>
    <t>KEFWEZ</t>
  </si>
  <si>
    <t>KEFBOO</t>
  </si>
  <si>
    <t>KEFBII</t>
  </si>
  <si>
    <t>KEFBEE</t>
  </si>
  <si>
    <t>KEDQAN</t>
  </si>
  <si>
    <t>Ag, Al</t>
  </si>
  <si>
    <t>KEDPEQ</t>
  </si>
  <si>
    <t>KECRAL10</t>
  </si>
  <si>
    <t>KEBDIG</t>
  </si>
  <si>
    <t>KAYCIY</t>
  </si>
  <si>
    <t>KAYBUJ</t>
  </si>
  <si>
    <t>KAYBIX</t>
  </si>
  <si>
    <t>KAXZUG</t>
  </si>
  <si>
    <t>KAXQOR01</t>
  </si>
  <si>
    <t>KAXQOR</t>
  </si>
  <si>
    <t>KAXQIL</t>
  </si>
  <si>
    <t>KAWBOB</t>
  </si>
  <si>
    <t>KAVTUY</t>
  </si>
  <si>
    <t>KAVROQ</t>
  </si>
  <si>
    <t>KAVRIK</t>
  </si>
  <si>
    <t>KAVREG</t>
  </si>
  <si>
    <t>KAVLID</t>
  </si>
  <si>
    <t>KAVKIC</t>
  </si>
  <si>
    <t>KAVJEX01</t>
  </si>
  <si>
    <t>KAVJAT</t>
  </si>
  <si>
    <t>KAVGAQ</t>
  </si>
  <si>
    <t>KATDAM</t>
  </si>
  <si>
    <t>KASRAZ</t>
  </si>
  <si>
    <t>KASPOL</t>
  </si>
  <si>
    <t>KARNAU</t>
  </si>
  <si>
    <t>KARMAT</t>
  </si>
  <si>
    <t>KARLUM</t>
  </si>
  <si>
    <t>KARLIA</t>
  </si>
  <si>
    <t>KARLAS</t>
  </si>
  <si>
    <t>KAPHOZ</t>
  </si>
  <si>
    <t>KAPHAL</t>
  </si>
  <si>
    <t>KAPGUE</t>
  </si>
  <si>
    <t>KANMIX</t>
  </si>
  <si>
    <t>KANDIO</t>
  </si>
  <si>
    <t>KANDEK</t>
  </si>
  <si>
    <t>KANCIN</t>
  </si>
  <si>
    <t>KAMZUV</t>
  </si>
  <si>
    <t>KALGEL</t>
  </si>
  <si>
    <t>KALGAH</t>
  </si>
  <si>
    <t>KALFOU</t>
  </si>
  <si>
    <t>KALFIO</t>
  </si>
  <si>
    <t>KAHNOX</t>
  </si>
  <si>
    <t>KAGCAY</t>
  </si>
  <si>
    <t>KAFYAT</t>
  </si>
  <si>
    <t>KAFTUI</t>
  </si>
  <si>
    <t>KACZIZ</t>
  </si>
  <si>
    <t>KACZEV</t>
  </si>
  <si>
    <t>KABXOC</t>
  </si>
  <si>
    <t>KABXIW</t>
  </si>
  <si>
    <t>KABXES</t>
  </si>
  <si>
    <t>JUTCUW</t>
  </si>
  <si>
    <t>JUPFOP</t>
  </si>
  <si>
    <t>JUCXEK</t>
  </si>
  <si>
    <t>JOVDON</t>
  </si>
  <si>
    <t>JOSNAG01</t>
  </si>
  <si>
    <t>JOSNAG</t>
  </si>
  <si>
    <t>JOJMEB</t>
  </si>
  <si>
    <t>JOJLOK</t>
  </si>
  <si>
    <t>removed bound oxygens (two)</t>
  </si>
  <si>
    <t>JOHFIW</t>
  </si>
  <si>
    <t>JOGDAL</t>
  </si>
  <si>
    <t>JOGBIR</t>
  </si>
  <si>
    <t>JODGEP</t>
  </si>
  <si>
    <t>JOCPIB</t>
  </si>
  <si>
    <t>Fe, Na, Sb, W</t>
  </si>
  <si>
    <t>JIYXUL</t>
  </si>
  <si>
    <t>JIXWUJ01</t>
  </si>
  <si>
    <t>JIXWUJ</t>
  </si>
  <si>
    <t>JIWKUW</t>
  </si>
  <si>
    <t>JIVHIG</t>
  </si>
  <si>
    <t>JIVFUQ</t>
  </si>
  <si>
    <t>JITPOS</t>
  </si>
  <si>
    <t>JISVAJ</t>
  </si>
  <si>
    <t>Ru, Yb</t>
  </si>
  <si>
    <t>JIQVAH</t>
  </si>
  <si>
    <t>JILXOS</t>
  </si>
  <si>
    <t>JEXSOV</t>
  </si>
  <si>
    <t>JEWYAM</t>
  </si>
  <si>
    <t>JEWCAP</t>
  </si>
  <si>
    <t>JETZAK</t>
  </si>
  <si>
    <t>Cr, La</t>
  </si>
  <si>
    <t>JETNOL</t>
  </si>
  <si>
    <t>JENKIX</t>
  </si>
  <si>
    <t>JENKET</t>
  </si>
  <si>
    <t>JEMQEY</t>
  </si>
  <si>
    <t>JEMNAR</t>
  </si>
  <si>
    <t>JEJWOL</t>
  </si>
  <si>
    <t>JEJWIF</t>
  </si>
  <si>
    <t>JEJWEB</t>
  </si>
  <si>
    <t>JEJKEP</t>
  </si>
  <si>
    <t>Cr, Cu</t>
  </si>
  <si>
    <t>JEDKEJ</t>
  </si>
  <si>
    <t>Gd, K</t>
  </si>
  <si>
    <t>JEDJUY</t>
  </si>
  <si>
    <t>JEBDOK</t>
  </si>
  <si>
    <t>JEBCOJ</t>
  </si>
  <si>
    <t>JAVWUY</t>
  </si>
  <si>
    <t>JAVTAC</t>
  </si>
  <si>
    <t>JAVNIE</t>
  </si>
  <si>
    <t>JASNEX</t>
  </si>
  <si>
    <t>JASNAT</t>
  </si>
  <si>
    <t>JAHXUM</t>
  </si>
  <si>
    <t>JAHNEM</t>
  </si>
  <si>
    <t>JACQUA</t>
  </si>
  <si>
    <t>IZUMUM</t>
  </si>
  <si>
    <t>IZOWEA</t>
  </si>
  <si>
    <t>IZOWAW</t>
  </si>
  <si>
    <t>IZEPEJ</t>
  </si>
  <si>
    <t>IZEPAF</t>
  </si>
  <si>
    <t>IZEHAX</t>
  </si>
  <si>
    <t>IZEFEZ</t>
  </si>
  <si>
    <t>IZEBEV</t>
  </si>
  <si>
    <t>IZEBAR</t>
  </si>
  <si>
    <t>IYUSAX</t>
  </si>
  <si>
    <t>Cu, Ni</t>
  </si>
  <si>
    <t>IYUREA</t>
  </si>
  <si>
    <t>IYUQEZ</t>
  </si>
  <si>
    <t>IYUJAO</t>
  </si>
  <si>
    <t>IYUHUG</t>
  </si>
  <si>
    <t>IYUHIU</t>
  </si>
  <si>
    <t>IYOWID</t>
  </si>
  <si>
    <t>IYOHOU</t>
  </si>
  <si>
    <t>IYOBAA</t>
  </si>
  <si>
    <t>IYIHUU</t>
  </si>
  <si>
    <t>IYIGEC</t>
  </si>
  <si>
    <t>IYICUP</t>
  </si>
  <si>
    <t>IXUWOO</t>
  </si>
  <si>
    <t>IXUWII</t>
  </si>
  <si>
    <t>IXURID</t>
  </si>
  <si>
    <t>IXUREZ</t>
  </si>
  <si>
    <t>IXURAV</t>
  </si>
  <si>
    <t>IXUQUO</t>
  </si>
  <si>
    <t>IXUHUE</t>
  </si>
  <si>
    <t>IXOFUX01</t>
  </si>
  <si>
    <t>IXOFUX</t>
  </si>
  <si>
    <t>IXOFOR</t>
  </si>
  <si>
    <t>IXOFIL</t>
  </si>
  <si>
    <t>IXOFEH</t>
  </si>
  <si>
    <t>IXOFAD</t>
  </si>
  <si>
    <t>IXODUV</t>
  </si>
  <si>
    <t>IXISOX</t>
  </si>
  <si>
    <t>IXISAJ</t>
  </si>
  <si>
    <t>IXEQIL</t>
  </si>
  <si>
    <t>IXEFAS</t>
  </si>
  <si>
    <t>IXEDUK</t>
  </si>
  <si>
    <t>IXEDOE</t>
  </si>
  <si>
    <t>IXAKAU</t>
  </si>
  <si>
    <t>IXAJUN</t>
  </si>
  <si>
    <t>IWEPUW</t>
  </si>
  <si>
    <t>IWELOM</t>
  </si>
  <si>
    <t>IWELIG01</t>
  </si>
  <si>
    <t>IWELIG</t>
  </si>
  <si>
    <t>IVETOT</t>
  </si>
  <si>
    <t>removed duplicates + geom. Minimization (fine setting/conjugate grad.)</t>
  </si>
  <si>
    <t>IVEHEW</t>
  </si>
  <si>
    <t>IVEGEV</t>
  </si>
  <si>
    <t>IVARUT</t>
  </si>
  <si>
    <t>ITIWUE</t>
  </si>
  <si>
    <t>ITIWOY</t>
  </si>
  <si>
    <t>ITIWIS</t>
  </si>
  <si>
    <t>ITIBOD</t>
  </si>
  <si>
    <t>ITIBET</t>
  </si>
  <si>
    <t>ITETEH</t>
  </si>
  <si>
    <t>ITAHEQ</t>
  </si>
  <si>
    <t>ISUXAW</t>
  </si>
  <si>
    <t>ISUGOT</t>
  </si>
  <si>
    <t>ISUGIN</t>
  </si>
  <si>
    <t>ISUCUV</t>
  </si>
  <si>
    <t>ISOJOQ</t>
  </si>
  <si>
    <t>ISOHEE</t>
  </si>
  <si>
    <t>ISIMAZ</t>
  </si>
  <si>
    <t>ISIKOL</t>
  </si>
  <si>
    <t>ISIKIF</t>
  </si>
  <si>
    <t>ISEQIH</t>
  </si>
  <si>
    <t>Dy, Ni</t>
  </si>
  <si>
    <t>ISENUQ</t>
  </si>
  <si>
    <t>ISAYOQ</t>
  </si>
  <si>
    <t>ISACIP</t>
  </si>
  <si>
    <t>IRISAD01</t>
  </si>
  <si>
    <t>IRAYUW</t>
  </si>
  <si>
    <t>IRAGEN</t>
  </si>
  <si>
    <t>K, Y</t>
  </si>
  <si>
    <t>IQUNAJ01</t>
  </si>
  <si>
    <t>IQUNAJ</t>
  </si>
  <si>
    <t>IQOZUJ</t>
  </si>
  <si>
    <t>IQIPAZ</t>
  </si>
  <si>
    <t>IQIJIC</t>
  </si>
  <si>
    <t>IQEWOQ</t>
  </si>
  <si>
    <t>IPOWOA</t>
  </si>
  <si>
    <t>IPIJUM</t>
  </si>
  <si>
    <t>IPIFAP</t>
  </si>
  <si>
    <t>IPIDUH</t>
  </si>
  <si>
    <t>IPIDAN</t>
  </si>
  <si>
    <t>IPICUG</t>
  </si>
  <si>
    <t>INURIS</t>
  </si>
  <si>
    <t>INOVEN</t>
  </si>
  <si>
    <t>Co, Ni</t>
  </si>
  <si>
    <t>INIRAY01</t>
  </si>
  <si>
    <t>INIRAY</t>
  </si>
  <si>
    <t>INIQUR</t>
  </si>
  <si>
    <t>INESIE</t>
  </si>
  <si>
    <t>INEBOT</t>
  </si>
  <si>
    <t>INAMUG</t>
  </si>
  <si>
    <t>IMUVAO</t>
  </si>
  <si>
    <t>IMUTUG</t>
  </si>
  <si>
    <t>IMIXIM</t>
  </si>
  <si>
    <t>IMIXEI</t>
  </si>
  <si>
    <t>IMISIH</t>
  </si>
  <si>
    <t>IMISED</t>
  </si>
  <si>
    <t>IMIDZB10</t>
  </si>
  <si>
    <t>IMIDZB08</t>
  </si>
  <si>
    <t>IMIDZB06</t>
  </si>
  <si>
    <t>IMIDZB04</t>
  </si>
  <si>
    <t>IMIDZB02</t>
  </si>
  <si>
    <t>IMACZN01</t>
  </si>
  <si>
    <t>Fe, Sm</t>
  </si>
  <si>
    <t>ILUJIJ</t>
  </si>
  <si>
    <t>ILUJEF</t>
  </si>
  <si>
    <t>Fe, Pr</t>
  </si>
  <si>
    <t>ILUJAB</t>
  </si>
  <si>
    <t>ILUHUT</t>
  </si>
  <si>
    <t>Fe, Nd</t>
  </si>
  <si>
    <t>ILUHON</t>
  </si>
  <si>
    <t>Fe, Ho</t>
  </si>
  <si>
    <t>ILUHIH</t>
  </si>
  <si>
    <t>Er, Fe</t>
  </si>
  <si>
    <t>ILUGOM</t>
  </si>
  <si>
    <t>ILUGAY</t>
  </si>
  <si>
    <t>ILUFUR</t>
  </si>
  <si>
    <t>ILUFOL</t>
  </si>
  <si>
    <t>ILUFIF</t>
  </si>
  <si>
    <t>ILUFEB</t>
  </si>
  <si>
    <t>ILOTOT</t>
  </si>
  <si>
    <t>ILOJOJ</t>
  </si>
  <si>
    <t>ILOJEZ</t>
  </si>
  <si>
    <t>ILITUT</t>
  </si>
  <si>
    <t>ILIGEP</t>
  </si>
  <si>
    <t>ILIGAL</t>
  </si>
  <si>
    <t>ILIFUE</t>
  </si>
  <si>
    <t>ILIFOY</t>
  </si>
  <si>
    <t>ILAGUY</t>
  </si>
  <si>
    <t>IKOSUW</t>
  </si>
  <si>
    <t>IKOSOQ</t>
  </si>
  <si>
    <t>IKEVAW</t>
  </si>
  <si>
    <t>IKETUO</t>
  </si>
  <si>
    <t>IKETOI</t>
  </si>
  <si>
    <t>IKETOH</t>
  </si>
  <si>
    <t>IKETIC</t>
  </si>
  <si>
    <t>IKETEY</t>
  </si>
  <si>
    <t>IKETAU</t>
  </si>
  <si>
    <t>IKEBUV01</t>
  </si>
  <si>
    <t>IKEBUV</t>
  </si>
  <si>
    <t>IKAYAU</t>
  </si>
  <si>
    <t>IJOMOJ07</t>
  </si>
  <si>
    <t>IJOMOJ06</t>
  </si>
  <si>
    <t>IJOMOJ04</t>
  </si>
  <si>
    <t>IJOMOJ02</t>
  </si>
  <si>
    <t>IJISOK</t>
  </si>
  <si>
    <t>K, V</t>
  </si>
  <si>
    <t>IJIROI</t>
  </si>
  <si>
    <t>IJEXUR</t>
  </si>
  <si>
    <t>IJENER</t>
  </si>
  <si>
    <t>IJASOC</t>
  </si>
  <si>
    <t>IJASIW</t>
  </si>
  <si>
    <t>IJASES01</t>
  </si>
  <si>
    <t>IJASES</t>
  </si>
  <si>
    <t>IJASAO01</t>
  </si>
  <si>
    <t>IJASAO</t>
  </si>
  <si>
    <t>IJANEN</t>
  </si>
  <si>
    <t>IJANAJ</t>
  </si>
  <si>
    <t>Ba, Cr</t>
  </si>
  <si>
    <t>IHIWIF</t>
  </si>
  <si>
    <t>IGOCOX</t>
  </si>
  <si>
    <t>IGAHED02</t>
  </si>
  <si>
    <t>IGAHED01</t>
  </si>
  <si>
    <t>IGAHED</t>
  </si>
  <si>
    <t>IGAHAB</t>
  </si>
  <si>
    <t>IGAGUU</t>
  </si>
  <si>
    <t>IFUPAC</t>
  </si>
  <si>
    <t>IFUNUU</t>
  </si>
  <si>
    <t>IFUDES</t>
  </si>
  <si>
    <t>IFUDAO</t>
  </si>
  <si>
    <t>Ce, Zr</t>
  </si>
  <si>
    <t>IFOSIG</t>
  </si>
  <si>
    <t>IFEYIB</t>
  </si>
  <si>
    <t>IFEQIV</t>
  </si>
  <si>
    <t>IFEQAN</t>
  </si>
  <si>
    <t>IFEPUG</t>
  </si>
  <si>
    <t>Gd, Re, Te</t>
  </si>
  <si>
    <t>IFEPIT</t>
  </si>
  <si>
    <t>IFENOY03</t>
  </si>
  <si>
    <t>IFENOY02</t>
  </si>
  <si>
    <t>IFENOY01</t>
  </si>
  <si>
    <t>IFENOY</t>
  </si>
  <si>
    <t>IFEHUY</t>
  </si>
  <si>
    <t>IFASOZ</t>
  </si>
  <si>
    <t>IFAREN</t>
  </si>
  <si>
    <t>IFAQUC</t>
  </si>
  <si>
    <t>IFAGON</t>
  </si>
  <si>
    <t>IDUDIW</t>
  </si>
  <si>
    <t>IDUDES</t>
  </si>
  <si>
    <t>IDORIE</t>
  </si>
  <si>
    <t>IDIWOH01</t>
  </si>
  <si>
    <t>IDIWOH</t>
  </si>
  <si>
    <t>K, Yb</t>
  </si>
  <si>
    <t>IDAZEU</t>
  </si>
  <si>
    <t>IDAGUR</t>
  </si>
  <si>
    <t>IDAGOL</t>
  </si>
  <si>
    <t>IDAGEA</t>
  </si>
  <si>
    <t>ICOYIK</t>
  </si>
  <si>
    <t>ICOWON</t>
  </si>
  <si>
    <t>ion_b</t>
  </si>
  <si>
    <t>removed water molecules (free)</t>
  </si>
  <si>
    <t>ICORAV</t>
  </si>
  <si>
    <t>ICODIP01</t>
  </si>
  <si>
    <t>ICODIP</t>
  </si>
  <si>
    <t>ICIZOL</t>
  </si>
  <si>
    <t>ICIZAV</t>
  </si>
  <si>
    <t>ICIVAS</t>
  </si>
  <si>
    <t>Li, Ni</t>
  </si>
  <si>
    <t>ICITUK</t>
  </si>
  <si>
    <t>ICITEU</t>
  </si>
  <si>
    <t>ICEGED</t>
  </si>
  <si>
    <t>ICAWUF</t>
  </si>
  <si>
    <t>ICAROV</t>
  </si>
  <si>
    <t>ICAREL</t>
  </si>
  <si>
    <t>ICARAH</t>
  </si>
  <si>
    <t>ICAQOU</t>
  </si>
  <si>
    <t>ICAQIO</t>
  </si>
  <si>
    <t>ICANEH</t>
  </si>
  <si>
    <t>ICANAD</t>
  </si>
  <si>
    <t>ICAMEG</t>
  </si>
  <si>
    <t>ICALUV</t>
  </si>
  <si>
    <t>ICALOP</t>
  </si>
  <si>
    <t>ICAGOK</t>
  </si>
  <si>
    <t>ICAGAU</t>
  </si>
  <si>
    <t>IBUYAH</t>
  </si>
  <si>
    <t>IBUDOZ</t>
  </si>
  <si>
    <t>IBOZIK</t>
  </si>
  <si>
    <t>IBOWIH</t>
  </si>
  <si>
    <t>IBOTAU</t>
  </si>
  <si>
    <t>IBIYOI</t>
  </si>
  <si>
    <t>IBITUK</t>
  </si>
  <si>
    <t>IBIDAA</t>
  </si>
  <si>
    <t>IBICUT</t>
  </si>
  <si>
    <t>IBICON</t>
  </si>
  <si>
    <t>IBICIH</t>
  </si>
  <si>
    <t>IBICED</t>
  </si>
  <si>
    <t>IBICAZ</t>
  </si>
  <si>
    <t>IBATEM</t>
  </si>
  <si>
    <t>IBATAI</t>
  </si>
  <si>
    <t>IBASUB</t>
  </si>
  <si>
    <t>IBASOV</t>
  </si>
  <si>
    <t>IBASEL</t>
  </si>
  <si>
    <t>IBASAH</t>
  </si>
  <si>
    <t>IBARUA</t>
  </si>
  <si>
    <t>HUZSUR01</t>
  </si>
  <si>
    <t>HUZSUR</t>
  </si>
  <si>
    <t>HUZSOL01</t>
  </si>
  <si>
    <t>HUZSOL</t>
  </si>
  <si>
    <t>HUZFOY</t>
  </si>
  <si>
    <t>HUZFIS</t>
  </si>
  <si>
    <t>HUYKUH</t>
  </si>
  <si>
    <t>HUYKAN</t>
  </si>
  <si>
    <t>HUYJUG</t>
  </si>
  <si>
    <t>HUYJOA</t>
  </si>
  <si>
    <t>HUXWAY</t>
  </si>
  <si>
    <t>HUTZEB</t>
  </si>
  <si>
    <t>HUTZAX01</t>
  </si>
  <si>
    <t>HUTTIA</t>
  </si>
  <si>
    <t>HUSQES</t>
  </si>
  <si>
    <t>HUSGAE</t>
  </si>
  <si>
    <t>HURQUG</t>
  </si>
  <si>
    <t>HURNOX</t>
  </si>
  <si>
    <t>HURGUX01</t>
  </si>
  <si>
    <t>HURGUX</t>
  </si>
  <si>
    <t>HURGOR</t>
  </si>
  <si>
    <t>HURGEH</t>
  </si>
  <si>
    <t>Bi, Pr</t>
  </si>
  <si>
    <t>HUMQUC</t>
  </si>
  <si>
    <t>HUKQUZ</t>
  </si>
  <si>
    <t>HUHJAW</t>
  </si>
  <si>
    <t>Ag, Sm</t>
  </si>
  <si>
    <t>HUCLIB</t>
  </si>
  <si>
    <t>geom. Minimization</t>
  </si>
  <si>
    <t>HUCBEN</t>
  </si>
  <si>
    <t>In, Li</t>
  </si>
  <si>
    <t>HUCBAJ</t>
  </si>
  <si>
    <t>HOZTOG</t>
  </si>
  <si>
    <t>HOYTUL</t>
  </si>
  <si>
    <t>HOXKUB</t>
  </si>
  <si>
    <t>HOXKIP</t>
  </si>
  <si>
    <t>HOXJIO</t>
  </si>
  <si>
    <t>HOXGEH</t>
  </si>
  <si>
    <t>HOWQOA</t>
  </si>
  <si>
    <t>HOWQEQ</t>
  </si>
  <si>
    <t>HOWQAM</t>
  </si>
  <si>
    <t>HOWPUF</t>
  </si>
  <si>
    <t>HOWPOZ</t>
  </si>
  <si>
    <t>HOTWUJ</t>
  </si>
  <si>
    <t>HORCUN</t>
  </si>
  <si>
    <t>HORCOH</t>
  </si>
  <si>
    <t>HOPHUP</t>
  </si>
  <si>
    <t>HOMZEP</t>
  </si>
  <si>
    <t>HOMXIR</t>
  </si>
  <si>
    <t>HOJLEY</t>
  </si>
  <si>
    <t>HOHMIB</t>
  </si>
  <si>
    <t>HOHMEX</t>
  </si>
  <si>
    <t>HOGTOM</t>
  </si>
  <si>
    <t>HOGSIG</t>
  </si>
  <si>
    <t>HOGLEV01</t>
  </si>
  <si>
    <t>HOGLEV</t>
  </si>
  <si>
    <t>HOGJIX</t>
  </si>
  <si>
    <t>HIZQUD</t>
  </si>
  <si>
    <t>HIZQEN</t>
  </si>
  <si>
    <t>HIYZEV01</t>
  </si>
  <si>
    <t>HIYYEU</t>
  </si>
  <si>
    <t>HIYBUN</t>
  </si>
  <si>
    <t>HIXDOH01</t>
  </si>
  <si>
    <t>HIWXER01</t>
  </si>
  <si>
    <t>HIWXER</t>
  </si>
  <si>
    <t>HIWLOO</t>
  </si>
  <si>
    <t>HIWKII</t>
  </si>
  <si>
    <t>HIWKEE</t>
  </si>
  <si>
    <t>HITXUE</t>
  </si>
  <si>
    <t>HIMSAY</t>
  </si>
  <si>
    <t>HIHNUJ</t>
  </si>
  <si>
    <t>HIHJUF</t>
  </si>
  <si>
    <t>HIHGUC</t>
  </si>
  <si>
    <t>HIHGOW</t>
  </si>
  <si>
    <t>HIHGIQ</t>
  </si>
  <si>
    <t>Er, Si</t>
  </si>
  <si>
    <t>HIHGEM</t>
  </si>
  <si>
    <t>Eu, Si</t>
  </si>
  <si>
    <t>HIHGAI</t>
  </si>
  <si>
    <t>HIHFOV</t>
  </si>
  <si>
    <t>HIGRIA</t>
  </si>
  <si>
    <t>HIFZAY</t>
  </si>
  <si>
    <t>HIFWAV</t>
  </si>
  <si>
    <t>HIFVUO01</t>
  </si>
  <si>
    <t>HIFVUO</t>
  </si>
  <si>
    <t>HIFVOI</t>
  </si>
  <si>
    <t>HIFTUM</t>
  </si>
  <si>
    <t>HIFTOG02</t>
  </si>
  <si>
    <t>HIFTOG01</t>
  </si>
  <si>
    <t>HIFTOG</t>
  </si>
  <si>
    <t>HIFGOU</t>
  </si>
  <si>
    <t>HIFGIO</t>
  </si>
  <si>
    <t>HIDMEO</t>
  </si>
  <si>
    <t>HIDBON</t>
  </si>
  <si>
    <t>HICVUM</t>
  </si>
  <si>
    <t>HICVOG</t>
  </si>
  <si>
    <t>HIBGIJ</t>
  </si>
  <si>
    <t>HIBGEF</t>
  </si>
  <si>
    <t>Co, Hg</t>
  </si>
  <si>
    <t>HGCNCO</t>
  </si>
  <si>
    <t>HEZSEK</t>
  </si>
  <si>
    <t>HEZSAG</t>
  </si>
  <si>
    <t>HEZKIH</t>
  </si>
  <si>
    <t>HEXVEM</t>
  </si>
  <si>
    <t>HEXNII</t>
  </si>
  <si>
    <t>HEWFUL</t>
  </si>
  <si>
    <t>HETZUC</t>
  </si>
  <si>
    <t>HESVOR</t>
  </si>
  <si>
    <t>HENYUV</t>
  </si>
  <si>
    <t>HELDOT</t>
  </si>
  <si>
    <t>HELDEJ</t>
  </si>
  <si>
    <t>HELCUY</t>
  </si>
  <si>
    <t>HEKTUO</t>
  </si>
  <si>
    <t>HEKTAU</t>
  </si>
  <si>
    <t>HEJHAH</t>
  </si>
  <si>
    <t>HEHCOO</t>
  </si>
  <si>
    <t>HEGJUZ</t>
  </si>
  <si>
    <t>Cu, Rh</t>
  </si>
  <si>
    <t>HEFVAR</t>
  </si>
  <si>
    <t>HEFFEF</t>
  </si>
  <si>
    <t>HEFFAB</t>
  </si>
  <si>
    <t>HEFDUT</t>
  </si>
  <si>
    <t>HEFDON</t>
  </si>
  <si>
    <t>HEFDIH</t>
  </si>
  <si>
    <t>HEFDED</t>
  </si>
  <si>
    <t>HEDTER</t>
  </si>
  <si>
    <t>HEDGUS</t>
  </si>
  <si>
    <t>HEDCIE</t>
  </si>
  <si>
    <t>HEDCEA</t>
  </si>
  <si>
    <t>HEDCAW</t>
  </si>
  <si>
    <t>Nd, U</t>
  </si>
  <si>
    <t>HEDBUP</t>
  </si>
  <si>
    <t>Ce, U</t>
  </si>
  <si>
    <t>HEDBOJ</t>
  </si>
  <si>
    <t>HEDBID</t>
  </si>
  <si>
    <t>HEDBEZ</t>
  </si>
  <si>
    <t>HECQUB</t>
  </si>
  <si>
    <t>HEBZEV</t>
  </si>
  <si>
    <t>HEBZAR</t>
  </si>
  <si>
    <t>HEBTEP</t>
  </si>
  <si>
    <t>HEBTAL</t>
  </si>
  <si>
    <t>HEBPUB</t>
  </si>
  <si>
    <t>HEBKEG</t>
  </si>
  <si>
    <t>HEBJAB</t>
  </si>
  <si>
    <t>HEBGUS</t>
  </si>
  <si>
    <t>HAZSIL</t>
  </si>
  <si>
    <t>HAZNON</t>
  </si>
  <si>
    <t>HAZGOF08</t>
  </si>
  <si>
    <t>HAZGOF07</t>
  </si>
  <si>
    <t>HAZGOF06</t>
  </si>
  <si>
    <t>HAZGOF05</t>
  </si>
  <si>
    <t>HAZGOF04</t>
  </si>
  <si>
    <t>HAZGOF03</t>
  </si>
  <si>
    <t>HAZGOF02</t>
  </si>
  <si>
    <t>HAZGOF01</t>
  </si>
  <si>
    <t>HAZGOF</t>
  </si>
  <si>
    <t>HAXMUP</t>
  </si>
  <si>
    <t>HAXJEX</t>
  </si>
  <si>
    <t>HAWZEM</t>
  </si>
  <si>
    <t>HAWYUB</t>
  </si>
  <si>
    <t>HAWWUZ</t>
  </si>
  <si>
    <t>HAWWOT</t>
  </si>
  <si>
    <t>HAWWIN</t>
  </si>
  <si>
    <t>HAWWEJ</t>
  </si>
  <si>
    <t>HAWREE</t>
  </si>
  <si>
    <t>HAWGIX</t>
  </si>
  <si>
    <t>Ru, Zn</t>
  </si>
  <si>
    <t>HASTAY</t>
  </si>
  <si>
    <t>HASSUR</t>
  </si>
  <si>
    <t>HASMIZ</t>
  </si>
  <si>
    <t>HARNAR</t>
  </si>
  <si>
    <t>HAPVEB</t>
  </si>
  <si>
    <t>HAPVAX</t>
  </si>
  <si>
    <t>HAPHUD</t>
  </si>
  <si>
    <t>HAOAER</t>
  </si>
  <si>
    <t>HANWAW</t>
  </si>
  <si>
    <t>HAMRIY</t>
  </si>
  <si>
    <t>HAMREU</t>
  </si>
  <si>
    <t>HAMJOW</t>
  </si>
  <si>
    <t>HAKWUM</t>
  </si>
  <si>
    <t>HAKCIG</t>
  </si>
  <si>
    <t>HAKCAZ</t>
  </si>
  <si>
    <t>HAJMEL</t>
  </si>
  <si>
    <t>HAJMAH</t>
  </si>
  <si>
    <t>HAJLUA</t>
  </si>
  <si>
    <t>HAJLOU</t>
  </si>
  <si>
    <t>HAJLIO</t>
  </si>
  <si>
    <t>HAJLEK</t>
  </si>
  <si>
    <t>HAJKOU</t>
  </si>
  <si>
    <t>HAJKIO</t>
  </si>
  <si>
    <t>HAJJAE</t>
  </si>
  <si>
    <t>HAHPIQ</t>
  </si>
  <si>
    <t>HAFWUI01</t>
  </si>
  <si>
    <t>HAFWUI</t>
  </si>
  <si>
    <t>HAFWAO</t>
  </si>
  <si>
    <t>HAFVUH</t>
  </si>
  <si>
    <t>HAFVOB</t>
  </si>
  <si>
    <t>HAFTOZ</t>
  </si>
  <si>
    <t>HAFQUC</t>
  </si>
  <si>
    <t>HAFQOW</t>
  </si>
  <si>
    <t>HADQUA</t>
  </si>
  <si>
    <t>HABZEQ</t>
  </si>
  <si>
    <t>HABRIN</t>
  </si>
  <si>
    <t>HABREJ</t>
  </si>
  <si>
    <t>removed duplicates + geom. Minimization</t>
  </si>
  <si>
    <t>HABRAF</t>
  </si>
  <si>
    <t>HABQUY</t>
  </si>
  <si>
    <t>GUYMAP</t>
  </si>
  <si>
    <t>GUYLUI01</t>
  </si>
  <si>
    <t>GUYLUI</t>
  </si>
  <si>
    <t>GUYLOC</t>
  </si>
  <si>
    <t>GUXRAT</t>
  </si>
  <si>
    <t>GUXQAS</t>
  </si>
  <si>
    <t>GUXQAR</t>
  </si>
  <si>
    <t>GUXPUL</t>
  </si>
  <si>
    <t>GUXPOF</t>
  </si>
  <si>
    <t>GUXLIU</t>
  </si>
  <si>
    <t>GUXJUF</t>
  </si>
  <si>
    <t>GUWDUY</t>
  </si>
  <si>
    <t>GUVLAL</t>
  </si>
  <si>
    <t>GUSPUG</t>
  </si>
  <si>
    <t>GUSNEN01</t>
  </si>
  <si>
    <t>GUSNEN</t>
  </si>
  <si>
    <t>GUSMAJ</t>
  </si>
  <si>
    <t>GUSLUC</t>
  </si>
  <si>
    <t>Ge, Mn</t>
  </si>
  <si>
    <t>GUSJOU</t>
  </si>
  <si>
    <t>Gd, Ni</t>
  </si>
  <si>
    <t>GUSCIH</t>
  </si>
  <si>
    <t>GURZID</t>
  </si>
  <si>
    <t>GURTIX</t>
  </si>
  <si>
    <t>GURPUF</t>
  </si>
  <si>
    <t>GUQTOB</t>
  </si>
  <si>
    <t>GUPJEG01</t>
  </si>
  <si>
    <t>GUPJEG</t>
  </si>
  <si>
    <t>GUPFAZ</t>
  </si>
  <si>
    <t>GUPDIF</t>
  </si>
  <si>
    <t>GUPDEB</t>
  </si>
  <si>
    <t>GUPCUQ01</t>
  </si>
  <si>
    <t>GUPCOK</t>
  </si>
  <si>
    <t>GUPCAW</t>
  </si>
  <si>
    <t>GUPBUP</t>
  </si>
  <si>
    <t>GUPBOJ01</t>
  </si>
  <si>
    <t>GUPBEZ02</t>
  </si>
  <si>
    <t>GUPBEZ01</t>
  </si>
  <si>
    <t>GUPBEZ</t>
  </si>
  <si>
    <t>GUNFAW01</t>
  </si>
  <si>
    <t>GULWOA</t>
  </si>
  <si>
    <t>GULWIU</t>
  </si>
  <si>
    <t>GULWEQ</t>
  </si>
  <si>
    <t>GULWAM</t>
  </si>
  <si>
    <t>GULVUF</t>
  </si>
  <si>
    <t>GULPIN</t>
  </si>
  <si>
    <t>GULGEZ</t>
  </si>
  <si>
    <t>GUKZAO</t>
  </si>
  <si>
    <t>GUKNIK</t>
  </si>
  <si>
    <t>GUJVOX</t>
  </si>
  <si>
    <t>GUJVIR</t>
  </si>
  <si>
    <t>GUJTOV</t>
  </si>
  <si>
    <t>GUJGEY</t>
  </si>
  <si>
    <t>GUJGAU</t>
  </si>
  <si>
    <t>GUFREF</t>
  </si>
  <si>
    <t>GUBVUU</t>
  </si>
  <si>
    <t>GOMREG</t>
  </si>
  <si>
    <t>GOMRAC</t>
  </si>
  <si>
    <t>Ag, Nd</t>
  </si>
  <si>
    <t>GOLQII</t>
  </si>
  <si>
    <t>GOKBUE</t>
  </si>
  <si>
    <t>removed free oxygen atoms</t>
  </si>
  <si>
    <t>GOJRED</t>
  </si>
  <si>
    <t>GOJFAN</t>
  </si>
  <si>
    <t>GOJDOZ</t>
  </si>
  <si>
    <t>GOGWEF</t>
  </si>
  <si>
    <t>GOGWAB</t>
  </si>
  <si>
    <t>GOGSIF</t>
  </si>
  <si>
    <t>GOFDAH</t>
  </si>
  <si>
    <t>GOBGAG</t>
  </si>
  <si>
    <t>GIZVER</t>
  </si>
  <si>
    <t>GIZJOP</t>
  </si>
  <si>
    <t>GIYTIS</t>
  </si>
  <si>
    <t>GIYTAK</t>
  </si>
  <si>
    <t>GIYSUD</t>
  </si>
  <si>
    <t>GIYSOX</t>
  </si>
  <si>
    <t>GIYSIR</t>
  </si>
  <si>
    <t>GIYSEN</t>
  </si>
  <si>
    <t>GIYSAJ02</t>
  </si>
  <si>
    <t>GIYSAJ</t>
  </si>
  <si>
    <t>GIXGOK</t>
  </si>
  <si>
    <t>GIWNUV</t>
  </si>
  <si>
    <t>GIWMOP</t>
  </si>
  <si>
    <t>Ag, In</t>
  </si>
  <si>
    <t>GIWCOF</t>
  </si>
  <si>
    <t>Ag, Ga</t>
  </si>
  <si>
    <t>GIWCIZ</t>
  </si>
  <si>
    <t>GIWCAR</t>
  </si>
  <si>
    <t>GIWBOE</t>
  </si>
  <si>
    <t>GIWBIY</t>
  </si>
  <si>
    <t>GIWBEU</t>
  </si>
  <si>
    <t>GIVDUL</t>
  </si>
  <si>
    <t>GITWIQ</t>
  </si>
  <si>
    <t>GITVIP01</t>
  </si>
  <si>
    <t>GITVIP</t>
  </si>
  <si>
    <t>GITVEL01</t>
  </si>
  <si>
    <t>GITVEL</t>
  </si>
  <si>
    <t>GITTUZ</t>
  </si>
  <si>
    <t>GITTOT01</t>
  </si>
  <si>
    <t>GITTOT</t>
  </si>
  <si>
    <t>GITTIN</t>
  </si>
  <si>
    <t>GIRGUL</t>
  </si>
  <si>
    <t>GIRFUJ</t>
  </si>
  <si>
    <t>GIRDUI</t>
  </si>
  <si>
    <t>GIQZIQ</t>
  </si>
  <si>
    <t>Ru, Tb</t>
  </si>
  <si>
    <t>GIQYUB</t>
  </si>
  <si>
    <t>Pr, Ru</t>
  </si>
  <si>
    <t>GIQYOV</t>
  </si>
  <si>
    <t>GIQYIP</t>
  </si>
  <si>
    <t>La, Ru</t>
  </si>
  <si>
    <t>GIQYEL</t>
  </si>
  <si>
    <t>Ho, Ru</t>
  </si>
  <si>
    <t>GIQYAH</t>
  </si>
  <si>
    <t>GIQXUA</t>
  </si>
  <si>
    <t>Er, Ru</t>
  </si>
  <si>
    <t>GIQXOU</t>
  </si>
  <si>
    <t>Dy, Ru</t>
  </si>
  <si>
    <t>GIQXIO</t>
  </si>
  <si>
    <t>Ce, Ru</t>
  </si>
  <si>
    <t>GIQXEK</t>
  </si>
  <si>
    <t>GIQHAQ</t>
  </si>
  <si>
    <t>GINLIA</t>
  </si>
  <si>
    <t>GINDEO</t>
  </si>
  <si>
    <t>GIMVAA</t>
  </si>
  <si>
    <t>GIMSIG</t>
  </si>
  <si>
    <t>GIKQIC</t>
  </si>
  <si>
    <t>GIKMOD12</t>
  </si>
  <si>
    <t>GIKMOD11</t>
  </si>
  <si>
    <t>GIKMOD10</t>
  </si>
  <si>
    <t>GIKMOD09</t>
  </si>
  <si>
    <t>GIKMOD08</t>
  </si>
  <si>
    <t>GIKMOD07</t>
  </si>
  <si>
    <t>GIKMOD06</t>
  </si>
  <si>
    <t>GIKMOD05</t>
  </si>
  <si>
    <t>GIKMOD04</t>
  </si>
  <si>
    <t>GIKMOD03</t>
  </si>
  <si>
    <t>GIKMOD02</t>
  </si>
  <si>
    <t>GIKMOD01</t>
  </si>
  <si>
    <t>GIKMOD</t>
  </si>
  <si>
    <t>GIHPEU</t>
  </si>
  <si>
    <t>GIHPAQ</t>
  </si>
  <si>
    <t>GIHBII</t>
  </si>
  <si>
    <t>GIFSOF</t>
  </si>
  <si>
    <t>GIFKIP</t>
  </si>
  <si>
    <t>GIFKAH</t>
  </si>
  <si>
    <t>GIFFEI</t>
  </si>
  <si>
    <t>GIFFAE</t>
  </si>
  <si>
    <t>GIDKOU</t>
  </si>
  <si>
    <t>GEZRAG</t>
  </si>
  <si>
    <t>GEZFOI</t>
  </si>
  <si>
    <t>GEZFIC</t>
  </si>
  <si>
    <t>GEWXAJ</t>
  </si>
  <si>
    <t>GEVXIQ</t>
  </si>
  <si>
    <t>GEVXAI</t>
  </si>
  <si>
    <t>GEVKID</t>
  </si>
  <si>
    <t>GETXEK</t>
  </si>
  <si>
    <t>GETXAG</t>
  </si>
  <si>
    <t>GESFAN</t>
  </si>
  <si>
    <t>GESDUF</t>
  </si>
  <si>
    <t>Mn, Na</t>
  </si>
  <si>
    <t>GESBUC</t>
  </si>
  <si>
    <t>GESBOW</t>
  </si>
  <si>
    <t>GERWOR</t>
  </si>
  <si>
    <t>GERWIL</t>
  </si>
  <si>
    <t>GERWEH</t>
  </si>
  <si>
    <t>GERPUP</t>
  </si>
  <si>
    <t>GERNOI</t>
  </si>
  <si>
    <t>GEPDIQ</t>
  </si>
  <si>
    <t>GEPDEM</t>
  </si>
  <si>
    <t>GENGIR</t>
  </si>
  <si>
    <t>GELVID01</t>
  </si>
  <si>
    <t>GELVID</t>
  </si>
  <si>
    <t>GELVEZ02</t>
  </si>
  <si>
    <t>GELVEZ01</t>
  </si>
  <si>
    <t>GELVEZ</t>
  </si>
  <si>
    <t>GELJAJ</t>
  </si>
  <si>
    <t>Ca, Fe</t>
  </si>
  <si>
    <t>GEHSAN</t>
  </si>
  <si>
    <t>Ca, Eu</t>
  </si>
  <si>
    <t>GEGWAS</t>
  </si>
  <si>
    <t>GEGSIW</t>
  </si>
  <si>
    <t>GEGDED</t>
  </si>
  <si>
    <t>GEFZAU</t>
  </si>
  <si>
    <t>GEFYUN</t>
  </si>
  <si>
    <t>GEFFUT</t>
  </si>
  <si>
    <t>GEDTAM</t>
  </si>
  <si>
    <t>GEDSUF</t>
  </si>
  <si>
    <t>GEDSOZ</t>
  </si>
  <si>
    <t>GEDSIT</t>
  </si>
  <si>
    <t>GEDSEP</t>
  </si>
  <si>
    <t>GEDSAL</t>
  </si>
  <si>
    <t>GEDRUE</t>
  </si>
  <si>
    <t>GEDROY</t>
  </si>
  <si>
    <t>GEDRIS</t>
  </si>
  <si>
    <t>GEDREO</t>
  </si>
  <si>
    <t>GEDRAK</t>
  </si>
  <si>
    <t>GEDQUD</t>
  </si>
  <si>
    <t>GEDQOX</t>
  </si>
  <si>
    <t>GEDQIR</t>
  </si>
  <si>
    <t>GEDLIM</t>
  </si>
  <si>
    <t>GEDDEA</t>
  </si>
  <si>
    <t>GEDDAW</t>
  </si>
  <si>
    <t>GECRAI</t>
  </si>
  <si>
    <t>GEBCAT</t>
  </si>
  <si>
    <t>GAZZIS05</t>
  </si>
  <si>
    <t>GAZZIS04</t>
  </si>
  <si>
    <t>GAZZIS03</t>
  </si>
  <si>
    <t>GAZZIS02</t>
  </si>
  <si>
    <t>GAZZIS01</t>
  </si>
  <si>
    <t>GAZZIS</t>
  </si>
  <si>
    <t>GAZLAW</t>
  </si>
  <si>
    <t>GAYTEH</t>
  </si>
  <si>
    <t>GAYPED</t>
  </si>
  <si>
    <t>GAYGAQ</t>
  </si>
  <si>
    <t>GAYFUJ</t>
  </si>
  <si>
    <t>GAYFOD</t>
  </si>
  <si>
    <t>GAXWEJ</t>
  </si>
  <si>
    <t>Sr, Zn</t>
  </si>
  <si>
    <t>GAXWAF</t>
  </si>
  <si>
    <t>GAXVUY</t>
  </si>
  <si>
    <t>GAXQIH</t>
  </si>
  <si>
    <t>GAXKUN</t>
  </si>
  <si>
    <t>GAXKOH</t>
  </si>
  <si>
    <t>GAXGOD</t>
  </si>
  <si>
    <t>GAXGIX</t>
  </si>
  <si>
    <t>GAXGET</t>
  </si>
  <si>
    <t>GAXDIS10</t>
  </si>
  <si>
    <t>GAWMOI</t>
  </si>
  <si>
    <t>GAWMAU</t>
  </si>
  <si>
    <t>GAWLIB</t>
  </si>
  <si>
    <t>GAWKEW</t>
  </si>
  <si>
    <t>GAWKAS</t>
  </si>
  <si>
    <t>GAWJEV</t>
  </si>
  <si>
    <t>GAWBEM</t>
  </si>
  <si>
    <t>GATJIV</t>
  </si>
  <si>
    <t>GATHAL</t>
  </si>
  <si>
    <t>GATBUZ</t>
  </si>
  <si>
    <t>GAQYIH</t>
  </si>
  <si>
    <t>GAMXAV</t>
  </si>
  <si>
    <t>GAMVAS</t>
  </si>
  <si>
    <t>GAMTUK</t>
  </si>
  <si>
    <t>GAMTIY</t>
  </si>
  <si>
    <t>GAMTEU</t>
  </si>
  <si>
    <t>GAMTAQ</t>
  </si>
  <si>
    <t>GALHUY</t>
  </si>
  <si>
    <t>GALHOS</t>
  </si>
  <si>
    <t>GALCED</t>
  </si>
  <si>
    <t>GALCAZ</t>
  </si>
  <si>
    <t>GALBUS</t>
  </si>
  <si>
    <t>GAKBAX</t>
  </si>
  <si>
    <t>GAJZUO</t>
  </si>
  <si>
    <t>GAJZOI</t>
  </si>
  <si>
    <t>GAJZIC</t>
  </si>
  <si>
    <t>GAJZEY</t>
  </si>
  <si>
    <t>GAJZAU</t>
  </si>
  <si>
    <t>GAJYUN</t>
  </si>
  <si>
    <t>GAJVIY</t>
  </si>
  <si>
    <t>GAJVEU</t>
  </si>
  <si>
    <t>GAJVAQ</t>
  </si>
  <si>
    <t>GAJTUI</t>
  </si>
  <si>
    <t>GAJTOC</t>
  </si>
  <si>
    <t>GAHWIX</t>
  </si>
  <si>
    <t>GAGZEV</t>
  </si>
  <si>
    <t>GAGXAP</t>
  </si>
  <si>
    <t>GADMAA</t>
  </si>
  <si>
    <t>GACQAE</t>
  </si>
  <si>
    <t>GACPUX</t>
  </si>
  <si>
    <t>FUZKAN</t>
  </si>
  <si>
    <t>FUYZAB</t>
  </si>
  <si>
    <t>FUYYAA</t>
  </si>
  <si>
    <t>FUWYAY</t>
  </si>
  <si>
    <t>FUWXOL</t>
  </si>
  <si>
    <t>FUTZOK</t>
  </si>
  <si>
    <t>FUTKEL</t>
  </si>
  <si>
    <t>FUTDII</t>
  </si>
  <si>
    <t>FUTCAZ</t>
  </si>
  <si>
    <t>FUSYUO</t>
  </si>
  <si>
    <t>FUSWIA</t>
  </si>
  <si>
    <t>FURSAN</t>
  </si>
  <si>
    <t>FURRUG01</t>
  </si>
  <si>
    <t>FURRUG</t>
  </si>
  <si>
    <t>FURQUF</t>
  </si>
  <si>
    <t>FURQOZ01</t>
  </si>
  <si>
    <t>FURQOZ</t>
  </si>
  <si>
    <t>FUQJUX</t>
  </si>
  <si>
    <t>FUNCEX</t>
  </si>
  <si>
    <t>FUNCAT</t>
  </si>
  <si>
    <t>FUNBOG</t>
  </si>
  <si>
    <t>FUNBIA</t>
  </si>
  <si>
    <t>FUNBEW</t>
  </si>
  <si>
    <t>FUNBAS</t>
  </si>
  <si>
    <t>FULQUZ</t>
  </si>
  <si>
    <t>FULQOT</t>
  </si>
  <si>
    <t>FUFREE</t>
  </si>
  <si>
    <t>FUDQIF</t>
  </si>
  <si>
    <t>FUBDIQ</t>
  </si>
  <si>
    <t>FUBDEM</t>
  </si>
  <si>
    <t>FOXQIT</t>
  </si>
  <si>
    <t>FOXNIQ</t>
  </si>
  <si>
    <t>FORWAL</t>
  </si>
  <si>
    <t>FOQSUA</t>
  </si>
  <si>
    <t>FONQIJ</t>
  </si>
  <si>
    <t>FOHSAW01</t>
  </si>
  <si>
    <t>Co, Sr</t>
  </si>
  <si>
    <t>FOHQUO</t>
  </si>
  <si>
    <t>FOHCIP</t>
  </si>
  <si>
    <t>FOHCAH</t>
  </si>
  <si>
    <t>FIYDOH</t>
  </si>
  <si>
    <t>FIVYUF</t>
  </si>
  <si>
    <t>FIVYEP01</t>
  </si>
  <si>
    <t>FIVYEP</t>
  </si>
  <si>
    <t>FIVNAZ</t>
  </si>
  <si>
    <t>FITJEY</t>
  </si>
  <si>
    <t>FITJAU</t>
  </si>
  <si>
    <t>FITHAS</t>
  </si>
  <si>
    <t>FISPIH</t>
  </si>
  <si>
    <t>FIRVEH</t>
  </si>
  <si>
    <t>FIQYUA</t>
  </si>
  <si>
    <t>FIQYOU</t>
  </si>
  <si>
    <t>FIQCEN</t>
  </si>
  <si>
    <t>FIPXEJ</t>
  </si>
  <si>
    <t>FIPWUY</t>
  </si>
  <si>
    <t>FIPWOS</t>
  </si>
  <si>
    <t>FINQUQ</t>
  </si>
  <si>
    <t>FINQOK</t>
  </si>
  <si>
    <t>FIMXUW</t>
  </si>
  <si>
    <t>FIMNIA</t>
  </si>
  <si>
    <t>FILYEG</t>
  </si>
  <si>
    <t>FIKTOK</t>
  </si>
  <si>
    <t>FIKQIB</t>
  </si>
  <si>
    <t>FIJFUA</t>
  </si>
  <si>
    <t>removed oxygen bound (two)</t>
  </si>
  <si>
    <t>FIJFEK</t>
  </si>
  <si>
    <t>FIJDUY</t>
  </si>
  <si>
    <t>FIJDOS</t>
  </si>
  <si>
    <t>FIJDIM12</t>
  </si>
  <si>
    <t>FIJDIM11</t>
  </si>
  <si>
    <t>FIJDIM10</t>
  </si>
  <si>
    <t>FIJDIM09</t>
  </si>
  <si>
    <t>FIJDIM08</t>
  </si>
  <si>
    <t>FIJDIM07</t>
  </si>
  <si>
    <t>FIJDIM06</t>
  </si>
  <si>
    <t>FIJDIM05</t>
  </si>
  <si>
    <t>FIJDIM04</t>
  </si>
  <si>
    <t>FIJDIM03</t>
  </si>
  <si>
    <t>FIJDIM02</t>
  </si>
  <si>
    <t>FIJDIM01</t>
  </si>
  <si>
    <t>FIJDIM</t>
  </si>
  <si>
    <t>FIJCUX01</t>
  </si>
  <si>
    <t>FIJCUX</t>
  </si>
  <si>
    <t>FIHXUR</t>
  </si>
  <si>
    <t>FIHRIZ</t>
  </si>
  <si>
    <t>FIHLUF</t>
  </si>
  <si>
    <t>FIHLOZ</t>
  </si>
  <si>
    <t>FIHHUB</t>
  </si>
  <si>
    <t>FIHFAF</t>
  </si>
  <si>
    <t>FIGXEY</t>
  </si>
  <si>
    <t>FIGXAW</t>
  </si>
  <si>
    <t>FIGXAU</t>
  </si>
  <si>
    <t>FIGQUJ</t>
  </si>
  <si>
    <t>FIFPOA</t>
  </si>
  <si>
    <t>FIFPAM01</t>
  </si>
  <si>
    <t>FIFPAM</t>
  </si>
  <si>
    <t>FIFNUE01</t>
  </si>
  <si>
    <t>FIFNUE</t>
  </si>
  <si>
    <t>FIFMUE</t>
  </si>
  <si>
    <t>FIFMUD</t>
  </si>
  <si>
    <t>FIFMOY</t>
  </si>
  <si>
    <t>FIFMOX</t>
  </si>
  <si>
    <t>FIFMIS01</t>
  </si>
  <si>
    <t>FIFMIS</t>
  </si>
  <si>
    <t>FIDRIV</t>
  </si>
  <si>
    <t>FIBHIJ</t>
  </si>
  <si>
    <t>FIBHEF</t>
  </si>
  <si>
    <t>FEZREJ</t>
  </si>
  <si>
    <t>FEZCUJ</t>
  </si>
  <si>
    <t>FEZCOD</t>
  </si>
  <si>
    <t>FEYQIK</t>
  </si>
  <si>
    <t>FEYJOJ</t>
  </si>
  <si>
    <t>FEXHOG01</t>
  </si>
  <si>
    <t>FEXHOG</t>
  </si>
  <si>
    <t>FEXCES</t>
  </si>
  <si>
    <t>FEWWUB</t>
  </si>
  <si>
    <t>FEWWOV</t>
  </si>
  <si>
    <t>FEWTUY</t>
  </si>
  <si>
    <t>FEWQOP</t>
  </si>
  <si>
    <t>fixed hydroxyl + geom.Optimization (fine/cg)</t>
  </si>
  <si>
    <t>FEWQIJ</t>
  </si>
  <si>
    <t>FEWGUL</t>
  </si>
  <si>
    <t>FEVVIM</t>
  </si>
  <si>
    <t>FEVTEF</t>
  </si>
  <si>
    <t>FEVSAC</t>
  </si>
  <si>
    <t>FEVNOK</t>
  </si>
  <si>
    <t>FEVNIE</t>
  </si>
  <si>
    <t>FEVNEA</t>
  </si>
  <si>
    <t>FEVFUJ</t>
  </si>
  <si>
    <t>FEVDIV</t>
  </si>
  <si>
    <t>FEVDER</t>
  </si>
  <si>
    <t>FESBIQ</t>
  </si>
  <si>
    <t>FERWAC</t>
  </si>
  <si>
    <t>FERVOP</t>
  </si>
  <si>
    <t>FERVIJ</t>
  </si>
  <si>
    <t>FERHAN</t>
  </si>
  <si>
    <t>FERGUG</t>
  </si>
  <si>
    <t>FERCAH</t>
  </si>
  <si>
    <t>FEQSIF</t>
  </si>
  <si>
    <t>FENVOL</t>
  </si>
  <si>
    <t>Ca, Y</t>
  </si>
  <si>
    <t>FELWUQ</t>
  </si>
  <si>
    <t>Ca, Yb</t>
  </si>
  <si>
    <t>FELWOK</t>
  </si>
  <si>
    <t>Ca, Tm</t>
  </si>
  <si>
    <t>FELWIE</t>
  </si>
  <si>
    <t>FELWEA</t>
  </si>
  <si>
    <t>Ca, Lu</t>
  </si>
  <si>
    <t>FELWAW</t>
  </si>
  <si>
    <t>Ca, Ho</t>
  </si>
  <si>
    <t>FELVUP</t>
  </si>
  <si>
    <t>FELVOJ</t>
  </si>
  <si>
    <t>Ca, Er</t>
  </si>
  <si>
    <t>FELVID</t>
  </si>
  <si>
    <t>Ca, Dy</t>
  </si>
  <si>
    <t>FELVEZ</t>
  </si>
  <si>
    <t>FEJKEM</t>
  </si>
  <si>
    <t>FEHCOM</t>
  </si>
  <si>
    <t>FEFZOF</t>
  </si>
  <si>
    <t>removed duplicate oxygen atoms and removed symmetry related disorder on DABCO + geom. Minimization (fine/gc)</t>
  </si>
  <si>
    <t>FEFDEB</t>
  </si>
  <si>
    <t>FEFDAX</t>
  </si>
  <si>
    <t>FEFCUQ</t>
  </si>
  <si>
    <t>FEDJUU</t>
  </si>
  <si>
    <t>FEDBEX</t>
  </si>
  <si>
    <t>removed duplicates + geom. Minimization (cg/fine setting)</t>
  </si>
  <si>
    <t>FECZAQ</t>
  </si>
  <si>
    <t>FECYUJ</t>
  </si>
  <si>
    <t>FECXUI</t>
  </si>
  <si>
    <t>FECXES</t>
  </si>
  <si>
    <t>FECXAO</t>
  </si>
  <si>
    <t>FECWOB01</t>
  </si>
  <si>
    <t>FECWOB</t>
  </si>
  <si>
    <t>FECKAA</t>
  </si>
  <si>
    <t>FEBXIV</t>
  </si>
  <si>
    <t>FEBQIO</t>
  </si>
  <si>
    <t>FAZZEM</t>
  </si>
  <si>
    <t>FAZRAA</t>
  </si>
  <si>
    <t>FAZPED</t>
  </si>
  <si>
    <t>Co, Ge, V</t>
  </si>
  <si>
    <t>FAZFET</t>
  </si>
  <si>
    <t>FAYRAA</t>
  </si>
  <si>
    <t>FAYQUT</t>
  </si>
  <si>
    <t>FAYQON</t>
  </si>
  <si>
    <t>FAYQIH</t>
  </si>
  <si>
    <t>FAYQED</t>
  </si>
  <si>
    <t>FAYQAZ</t>
  </si>
  <si>
    <t>FAYPUS</t>
  </si>
  <si>
    <t>FAYPOM</t>
  </si>
  <si>
    <t>FAYPIG</t>
  </si>
  <si>
    <t>FAYPEC</t>
  </si>
  <si>
    <t>FAYPAY</t>
  </si>
  <si>
    <t>FAYKOH</t>
  </si>
  <si>
    <t>FAWCEN03</t>
  </si>
  <si>
    <t>FAWCEN02</t>
  </si>
  <si>
    <t>FAWCEN01</t>
  </si>
  <si>
    <t>FAWCEN</t>
  </si>
  <si>
    <t>FAVZEJ</t>
  </si>
  <si>
    <t>FATLUJ</t>
  </si>
  <si>
    <t>FATKUI</t>
  </si>
  <si>
    <t>FATKOC</t>
  </si>
  <si>
    <t>FATKIW</t>
  </si>
  <si>
    <t>FATKIV</t>
  </si>
  <si>
    <t>FATKES</t>
  </si>
  <si>
    <t>FATKAO</t>
  </si>
  <si>
    <t>Ba, Zr</t>
  </si>
  <si>
    <t>FATBAE</t>
  </si>
  <si>
    <t>FASYUU</t>
  </si>
  <si>
    <t>FASQUN</t>
  </si>
  <si>
    <t>Ca, Zr</t>
  </si>
  <si>
    <t>FASJAL</t>
  </si>
  <si>
    <t>Sr, Zr</t>
  </si>
  <si>
    <t>FASHUD</t>
  </si>
  <si>
    <t>FASHAK</t>
  </si>
  <si>
    <t>K, Nd, Re, Te</t>
  </si>
  <si>
    <t>FARYAA</t>
  </si>
  <si>
    <t>FARHOX</t>
  </si>
  <si>
    <t>FARHIR</t>
  </si>
  <si>
    <t>FARFUA</t>
  </si>
  <si>
    <t>FARFOU</t>
  </si>
  <si>
    <t>FARFIO</t>
  </si>
  <si>
    <t>FAQYUR</t>
  </si>
  <si>
    <t>FAQVEA</t>
  </si>
  <si>
    <t>FAQGIP</t>
  </si>
  <si>
    <t>FAQGEL</t>
  </si>
  <si>
    <t>FAPYEA04</t>
  </si>
  <si>
    <t>FAPYEA</t>
  </si>
  <si>
    <t>FAPVAV</t>
  </si>
  <si>
    <t>FAPTUN</t>
  </si>
  <si>
    <t>FAPTOH</t>
  </si>
  <si>
    <t>FAPTIB</t>
  </si>
  <si>
    <t>FANWOI</t>
  </si>
  <si>
    <t>FANWIC</t>
  </si>
  <si>
    <t>FANQER</t>
  </si>
  <si>
    <t>FAMGAD</t>
  </si>
  <si>
    <t>FAMBUS</t>
  </si>
  <si>
    <t>FALVUL01</t>
  </si>
  <si>
    <t>FALVUL</t>
  </si>
  <si>
    <t>FALVOF</t>
  </si>
  <si>
    <t>FALQOA</t>
  </si>
  <si>
    <t>FALQIU</t>
  </si>
  <si>
    <t>FALQEQ</t>
  </si>
  <si>
    <t>FALJAF</t>
  </si>
  <si>
    <t>FALBAX</t>
  </si>
  <si>
    <t>FAKMAH</t>
  </si>
  <si>
    <t>FAKLOU</t>
  </si>
  <si>
    <t>FAKLIO</t>
  </si>
  <si>
    <t>FAKGOP</t>
  </si>
  <si>
    <t>FAJYAS</t>
  </si>
  <si>
    <t>Mn, Tb</t>
  </si>
  <si>
    <t>FAHVAM</t>
  </si>
  <si>
    <t>FAHTUE</t>
  </si>
  <si>
    <t>FAHPOV</t>
  </si>
  <si>
    <t>FAHGAY</t>
  </si>
  <si>
    <t>FAHFUR</t>
  </si>
  <si>
    <t>FAGREM</t>
  </si>
  <si>
    <t>FAGFUQ</t>
  </si>
  <si>
    <t>FAFMAC</t>
  </si>
  <si>
    <t>FAFJIH</t>
  </si>
  <si>
    <t>FAFGAU</t>
  </si>
  <si>
    <t>K, Mn</t>
  </si>
  <si>
    <t>FAFDEX</t>
  </si>
  <si>
    <t>FACMIH01</t>
  </si>
  <si>
    <t>FACMIH</t>
  </si>
  <si>
    <t>FABFOF</t>
  </si>
  <si>
    <t>EZUCOS</t>
  </si>
  <si>
    <t>EZUCIM</t>
  </si>
  <si>
    <t>EZOFEF</t>
  </si>
  <si>
    <t>EZOBUR02</t>
  </si>
  <si>
    <t>EZOBUR</t>
  </si>
  <si>
    <t>EZIMAC</t>
  </si>
  <si>
    <t>EZILUV</t>
  </si>
  <si>
    <t>EZABEN</t>
  </si>
  <si>
    <t>EYUWAW</t>
  </si>
  <si>
    <t>EYULOA</t>
  </si>
  <si>
    <t>EYOQEP</t>
  </si>
  <si>
    <t>EYOQAL</t>
  </si>
  <si>
    <t>EYOPUE</t>
  </si>
  <si>
    <t>EYOPOY</t>
  </si>
  <si>
    <t>EYACOX</t>
  </si>
  <si>
    <t>EXUMOZ</t>
  </si>
  <si>
    <t>EXOZIB</t>
  </si>
  <si>
    <t>EXOZEX</t>
  </si>
  <si>
    <t>EXOTUH</t>
  </si>
  <si>
    <t>EXOTOB</t>
  </si>
  <si>
    <t>EXIDEV</t>
  </si>
  <si>
    <t>EXIBUI</t>
  </si>
  <si>
    <t>EXEXAH</t>
  </si>
  <si>
    <t>EXEWAG</t>
  </si>
  <si>
    <t>EXEQII</t>
  </si>
  <si>
    <t>EXEQAA</t>
  </si>
  <si>
    <t>EWUTEW</t>
  </si>
  <si>
    <t>EWUSUL</t>
  </si>
  <si>
    <t>EWUSOF</t>
  </si>
  <si>
    <t>EWUCOP</t>
  </si>
  <si>
    <t>EWIMON</t>
  </si>
  <si>
    <t>EWIMIH</t>
  </si>
  <si>
    <t>EWIDUK</t>
  </si>
  <si>
    <t>EWEWUZ</t>
  </si>
  <si>
    <t>EWESIJ</t>
  </si>
  <si>
    <t>EWALUK</t>
  </si>
  <si>
    <t>EVURAP</t>
  </si>
  <si>
    <t>EVUQUI</t>
  </si>
  <si>
    <t>EVUQOC</t>
  </si>
  <si>
    <t>EVUNOY</t>
  </si>
  <si>
    <t>EVUNIT</t>
  </si>
  <si>
    <t>EVUNEP</t>
  </si>
  <si>
    <t>EVUNAL</t>
  </si>
  <si>
    <t>EVUMUE</t>
  </si>
  <si>
    <t>EVUBAY</t>
  </si>
  <si>
    <t>EVOTIT</t>
  </si>
  <si>
    <t>EVOMOR01</t>
  </si>
  <si>
    <t>EVOMOR</t>
  </si>
  <si>
    <t>EVOHOM</t>
  </si>
  <si>
    <t>Mn, Yb</t>
  </si>
  <si>
    <t>EVEGER</t>
  </si>
  <si>
    <t>EVAKOB</t>
  </si>
  <si>
    <t>ETUWOG</t>
  </si>
  <si>
    <t>ETESIG</t>
  </si>
  <si>
    <t>ETEKEU</t>
  </si>
  <si>
    <t>ETEKAQ01</t>
  </si>
  <si>
    <t>ETEKAQ</t>
  </si>
  <si>
    <t>ETEJUJ</t>
  </si>
  <si>
    <t>ETEJOD01</t>
  </si>
  <si>
    <t>ETEJIX01</t>
  </si>
  <si>
    <t>ETEJIX</t>
  </si>
  <si>
    <t>ETAYAA</t>
  </si>
  <si>
    <t>ETAXUT</t>
  </si>
  <si>
    <t>ETAXIH</t>
  </si>
  <si>
    <t>ESUMOU01</t>
  </si>
  <si>
    <t>ESUMOU</t>
  </si>
  <si>
    <t>ESIPUR02</t>
  </si>
  <si>
    <t>ESIPUR</t>
  </si>
  <si>
    <t>ESEVIH</t>
  </si>
  <si>
    <t>ESEQUO</t>
  </si>
  <si>
    <t>ESATAU</t>
  </si>
  <si>
    <t>ERUFUS</t>
  </si>
  <si>
    <t>EREGOY</t>
  </si>
  <si>
    <t>EREFEN01</t>
  </si>
  <si>
    <t>EQUBUO</t>
  </si>
  <si>
    <t>EQUBOI</t>
  </si>
  <si>
    <t>EQUBIC</t>
  </si>
  <si>
    <t>EQOCIW</t>
  </si>
  <si>
    <t>EQOCES01</t>
  </si>
  <si>
    <t>EQOCES</t>
  </si>
  <si>
    <t>As, Cd</t>
  </si>
  <si>
    <t>EQIWAD</t>
  </si>
  <si>
    <t>EQERIC</t>
  </si>
  <si>
    <t>EQEREY</t>
  </si>
  <si>
    <t>EQERAU</t>
  </si>
  <si>
    <t>EPUXET</t>
  </si>
  <si>
    <t>EPUVAN</t>
  </si>
  <si>
    <t>EPUTUF</t>
  </si>
  <si>
    <t>EPUJIJ</t>
  </si>
  <si>
    <t>EPOXAJ</t>
  </si>
  <si>
    <t>EPOTAF</t>
  </si>
  <si>
    <t>EPISOM</t>
  </si>
  <si>
    <t>EPEWEC</t>
  </si>
  <si>
    <t>EPEWAY01</t>
  </si>
  <si>
    <t>EPEWAY</t>
  </si>
  <si>
    <t>ENUCOG</t>
  </si>
  <si>
    <t>ENIXUV</t>
  </si>
  <si>
    <t>ENITOL</t>
  </si>
  <si>
    <t>ENITIF</t>
  </si>
  <si>
    <t>ENITEB</t>
  </si>
  <si>
    <t>ENITAX</t>
  </si>
  <si>
    <t>Mn, Si</t>
  </si>
  <si>
    <t>ENISUQ</t>
  </si>
  <si>
    <t>ENISOK</t>
  </si>
  <si>
    <t>ENAFOP</t>
  </si>
  <si>
    <t>ENAFAB</t>
  </si>
  <si>
    <t>EMUYAM</t>
  </si>
  <si>
    <t>EMOSOP</t>
  </si>
  <si>
    <t>EMIYEF</t>
  </si>
  <si>
    <t>EMIVAY</t>
  </si>
  <si>
    <t>EMITUQ01</t>
  </si>
  <si>
    <t>EMITUQ</t>
  </si>
  <si>
    <t>Cd, In</t>
  </si>
  <si>
    <t>EMIHIS</t>
  </si>
  <si>
    <t>EMIHEO</t>
  </si>
  <si>
    <t>EMIHAK</t>
  </si>
  <si>
    <t>EMIGUD</t>
  </si>
  <si>
    <t>EMIGOX</t>
  </si>
  <si>
    <t>EMIGIR</t>
  </si>
  <si>
    <t>EMIGEN</t>
  </si>
  <si>
    <t>EMIGAJ</t>
  </si>
  <si>
    <t>EMIFOW</t>
  </si>
  <si>
    <t>EMICUZ</t>
  </si>
  <si>
    <t>EMEGEJ</t>
  </si>
  <si>
    <t>EMANAH</t>
  </si>
  <si>
    <t>EMAFII</t>
  </si>
  <si>
    <t>ELOZEK</t>
  </si>
  <si>
    <t>ELOFIU</t>
  </si>
  <si>
    <t>ELILIV</t>
  </si>
  <si>
    <t>ELILER</t>
  </si>
  <si>
    <t>ELILAN</t>
  </si>
  <si>
    <t>ELIKUG</t>
  </si>
  <si>
    <t>ELIKOA</t>
  </si>
  <si>
    <t>ELIKIU</t>
  </si>
  <si>
    <t>ELIKEQ</t>
  </si>
  <si>
    <t>ELIKAM</t>
  </si>
  <si>
    <t>ELIJUF</t>
  </si>
  <si>
    <t>ELIJOZ</t>
  </si>
  <si>
    <t>ELEROD</t>
  </si>
  <si>
    <t>ELERIX01</t>
  </si>
  <si>
    <t>ELERIX</t>
  </si>
  <si>
    <t>ELELEN</t>
  </si>
  <si>
    <t>ELAZEX</t>
  </si>
  <si>
    <t>ELAFUT</t>
  </si>
  <si>
    <t>EKUPEG</t>
  </si>
  <si>
    <t>Ca, Cd</t>
  </si>
  <si>
    <t>EKOPUQ</t>
  </si>
  <si>
    <t>EKOPOK</t>
  </si>
  <si>
    <t>Cd, Sr</t>
  </si>
  <si>
    <t>EKOPIE</t>
  </si>
  <si>
    <t>EKEQIV</t>
  </si>
  <si>
    <t>EKARUE</t>
  </si>
  <si>
    <t>EJONOH</t>
  </si>
  <si>
    <t>EJOGOZ</t>
  </si>
  <si>
    <t>EJIDUW02</t>
  </si>
  <si>
    <t>EJIDUW01</t>
  </si>
  <si>
    <t>Mn, U</t>
  </si>
  <si>
    <t>EJEHAD</t>
  </si>
  <si>
    <t>EJEGOQ</t>
  </si>
  <si>
    <t>EJEFOP</t>
  </si>
  <si>
    <t>EJAXIW</t>
  </si>
  <si>
    <t>EHUFAP</t>
  </si>
  <si>
    <t>EHUCOA</t>
  </si>
  <si>
    <t>EHODOV</t>
  </si>
  <si>
    <t>EHIJAH</t>
  </si>
  <si>
    <t>Ru</t>
  </si>
  <si>
    <t>EHEKUY</t>
  </si>
  <si>
    <t>EHALOP</t>
  </si>
  <si>
    <t>EGELUY01</t>
  </si>
  <si>
    <t>EGELUY</t>
  </si>
  <si>
    <t>EGEJIK</t>
  </si>
  <si>
    <t>EGEHOO</t>
  </si>
  <si>
    <t>EGATOW</t>
  </si>
  <si>
    <t>Ni, Zn</t>
  </si>
  <si>
    <t>EGATIQ</t>
  </si>
  <si>
    <t>EGATEM</t>
  </si>
  <si>
    <t>EFOTID</t>
  </si>
  <si>
    <t>EFOTEZ</t>
  </si>
  <si>
    <t>EFOTAV</t>
  </si>
  <si>
    <t>EFOSUO</t>
  </si>
  <si>
    <t>EFEGOM</t>
  </si>
  <si>
    <t>EFAYIU</t>
  </si>
  <si>
    <t>EFAYEQ</t>
  </si>
  <si>
    <t>EDUVOO</t>
  </si>
  <si>
    <t>EDUSIF</t>
  </si>
  <si>
    <t>EDOVIE</t>
  </si>
  <si>
    <t>EDOVEA</t>
  </si>
  <si>
    <t>EDORIY</t>
  </si>
  <si>
    <t>EDOMAM</t>
  </si>
  <si>
    <t>EDEPAG</t>
  </si>
  <si>
    <t>EDAVOV</t>
  </si>
  <si>
    <t>EDAPIK</t>
  </si>
  <si>
    <t>EDAGEX</t>
  </si>
  <si>
    <t>EDAGAT</t>
  </si>
  <si>
    <t>EDAFUM</t>
  </si>
  <si>
    <t>EDADIX</t>
  </si>
  <si>
    <t>EDADET</t>
  </si>
  <si>
    <t>EDABOC</t>
  </si>
  <si>
    <t>ECUTON</t>
  </si>
  <si>
    <t>ECUFEP</t>
  </si>
  <si>
    <t>ECUFAL</t>
  </si>
  <si>
    <t>ECUDOX</t>
  </si>
  <si>
    <t>ECUDIR</t>
  </si>
  <si>
    <t>ECUDEM</t>
  </si>
  <si>
    <t>ECUDAI</t>
  </si>
  <si>
    <t>ECUCUB</t>
  </si>
  <si>
    <t>ECUCOV</t>
  </si>
  <si>
    <t>ECUCIP</t>
  </si>
  <si>
    <t>ECOTOG</t>
  </si>
  <si>
    <t>ECOSIY</t>
  </si>
  <si>
    <t>ECOROD</t>
  </si>
  <si>
    <t>ECORIX</t>
  </si>
  <si>
    <t>ECOLEP</t>
  </si>
  <si>
    <t>ECOKAJ</t>
  </si>
  <si>
    <t>ECODIK</t>
  </si>
  <si>
    <t>ECODEG</t>
  </si>
  <si>
    <t>ECIWUJ</t>
  </si>
  <si>
    <t>ECIWOC</t>
  </si>
  <si>
    <t>ECEZAO01</t>
  </si>
  <si>
    <t>ECEZAO</t>
  </si>
  <si>
    <t>ECASOS</t>
  </si>
  <si>
    <t>ECASAD</t>
  </si>
  <si>
    <t>ECAHUN</t>
  </si>
  <si>
    <t>ECAHOH</t>
  </si>
  <si>
    <t>ECAHIB</t>
  </si>
  <si>
    <t>ECAHEX</t>
  </si>
  <si>
    <t>ECAHAT</t>
  </si>
  <si>
    <t>EBUREA</t>
  </si>
  <si>
    <t>EBUQOH</t>
  </si>
  <si>
    <t>EBUQIB</t>
  </si>
  <si>
    <t>EBUQEX</t>
  </si>
  <si>
    <t>EBUFUE</t>
  </si>
  <si>
    <t>EBOTOF</t>
  </si>
  <si>
    <t>EBOJOV</t>
  </si>
  <si>
    <t>EBIPIQ</t>
  </si>
  <si>
    <t>EBIMOT</t>
  </si>
  <si>
    <t>EBIMIN</t>
  </si>
  <si>
    <t>EBIJAC</t>
  </si>
  <si>
    <t>EBIHII</t>
  </si>
  <si>
    <t>EBIDOK</t>
  </si>
  <si>
    <t>EBIDIE</t>
  </si>
  <si>
    <t>EBEZUI</t>
  </si>
  <si>
    <t>EBEXEQ01</t>
  </si>
  <si>
    <t>EBEXEQ</t>
  </si>
  <si>
    <t>EBEXAM</t>
  </si>
  <si>
    <t>EBEWOZ01</t>
  </si>
  <si>
    <t>EBEWOZ</t>
  </si>
  <si>
    <t>EBEWIT</t>
  </si>
  <si>
    <t>EBEVAK</t>
  </si>
  <si>
    <t>EBETOW</t>
  </si>
  <si>
    <t>EBEMOO</t>
  </si>
  <si>
    <t>EBEMII</t>
  </si>
  <si>
    <t>EBEMEF</t>
  </si>
  <si>
    <t>EBEMEE</t>
  </si>
  <si>
    <t>EBELUU</t>
  </si>
  <si>
    <t>EBATUY</t>
  </si>
  <si>
    <t>EBANAY</t>
  </si>
  <si>
    <t>EBAMOL</t>
  </si>
  <si>
    <t>La, W</t>
  </si>
  <si>
    <t>DUYROF</t>
  </si>
  <si>
    <t>DUYRIZ</t>
  </si>
  <si>
    <t>Pr, W</t>
  </si>
  <si>
    <t>DUYREV</t>
  </si>
  <si>
    <t>DUYRAR</t>
  </si>
  <si>
    <t>DUXZIG01</t>
  </si>
  <si>
    <t>DUXMAL</t>
  </si>
  <si>
    <t>DUXKUD</t>
  </si>
  <si>
    <t>DUXKEN</t>
  </si>
  <si>
    <t>DUVNIS01</t>
  </si>
  <si>
    <t>DUVNIS</t>
  </si>
  <si>
    <t>DUQSEO</t>
  </si>
  <si>
    <t>DUQCAU01</t>
  </si>
  <si>
    <t>DUQCAU</t>
  </si>
  <si>
    <t>Fe, Tb</t>
  </si>
  <si>
    <t>DUGBAJ</t>
  </si>
  <si>
    <t>Fe, Gd</t>
  </si>
  <si>
    <t>DUFZUA</t>
  </si>
  <si>
    <t>Eu, Fe</t>
  </si>
  <si>
    <t>DUFZOU</t>
  </si>
  <si>
    <t>DUFGOB</t>
  </si>
  <si>
    <t>DUCHEP</t>
  </si>
  <si>
    <t>DUCGEO</t>
  </si>
  <si>
    <t>DUBWON</t>
  </si>
  <si>
    <t>DOYLIM</t>
  </si>
  <si>
    <t>DOTWAL</t>
  </si>
  <si>
    <t>DOTTUC</t>
  </si>
  <si>
    <t>DOTSOV42</t>
  </si>
  <si>
    <t>DOTSOV41</t>
  </si>
  <si>
    <t>DOTSOV40</t>
  </si>
  <si>
    <t>DOTSOV39</t>
  </si>
  <si>
    <t>DOTSOV38</t>
  </si>
  <si>
    <t>DOTSOV37</t>
  </si>
  <si>
    <t>DOTSOV36</t>
  </si>
  <si>
    <t>DOTSOV35</t>
  </si>
  <si>
    <t>DOTSOV34</t>
  </si>
  <si>
    <t>DOTSOV33</t>
  </si>
  <si>
    <t>DOTSOV32</t>
  </si>
  <si>
    <t>DOTSOV31</t>
  </si>
  <si>
    <t>DOTSOV30</t>
  </si>
  <si>
    <t>DOTSOV29</t>
  </si>
  <si>
    <t>DOTSOV28</t>
  </si>
  <si>
    <t>DOTSOV27</t>
  </si>
  <si>
    <t>DOTSOV26</t>
  </si>
  <si>
    <t>DOTSOV25</t>
  </si>
  <si>
    <t>DOTSOV24</t>
  </si>
  <si>
    <t>DOTSOV23</t>
  </si>
  <si>
    <t>DOTSOV22</t>
  </si>
  <si>
    <t>DOTSOV21</t>
  </si>
  <si>
    <t>DOTSOV20</t>
  </si>
  <si>
    <t>DOTSOV19</t>
  </si>
  <si>
    <t>DOTSOV18</t>
  </si>
  <si>
    <t>DOTSOV17</t>
  </si>
  <si>
    <t>DOTSOV16</t>
  </si>
  <si>
    <t>DOTSOV15</t>
  </si>
  <si>
    <t>DOTSOV14</t>
  </si>
  <si>
    <t>DOTSOV13</t>
  </si>
  <si>
    <t>DOTSOV12</t>
  </si>
  <si>
    <t>DOTSOV11</t>
  </si>
  <si>
    <t>DOTSOV10</t>
  </si>
  <si>
    <t>DOTSOV09</t>
  </si>
  <si>
    <t>DOTSOV08</t>
  </si>
  <si>
    <t>DOTSOV07</t>
  </si>
  <si>
    <t>DOTSOV06</t>
  </si>
  <si>
    <t>DOTSOV05</t>
  </si>
  <si>
    <t>DOTSOV04</t>
  </si>
  <si>
    <t>DOTSOV03</t>
  </si>
  <si>
    <t>DOTSOV02</t>
  </si>
  <si>
    <t>DOTSOV01</t>
  </si>
  <si>
    <t>DOTSOV</t>
  </si>
  <si>
    <t>DORFUM</t>
  </si>
  <si>
    <t>DORFOG</t>
  </si>
  <si>
    <t>DORDUK</t>
  </si>
  <si>
    <t>DOQRUW</t>
  </si>
  <si>
    <t>DOQKAW</t>
  </si>
  <si>
    <t>DOQHUN</t>
  </si>
  <si>
    <t>DOQHOH</t>
  </si>
  <si>
    <t>DOQHIB</t>
  </si>
  <si>
    <t>DOQHEX</t>
  </si>
  <si>
    <t>DOQHAT</t>
  </si>
  <si>
    <t>DOQGUM</t>
  </si>
  <si>
    <t>DONNEA</t>
  </si>
  <si>
    <t>DONNAW01</t>
  </si>
  <si>
    <t>DOMCUE</t>
  </si>
  <si>
    <t>DOLXOR02</t>
  </si>
  <si>
    <t>DOLXOR01</t>
  </si>
  <si>
    <t>DOLXOR</t>
  </si>
  <si>
    <t>DOKHOB</t>
  </si>
  <si>
    <t>DOKHIV</t>
  </si>
  <si>
    <t>DOKDEN</t>
  </si>
  <si>
    <t>DOHYIJ01</t>
  </si>
  <si>
    <t>DOHYIJ</t>
  </si>
  <si>
    <t>DOGZIJ</t>
  </si>
  <si>
    <t>DODMIT</t>
  </si>
  <si>
    <t>DODHUA</t>
  </si>
  <si>
    <t>DOCKOW</t>
  </si>
  <si>
    <t>DIZQOT</t>
  </si>
  <si>
    <t>DIXKOL</t>
  </si>
  <si>
    <t>DITYAH</t>
  </si>
  <si>
    <t>DITJOH</t>
  </si>
  <si>
    <t>DITJIB</t>
  </si>
  <si>
    <t>DIPMAS</t>
  </si>
  <si>
    <t>DIMQOH</t>
  </si>
  <si>
    <t>DIHPIU</t>
  </si>
  <si>
    <t>DIDDOK</t>
  </si>
  <si>
    <t>DIDBOJ</t>
  </si>
  <si>
    <t>DIDBID</t>
  </si>
  <si>
    <t>DIDBEZ</t>
  </si>
  <si>
    <t>DIDBAV</t>
  </si>
  <si>
    <t>DICVIW</t>
  </si>
  <si>
    <t>DICVES</t>
  </si>
  <si>
    <t>DICVAO</t>
  </si>
  <si>
    <t>DICKEH</t>
  </si>
  <si>
    <t>DIBXOD</t>
  </si>
  <si>
    <t>DIBXIX</t>
  </si>
  <si>
    <t>DIBXAP</t>
  </si>
  <si>
    <t>DIBXAO</t>
  </si>
  <si>
    <t>DIBWUI</t>
  </si>
  <si>
    <t>DIBWUH</t>
  </si>
  <si>
    <t>DIBQOW</t>
  </si>
  <si>
    <t>DIBQIQ</t>
  </si>
  <si>
    <t>DIBQEM</t>
  </si>
  <si>
    <t>DIBPIP</t>
  </si>
  <si>
    <t>DIBJIJ</t>
  </si>
  <si>
    <t>DIBJEF</t>
  </si>
  <si>
    <t>DEZNED</t>
  </si>
  <si>
    <t>DEZKEA</t>
  </si>
  <si>
    <t>DEZKAW</t>
  </si>
  <si>
    <t>DEYXIQ</t>
  </si>
  <si>
    <t>DEYVUA</t>
  </si>
  <si>
    <t>DEYNIG</t>
  </si>
  <si>
    <t>DEYLUQ</t>
  </si>
  <si>
    <t>DEYJOI</t>
  </si>
  <si>
    <t>DEYJIC</t>
  </si>
  <si>
    <t>DEYDOA</t>
  </si>
  <si>
    <t>DEYCAN</t>
  </si>
  <si>
    <t>DEXZIR</t>
  </si>
  <si>
    <t>DEQVIF</t>
  </si>
  <si>
    <t>DEQFOU</t>
  </si>
  <si>
    <t>DEPXOM</t>
  </si>
  <si>
    <t>DEPXIG</t>
  </si>
  <si>
    <t>DEPXAY</t>
  </si>
  <si>
    <t>DENKOX</t>
  </si>
  <si>
    <t>DELGEI</t>
  </si>
  <si>
    <t>DEKHUX</t>
  </si>
  <si>
    <t>DEKHEH</t>
  </si>
  <si>
    <t>B, Co</t>
  </si>
  <si>
    <t>DEJRUH</t>
  </si>
  <si>
    <t>DEJROB</t>
  </si>
  <si>
    <t>DEJCIF</t>
  </si>
  <si>
    <t>DEJCEB</t>
  </si>
  <si>
    <t>DEHLIN</t>
  </si>
  <si>
    <t>DEHLAF</t>
  </si>
  <si>
    <t>DEHBIC</t>
  </si>
  <si>
    <t>DEGPEL</t>
  </si>
  <si>
    <t>DEGJIK</t>
  </si>
  <si>
    <t>DEFRIR</t>
  </si>
  <si>
    <t>DEFKUU</t>
  </si>
  <si>
    <t>DEBWEO</t>
  </si>
  <si>
    <t>DEBWAK</t>
  </si>
  <si>
    <t>DEBNUU</t>
  </si>
  <si>
    <t>DEBGIA</t>
  </si>
  <si>
    <t>DAYYIN</t>
  </si>
  <si>
    <t>DAXNOG</t>
  </si>
  <si>
    <t>DAXKOE</t>
  </si>
  <si>
    <t>DAXHUH01</t>
  </si>
  <si>
    <t>DAXHUH</t>
  </si>
  <si>
    <t>DAXHIV01</t>
  </si>
  <si>
    <t>DAXHIV</t>
  </si>
  <si>
    <t>DAXGUG</t>
  </si>
  <si>
    <t>DAWWIJ</t>
  </si>
  <si>
    <t>DAWWEF</t>
  </si>
  <si>
    <t>DAWMUL</t>
  </si>
  <si>
    <t>DAWDAI</t>
  </si>
  <si>
    <t>DAWCOV</t>
  </si>
  <si>
    <t>DAWCIP</t>
  </si>
  <si>
    <t>DAWCAH</t>
  </si>
  <si>
    <t>DAWBUA</t>
  </si>
  <si>
    <t>DAWBOU</t>
  </si>
  <si>
    <t>DAWBIO</t>
  </si>
  <si>
    <t>DAVYEG</t>
  </si>
  <si>
    <t>DATPIY</t>
  </si>
  <si>
    <t>DATHAJ</t>
  </si>
  <si>
    <t>DASTEY01</t>
  </si>
  <si>
    <t>DARSEV</t>
  </si>
  <si>
    <t>Pr, Zn</t>
  </si>
  <si>
    <t>DARNOB</t>
  </si>
  <si>
    <t>DARFOT</t>
  </si>
  <si>
    <t>DARFIN</t>
  </si>
  <si>
    <t>DARFEJ</t>
  </si>
  <si>
    <t>DARFAF</t>
  </si>
  <si>
    <t>DARDUX</t>
  </si>
  <si>
    <t>DARDOR</t>
  </si>
  <si>
    <t>DARDIL</t>
  </si>
  <si>
    <t>DARDEH</t>
  </si>
  <si>
    <t>DARDAD</t>
  </si>
  <si>
    <t>DARCUW</t>
  </si>
  <si>
    <t>DARCOQ</t>
  </si>
  <si>
    <t>DAPYAW</t>
  </si>
  <si>
    <t>DAPXID</t>
  </si>
  <si>
    <t>Ge, Ni</t>
  </si>
  <si>
    <t>DAPXEZ</t>
  </si>
  <si>
    <t>DAPBIH</t>
  </si>
  <si>
    <t>DANZOJ</t>
  </si>
  <si>
    <t>DANZID</t>
  </si>
  <si>
    <t>DANZEZ</t>
  </si>
  <si>
    <t>DANZAV</t>
  </si>
  <si>
    <t>DALCEZ</t>
  </si>
  <si>
    <t>DAKVUI</t>
  </si>
  <si>
    <t>DAKVOC</t>
  </si>
  <si>
    <t>DAJHUS</t>
  </si>
  <si>
    <t>DAJHOM</t>
  </si>
  <si>
    <t>DAHWAM</t>
  </si>
  <si>
    <t>K, Th</t>
  </si>
  <si>
    <t>DAHTIQ</t>
  </si>
  <si>
    <t>DAGDUL</t>
  </si>
  <si>
    <t>DAGDIZ</t>
  </si>
  <si>
    <t>DACYAI</t>
  </si>
  <si>
    <t>DACXUB</t>
  </si>
  <si>
    <t>DACXOV</t>
  </si>
  <si>
    <t>DABWUA</t>
  </si>
  <si>
    <t>CUYYEB</t>
  </si>
  <si>
    <t>CUYYAX</t>
  </si>
  <si>
    <t>CUYWUP</t>
  </si>
  <si>
    <t>CUYVOI</t>
  </si>
  <si>
    <t>CUYRUK</t>
  </si>
  <si>
    <t>CUYQIX</t>
  </si>
  <si>
    <t>CUYHIO</t>
  </si>
  <si>
    <t>CUVXAT</t>
  </si>
  <si>
    <t>CUVTUJ</t>
  </si>
  <si>
    <t>CUVHIL02</t>
  </si>
  <si>
    <t>CUVHIL01</t>
  </si>
  <si>
    <t>CUVHIL</t>
  </si>
  <si>
    <t>CUVHEH</t>
  </si>
  <si>
    <t>CUVGOQ</t>
  </si>
  <si>
    <t>CUVGIK</t>
  </si>
  <si>
    <t>CUTKOS</t>
  </si>
  <si>
    <t>Ag, B</t>
  </si>
  <si>
    <t>CUTFUT</t>
  </si>
  <si>
    <t>CUTFON</t>
  </si>
  <si>
    <t>CUSDIE</t>
  </si>
  <si>
    <t>CURBOH</t>
  </si>
  <si>
    <t>CUNXIS10</t>
  </si>
  <si>
    <t>CUNXIS</t>
  </si>
  <si>
    <t>CUNWEO</t>
  </si>
  <si>
    <t>CUNFOH01</t>
  </si>
  <si>
    <t>CUNFOH</t>
  </si>
  <si>
    <t>CUMDOE</t>
  </si>
  <si>
    <t>CUMDIY</t>
  </si>
  <si>
    <t>CUKYAJ</t>
  </si>
  <si>
    <t>CUKXUC</t>
  </si>
  <si>
    <t>CUKXOW</t>
  </si>
  <si>
    <t>CUKVUA</t>
  </si>
  <si>
    <t>CUIMDZ01</t>
  </si>
  <si>
    <t>CUHPUR</t>
  </si>
  <si>
    <t>CUGVUW</t>
  </si>
  <si>
    <t>CUGLTM02</t>
  </si>
  <si>
    <t>CUGLTM01</t>
  </si>
  <si>
    <t>CUGLTM</t>
  </si>
  <si>
    <t>CUCSAU</t>
  </si>
  <si>
    <t>CUCKIV</t>
  </si>
  <si>
    <t>COZMUA</t>
  </si>
  <si>
    <t>COYVES01</t>
  </si>
  <si>
    <t>COYVES</t>
  </si>
  <si>
    <t>COYVAO01</t>
  </si>
  <si>
    <t>COYVAO</t>
  </si>
  <si>
    <t>COYTUG01</t>
  </si>
  <si>
    <t>COYTUG</t>
  </si>
  <si>
    <t>COYTOA</t>
  </si>
  <si>
    <t>COYTIU</t>
  </si>
  <si>
    <t>COYTEQ</t>
  </si>
  <si>
    <t>COYCID</t>
  </si>
  <si>
    <t>COYCEZ</t>
  </si>
  <si>
    <t>COXXIX</t>
  </si>
  <si>
    <t>COXQUB</t>
  </si>
  <si>
    <t>COWXOC</t>
  </si>
  <si>
    <t>COWPOU</t>
  </si>
  <si>
    <t>COWMUX</t>
  </si>
  <si>
    <t>COWMOR</t>
  </si>
  <si>
    <t>COWMIL</t>
  </si>
  <si>
    <t>COWMEH</t>
  </si>
  <si>
    <t>COWMAD</t>
  </si>
  <si>
    <t>COPXOV</t>
  </si>
  <si>
    <t>COMGUH</t>
  </si>
  <si>
    <t>COMDOY</t>
  </si>
  <si>
    <t>COJHIT</t>
  </si>
  <si>
    <t>COJGEO</t>
  </si>
  <si>
    <t>COGWEB</t>
  </si>
  <si>
    <t>COGNAO</t>
  </si>
  <si>
    <t>CODRUJ</t>
  </si>
  <si>
    <t>CODROD</t>
  </si>
  <si>
    <t>CODFEH</t>
  </si>
  <si>
    <t>COCMAJ</t>
  </si>
  <si>
    <t>COBWEV</t>
  </si>
  <si>
    <t>CIXCAO</t>
  </si>
  <si>
    <t>CIWYUD</t>
  </si>
  <si>
    <t>CIWSAD</t>
  </si>
  <si>
    <t>CIWRUW</t>
  </si>
  <si>
    <t>CIWROQ</t>
  </si>
  <si>
    <t>CIWREG</t>
  </si>
  <si>
    <t>CIWRAC</t>
  </si>
  <si>
    <t>CIVTEH</t>
  </si>
  <si>
    <t>CITZIP</t>
  </si>
  <si>
    <t>CITXUZ</t>
  </si>
  <si>
    <t>CISMAT01</t>
  </si>
  <si>
    <t>CIQYUX</t>
  </si>
  <si>
    <t>CIPRID</t>
  </si>
  <si>
    <t>CIPREZ</t>
  </si>
  <si>
    <t>CILDAD</t>
  </si>
  <si>
    <t>CIJVOH01</t>
  </si>
  <si>
    <t>CIJVOH</t>
  </si>
  <si>
    <t>CIJBEE</t>
  </si>
  <si>
    <t>CIGYAU</t>
  </si>
  <si>
    <t>removed free oxygen atoms + bound oxygen atoms + hydrogenation + geom. Minimization (fine/cg)</t>
  </si>
  <si>
    <t>CIGXIA</t>
  </si>
  <si>
    <t>CIGFEF</t>
  </si>
  <si>
    <t>CIGFAB</t>
  </si>
  <si>
    <t>CIGDUT</t>
  </si>
  <si>
    <t>CIFMIP</t>
  </si>
  <si>
    <t>CIFMEL</t>
  </si>
  <si>
    <t>CIFJAE</t>
  </si>
  <si>
    <t>CIFDUS</t>
  </si>
  <si>
    <t>CIFDOM</t>
  </si>
  <si>
    <t>CIDKUX</t>
  </si>
  <si>
    <t>CICYIX</t>
  </si>
  <si>
    <t>Na, U</t>
  </si>
  <si>
    <t>CEZNAY</t>
  </si>
  <si>
    <t>CEZMUR</t>
  </si>
  <si>
    <t>CEZFIY</t>
  </si>
  <si>
    <t>CEYPUT</t>
  </si>
  <si>
    <t>CEXSEE</t>
  </si>
  <si>
    <t>CEXHET</t>
  </si>
  <si>
    <t>CETVAA</t>
  </si>
  <si>
    <t>CETJAN</t>
  </si>
  <si>
    <t>CETHEQ</t>
  </si>
  <si>
    <t>CETGOY</t>
  </si>
  <si>
    <t>CETFUD</t>
  </si>
  <si>
    <t>CETFOX</t>
  </si>
  <si>
    <t>CESYEF01</t>
  </si>
  <si>
    <t>CESYEF</t>
  </si>
  <si>
    <t>CERMIV</t>
  </si>
  <si>
    <t>CEQBUV</t>
  </si>
  <si>
    <t>CENPUI</t>
  </si>
  <si>
    <t>CENKAJ</t>
  </si>
  <si>
    <t>CENJIQ</t>
  </si>
  <si>
    <t>CELZUQ</t>
  </si>
  <si>
    <t>CELZOK</t>
  </si>
  <si>
    <t>CELZIE</t>
  </si>
  <si>
    <t>CELZEA</t>
  </si>
  <si>
    <t>CELKEL</t>
  </si>
  <si>
    <t>CEKHIL</t>
  </si>
  <si>
    <t>CEJZAU</t>
  </si>
  <si>
    <t>CEJBEA</t>
  </si>
  <si>
    <t>CEHZAR01</t>
  </si>
  <si>
    <t>CEHZAR</t>
  </si>
  <si>
    <t>CEHWOD</t>
  </si>
  <si>
    <t>CEHWIX</t>
  </si>
  <si>
    <t>CEHPIP</t>
  </si>
  <si>
    <t>CEHLAD</t>
  </si>
  <si>
    <t>CEHKUW</t>
  </si>
  <si>
    <t>CEGWER</t>
  </si>
  <si>
    <t>CEGFAW</t>
  </si>
  <si>
    <t>CEGDUO</t>
  </si>
  <si>
    <t>Dy, Mn</t>
  </si>
  <si>
    <t>CEFLEF</t>
  </si>
  <si>
    <t>CEDFIC</t>
  </si>
  <si>
    <t>CECVOW</t>
  </si>
  <si>
    <t>CECVIQ</t>
  </si>
  <si>
    <t>CECVAI</t>
  </si>
  <si>
    <t>CEBDOD</t>
  </si>
  <si>
    <t>CDLGLU12</t>
  </si>
  <si>
    <t>CDLGLU11</t>
  </si>
  <si>
    <t>CDLGLU10</t>
  </si>
  <si>
    <t>CDLGLU02</t>
  </si>
  <si>
    <t>CDLGLU01</t>
  </si>
  <si>
    <t>CAZNUO</t>
  </si>
  <si>
    <t>CAZNOI</t>
  </si>
  <si>
    <t>CAZNIC</t>
  </si>
  <si>
    <t>CAZNEY</t>
  </si>
  <si>
    <t>CAZGIT</t>
  </si>
  <si>
    <t>CAZFOA</t>
  </si>
  <si>
    <t>CAYYEG</t>
  </si>
  <si>
    <t>CAYSOK</t>
  </si>
  <si>
    <t>CAYSIE</t>
  </si>
  <si>
    <t>CAYQUQ</t>
  </si>
  <si>
    <t>CAYMIZ</t>
  </si>
  <si>
    <t>CAYKEU</t>
  </si>
  <si>
    <t>CAYGIU</t>
  </si>
  <si>
    <t>CAYDOX06</t>
  </si>
  <si>
    <t>CAYDOX05</t>
  </si>
  <si>
    <t>CAYDOX04</t>
  </si>
  <si>
    <t>CAYDOX03</t>
  </si>
  <si>
    <t>CAYDOX02</t>
  </si>
  <si>
    <t>CAYDOX01</t>
  </si>
  <si>
    <t>CAYDOX</t>
  </si>
  <si>
    <t>CAYDIR</t>
  </si>
  <si>
    <t>CAYDEN</t>
  </si>
  <si>
    <t>CAYCEL</t>
  </si>
  <si>
    <t>Mo, Na, Rb</t>
  </si>
  <si>
    <t>CAYCAI</t>
  </si>
  <si>
    <t>CAYBAH01</t>
  </si>
  <si>
    <t>CAYBAH</t>
  </si>
  <si>
    <t>CAXZOS</t>
  </si>
  <si>
    <t>CAXXEG</t>
  </si>
  <si>
    <t>CAXXAC</t>
  </si>
  <si>
    <t>CAXWIJ</t>
  </si>
  <si>
    <t>CAXWEF</t>
  </si>
  <si>
    <t>CAXWAB</t>
  </si>
  <si>
    <t>CAXVUU</t>
  </si>
  <si>
    <t>CAXVOO</t>
  </si>
  <si>
    <t>CAXVII</t>
  </si>
  <si>
    <t>CAXTUS</t>
  </si>
  <si>
    <t>CAXSUR</t>
  </si>
  <si>
    <t>CAXPIC</t>
  </si>
  <si>
    <t>CAXPEY</t>
  </si>
  <si>
    <t>CAWZUX</t>
  </si>
  <si>
    <t>CAWVIH</t>
  </si>
  <si>
    <t>CAWGAJ</t>
  </si>
  <si>
    <t>CAWDOU02</t>
  </si>
  <si>
    <t>CAWDOU01</t>
  </si>
  <si>
    <t>CAWDOU</t>
  </si>
  <si>
    <t>CAVTAW</t>
  </si>
  <si>
    <t>CAVSUP</t>
  </si>
  <si>
    <t>CAVSOJ</t>
  </si>
  <si>
    <t>CAVREY</t>
  </si>
  <si>
    <t>CAVRAU</t>
  </si>
  <si>
    <t>CAVPUM</t>
  </si>
  <si>
    <t>CAVPIA</t>
  </si>
  <si>
    <t>CAVPEW</t>
  </si>
  <si>
    <t>CAVMOD</t>
  </si>
  <si>
    <t>CATART03</t>
  </si>
  <si>
    <t>Ag, Cs</t>
  </si>
  <si>
    <t>CARGEI</t>
  </si>
  <si>
    <t>CANYIB</t>
  </si>
  <si>
    <t>Ca, Si</t>
  </si>
  <si>
    <t>CANRUG</t>
  </si>
  <si>
    <t>Co, Si</t>
  </si>
  <si>
    <t>CANROA</t>
  </si>
  <si>
    <t>Mg, Si</t>
  </si>
  <si>
    <t>CANRIU</t>
  </si>
  <si>
    <t>CAKYIY</t>
  </si>
  <si>
    <t>CAKYEU</t>
  </si>
  <si>
    <t>CAKYAQ</t>
  </si>
  <si>
    <t>CAKXUJ</t>
  </si>
  <si>
    <t>CAKXOD</t>
  </si>
  <si>
    <t>CAKXIX</t>
  </si>
  <si>
    <t>CAKXET</t>
  </si>
  <si>
    <t>CAKFIF</t>
  </si>
  <si>
    <t>CAKFEB</t>
  </si>
  <si>
    <t>CAJWIV</t>
  </si>
  <si>
    <t>CAJWER</t>
  </si>
  <si>
    <t>CAJWAN</t>
  </si>
  <si>
    <t>CAJVUG</t>
  </si>
  <si>
    <t>CAJQIP</t>
  </si>
  <si>
    <t>CAJQEL</t>
  </si>
  <si>
    <t>CAHSOU</t>
  </si>
  <si>
    <t>CAHNEF</t>
  </si>
  <si>
    <t>CAHLEE</t>
  </si>
  <si>
    <t>CAGSAG</t>
  </si>
  <si>
    <t>CADQOP</t>
  </si>
  <si>
    <t>CADQAB</t>
  </si>
  <si>
    <t>CADPII</t>
  </si>
  <si>
    <t>CABQEB</t>
  </si>
  <si>
    <t>BUYNAL</t>
  </si>
  <si>
    <t>BUWGEG</t>
  </si>
  <si>
    <t>BUWGAC</t>
  </si>
  <si>
    <t>BUVYIB01</t>
  </si>
  <si>
    <t>BUVYIB</t>
  </si>
  <si>
    <t>BUVYEX</t>
  </si>
  <si>
    <t>BUVXOG01</t>
  </si>
  <si>
    <t>BUVXOG</t>
  </si>
  <si>
    <t>BUVWOF03</t>
  </si>
  <si>
    <t>BUVWOF02</t>
  </si>
  <si>
    <t>BUSQUC</t>
  </si>
  <si>
    <t>BUSQIQ</t>
  </si>
  <si>
    <t>BUSQEM</t>
  </si>
  <si>
    <t>BUSNAF</t>
  </si>
  <si>
    <t>BUSMUY</t>
  </si>
  <si>
    <t>BUSGOM</t>
  </si>
  <si>
    <t>BUSGIG</t>
  </si>
  <si>
    <t>BURJOO</t>
  </si>
  <si>
    <t>BUKMUQ</t>
  </si>
  <si>
    <t>BUGSOM</t>
  </si>
  <si>
    <t>BUGSIG</t>
  </si>
  <si>
    <t>BUGSEC</t>
  </si>
  <si>
    <t>BUGSAY</t>
  </si>
  <si>
    <t>BUFPAU01</t>
  </si>
  <si>
    <t>BUFPAU</t>
  </si>
  <si>
    <t>BUFNOG</t>
  </si>
  <si>
    <t>BUFNEW</t>
  </si>
  <si>
    <t>BUDDIO</t>
  </si>
  <si>
    <t>BUCYAA</t>
  </si>
  <si>
    <t>Co, Fe</t>
  </si>
  <si>
    <t>BUCSIC</t>
  </si>
  <si>
    <t>BUCROH</t>
  </si>
  <si>
    <t>BOXFOK</t>
  </si>
  <si>
    <t>BOXFAW</t>
  </si>
  <si>
    <t>BOWSIQ</t>
  </si>
  <si>
    <t>BOWQAG</t>
  </si>
  <si>
    <t>BORBEQ</t>
  </si>
  <si>
    <t>BONWIL</t>
  </si>
  <si>
    <t>BONWAD</t>
  </si>
  <si>
    <t>BONNIC</t>
  </si>
  <si>
    <t>BONMEX</t>
  </si>
  <si>
    <t>BONMAT</t>
  </si>
  <si>
    <t>BOMCUB</t>
  </si>
  <si>
    <t>BOLPEY</t>
  </si>
  <si>
    <t>BOLPAU</t>
  </si>
  <si>
    <t>BOJCIN</t>
  </si>
  <si>
    <t>BOHGOU</t>
  </si>
  <si>
    <t>BOCKOT</t>
  </si>
  <si>
    <t>BIYTEJ</t>
  </si>
  <si>
    <t>BIWYAH10</t>
  </si>
  <si>
    <t>BIWSIK</t>
  </si>
  <si>
    <t>BIWSEG</t>
  </si>
  <si>
    <t>BIVXEK</t>
  </si>
  <si>
    <t>BINDAF</t>
  </si>
  <si>
    <t>BINCUY</t>
  </si>
  <si>
    <t>BIMDOR</t>
  </si>
  <si>
    <t>BIMDIL</t>
  </si>
  <si>
    <t>BIMDEF</t>
  </si>
  <si>
    <t>Ti, Zn</t>
  </si>
  <si>
    <t>BIJFAD</t>
  </si>
  <si>
    <t>Cd, Ti</t>
  </si>
  <si>
    <t>BIJDUV</t>
  </si>
  <si>
    <t>BIHMUC</t>
  </si>
  <si>
    <t>BIFKEI</t>
  </si>
  <si>
    <t>BICPUA</t>
  </si>
  <si>
    <t>BICDAU</t>
  </si>
  <si>
    <t>BIBXUH</t>
  </si>
  <si>
    <t>BIBXOB</t>
  </si>
  <si>
    <t>BIBBUL</t>
  </si>
  <si>
    <t>BEZSIK</t>
  </si>
  <si>
    <t>BEYSEF</t>
  </si>
  <si>
    <t>BEXVEH</t>
  </si>
  <si>
    <t>BEXTUV</t>
  </si>
  <si>
    <t>BEXSII</t>
  </si>
  <si>
    <t>BEXSAA</t>
  </si>
  <si>
    <t>BEXRUT</t>
  </si>
  <si>
    <t>BEXPAX</t>
  </si>
  <si>
    <t>BEWSAY</t>
  </si>
  <si>
    <t>BEWRUR</t>
  </si>
  <si>
    <t>BEVRAW</t>
  </si>
  <si>
    <t>Rb, Y</t>
  </si>
  <si>
    <t>BEVQUP</t>
  </si>
  <si>
    <t>Cd, Sr, Zr</t>
  </si>
  <si>
    <t>BEVQID</t>
  </si>
  <si>
    <t>BETZOR</t>
  </si>
  <si>
    <t>BETGAK</t>
  </si>
  <si>
    <t>BETFUD</t>
  </si>
  <si>
    <t>BETFEN</t>
  </si>
  <si>
    <t>BETFAJ</t>
  </si>
  <si>
    <t>BETDUB</t>
  </si>
  <si>
    <t>BETDIP</t>
  </si>
  <si>
    <t>BETDEL</t>
  </si>
  <si>
    <t>BETDAH</t>
  </si>
  <si>
    <t>BERGAI01</t>
  </si>
  <si>
    <t>BERGAI</t>
  </si>
  <si>
    <t>BERFIP</t>
  </si>
  <si>
    <t>BEQFEK</t>
  </si>
  <si>
    <t>BEPYIG</t>
  </si>
  <si>
    <t>BEPVOJ01</t>
  </si>
  <si>
    <t>BEPVOJ</t>
  </si>
  <si>
    <t>BEPVID</t>
  </si>
  <si>
    <t>BEPVEZ</t>
  </si>
  <si>
    <t>BEPVAV</t>
  </si>
  <si>
    <t>BEPROF</t>
  </si>
  <si>
    <t>BEPRIZ</t>
  </si>
  <si>
    <t>BEPPOD</t>
  </si>
  <si>
    <t>BEPPIX</t>
  </si>
  <si>
    <t>BEPPAP</t>
  </si>
  <si>
    <t>BEPNUH</t>
  </si>
  <si>
    <t>BEPNOB</t>
  </si>
  <si>
    <t>BEPNIV</t>
  </si>
  <si>
    <t>BEPMIU</t>
  </si>
  <si>
    <t>BEPMEQ</t>
  </si>
  <si>
    <t>BEPMAM</t>
  </si>
  <si>
    <t>BEPLUF</t>
  </si>
  <si>
    <t>BENXUP</t>
  </si>
  <si>
    <t>BENXOJ</t>
  </si>
  <si>
    <t>BELYIC</t>
  </si>
  <si>
    <t>BELVEV</t>
  </si>
  <si>
    <t>BELVAR</t>
  </si>
  <si>
    <t>BELTUJ</t>
  </si>
  <si>
    <t>BELTOD</t>
  </si>
  <si>
    <t>BELJIL</t>
  </si>
  <si>
    <t>Ag, Cr, Cs</t>
  </si>
  <si>
    <t>BEKZEX01</t>
  </si>
  <si>
    <t>BEKZEX</t>
  </si>
  <si>
    <t>Ag, Cr, K</t>
  </si>
  <si>
    <t>BEKYUM</t>
  </si>
  <si>
    <t>BEKYOG</t>
  </si>
  <si>
    <t>BEKSAM</t>
  </si>
  <si>
    <t>BEGBOG</t>
  </si>
  <si>
    <t>BEFGEA</t>
  </si>
  <si>
    <t>Fe, Zr</t>
  </si>
  <si>
    <t>BEDYEQ</t>
  </si>
  <si>
    <t>BEDHOJ</t>
  </si>
  <si>
    <t>BAZJIX</t>
  </si>
  <si>
    <t>BAZJET</t>
  </si>
  <si>
    <t>BAZGEQ</t>
  </si>
  <si>
    <t>BAZGAM</t>
  </si>
  <si>
    <t>BAZFUF</t>
  </si>
  <si>
    <t>BAZDAJ</t>
  </si>
  <si>
    <t>BAXSIE</t>
  </si>
  <si>
    <t>BAXREY</t>
  </si>
  <si>
    <t>BAWRUO</t>
  </si>
  <si>
    <t>BASTUM</t>
  </si>
  <si>
    <t>BASTIA</t>
  </si>
  <si>
    <t>BASTEW</t>
  </si>
  <si>
    <t>Ag, Gd</t>
  </si>
  <si>
    <t>BASTAS</t>
  </si>
  <si>
    <t>Ag, Er</t>
  </si>
  <si>
    <t>BASSUL</t>
  </si>
  <si>
    <t>BASSOF</t>
  </si>
  <si>
    <t>BASJUB</t>
  </si>
  <si>
    <t>BARZUR</t>
  </si>
  <si>
    <t>BARZOL</t>
  </si>
  <si>
    <t>BARZOK</t>
  </si>
  <si>
    <t>BARZIE</t>
  </si>
  <si>
    <t>BARZAW</t>
  </si>
  <si>
    <t>BANMAG</t>
  </si>
  <si>
    <t>BALMUW01</t>
  </si>
  <si>
    <t>BALMUW</t>
  </si>
  <si>
    <t>BAKLIK</t>
  </si>
  <si>
    <t>BAKJOO</t>
  </si>
  <si>
    <t>BAKJII</t>
  </si>
  <si>
    <t>BAKJEE</t>
  </si>
  <si>
    <t>removed duplicates</t>
  </si>
  <si>
    <t>BAKGIF</t>
  </si>
  <si>
    <t>BAKGAX</t>
  </si>
  <si>
    <t>BAHMAZ</t>
  </si>
  <si>
    <t>BAHGUN04</t>
  </si>
  <si>
    <t>BAHGUN03</t>
  </si>
  <si>
    <t>BAHGUN02</t>
  </si>
  <si>
    <t>BAHGUN01</t>
  </si>
  <si>
    <t>BAHGUN</t>
  </si>
  <si>
    <t>BAEDTA01</t>
  </si>
  <si>
    <t>BACMOH10</t>
  </si>
  <si>
    <t>BACMOH</t>
  </si>
  <si>
    <t>AZOBUN</t>
  </si>
  <si>
    <t>AZIXUD</t>
  </si>
  <si>
    <t>AZILEA</t>
  </si>
  <si>
    <t>AYUWUM</t>
  </si>
  <si>
    <t>AXUHIL</t>
  </si>
  <si>
    <t>AXUHEH</t>
  </si>
  <si>
    <t>AXUHAD</t>
  </si>
  <si>
    <t>AXUBOL</t>
  </si>
  <si>
    <t>AXUBAW</t>
  </si>
  <si>
    <t>AXOHIE</t>
  </si>
  <si>
    <t>AXOCEW</t>
  </si>
  <si>
    <t>AXINIF</t>
  </si>
  <si>
    <t>AXINAX01</t>
  </si>
  <si>
    <t>AWOFOI</t>
  </si>
  <si>
    <t>AWEJIW</t>
  </si>
  <si>
    <t>AWEGEP</t>
  </si>
  <si>
    <t>AWEDUC</t>
  </si>
  <si>
    <t>AWEDOW</t>
  </si>
  <si>
    <t>AWEBIO</t>
  </si>
  <si>
    <t>AWAWUR</t>
  </si>
  <si>
    <t>AWAHEM</t>
  </si>
  <si>
    <t>AWAHAI</t>
  </si>
  <si>
    <t>AWAGEL</t>
  </si>
  <si>
    <t>AVUPIR</t>
  </si>
  <si>
    <t>AVUDAX</t>
  </si>
  <si>
    <t>AVOSIO</t>
  </si>
  <si>
    <t>AVIPAX</t>
  </si>
  <si>
    <t>AVIMUO</t>
  </si>
  <si>
    <t>AVIMOI</t>
  </si>
  <si>
    <t>AVESAW</t>
  </si>
  <si>
    <t>AVEROJ</t>
  </si>
  <si>
    <t>AVEMOE</t>
  </si>
  <si>
    <t>AVEMAQ</t>
  </si>
  <si>
    <t>AVELUJ</t>
  </si>
  <si>
    <t>AVELOD</t>
  </si>
  <si>
    <t>AVAQIX</t>
  </si>
  <si>
    <t>ATOXEN</t>
  </si>
  <si>
    <t>ATOWOW</t>
  </si>
  <si>
    <t>ATOWIQ</t>
  </si>
  <si>
    <t>added hydrogen + geom. Minimization (cg/fine setting)</t>
  </si>
  <si>
    <t>ATOTIM</t>
  </si>
  <si>
    <t>ATIJUJ</t>
  </si>
  <si>
    <t>ATICEL</t>
  </si>
  <si>
    <t>ATICAH</t>
  </si>
  <si>
    <t>ATIBUA</t>
  </si>
  <si>
    <t>ATIBOU01</t>
  </si>
  <si>
    <t>ATIBOU</t>
  </si>
  <si>
    <t>ATIBIO</t>
  </si>
  <si>
    <t>ATIBAG</t>
  </si>
  <si>
    <t>ATAFIK</t>
  </si>
  <si>
    <t>ASALIP</t>
  </si>
  <si>
    <t>ASADAA</t>
  </si>
  <si>
    <t>ASACON</t>
  </si>
  <si>
    <t>Bi, Na</t>
  </si>
  <si>
    <t>ARUYES</t>
  </si>
  <si>
    <t>AROFET</t>
  </si>
  <si>
    <t>AROFAP</t>
  </si>
  <si>
    <t>ARIBOS</t>
  </si>
  <si>
    <t>AQUDAS</t>
  </si>
  <si>
    <t>AQUCOF</t>
  </si>
  <si>
    <t>AQODOA</t>
  </si>
  <si>
    <t>AQMAND01</t>
  </si>
  <si>
    <t>AQMAND</t>
  </si>
  <si>
    <t>AQETUM</t>
  </si>
  <si>
    <t>AQETIA</t>
  </si>
  <si>
    <t>Gd, Sr</t>
  </si>
  <si>
    <t>AQALOU</t>
  </si>
  <si>
    <t>Eu, Sr</t>
  </si>
  <si>
    <t>AQALIO</t>
  </si>
  <si>
    <t>APEBED</t>
  </si>
  <si>
    <t>ANUGUM</t>
  </si>
  <si>
    <t>ANUGOG</t>
  </si>
  <si>
    <t>ANUGIA</t>
  </si>
  <si>
    <t>ANUGEW</t>
  </si>
  <si>
    <t>fixed disorder + geom. Minimization (cg/fine setting)</t>
  </si>
  <si>
    <t>ANONAT</t>
  </si>
  <si>
    <t>ANOMUM</t>
  </si>
  <si>
    <t>ANEPIT</t>
  </si>
  <si>
    <t>ANENIR</t>
  </si>
  <si>
    <t>ANENEN</t>
  </si>
  <si>
    <t>AMUXAI</t>
  </si>
  <si>
    <t>AMUWUB</t>
  </si>
  <si>
    <t>AMUWIP</t>
  </si>
  <si>
    <t>AMUCOB</t>
  </si>
  <si>
    <t>K, Sm</t>
  </si>
  <si>
    <t>AMOZAE</t>
  </si>
  <si>
    <t>AMOYOR</t>
  </si>
  <si>
    <t>AMOFAK</t>
  </si>
  <si>
    <t>AMODUC</t>
  </si>
  <si>
    <t>AMIXEA</t>
  </si>
  <si>
    <t>AMIXAW</t>
  </si>
  <si>
    <t>AMIWUP</t>
  </si>
  <si>
    <t>AMIWOJ</t>
  </si>
  <si>
    <t>AMIWID</t>
  </si>
  <si>
    <t>AMIMEP</t>
  </si>
  <si>
    <t>AMIMAL</t>
  </si>
  <si>
    <t>AMILUE</t>
  </si>
  <si>
    <t>AMILOY</t>
  </si>
  <si>
    <t>AMIKOX</t>
  </si>
  <si>
    <t>AMEJOS</t>
  </si>
  <si>
    <t>AMEJIM</t>
  </si>
  <si>
    <t>AMALND</t>
  </si>
  <si>
    <t>AMAGAX</t>
  </si>
  <si>
    <t>AMAFUQ</t>
  </si>
  <si>
    <t>AMAFOK</t>
  </si>
  <si>
    <t>ALURIJ</t>
  </si>
  <si>
    <t>ALUREF</t>
  </si>
  <si>
    <t>ALURAB</t>
  </si>
  <si>
    <t>ALULID</t>
  </si>
  <si>
    <t>ALULEZ</t>
  </si>
  <si>
    <t>ALULAV</t>
  </si>
  <si>
    <t>ALUKUO</t>
  </si>
  <si>
    <t>ALUKOI</t>
  </si>
  <si>
    <t>ALUKIC</t>
  </si>
  <si>
    <t>ALUKAU</t>
  </si>
  <si>
    <t>ALUJUN</t>
  </si>
  <si>
    <t>ALUJOH</t>
  </si>
  <si>
    <t>ALUJIB</t>
  </si>
  <si>
    <t>ALUJEX</t>
  </si>
  <si>
    <t>ALOLOD</t>
  </si>
  <si>
    <t>Cs, In</t>
  </si>
  <si>
    <t>ALOLIX</t>
  </si>
  <si>
    <t>ALOLET</t>
  </si>
  <si>
    <t>Bi, K</t>
  </si>
  <si>
    <t>ALOLES</t>
  </si>
  <si>
    <t>ALIXUP</t>
  </si>
  <si>
    <t>ALIXOJ</t>
  </si>
  <si>
    <t>ALIXAU</t>
  </si>
  <si>
    <t>ALICII</t>
  </si>
  <si>
    <t>ALICEE</t>
  </si>
  <si>
    <t>ALANAD</t>
  </si>
  <si>
    <t>ALAMUW</t>
  </si>
  <si>
    <t>ALALUU01</t>
  </si>
  <si>
    <t>ALALUU</t>
  </si>
  <si>
    <t>AKUHOD03</t>
  </si>
  <si>
    <t>AKUHOD01</t>
  </si>
  <si>
    <t>AKUHOD</t>
  </si>
  <si>
    <t>AKAYIV</t>
  </si>
  <si>
    <t>AJOVEB</t>
  </si>
  <si>
    <t>AJAYIT</t>
  </si>
  <si>
    <t>AHUTIH01</t>
  </si>
  <si>
    <t>AHUTIH</t>
  </si>
  <si>
    <t>AHOKIR01</t>
  </si>
  <si>
    <t>AHINIP</t>
  </si>
  <si>
    <t>AGUWUV</t>
  </si>
  <si>
    <t>AGUVOO</t>
  </si>
  <si>
    <t>AGESIP</t>
  </si>
  <si>
    <t>AGAXOV</t>
  </si>
  <si>
    <t>AGARUW</t>
  </si>
  <si>
    <t>AFUPEX</t>
  </si>
  <si>
    <t>AFUKET</t>
  </si>
  <si>
    <t>AFUKAP</t>
  </si>
  <si>
    <t>AFUJUI</t>
  </si>
  <si>
    <t>AFOYOK</t>
  </si>
  <si>
    <t>AFOVOH</t>
  </si>
  <si>
    <t>AFOVIB</t>
  </si>
  <si>
    <t>AFOVEX</t>
  </si>
  <si>
    <t>AFOVAT</t>
  </si>
  <si>
    <t>AFOTUL</t>
  </si>
  <si>
    <t>AFOTOF</t>
  </si>
  <si>
    <t>AFOQUI</t>
  </si>
  <si>
    <t>AFIXES</t>
  </si>
  <si>
    <t>AFIXAO</t>
  </si>
  <si>
    <t>AFITUF</t>
  </si>
  <si>
    <t>AFITIT</t>
  </si>
  <si>
    <t>AFITEP</t>
  </si>
  <si>
    <t>AFIPAH</t>
  </si>
  <si>
    <t>AFEJOK</t>
  </si>
  <si>
    <t>Ni, Tb</t>
  </si>
  <si>
    <t>AFEDIA</t>
  </si>
  <si>
    <t>ADUWIH</t>
  </si>
  <si>
    <t>ADUROI</t>
  </si>
  <si>
    <t>ADODUU</t>
  </si>
  <si>
    <t>ADODOO</t>
  </si>
  <si>
    <t>ADODII</t>
  </si>
  <si>
    <t>ADODAA</t>
  </si>
  <si>
    <t>ADOCIG</t>
  </si>
  <si>
    <t>ADOCAY</t>
  </si>
  <si>
    <t>ADOBUR</t>
  </si>
  <si>
    <t>ADOBOL</t>
  </si>
  <si>
    <t>Mn, V</t>
  </si>
  <si>
    <t>ADOBEB</t>
  </si>
  <si>
    <t>ADOBAX</t>
  </si>
  <si>
    <t>ADIQEL</t>
  </si>
  <si>
    <t>ADEGIA</t>
  </si>
  <si>
    <t>ADAXEK</t>
  </si>
  <si>
    <t>ADATIK</t>
  </si>
  <si>
    <t>ADATEG</t>
  </si>
  <si>
    <t>ADATAC</t>
  </si>
  <si>
    <t>ADASUV</t>
  </si>
  <si>
    <t>ADASOP</t>
  </si>
  <si>
    <t>ADASIJ</t>
  </si>
  <si>
    <t>ADASEF</t>
  </si>
  <si>
    <t>ADASAB</t>
  </si>
  <si>
    <t>ADARAA</t>
  </si>
  <si>
    <t>ADABUE</t>
  </si>
  <si>
    <t>ADABIS</t>
  </si>
  <si>
    <t>ADABAK01</t>
  </si>
  <si>
    <t>ADABAK</t>
  </si>
  <si>
    <t>ACUTOI</t>
  </si>
  <si>
    <t>ACUJOZ</t>
  </si>
  <si>
    <t>ACUFEK</t>
  </si>
  <si>
    <t>ACUBAB</t>
  </si>
  <si>
    <t>ACOLUB</t>
  </si>
  <si>
    <t>ACOLOV</t>
  </si>
  <si>
    <t>ACOLIP</t>
  </si>
  <si>
    <t>ACOLEL</t>
  </si>
  <si>
    <t>ACOGEF</t>
  </si>
  <si>
    <t>ACOGAB</t>
  </si>
  <si>
    <t>ACODON</t>
  </si>
  <si>
    <t>ACODED</t>
  </si>
  <si>
    <t>ACMPCD</t>
  </si>
  <si>
    <t>ACIBOE</t>
  </si>
  <si>
    <t>ACIBIY</t>
  </si>
  <si>
    <t>ACENIF</t>
  </si>
  <si>
    <t>K, Pb</t>
  </si>
  <si>
    <t>ACECIV</t>
  </si>
  <si>
    <t>ACALIB</t>
  </si>
  <si>
    <t>ACAKUM</t>
  </si>
  <si>
    <t>ACAJOF</t>
  </si>
  <si>
    <t>ABUWOJ</t>
  </si>
  <si>
    <t>ABIYIV</t>
  </si>
  <si>
    <t>ABIXOZ</t>
  </si>
  <si>
    <t>ABEYIR</t>
  </si>
  <si>
    <t>ABEYEN</t>
  </si>
  <si>
    <t>ABEYAJ</t>
  </si>
  <si>
    <t>ABEXUC</t>
  </si>
  <si>
    <t>ABEXOW</t>
  </si>
  <si>
    <t>ABEXIQ</t>
  </si>
  <si>
    <t>ABEXEM</t>
  </si>
  <si>
    <t>ABEMIF</t>
  </si>
  <si>
    <t>ABAVOP</t>
  </si>
  <si>
    <t>ABAVIJ</t>
  </si>
  <si>
    <t>Extension</t>
  </si>
  <si>
    <t>Note</t>
  </si>
  <si>
    <r>
      <t>pore volume (cm</t>
    </r>
    <r>
      <rPr>
        <b/>
        <vertAlign val="superscript"/>
        <sz val="12"/>
        <color theme="1"/>
        <rFont val="Aptos Narrow"/>
        <family val="2"/>
        <scheme val="minor"/>
      </rPr>
      <t>3</t>
    </r>
    <r>
      <rPr>
        <b/>
        <sz val="12"/>
        <color theme="1"/>
        <rFont val="Aptos Narrow"/>
        <family val="2"/>
        <scheme val="minor"/>
      </rPr>
      <t>/g)</t>
    </r>
  </si>
  <si>
    <t>void fraction</t>
  </si>
  <si>
    <t>GSA (m2/g)</t>
  </si>
  <si>
    <t>VSA  (m2/cm3)</t>
  </si>
  <si>
    <t>LCD</t>
  </si>
  <si>
    <t>PLD</t>
  </si>
  <si>
    <r>
      <t>Density (g/cm</t>
    </r>
    <r>
      <rPr>
        <b/>
        <vertAlign val="superscript"/>
        <sz val="12"/>
        <color theme="1"/>
        <rFont val="Aptos Narrow"/>
        <family val="2"/>
        <scheme val="minor"/>
      </rPr>
      <t>3</t>
    </r>
    <r>
      <rPr>
        <b/>
        <sz val="12"/>
        <color theme="1"/>
        <rFont val="Aptos Narrow"/>
        <family val="2"/>
        <scheme val="minor"/>
      </rPr>
      <t>)</t>
    </r>
  </si>
  <si>
    <t>Metal Type</t>
  </si>
  <si>
    <t>CSD REF. CODE</t>
  </si>
  <si>
    <t>Helium void fraction is calculated using RASPA simulation code.</t>
  </si>
  <si>
    <t>using an open-source zeo++ software. Probe with r = 1.86 Å are used for the calculation, except for pore volume, we used probe r = 0 Å.</t>
  </si>
  <si>
    <t>Physical properties, such as density, pore volume, pore-limiting diameter (PLD), largest cavity diameter (LCD), volumetric surface area (VSA), gravimetric surface area (GSA) are calculated</t>
  </si>
  <si>
    <t>"netural_b" and "ion_b" designate structures that has been manually repaired and contains ions.</t>
  </si>
  <si>
    <t xml:space="preserve">"ion" for manual modification for ionic species; "clean_h" for automatic hydrogenation for solvent removed structure; "charged", "uncharged", and "neutral" for ion retention algorithm. </t>
  </si>
  <si>
    <t xml:space="preserve">Extension column lists type of cleaning procedure done on the structure. "clean" for solvent removal (both free/bound); ; "manual" for manual modification for non-ionic species; </t>
  </si>
  <si>
    <r>
      <rPr>
        <b/>
        <sz val="12"/>
        <color theme="1"/>
        <rFont val="Aptos Narrow"/>
        <family val="2"/>
        <scheme val="minor"/>
      </rPr>
      <t>Table S1.</t>
    </r>
    <r>
      <rPr>
        <sz val="12"/>
        <color theme="1"/>
        <rFont val="Aptos Narrow"/>
        <family val="2"/>
        <scheme val="minor"/>
      </rPr>
      <t xml:space="preserve"> List of structures and their physical properties of CoRE MOF Database (Total # of structures: 5,109). All structures have the Pore Limiting Diameter larger than 2.4 Å. </t>
    </r>
  </si>
  <si>
    <t>10.1039/C3TA12662E</t>
  </si>
  <si>
    <t>BET</t>
  </si>
  <si>
    <r>
      <t>2460 m</t>
    </r>
    <r>
      <rPr>
        <vertAlign val="superscript"/>
        <sz val="12"/>
        <color theme="1"/>
        <rFont val="Aptos Narrow"/>
        <family val="2"/>
        <scheme val="minor"/>
      </rPr>
      <t>2</t>
    </r>
    <r>
      <rPr>
        <sz val="12"/>
        <color theme="1"/>
        <rFont val="Aptos Narrow"/>
        <family val="2"/>
        <scheme val="minor"/>
      </rPr>
      <t>/g</t>
    </r>
  </si>
  <si>
    <t>IFMC-16</t>
  </si>
  <si>
    <t>10.1039/C3CE41095A</t>
  </si>
  <si>
    <t>drying under a dynamic vacuum at room temperature overnight</t>
  </si>
  <si>
    <t>469 m2/g</t>
  </si>
  <si>
    <t>10.1021/ja3063919</t>
  </si>
  <si>
    <r>
      <t xml:space="preserve">dried using "outgas" function of surface analyzer for 12 hr at 160 </t>
    </r>
    <r>
      <rPr>
        <vertAlign val="superscript"/>
        <sz val="12"/>
        <color theme="1"/>
        <rFont val="Aptos Narrow"/>
        <family val="2"/>
        <scheme val="minor"/>
      </rPr>
      <t>o</t>
    </r>
    <r>
      <rPr>
        <sz val="12"/>
        <color theme="1"/>
        <rFont val="Aptos Narrow"/>
        <family val="2"/>
        <scheme val="minor"/>
      </rPr>
      <t>C</t>
    </r>
  </si>
  <si>
    <t>2572 m2/g</t>
  </si>
  <si>
    <t>PCN-57</t>
  </si>
  <si>
    <t>10.1039/c2cc16923a</t>
  </si>
  <si>
    <t>DMF+H2O, vacuum 80°C</t>
  </si>
  <si>
    <t>Langmuir/BET</t>
  </si>
  <si>
    <t>573/ 633 m2/g</t>
  </si>
  <si>
    <t>(Me2NH2)In(NH2BDC)2</t>
  </si>
  <si>
    <t>10.1039/c1cc16261f</t>
  </si>
  <si>
    <t>solvate evacuation at 60° C for 10 h under reduced pressure</t>
  </si>
  <si>
    <t>2618; 1839 m2/g</t>
  </si>
  <si>
    <t>PCN-121</t>
  </si>
  <si>
    <t>10.1021/ic202635a</t>
  </si>
  <si>
    <t>compound 4 (DMP) in ref.</t>
  </si>
  <si>
    <t>compound 3 (DEA) in ref.</t>
  </si>
  <si>
    <t>compound 2 (DMA) in ref.</t>
  </si>
  <si>
    <t>compound 1·EtOH in ref.</t>
  </si>
  <si>
    <t>compound 1·DMA in ref.</t>
  </si>
  <si>
    <t>compound 1·DMF in ref.</t>
  </si>
  <si>
    <t>solvent-exchange with DCM for 24h then drying under dynamic vacuum overnight</t>
  </si>
  <si>
    <t>Langmuir /BET</t>
  </si>
  <si>
    <t xml:space="preserve">1002/ 870 m2/g </t>
  </si>
  <si>
    <t>compound 1·DMSO in ref.</t>
  </si>
  <si>
    <t>10.1021/ja305181y</t>
  </si>
  <si>
    <t>CPM-26-Zn</t>
  </si>
  <si>
    <t>CPM-26-Co</t>
  </si>
  <si>
    <t>10.1039/c2dt12215d</t>
  </si>
  <si>
    <t>degassed at 100 °C under vacuum for 12 h</t>
  </si>
  <si>
    <t>685/ 490 m2/g</t>
  </si>
  <si>
    <t>CPF-3</t>
  </si>
  <si>
    <t>10.1039/C3DT50822F</t>
  </si>
  <si>
    <t>-</t>
  </si>
  <si>
    <t>224 m2/g</t>
  </si>
  <si>
    <t>Indium(III)-dicarboxylic MOF</t>
  </si>
  <si>
    <t>10.1002/1521-3773(20021202)…  41:23&lt;4471::AID-ANIE4471&gt;3.0.CO;2-9</t>
  </si>
  <si>
    <t>loses 25% weight at 100°C, 27.5% weight at 270°C</t>
  </si>
  <si>
    <t>190 m2/g</t>
  </si>
  <si>
    <t>QMOF-2</t>
  </si>
  <si>
    <t>10.1039/C1SC00136A</t>
  </si>
  <si>
    <t>DMF, vacuum 250°C 2 d</t>
  </si>
  <si>
    <t>1860/2159 m2/g</t>
  </si>
  <si>
    <t>Cu3(BTP)2</t>
  </si>
  <si>
    <t>1650/ 1900 m2/g</t>
  </si>
  <si>
    <t>Ni3(BTP)2</t>
  </si>
  <si>
    <t>10.1021/ja804944r</t>
  </si>
  <si>
    <t>DMF, 60°C under vacuum</t>
  </si>
  <si>
    <t xml:space="preserve">540 m2/g </t>
  </si>
  <si>
    <t>meso-[LCu2(H2O)2]</t>
  </si>
  <si>
    <t>10.1002/anie.200904983</t>
  </si>
  <si>
    <r>
      <t xml:space="preserve">60 </t>
    </r>
    <r>
      <rPr>
        <vertAlign val="superscript"/>
        <sz val="12"/>
        <color theme="1"/>
        <rFont val="Aptos Narrow"/>
        <family val="2"/>
        <scheme val="minor"/>
      </rPr>
      <t>o</t>
    </r>
    <r>
      <rPr>
        <sz val="12"/>
        <color theme="1"/>
        <rFont val="Aptos Narrow"/>
        <family val="2"/>
        <scheme val="minor"/>
      </rPr>
      <t>C activation overnight; or freeze-dry method (see text)</t>
    </r>
  </si>
  <si>
    <r>
      <t>874(1127); 791(1020) m</t>
    </r>
    <r>
      <rPr>
        <vertAlign val="superscript"/>
        <sz val="12"/>
        <color theme="1"/>
        <rFont val="Aptos Narrow"/>
        <family val="2"/>
        <scheme val="minor"/>
      </rPr>
      <t>2</t>
    </r>
    <r>
      <rPr>
        <sz val="12"/>
        <color theme="1"/>
        <rFont val="Aptos Narrow"/>
        <family val="2"/>
        <scheme val="minor"/>
      </rPr>
      <t>/g</t>
    </r>
  </si>
  <si>
    <t>Cu1(L^2)</t>
  </si>
  <si>
    <t>10.1039/B801103F</t>
  </si>
  <si>
    <t>solvent exchange with methanol</t>
  </si>
  <si>
    <t>nonporous after desolvation</t>
  </si>
  <si>
    <t>[Zn24(L)8(H2O)24]n</t>
  </si>
  <si>
    <t>10.1107/S0108270113005143</t>
  </si>
  <si>
    <t>10.1039/c2cc35461f</t>
  </si>
  <si>
    <t>1680 m2/g</t>
  </si>
  <si>
    <t>(Et2NH2)3[(Cu4Cl)3(TTCA)8]</t>
  </si>
  <si>
    <t>10.1039/c2cc32347h</t>
  </si>
  <si>
    <t>soaked in dye solution in DMF for two days; activated crystal collapses but unactivated crystal is stable</t>
  </si>
  <si>
    <r>
      <t>3742 m</t>
    </r>
    <r>
      <rPr>
        <vertAlign val="superscript"/>
        <sz val="12"/>
        <color theme="1"/>
        <rFont val="Aptos Narrow"/>
        <family val="2"/>
        <scheme val="minor"/>
      </rPr>
      <t>2</t>
    </r>
    <r>
      <rPr>
        <sz val="12"/>
        <color theme="1"/>
        <rFont val="Aptos Narrow"/>
        <family val="2"/>
        <scheme val="minor"/>
      </rPr>
      <t>/g</t>
    </r>
  </si>
  <si>
    <t>JUC-101</t>
  </si>
  <si>
    <t>10.1021/ja011692+</t>
  </si>
  <si>
    <t>washing with a mixture of DMA and EtOH, and drying briefly in air</t>
  </si>
  <si>
    <t>740 m2/g</t>
  </si>
  <si>
    <t>MODF-1</t>
  </si>
  <si>
    <t>10.1021/cg100568a</t>
  </si>
  <si>
    <t xml:space="preserve">[Zn(TCNQ)(bpe)] </t>
  </si>
  <si>
    <t>10.1016/j.materresbull.2006.01.022</t>
  </si>
  <si>
    <t>MIL-96</t>
  </si>
  <si>
    <t>10.1021/ic1019229</t>
  </si>
  <si>
    <t>In2X(OH)2</t>
  </si>
  <si>
    <t>10.1021/ic800394g</t>
  </si>
  <si>
    <t>10.1021/cm800403d</t>
  </si>
  <si>
    <t xml:space="preserve">outgassed under vacuum overnight at room temperature, followed by heating at 120 °C for at least 4 h </t>
  </si>
  <si>
    <t>2242/ 1931 m2/g</t>
  </si>
  <si>
    <t>PCN-11</t>
  </si>
  <si>
    <t>10.1002/anie.200901964</t>
  </si>
  <si>
    <t>degassed under high vacuum at 90°C</t>
  </si>
  <si>
    <t>2667/2316 m2/g</t>
  </si>
  <si>
    <t>MCF-19</t>
  </si>
  <si>
    <t>10.1021/ic202085j</t>
  </si>
  <si>
    <t>IZE-1</t>
  </si>
  <si>
    <t>10.1038/ncomms1654</t>
  </si>
  <si>
    <t>DCM for 3–5 days, during which DCM was refreshed 3x/day</t>
  </si>
  <si>
    <t>2841/ 2738 m2/g</t>
  </si>
  <si>
    <t>MCF-19-IIIc</t>
  </si>
  <si>
    <t>2706/ 2610 m2/g</t>
  </si>
  <si>
    <t>MCF-19-IIIb</t>
  </si>
  <si>
    <t>10.1039/c0cc02808h</t>
  </si>
  <si>
    <t>2106 / 1716 m2/g</t>
  </si>
  <si>
    <t>(In3O)(OH)(ADC)2(NH2IN)2</t>
  </si>
  <si>
    <t>1857/ 1496 m2/g</t>
  </si>
  <si>
    <t>(In3O)(OH)(ADC)2(IN)2</t>
  </si>
  <si>
    <t>10.1021/ja106903p</t>
  </si>
  <si>
    <t>directly degassed at 230 °C for 48 h under vacuum</t>
  </si>
  <si>
    <t>733/ 580 m2/g</t>
  </si>
  <si>
    <t>10.1039/c1ce05751k</t>
  </si>
  <si>
    <t>[Me2NH][In(mdip)]</t>
  </si>
  <si>
    <t>10.1016/j.micromeso.2007.05.018</t>
  </si>
  <si>
    <t>MIL-96 (Ga)</t>
  </si>
  <si>
    <t>10.1002/anie.200802087</t>
  </si>
  <si>
    <t>PCN-12</t>
  </si>
  <si>
    <t>10.1002/anie.200801488</t>
  </si>
  <si>
    <t>heating at 100°C under vacuum for 18h</t>
  </si>
  <si>
    <t>Langmuir</t>
  </si>
  <si>
    <t>1460 m2/g</t>
  </si>
  <si>
    <t>[{Zn2(abtc)(dmf)2}3]</t>
  </si>
  <si>
    <t>10.1039/C3TA11548H</t>
  </si>
  <si>
    <t>varies</t>
  </si>
  <si>
    <t>867 m2/g</t>
  </si>
  <si>
    <t>InOF-2</t>
  </si>
  <si>
    <t>10.1021/ja204548d</t>
  </si>
  <si>
    <t>MIL-53 (Al)</t>
  </si>
  <si>
    <t>GIKPIB</t>
  </si>
  <si>
    <t>10.1039/c0nj00272k</t>
  </si>
  <si>
    <t>10.1002/chem.201200137</t>
  </si>
  <si>
    <t>solvent-exchanged samples (MeOH for 3 days and then CH2Cl2 for a further 3 days) were pretreated at 353 K for 12 h under vacuum</t>
  </si>
  <si>
    <t>817/ 98 m2/g</t>
  </si>
  <si>
    <t>(In2X)·(Me2NH2)2</t>
  </si>
  <si>
    <t>10.1039/c0cc05199c</t>
  </si>
  <si>
    <t>supercritical CO2 exchange - also discuss a heating method to 180°C</t>
  </si>
  <si>
    <t xml:space="preserve">905 m2/g </t>
  </si>
  <si>
    <t>SNU-21</t>
  </si>
  <si>
    <t>10.1039/c1cc10378d</t>
  </si>
  <si>
    <t>soaking the crystals in acetone for 3 days followed by heating at 100 °C under vacuum for 1 day</t>
  </si>
  <si>
    <t>2620 m2/g</t>
  </si>
  <si>
    <t>NOTT-140</t>
  </si>
  <si>
    <t>10.1002/anie.201006531</t>
  </si>
  <si>
    <t>SCIF-1</t>
  </si>
  <si>
    <t>10.1016/j.jorganchem.2006.07.048</t>
  </si>
  <si>
    <t>Zn-obta</t>
  </si>
  <si>
    <t>10.1021/cg200919m</t>
  </si>
  <si>
    <t>10.1039/c2ce26109j</t>
  </si>
  <si>
    <t>106 m2/g</t>
  </si>
  <si>
    <t>10.1039/c2cc35399g</t>
  </si>
  <si>
    <t>[Co3(OH)(L)(tpt)·H2NMe2]</t>
  </si>
  <si>
    <t>10.1039/C2DT12005D</t>
  </si>
  <si>
    <t>vacuum (10^-2 mbar) at 160°C for 12 h</t>
  </si>
  <si>
    <t>2750/ 2320 m2/g</t>
  </si>
  <si>
    <t>CAU-3-NDC</t>
  </si>
  <si>
    <t>10.1021/ja205658j</t>
  </si>
  <si>
    <t>exchanging the guest molecules in 1 and 2 with CH3CN and chloroform, respectively for 5 days</t>
  </si>
  <si>
    <t>Langmuir estimate</t>
  </si>
  <si>
    <t>2896 m2/g</t>
  </si>
  <si>
    <t>tbo-MOF-2</t>
  </si>
  <si>
    <t>10.1039/C3CE27006H</t>
  </si>
  <si>
    <r>
      <t xml:space="preserve">dried under high vacuum for 24 hours at 100 </t>
    </r>
    <r>
      <rPr>
        <vertAlign val="superscript"/>
        <sz val="12"/>
        <color theme="1"/>
        <rFont val="Aptos Narrow"/>
        <family val="2"/>
        <scheme val="minor"/>
      </rPr>
      <t>o</t>
    </r>
    <r>
      <rPr>
        <sz val="12"/>
        <color theme="1"/>
        <rFont val="Aptos Narrow"/>
        <family val="2"/>
        <scheme val="minor"/>
      </rPr>
      <t>C</t>
    </r>
  </si>
  <si>
    <t>232 m2/g</t>
  </si>
  <si>
    <t>10.1039/C3DT00096F</t>
  </si>
  <si>
    <r>
      <t>vacuum overnight at 3 x 10</t>
    </r>
    <r>
      <rPr>
        <vertAlign val="superscript"/>
        <sz val="12"/>
        <color theme="1"/>
        <rFont val="Aptos Narrow"/>
        <family val="2"/>
        <scheme val="minor"/>
      </rPr>
      <t>-6</t>
    </r>
    <r>
      <rPr>
        <sz val="12"/>
        <color theme="1"/>
        <rFont val="Aptos Narrow"/>
        <family val="2"/>
        <scheme val="minor"/>
      </rPr>
      <t xml:space="preserve"> bar then heated to 50 </t>
    </r>
    <r>
      <rPr>
        <vertAlign val="superscript"/>
        <sz val="12"/>
        <color theme="1"/>
        <rFont val="Aptos Narrow"/>
        <family val="2"/>
        <scheme val="minor"/>
      </rPr>
      <t>o</t>
    </r>
    <r>
      <rPr>
        <sz val="12"/>
        <color theme="1"/>
        <rFont val="Aptos Narrow"/>
        <family val="2"/>
        <scheme val="minor"/>
      </rPr>
      <t>C at 3 x 10</t>
    </r>
    <r>
      <rPr>
        <vertAlign val="superscript"/>
        <sz val="12"/>
        <color theme="1"/>
        <rFont val="Aptos Narrow"/>
        <family val="2"/>
        <scheme val="minor"/>
      </rPr>
      <t>-6</t>
    </r>
    <r>
      <rPr>
        <sz val="12"/>
        <color theme="1"/>
        <rFont val="Aptos Narrow"/>
        <family val="2"/>
        <scheme val="minor"/>
      </rPr>
      <t xml:space="preserve"> bar for 4 hours</t>
    </r>
  </si>
  <si>
    <r>
      <t>733 m</t>
    </r>
    <r>
      <rPr>
        <vertAlign val="superscript"/>
        <sz val="12"/>
        <color theme="1"/>
        <rFont val="Aptos Narrow"/>
        <family val="2"/>
        <scheme val="minor"/>
      </rPr>
      <t>2</t>
    </r>
    <r>
      <rPr>
        <sz val="12"/>
        <color theme="1"/>
        <rFont val="Aptos Narrow"/>
        <family val="2"/>
        <scheme val="minor"/>
      </rPr>
      <t>/g</t>
    </r>
  </si>
  <si>
    <r>
      <t>Ni(H</t>
    </r>
    <r>
      <rPr>
        <vertAlign val="subscript"/>
        <sz val="12"/>
        <color theme="1"/>
        <rFont val="Aptos Narrow"/>
        <family val="2"/>
        <scheme val="minor"/>
      </rPr>
      <t>2</t>
    </r>
    <r>
      <rPr>
        <sz val="12"/>
        <color theme="1"/>
        <rFont val="Aptos Narrow"/>
        <family val="2"/>
        <scheme val="minor"/>
      </rPr>
      <t>diol)(DMF)2</t>
    </r>
  </si>
  <si>
    <t>10.1039/C3SC22222E</t>
  </si>
  <si>
    <t>nonporous</t>
  </si>
  <si>
    <t>MOF-18(L,M)</t>
  </si>
  <si>
    <t>10.1021/ja107423k</t>
  </si>
  <si>
    <t>DMF, vacuum 6h</t>
  </si>
  <si>
    <t>UMCM-154</t>
  </si>
  <si>
    <t>DMF, vacuum 4h and further dried 100°C 18h</t>
  </si>
  <si>
    <t>3730/ 3370 m2/g</t>
  </si>
  <si>
    <t>UMCM-153</t>
  </si>
  <si>
    <t>3480 m2/g</t>
  </si>
  <si>
    <t>UMCM-152</t>
  </si>
  <si>
    <t>10.1039/c0ce00750a</t>
  </si>
  <si>
    <t>Tb(Lh) catenated</t>
  </si>
  <si>
    <t>DMSO solvents were remolved by gradually increasing T up to 250°C</t>
  </si>
  <si>
    <t>Tb(Lh)</t>
  </si>
  <si>
    <t>10.1002/chem.201002135</t>
  </si>
  <si>
    <r>
      <t xml:space="preserve">heating at 60 </t>
    </r>
    <r>
      <rPr>
        <vertAlign val="superscript"/>
        <sz val="12"/>
        <color theme="1"/>
        <rFont val="Aptos Narrow"/>
        <family val="2"/>
        <scheme val="minor"/>
      </rPr>
      <t>o</t>
    </r>
    <r>
      <rPr>
        <sz val="12"/>
        <color theme="1"/>
        <rFont val="Aptos Narrow"/>
        <family val="2"/>
        <scheme val="minor"/>
      </rPr>
      <t xml:space="preserve">C for 24 hours and 170 </t>
    </r>
    <r>
      <rPr>
        <vertAlign val="superscript"/>
        <sz val="12"/>
        <color theme="1"/>
        <rFont val="Aptos Narrow"/>
        <family val="2"/>
        <scheme val="minor"/>
      </rPr>
      <t>o</t>
    </r>
    <r>
      <rPr>
        <sz val="12"/>
        <color theme="1"/>
        <rFont val="Aptos Narrow"/>
        <family val="2"/>
        <scheme val="minor"/>
      </rPr>
      <t>C for 4 hours</t>
    </r>
  </si>
  <si>
    <t>2450 m2/g</t>
  </si>
  <si>
    <t>SNU-50'</t>
  </si>
  <si>
    <t>10.1002/anie.201201202</t>
  </si>
  <si>
    <t>rht-MOF-4b</t>
  </si>
  <si>
    <t>publication DOI</t>
  </si>
  <si>
    <t>Activation</t>
  </si>
  <si>
    <t>Type</t>
  </si>
  <si>
    <t>Surf. Area (exp)</t>
  </si>
  <si>
    <t>Helium void</t>
  </si>
  <si>
    <t>Uptake</t>
  </si>
  <si>
    <t>GSA (calc), and VSA (calc) from zeo++ with probe radius = 1.55 Å for the structures are listed as well.</t>
  </si>
  <si>
    <r>
      <rPr>
        <b/>
        <sz val="12"/>
        <color theme="1"/>
        <rFont val="Aptos Narrow"/>
        <family val="2"/>
        <scheme val="minor"/>
      </rPr>
      <t>Table S2:</t>
    </r>
    <r>
      <rPr>
        <sz val="12"/>
        <color theme="1"/>
        <rFont val="Aptos Narrow"/>
        <family val="2"/>
        <scheme val="minor"/>
      </rPr>
      <t xml:space="preserve"> Top performing MOFs for methane uptake (vol</t>
    </r>
    <r>
      <rPr>
        <vertAlign val="subscript"/>
        <sz val="12"/>
        <color theme="1"/>
        <rFont val="Aptos Narrow"/>
        <family val="2"/>
        <scheme val="minor"/>
      </rPr>
      <t>STP</t>
    </r>
    <r>
      <rPr>
        <sz val="12"/>
        <color theme="1"/>
        <rFont val="Aptos Narrow"/>
        <family val="2"/>
        <scheme val="minor"/>
      </rPr>
      <t xml:space="preserve"> vol</t>
    </r>
    <r>
      <rPr>
        <vertAlign val="superscript"/>
        <sz val="12"/>
        <color theme="1"/>
        <rFont val="Aptos Narrow"/>
        <family val="2"/>
        <scheme val="minor"/>
      </rPr>
      <t>-1</t>
    </r>
    <r>
      <rPr>
        <sz val="12"/>
        <color theme="1"/>
        <rFont val="Aptos Narrow"/>
        <family val="2"/>
        <scheme val="minor"/>
      </rPr>
      <t>) predicted from GCMC simulation. Common names, pore volumes, experimental surface areas, and activation conditions are listed if the data is available.</t>
    </r>
  </si>
  <si>
    <t>10.1002/chem.201001549</t>
  </si>
  <si>
    <r>
      <t>308 m</t>
    </r>
    <r>
      <rPr>
        <vertAlign val="superscript"/>
        <sz val="12"/>
        <color theme="1"/>
        <rFont val="Aptos Narrow"/>
        <family val="2"/>
        <scheme val="minor"/>
      </rPr>
      <t>2</t>
    </r>
    <r>
      <rPr>
        <sz val="12"/>
        <color theme="1"/>
        <rFont val="Aptos Narrow"/>
        <family val="2"/>
        <scheme val="minor"/>
      </rPr>
      <t>/g</t>
    </r>
  </si>
  <si>
    <t>SNU-31 SC</t>
  </si>
  <si>
    <t>10.1039/c2dt12088g</t>
  </si>
  <si>
    <r>
      <t xml:space="preserve">drived at 100 </t>
    </r>
    <r>
      <rPr>
        <vertAlign val="superscript"/>
        <sz val="12"/>
        <color theme="1"/>
        <rFont val="Aptos Narrow"/>
        <family val="2"/>
        <scheme val="minor"/>
      </rPr>
      <t>o</t>
    </r>
    <r>
      <rPr>
        <sz val="12"/>
        <color theme="1"/>
        <rFont val="Aptos Narrow"/>
        <family val="2"/>
        <scheme val="minor"/>
      </rPr>
      <t>C overnight</t>
    </r>
  </si>
  <si>
    <t>SUMOF-1-Co</t>
  </si>
  <si>
    <t>10.1021/ic902194g</t>
  </si>
  <si>
    <t>10.1021/cg100046j</t>
  </si>
  <si>
    <t>3111; 2357 m2/g</t>
  </si>
  <si>
    <t>dried under vacuum at room temperature for 4 h</t>
  </si>
  <si>
    <t>UMCM-151</t>
  </si>
  <si>
    <t>10.1039/c1cc12858b</t>
  </si>
  <si>
    <t>BET/Langmuir</t>
  </si>
  <si>
    <r>
      <t>4043; 4624 m</t>
    </r>
    <r>
      <rPr>
        <vertAlign val="superscript"/>
        <sz val="12"/>
        <color theme="1"/>
        <rFont val="Aptos Narrow"/>
        <family val="2"/>
        <scheme val="minor"/>
      </rPr>
      <t>2</t>
    </r>
    <r>
      <rPr>
        <sz val="12"/>
        <color theme="1"/>
        <rFont val="Aptos Narrow"/>
        <family val="2"/>
        <scheme val="minor"/>
      </rPr>
      <t>/g</t>
    </r>
  </si>
  <si>
    <t>FJI-1</t>
  </si>
  <si>
    <t>10.1039/c2dt32479b</t>
  </si>
  <si>
    <t>PCN-81</t>
  </si>
  <si>
    <t>10.1021/ic201376t</t>
  </si>
  <si>
    <t>MOF-143</t>
  </si>
  <si>
    <r>
      <t xml:space="preserve">dried at 100 </t>
    </r>
    <r>
      <rPr>
        <vertAlign val="superscript"/>
        <sz val="12"/>
        <color theme="1"/>
        <rFont val="Aptos Narrow"/>
        <family val="2"/>
        <scheme val="minor"/>
      </rPr>
      <t>o</t>
    </r>
    <r>
      <rPr>
        <sz val="12"/>
        <color theme="1"/>
        <rFont val="Aptos Narrow"/>
        <family val="2"/>
        <scheme val="minor"/>
      </rPr>
      <t>C overnight</t>
    </r>
  </si>
  <si>
    <t>SUMOF-1-Zn</t>
  </si>
  <si>
    <t>10.1021/ja058777l</t>
  </si>
  <si>
    <r>
      <t>3800 m</t>
    </r>
    <r>
      <rPr>
        <vertAlign val="superscript"/>
        <sz val="12"/>
        <color theme="1"/>
        <rFont val="Aptos Narrow"/>
        <family val="2"/>
        <scheme val="minor"/>
      </rPr>
      <t>2</t>
    </r>
    <r>
      <rPr>
        <sz val="12"/>
        <color theme="1"/>
        <rFont val="Aptos Narrow"/>
        <family val="2"/>
        <scheme val="minor"/>
      </rPr>
      <t>/g</t>
    </r>
  </si>
  <si>
    <t>Cu3(TATB)2 catenated</t>
  </si>
  <si>
    <t>10.1021/ic9009916</t>
  </si>
  <si>
    <t>PPF-25</t>
  </si>
  <si>
    <r>
      <t>308 m</t>
    </r>
    <r>
      <rPr>
        <vertAlign val="superscript"/>
        <sz val="12"/>
        <color rgb="FF000000"/>
        <rFont val="Aptos Narrow"/>
        <family val="2"/>
        <scheme val="minor"/>
      </rPr>
      <t>2</t>
    </r>
    <r>
      <rPr>
        <sz val="12"/>
        <color rgb="FF000000"/>
        <rFont val="Aptos Narrow"/>
        <family val="2"/>
        <scheme val="minor"/>
      </rPr>
      <t>/g</t>
    </r>
  </si>
  <si>
    <t>10.1039/b511941c</t>
  </si>
  <si>
    <t>SUMOF-1-Cu</t>
  </si>
  <si>
    <t>10.1021/ic8003855</t>
  </si>
  <si>
    <t>possible pore block</t>
  </si>
  <si>
    <t xml:space="preserve">Zn2(O2CR)4 </t>
  </si>
  <si>
    <t>Langmuir/BET (freeze-dried)</t>
  </si>
  <si>
    <t>10.1021/ja0675447</t>
  </si>
  <si>
    <t>10.1002/adfm.201102157</t>
  </si>
  <si>
    <t>Cu-TCA</t>
  </si>
  <si>
    <t>10.1002/chem.201101383</t>
  </si>
  <si>
    <t>this structure is obtained very small amount</t>
  </si>
  <si>
    <t>DUT-33-Cu</t>
  </si>
  <si>
    <t>10.1021/ja9072707</t>
  </si>
  <si>
    <t>4030 m2/g</t>
  </si>
  <si>
    <t>Be-BTB</t>
  </si>
  <si>
    <t>DMSO solvents were remolved by gradually increasing T upto 250 oC</t>
  </si>
  <si>
    <t>10.1126/science.1113247</t>
  </si>
  <si>
    <t>10.1038/46248</t>
  </si>
  <si>
    <t>10.1021/ic202683s</t>
  </si>
  <si>
    <r>
      <t>185 m</t>
    </r>
    <r>
      <rPr>
        <vertAlign val="superscript"/>
        <sz val="12"/>
        <color theme="1"/>
        <rFont val="Aptos Narrow"/>
        <family val="2"/>
        <scheme val="minor"/>
      </rPr>
      <t>2</t>
    </r>
    <r>
      <rPr>
        <sz val="12"/>
        <color theme="1"/>
        <rFont val="Aptos Narrow"/>
        <family val="2"/>
        <scheme val="minor"/>
      </rPr>
      <t>/g</t>
    </r>
  </si>
  <si>
    <t>BMOF-1-bpdc</t>
  </si>
  <si>
    <t>10.1021/ja1001407</t>
  </si>
  <si>
    <r>
      <t xml:space="preserve">100 </t>
    </r>
    <r>
      <rPr>
        <vertAlign val="superscript"/>
        <sz val="12"/>
        <color theme="1"/>
        <rFont val="Aptos Narrow"/>
        <family val="2"/>
        <scheme val="minor"/>
      </rPr>
      <t>o</t>
    </r>
    <r>
      <rPr>
        <sz val="12"/>
        <color theme="1"/>
        <rFont val="Aptos Narrow"/>
        <family val="2"/>
        <scheme val="minor"/>
      </rPr>
      <t>C under high valume (&lt;0.1 millitorr) for 12 h</t>
    </r>
  </si>
  <si>
    <t>4664 m2/g</t>
  </si>
  <si>
    <t>NOTT-116</t>
  </si>
  <si>
    <t>washing with a mixture of DMAand EtOH, and drying briefly in air</t>
  </si>
  <si>
    <t>10.1039/b505664k</t>
  </si>
  <si>
    <t>washed with DMSO</t>
  </si>
  <si>
    <t>626.72 m2/g</t>
  </si>
  <si>
    <t>Cu2(TCPPDA)</t>
  </si>
  <si>
    <t>10.1126/science.1067208</t>
  </si>
  <si>
    <t>10.1021/ic801631w</t>
  </si>
  <si>
    <t>1217 m2/g</t>
  </si>
  <si>
    <t>Cu2(L1) MOF</t>
  </si>
  <si>
    <r>
      <t>504.2 m</t>
    </r>
    <r>
      <rPr>
        <vertAlign val="superscript"/>
        <sz val="12"/>
        <color theme="1"/>
        <rFont val="Aptos Narrow"/>
        <family val="2"/>
        <scheme val="minor"/>
      </rPr>
      <t>2</t>
    </r>
    <r>
      <rPr>
        <sz val="12"/>
        <color theme="1"/>
        <rFont val="Aptos Narrow"/>
        <family val="2"/>
        <scheme val="minor"/>
      </rPr>
      <t>/g</t>
    </r>
  </si>
  <si>
    <t>Cu(TCPPDA)</t>
  </si>
  <si>
    <t>10.1002/chem.200501340</t>
  </si>
  <si>
    <t>2095 m2/g</t>
  </si>
  <si>
    <t>10.1021/ja1065009</t>
  </si>
  <si>
    <t>immersed in 15 mL of CH2Cl2 for two days; solvent replaced 3 times</t>
  </si>
  <si>
    <t>3500 m2/g</t>
  </si>
  <si>
    <t>UMCM-4</t>
  </si>
  <si>
    <t>under vacuum for 4 h and further drided at 100 oC for 18 h</t>
  </si>
  <si>
    <t>3370 m2/g</t>
  </si>
  <si>
    <t>10.1126/science.1181761</t>
  </si>
  <si>
    <t>supercritical drying &amp; DMF with exchange with ethanol performed 3 times over 2 days</t>
  </si>
  <si>
    <t>4730 m2/g</t>
  </si>
  <si>
    <t>DUT-23-Cu</t>
  </si>
  <si>
    <t>10.1021/ja1074322</t>
  </si>
  <si>
    <r>
      <t xml:space="preserve">under vacuum for 4 h and further drided at 100 </t>
    </r>
    <r>
      <rPr>
        <vertAlign val="superscript"/>
        <sz val="12"/>
        <color theme="1"/>
        <rFont val="Aptos Narrow"/>
        <family val="2"/>
        <scheme val="minor"/>
      </rPr>
      <t>o</t>
    </r>
    <r>
      <rPr>
        <sz val="12"/>
        <color theme="1"/>
        <rFont val="Aptos Narrow"/>
        <family val="2"/>
        <scheme val="minor"/>
      </rPr>
      <t>C for 18 h</t>
    </r>
  </si>
  <si>
    <r>
      <t xml:space="preserve">under vacuum for 24 hrs  at room temperature , or heat up to 120 </t>
    </r>
    <r>
      <rPr>
        <vertAlign val="superscript"/>
        <sz val="12"/>
        <color theme="1"/>
        <rFont val="Aptos Narrow"/>
        <family val="2"/>
        <scheme val="minor"/>
      </rPr>
      <t>o</t>
    </r>
    <r>
      <rPr>
        <sz val="12"/>
        <color theme="1"/>
        <rFont val="Aptos Narrow"/>
        <family val="2"/>
        <scheme val="minor"/>
      </rPr>
      <t>C</t>
    </r>
  </si>
  <si>
    <t>4140 m2/g</t>
  </si>
  <si>
    <t>no further characterization due to phase impurity</t>
  </si>
  <si>
    <t>DUT-23-Ni</t>
  </si>
  <si>
    <t>4340 m2/g</t>
  </si>
  <si>
    <t>DUT-23</t>
  </si>
  <si>
    <t>amorphous</t>
  </si>
  <si>
    <t>JUC-102</t>
  </si>
  <si>
    <r>
      <t xml:space="preserve">solvate evacuation at 60 </t>
    </r>
    <r>
      <rPr>
        <vertAlign val="superscript"/>
        <sz val="12"/>
        <color theme="1"/>
        <rFont val="Aptos Narrow"/>
        <family val="2"/>
        <scheme val="minor"/>
      </rPr>
      <t>o</t>
    </r>
    <r>
      <rPr>
        <sz val="12"/>
        <color theme="1"/>
        <rFont val="Aptos Narrow"/>
        <family val="2"/>
        <scheme val="minor"/>
      </rPr>
      <t>C for 10 h under reduced pressure</t>
    </r>
  </si>
  <si>
    <t>soaked in dye solution in DMF for two days;activated crystal collapses but unactivated crystal is stable</t>
  </si>
  <si>
    <t>3742 m2/g</t>
  </si>
  <si>
    <t>VSA (calc)</t>
  </si>
  <si>
    <t>GSA (calc)</t>
  </si>
  <si>
    <t>common name</t>
  </si>
  <si>
    <t>65 - 5.8 bar</t>
  </si>
  <si>
    <r>
      <rPr>
        <b/>
        <sz val="12"/>
        <color theme="1"/>
        <rFont val="Aptos Narrow"/>
        <family val="2"/>
        <scheme val="minor"/>
      </rPr>
      <t>Table S3:</t>
    </r>
    <r>
      <rPr>
        <sz val="12"/>
        <color theme="1"/>
        <rFont val="Aptos Narrow"/>
        <family val="2"/>
        <scheme val="minor"/>
      </rPr>
      <t xml:space="preserve"> Top performing MOFs for methane deliverables (vol</t>
    </r>
    <r>
      <rPr>
        <vertAlign val="subscript"/>
        <sz val="12"/>
        <color theme="1"/>
        <rFont val="Aptos Narrow"/>
        <family val="2"/>
        <scheme val="minor"/>
      </rPr>
      <t>STP</t>
    </r>
    <r>
      <rPr>
        <sz val="12"/>
        <color theme="1"/>
        <rFont val="Aptos Narrow"/>
        <family val="2"/>
        <scheme val="minor"/>
      </rPr>
      <t xml:space="preserve"> vol</t>
    </r>
    <r>
      <rPr>
        <vertAlign val="superscript"/>
        <sz val="12"/>
        <color theme="1"/>
        <rFont val="Aptos Narrow"/>
        <family val="2"/>
        <scheme val="minor"/>
      </rPr>
      <t>-1</t>
    </r>
    <r>
      <rPr>
        <sz val="12"/>
        <color theme="1"/>
        <rFont val="Aptos Narrow"/>
        <family val="2"/>
        <scheme val="minor"/>
      </rPr>
      <t>)predicted from GCMC simulation. Common names,  experimental surface areas, and activation conditions are listed if the data is available.</t>
    </r>
  </si>
  <si>
    <t>H12MgO6</t>
  </si>
  <si>
    <t>C3H10N</t>
  </si>
  <si>
    <t>F4P</t>
  </si>
  <si>
    <t>C2H7N</t>
  </si>
  <si>
    <t>C4F7O2</t>
  </si>
  <si>
    <t>CF2O3S</t>
  </si>
  <si>
    <t>C18H23FeN10</t>
  </si>
  <si>
    <t>C3H3N2</t>
  </si>
  <si>
    <t>C4H6</t>
  </si>
  <si>
    <t>H3N</t>
  </si>
  <si>
    <t>C4H9</t>
  </si>
  <si>
    <t>C8H18N2O2</t>
  </si>
  <si>
    <t>Cd2Cl8</t>
  </si>
  <si>
    <t>C10H14O4</t>
  </si>
  <si>
    <t>C4H14N2</t>
  </si>
  <si>
    <t>C3H7NO</t>
  </si>
  <si>
    <t>C44H36CuN8</t>
  </si>
  <si>
    <t>C24H53ErN8O8</t>
  </si>
  <si>
    <t>Cl2O6</t>
  </si>
  <si>
    <t>C24H32NaO8</t>
  </si>
  <si>
    <t>H2N</t>
  </si>
  <si>
    <t>CNSe</t>
  </si>
  <si>
    <t>CO2</t>
  </si>
  <si>
    <t>C16H36N</t>
  </si>
  <si>
    <t>AgO2</t>
  </si>
  <si>
    <t>ClO8</t>
  </si>
  <si>
    <t>ClO3</t>
  </si>
  <si>
    <t>C3O2</t>
  </si>
  <si>
    <t>C4H12N2</t>
  </si>
  <si>
    <t>BF5</t>
  </si>
  <si>
    <t>N2O4</t>
  </si>
  <si>
    <t>F7P</t>
  </si>
  <si>
    <t>C44H33CdClN8</t>
  </si>
  <si>
    <t>Br4Mn</t>
  </si>
  <si>
    <t>C7H7O3S</t>
  </si>
  <si>
    <t>C6H14N2</t>
  </si>
  <si>
    <t>C18H24FeN10</t>
  </si>
  <si>
    <t>C10H13O4</t>
  </si>
  <si>
    <t>C24H56GdN8O8</t>
  </si>
  <si>
    <t>H12CoO6</t>
  </si>
  <si>
    <t>C24H30O14S2</t>
  </si>
  <si>
    <t>C6H16N2</t>
  </si>
  <si>
    <t>C20H22Cl2FeN4O2</t>
  </si>
  <si>
    <t>C2AuN2</t>
  </si>
  <si>
    <t>C8H4O4</t>
  </si>
  <si>
    <t>C18H40CdN4O6</t>
  </si>
  <si>
    <t>C12H27N</t>
  </si>
  <si>
    <t>C44H36MnN8O2</t>
  </si>
  <si>
    <t>F8P</t>
  </si>
  <si>
    <t>BF12</t>
  </si>
  <si>
    <t>C33H36O6</t>
  </si>
  <si>
    <t>O</t>
  </si>
  <si>
    <t>C2H4N2</t>
  </si>
  <si>
    <t>C19H18P</t>
  </si>
  <si>
    <t>C7H5O2</t>
  </si>
  <si>
    <t>C2H3N</t>
  </si>
  <si>
    <t>C</t>
  </si>
  <si>
    <t>Cl2O8</t>
  </si>
  <si>
    <t>C5H14N</t>
  </si>
  <si>
    <t>C44H36Cd2N8O2</t>
  </si>
  <si>
    <t>O40PW12</t>
  </si>
  <si>
    <t>C4H8N4</t>
  </si>
  <si>
    <t>O4Re</t>
  </si>
  <si>
    <t>C7H9N</t>
  </si>
  <si>
    <t>N2O5</t>
  </si>
  <si>
    <t>NO2</t>
  </si>
  <si>
    <t>C3H6NO</t>
  </si>
  <si>
    <t>C44H36CdClN8</t>
  </si>
  <si>
    <t>F15P3</t>
  </si>
  <si>
    <t>Br4Hg</t>
  </si>
  <si>
    <t>C20H16CuN4</t>
  </si>
  <si>
    <t>Cl4Hg</t>
  </si>
  <si>
    <t>Cl4Co</t>
  </si>
  <si>
    <t>C24H54N6O6Zn</t>
  </si>
  <si>
    <t>C14H8O4</t>
  </si>
  <si>
    <t>CdCl4</t>
  </si>
  <si>
    <t>CO3</t>
  </si>
  <si>
    <t>C24H56EuN8O8</t>
  </si>
  <si>
    <t>C32H22Cd2Cl2N6</t>
  </si>
  <si>
    <t>BF2</t>
  </si>
  <si>
    <t>C3H9N</t>
  </si>
  <si>
    <t>AgN2O6</t>
  </si>
  <si>
    <t>C8H15N2</t>
  </si>
  <si>
    <t>C2H3O2</t>
  </si>
  <si>
    <t>C14H8N2O4</t>
  </si>
  <si>
    <t>C2H8N2</t>
  </si>
  <si>
    <t>C26H24Mn2N4O6</t>
  </si>
  <si>
    <t>C36H32N4</t>
  </si>
  <si>
    <t>C5H12N</t>
  </si>
  <si>
    <t>C24H20B</t>
  </si>
  <si>
    <t>C64H48Cd2O24</t>
  </si>
  <si>
    <t>C6H11N2</t>
  </si>
  <si>
    <t>C6H18N2</t>
  </si>
  <si>
    <t>C80H64Cu8N16S8W2</t>
  </si>
  <si>
    <t>OPb</t>
  </si>
  <si>
    <t>C4H3N</t>
  </si>
  <si>
    <t>O6S2</t>
  </si>
  <si>
    <t>CH5N</t>
  </si>
  <si>
    <t>F6Si</t>
  </si>
  <si>
    <t>C3F5O2</t>
  </si>
  <si>
    <t>C6H16N</t>
  </si>
  <si>
    <t>O2</t>
  </si>
  <si>
    <t>C2O4</t>
  </si>
  <si>
    <t>H3O</t>
  </si>
  <si>
    <t>I</t>
  </si>
  <si>
    <t>CH6N</t>
  </si>
  <si>
    <t>C6H15N</t>
  </si>
  <si>
    <t>C12H8N2</t>
  </si>
  <si>
    <t>HO</t>
  </si>
  <si>
    <t>C44H36Cd2Cl2N8</t>
  </si>
  <si>
    <t>C6H14N</t>
  </si>
  <si>
    <t>C2F3O2</t>
  </si>
  <si>
    <t>O4S</t>
  </si>
  <si>
    <t>C38H34N10</t>
  </si>
  <si>
    <t>F6Sb</t>
  </si>
  <si>
    <t>CH3</t>
  </si>
  <si>
    <t>F</t>
  </si>
  <si>
    <t>C12H14N2</t>
  </si>
  <si>
    <t>Br</t>
  </si>
  <si>
    <t>C2H10N2</t>
  </si>
  <si>
    <t>C2H6N</t>
  </si>
  <si>
    <t>F6P</t>
  </si>
  <si>
    <t>CF3O3S</t>
  </si>
  <si>
    <t>C4H12N</t>
  </si>
  <si>
    <t>H4N</t>
  </si>
  <si>
    <t>BF4</t>
  </si>
  <si>
    <t>Cl</t>
  </si>
  <si>
    <t>C2H8N</t>
  </si>
  <si>
    <t>NO3</t>
  </si>
  <si>
    <t>ClO4</t>
  </si>
  <si>
    <t>frequency</t>
  </si>
  <si>
    <t>Ions</t>
  </si>
  <si>
    <r>
      <rPr>
        <b/>
        <sz val="12"/>
        <color theme="1"/>
        <rFont val="Aptos Narrow"/>
        <family val="2"/>
        <scheme val="minor"/>
      </rPr>
      <t>Table S4.</t>
    </r>
    <r>
      <rPr>
        <sz val="12"/>
        <color theme="1"/>
        <rFont val="Aptos Narrow"/>
        <family val="2"/>
        <scheme val="minor"/>
      </rPr>
      <t xml:space="preserve"> 20 most Common ionic species in CoRE MOF database</t>
    </r>
  </si>
  <si>
    <t>Ethoxide ion</t>
  </si>
  <si>
    <r>
      <t>C</t>
    </r>
    <r>
      <rPr>
        <vertAlign val="subscript"/>
        <sz val="12"/>
        <color rgb="FF000000"/>
        <rFont val="Aptos Narrow"/>
        <family val="2"/>
        <scheme val="minor"/>
      </rPr>
      <t>2</t>
    </r>
    <r>
      <rPr>
        <sz val="12"/>
        <color rgb="FF000000"/>
        <rFont val="Aptos Narrow"/>
        <family val="2"/>
        <scheme val="minor"/>
      </rPr>
      <t>H</t>
    </r>
    <r>
      <rPr>
        <vertAlign val="subscript"/>
        <sz val="12"/>
        <color rgb="FF000000"/>
        <rFont val="Aptos Narrow"/>
        <family val="2"/>
        <scheme val="minor"/>
      </rPr>
      <t>5</t>
    </r>
    <r>
      <rPr>
        <sz val="12"/>
        <color rgb="FF000000"/>
        <rFont val="Aptos Narrow"/>
        <family val="2"/>
        <scheme val="minor"/>
      </rPr>
      <t>O</t>
    </r>
  </si>
  <si>
    <t>Acetate</t>
  </si>
  <si>
    <r>
      <t>C</t>
    </r>
    <r>
      <rPr>
        <vertAlign val="subscript"/>
        <sz val="12"/>
        <color rgb="FF000000"/>
        <rFont val="Aptos Narrow"/>
        <family val="2"/>
        <scheme val="minor"/>
      </rPr>
      <t>2</t>
    </r>
    <r>
      <rPr>
        <sz val="12"/>
        <color rgb="FF000000"/>
        <rFont val="Aptos Narrow"/>
        <family val="2"/>
        <scheme val="minor"/>
      </rPr>
      <t>H</t>
    </r>
    <r>
      <rPr>
        <vertAlign val="subscript"/>
        <sz val="12"/>
        <color rgb="FF000000"/>
        <rFont val="Aptos Narrow"/>
        <family val="2"/>
        <scheme val="minor"/>
      </rPr>
      <t>3</t>
    </r>
    <r>
      <rPr>
        <sz val="12"/>
        <color rgb="FF000000"/>
        <rFont val="Aptos Narrow"/>
        <family val="2"/>
        <scheme val="minor"/>
      </rPr>
      <t>O</t>
    </r>
    <r>
      <rPr>
        <vertAlign val="subscript"/>
        <sz val="12"/>
        <color rgb="FF000000"/>
        <rFont val="Aptos Narrow"/>
        <family val="2"/>
        <scheme val="minor"/>
      </rPr>
      <t>2</t>
    </r>
  </si>
  <si>
    <t>Nitrate ion</t>
  </si>
  <si>
    <r>
      <t>NO</t>
    </r>
    <r>
      <rPr>
        <vertAlign val="subscript"/>
        <sz val="12"/>
        <color rgb="FF000000"/>
        <rFont val="Aptos Narrow"/>
        <family val="2"/>
        <scheme val="minor"/>
      </rPr>
      <t>3</t>
    </r>
  </si>
  <si>
    <t>Methoxide</t>
  </si>
  <si>
    <r>
      <t>CH</t>
    </r>
    <r>
      <rPr>
        <vertAlign val="subscript"/>
        <sz val="12"/>
        <color rgb="FF000000"/>
        <rFont val="Aptos Narrow"/>
        <family val="2"/>
        <scheme val="minor"/>
      </rPr>
      <t>3</t>
    </r>
    <r>
      <rPr>
        <sz val="12"/>
        <color rgb="FF000000"/>
        <rFont val="Aptos Narrow"/>
        <family val="2"/>
        <scheme val="minor"/>
      </rPr>
      <t>O</t>
    </r>
  </si>
  <si>
    <t>Methanol</t>
  </si>
  <si>
    <r>
      <t>CH</t>
    </r>
    <r>
      <rPr>
        <vertAlign val="subscript"/>
        <sz val="12"/>
        <color rgb="FF000000"/>
        <rFont val="Aptos Narrow"/>
        <family val="2"/>
        <scheme val="minor"/>
      </rPr>
      <t>4</t>
    </r>
    <r>
      <rPr>
        <sz val="12"/>
        <color rgb="FF000000"/>
        <rFont val="Aptos Narrow"/>
        <family val="2"/>
        <scheme val="minor"/>
      </rPr>
      <t>O</t>
    </r>
  </si>
  <si>
    <t>Ethylene Urea</t>
  </si>
  <si>
    <r>
      <t>C</t>
    </r>
    <r>
      <rPr>
        <vertAlign val="subscript"/>
        <sz val="12"/>
        <color rgb="FF000000"/>
        <rFont val="Aptos Narrow"/>
        <family val="2"/>
        <scheme val="minor"/>
      </rPr>
      <t>3</t>
    </r>
    <r>
      <rPr>
        <sz val="12"/>
        <color rgb="FF000000"/>
        <rFont val="Aptos Narrow"/>
        <family val="2"/>
        <scheme val="minor"/>
      </rPr>
      <t>H</t>
    </r>
    <r>
      <rPr>
        <vertAlign val="subscript"/>
        <sz val="12"/>
        <color rgb="FF000000"/>
        <rFont val="Aptos Narrow"/>
        <family val="2"/>
        <scheme val="minor"/>
      </rPr>
      <t>6</t>
    </r>
    <r>
      <rPr>
        <sz val="12"/>
        <color rgb="FF000000"/>
        <rFont val="Aptos Narrow"/>
        <family val="2"/>
        <scheme val="minor"/>
      </rPr>
      <t>N</t>
    </r>
    <r>
      <rPr>
        <vertAlign val="subscript"/>
        <sz val="12"/>
        <color rgb="FF000000"/>
        <rFont val="Aptos Narrow"/>
        <family val="2"/>
        <scheme val="minor"/>
      </rPr>
      <t>2</t>
    </r>
    <r>
      <rPr>
        <sz val="12"/>
        <color rgb="FF000000"/>
        <rFont val="Aptos Narrow"/>
        <family val="2"/>
        <scheme val="minor"/>
      </rPr>
      <t>O</t>
    </r>
  </si>
  <si>
    <t>Thiocyanate</t>
  </si>
  <si>
    <t>CNS</t>
  </si>
  <si>
    <t>Dimethyl Sulfoxide</t>
  </si>
  <si>
    <r>
      <t>C</t>
    </r>
    <r>
      <rPr>
        <vertAlign val="subscript"/>
        <sz val="12"/>
        <color rgb="FF000000"/>
        <rFont val="Aptos Narrow"/>
        <family val="2"/>
        <scheme val="minor"/>
      </rPr>
      <t>2</t>
    </r>
    <r>
      <rPr>
        <sz val="12"/>
        <color rgb="FF000000"/>
        <rFont val="Aptos Narrow"/>
        <family val="2"/>
        <scheme val="minor"/>
      </rPr>
      <t>H</t>
    </r>
    <r>
      <rPr>
        <vertAlign val="subscript"/>
        <sz val="12"/>
        <color rgb="FF000000"/>
        <rFont val="Aptos Narrow"/>
        <family val="2"/>
        <scheme val="minor"/>
      </rPr>
      <t>6</t>
    </r>
    <r>
      <rPr>
        <sz val="12"/>
        <color rgb="FF000000"/>
        <rFont val="Aptos Narrow"/>
        <family val="2"/>
        <scheme val="minor"/>
      </rPr>
      <t>OS</t>
    </r>
  </si>
  <si>
    <t>DMF (without hydrogen)</t>
  </si>
  <si>
    <r>
      <t>C</t>
    </r>
    <r>
      <rPr>
        <vertAlign val="subscript"/>
        <sz val="12"/>
        <color rgb="FF000000"/>
        <rFont val="Aptos Narrow"/>
        <family val="2"/>
        <scheme val="minor"/>
      </rPr>
      <t>3</t>
    </r>
    <r>
      <rPr>
        <sz val="12"/>
        <color rgb="FF000000"/>
        <rFont val="Aptos Narrow"/>
        <family val="2"/>
        <scheme val="minor"/>
      </rPr>
      <t>NO</t>
    </r>
  </si>
  <si>
    <t>Hydroxyl</t>
  </si>
  <si>
    <t>OH</t>
  </si>
  <si>
    <t>Butanamide</t>
  </si>
  <si>
    <r>
      <t>C</t>
    </r>
    <r>
      <rPr>
        <vertAlign val="subscript"/>
        <sz val="12"/>
        <color rgb="FF000000"/>
        <rFont val="Aptos Narrow"/>
        <family val="2"/>
        <scheme val="minor"/>
      </rPr>
      <t>4</t>
    </r>
    <r>
      <rPr>
        <sz val="12"/>
        <color rgb="FF000000"/>
        <rFont val="Aptos Narrow"/>
        <family val="2"/>
        <scheme val="minor"/>
      </rPr>
      <t>H</t>
    </r>
    <r>
      <rPr>
        <vertAlign val="subscript"/>
        <sz val="12"/>
        <color rgb="FF000000"/>
        <rFont val="Aptos Narrow"/>
        <family val="2"/>
        <scheme val="minor"/>
      </rPr>
      <t>9</t>
    </r>
    <r>
      <rPr>
        <sz val="12"/>
        <color rgb="FF000000"/>
        <rFont val="Aptos Narrow"/>
        <family val="2"/>
        <scheme val="minor"/>
      </rPr>
      <t>NO</t>
    </r>
  </si>
  <si>
    <t>Pyridine</t>
  </si>
  <si>
    <r>
      <t>C</t>
    </r>
    <r>
      <rPr>
        <vertAlign val="subscript"/>
        <sz val="12"/>
        <color rgb="FF000000"/>
        <rFont val="Aptos Narrow"/>
        <family val="2"/>
        <scheme val="minor"/>
      </rPr>
      <t>5</t>
    </r>
    <r>
      <rPr>
        <sz val="12"/>
        <color rgb="FF000000"/>
        <rFont val="Aptos Narrow"/>
        <family val="2"/>
        <scheme val="minor"/>
      </rPr>
      <t>H</t>
    </r>
    <r>
      <rPr>
        <vertAlign val="subscript"/>
        <sz val="12"/>
        <color rgb="FF000000"/>
        <rFont val="Aptos Narrow"/>
        <family val="2"/>
        <scheme val="minor"/>
      </rPr>
      <t>5</t>
    </r>
    <r>
      <rPr>
        <sz val="12"/>
        <color rgb="FF000000"/>
        <rFont val="Aptos Narrow"/>
        <family val="2"/>
        <scheme val="minor"/>
      </rPr>
      <t>N</t>
    </r>
  </si>
  <si>
    <t>N-Ethylpropanoamide</t>
  </si>
  <si>
    <r>
      <t>C</t>
    </r>
    <r>
      <rPr>
        <vertAlign val="subscript"/>
        <sz val="12"/>
        <color rgb="FF000000"/>
        <rFont val="Aptos Narrow"/>
        <family val="2"/>
        <scheme val="minor"/>
      </rPr>
      <t>5</t>
    </r>
    <r>
      <rPr>
        <sz val="12"/>
        <color rgb="FF000000"/>
        <rFont val="Aptos Narrow"/>
        <family val="2"/>
        <scheme val="minor"/>
      </rPr>
      <t>H</t>
    </r>
    <r>
      <rPr>
        <vertAlign val="subscript"/>
        <sz val="12"/>
        <color rgb="FF000000"/>
        <rFont val="Aptos Narrow"/>
        <family val="2"/>
        <scheme val="minor"/>
      </rPr>
      <t>11</t>
    </r>
    <r>
      <rPr>
        <sz val="12"/>
        <color rgb="FF000000"/>
        <rFont val="Aptos Narrow"/>
        <family val="2"/>
        <scheme val="minor"/>
      </rPr>
      <t>NO</t>
    </r>
  </si>
  <si>
    <t>Iodine</t>
  </si>
  <si>
    <t>DMF (missing 1 hydrogen)</t>
  </si>
  <si>
    <r>
      <t>C</t>
    </r>
    <r>
      <rPr>
        <vertAlign val="subscript"/>
        <sz val="12"/>
        <color rgb="FF000000"/>
        <rFont val="Aptos Narrow"/>
        <family val="2"/>
        <scheme val="minor"/>
      </rPr>
      <t>3</t>
    </r>
    <r>
      <rPr>
        <sz val="12"/>
        <color rgb="FF000000"/>
        <rFont val="Aptos Narrow"/>
        <family val="2"/>
        <scheme val="minor"/>
      </rPr>
      <t>H</t>
    </r>
    <r>
      <rPr>
        <vertAlign val="subscript"/>
        <sz val="12"/>
        <color rgb="FF000000"/>
        <rFont val="Aptos Narrow"/>
        <family val="2"/>
        <scheme val="minor"/>
      </rPr>
      <t>6</t>
    </r>
    <r>
      <rPr>
        <sz val="12"/>
        <color rgb="FF000000"/>
        <rFont val="Aptos Narrow"/>
        <family val="2"/>
        <scheme val="minor"/>
      </rPr>
      <t>NO</t>
    </r>
  </si>
  <si>
    <t>Cyanide</t>
  </si>
  <si>
    <t>CN</t>
  </si>
  <si>
    <t>Chlorine</t>
  </si>
  <si>
    <t>Dimethylformamide (DMF)</t>
  </si>
  <si>
    <r>
      <t>C</t>
    </r>
    <r>
      <rPr>
        <vertAlign val="subscript"/>
        <sz val="12"/>
        <color rgb="FF000000"/>
        <rFont val="Aptos Narrow"/>
        <family val="2"/>
        <scheme val="minor"/>
      </rPr>
      <t>3</t>
    </r>
    <r>
      <rPr>
        <sz val="12"/>
        <color rgb="FF000000"/>
        <rFont val="Aptos Narrow"/>
        <family val="2"/>
        <scheme val="minor"/>
      </rPr>
      <t>H</t>
    </r>
    <r>
      <rPr>
        <vertAlign val="subscript"/>
        <sz val="12"/>
        <color rgb="FF000000"/>
        <rFont val="Aptos Narrow"/>
        <family val="2"/>
        <scheme val="minor"/>
      </rPr>
      <t>7</t>
    </r>
    <r>
      <rPr>
        <sz val="12"/>
        <color rgb="FF000000"/>
        <rFont val="Aptos Narrow"/>
        <family val="2"/>
        <scheme val="minor"/>
      </rPr>
      <t>NO</t>
    </r>
  </si>
  <si>
    <t>Water</t>
  </si>
  <si>
    <r>
      <t>H</t>
    </r>
    <r>
      <rPr>
        <vertAlign val="subscript"/>
        <sz val="12"/>
        <color rgb="FF000000"/>
        <rFont val="Aptos Narrow"/>
        <family val="2"/>
        <scheme val="minor"/>
      </rPr>
      <t>2</t>
    </r>
    <r>
      <rPr>
        <sz val="12"/>
        <color rgb="FF000000"/>
        <rFont val="Aptos Narrow"/>
        <family val="2"/>
        <scheme val="minor"/>
      </rPr>
      <t>O</t>
    </r>
  </si>
  <si>
    <t>Water residue</t>
  </si>
  <si>
    <t>Solvent Name</t>
  </si>
  <si>
    <t>Bridging Atom</t>
  </si>
  <si>
    <t>#</t>
  </si>
  <si>
    <t>Stoichiometry of bound solvents</t>
  </si>
  <si>
    <t xml:space="preserve">Our bound solvent removal algorithm only removes solvents if the bridging atom is oxygen, and is not hydroxyl. </t>
  </si>
  <si>
    <r>
      <rPr>
        <b/>
        <sz val="12"/>
        <color theme="1"/>
        <rFont val="Aptos Narrow"/>
        <family val="2"/>
        <scheme val="minor"/>
      </rPr>
      <t>Table S5</t>
    </r>
    <r>
      <rPr>
        <sz val="12"/>
        <color theme="1"/>
        <rFont val="Aptos Narrow"/>
        <family val="2"/>
        <scheme val="minor"/>
      </rPr>
      <t xml:space="preserve">. 20 most Common bound solvents from CoRE MOF Database. Table shows that many of coordinated solvents are water related, but some include bulky solvent molecules such as DMF and pyridine. </t>
    </r>
  </si>
  <si>
    <t>Cu,La</t>
  </si>
  <si>
    <t>Frequency</t>
  </si>
  <si>
    <t>Type of Metals</t>
  </si>
  <si>
    <r>
      <rPr>
        <b/>
        <sz val="12"/>
        <color theme="1"/>
        <rFont val="Aptos Narrow"/>
        <family val="2"/>
        <scheme val="minor"/>
      </rPr>
      <t>Table S6</t>
    </r>
    <r>
      <rPr>
        <sz val="12"/>
        <color theme="1"/>
        <rFont val="Aptos Narrow"/>
        <family val="2"/>
        <scheme val="minor"/>
      </rPr>
      <t>. 30 most Common Metals from CoRE MOF database. Metals present in hypothetical MOF database are highlighted in blue.</t>
    </r>
  </si>
  <si>
    <t>Space group</t>
  </si>
  <si>
    <r>
      <rPr>
        <b/>
        <sz val="12"/>
        <color theme="1"/>
        <rFont val="Aptos Narrow"/>
        <family val="2"/>
        <scheme val="minor"/>
      </rPr>
      <t>Table S7.</t>
    </r>
    <r>
      <rPr>
        <sz val="12"/>
        <color theme="1"/>
        <rFont val="Aptos Narrow"/>
        <family val="2"/>
        <scheme val="minor"/>
      </rPr>
      <t xml:space="preserve"> Summary of the space group of structures in CoRE MOF Database (as reported by CSD)</t>
    </r>
  </si>
  <si>
    <t>Xe</t>
  </si>
  <si>
    <t>W</t>
  </si>
  <si>
    <t>TI</t>
  </si>
  <si>
    <t>Te</t>
  </si>
  <si>
    <t>Tc</t>
  </si>
  <si>
    <t>Ta</t>
  </si>
  <si>
    <t>Si</t>
  </si>
  <si>
    <t>Se</t>
  </si>
  <si>
    <t>Sb</t>
  </si>
  <si>
    <t>S</t>
  </si>
  <si>
    <t>Rn</t>
  </si>
  <si>
    <t>Rh</t>
  </si>
  <si>
    <t>Re</t>
  </si>
  <si>
    <t>Ra</t>
  </si>
  <si>
    <t>Pt</t>
  </si>
  <si>
    <t>Po</t>
  </si>
  <si>
    <t>Pm</t>
  </si>
  <si>
    <t>Pa</t>
  </si>
  <si>
    <t>P</t>
  </si>
  <si>
    <t>Os</t>
  </si>
  <si>
    <t>No</t>
  </si>
  <si>
    <t>Nb</t>
  </si>
  <si>
    <t>Ne</t>
  </si>
  <si>
    <t>Md</t>
  </si>
  <si>
    <t>Lr</t>
  </si>
  <si>
    <t>Kr</t>
  </si>
  <si>
    <t>Ir</t>
  </si>
  <si>
    <t>Hg</t>
  </si>
  <si>
    <t>H</t>
  </si>
  <si>
    <t>Ge</t>
  </si>
  <si>
    <t>Fr</t>
  </si>
  <si>
    <t>Fm</t>
  </si>
  <si>
    <t>Es</t>
  </si>
  <si>
    <t>Cm</t>
  </si>
  <si>
    <t>Cf</t>
  </si>
  <si>
    <t>Bk</t>
  </si>
  <si>
    <t>B</t>
  </si>
  <si>
    <t>Au</t>
  </si>
  <si>
    <t>At</t>
  </si>
  <si>
    <t>As</t>
  </si>
  <si>
    <t>Ar</t>
  </si>
  <si>
    <t>Am</t>
  </si>
  <si>
    <t>Ac</t>
  </si>
  <si>
    <t>σ [Å]</t>
  </si>
  <si>
    <r>
      <t>ε/k</t>
    </r>
    <r>
      <rPr>
        <b/>
        <vertAlign val="subscript"/>
        <sz val="12"/>
        <color theme="1"/>
        <rFont val="Aptos Narrow"/>
        <family val="2"/>
        <scheme val="minor"/>
      </rPr>
      <t>B</t>
    </r>
    <r>
      <rPr>
        <b/>
        <sz val="12"/>
        <color theme="1"/>
        <rFont val="Aptos Narrow"/>
        <family val="2"/>
        <scheme val="minor"/>
      </rPr>
      <t xml:space="preserve"> [K]</t>
    </r>
  </si>
  <si>
    <t>Atom Name</t>
  </si>
  <si>
    <r>
      <rPr>
        <b/>
        <sz val="12"/>
        <color theme="1"/>
        <rFont val="Aptos Narrow"/>
        <family val="2"/>
        <scheme val="minor"/>
      </rPr>
      <t>Table S8.</t>
    </r>
    <r>
      <rPr>
        <sz val="12"/>
        <color theme="1"/>
        <rFont val="Aptos Narrow"/>
        <family val="2"/>
        <scheme val="minor"/>
      </rPr>
      <t xml:space="preserve"> Lennard-Jones Parameters used for framework atoms.</t>
    </r>
  </si>
  <si>
    <t>17.129 x 6.628 x 12.182</t>
  </si>
  <si>
    <t>1,4-dicarboxylic acid</t>
  </si>
  <si>
    <t>Yes</t>
  </si>
  <si>
    <t>17.019 x 6.584 x 12.262</t>
  </si>
  <si>
    <t>6.623 x 16.893 x 12.592</t>
  </si>
  <si>
    <t>Ferocene clathrathe</t>
  </si>
  <si>
    <t>QONQAM</t>
  </si>
  <si>
    <t>6.613 x 16.781 x 12.714</t>
  </si>
  <si>
    <r>
      <t>1,1’-dimetnylferrocene</t>
    </r>
    <r>
      <rPr>
        <vertAlign val="subscript"/>
        <sz val="12"/>
        <color theme="1"/>
        <rFont val="Aptos Narrow"/>
        <family val="2"/>
        <scheme val="minor"/>
      </rPr>
      <t>0.33</t>
    </r>
  </si>
  <si>
    <t>6.672 x 16.936 x 12.807</t>
  </si>
  <si>
    <t>cyclopentadienyl rings</t>
  </si>
  <si>
    <t>6.609 x 16.675 x 12.813</t>
  </si>
  <si>
    <t>6.654 x 16.448 x 13.375</t>
  </si>
  <si>
    <t>ferrocenealdehyde</t>
  </si>
  <si>
    <t>6.634 x 16.288 x 13.491</t>
  </si>
  <si>
    <t>ortho-cymene</t>
  </si>
  <si>
    <t>EGELOS</t>
  </si>
  <si>
    <t>6.560 x 15.985 x 13.444</t>
  </si>
  <si>
    <r>
      <t>1,1’-diformylferrocene</t>
    </r>
    <r>
      <rPr>
        <vertAlign val="subscript"/>
        <sz val="12"/>
        <color theme="1"/>
        <rFont val="Aptos Narrow"/>
        <family val="2"/>
        <scheme val="minor"/>
      </rPr>
      <t>0.5</t>
    </r>
  </si>
  <si>
    <t>6.622 x 16.215 x 13.589</t>
  </si>
  <si>
    <t>p-xylene</t>
  </si>
  <si>
    <t>6.635 x 13.494 x 16.243</t>
  </si>
  <si>
    <t>6.631 x 15.947 x 13.921</t>
  </si>
  <si>
    <t>o-xylene</t>
  </si>
  <si>
    <t>6.602 x 15.954 x 6.602</t>
  </si>
  <si>
    <t>BDTA</t>
  </si>
  <si>
    <r>
      <t>PLD (</t>
    </r>
    <r>
      <rPr>
        <b/>
        <sz val="12"/>
        <color theme="1"/>
        <rFont val="Calibri"/>
        <family val="2"/>
      </rPr>
      <t>Å</t>
    </r>
    <r>
      <rPr>
        <b/>
        <sz val="12"/>
        <color theme="1"/>
        <rFont val="Aptos Narrow"/>
        <family val="2"/>
        <scheme val="minor"/>
      </rPr>
      <t>)</t>
    </r>
  </si>
  <si>
    <t>Helium Void fraction</t>
  </si>
  <si>
    <r>
      <t>Methane Uptake at 65 bar (vol</t>
    </r>
    <r>
      <rPr>
        <b/>
        <vertAlign val="subscript"/>
        <sz val="12"/>
        <color theme="1"/>
        <rFont val="Aptos Narrow"/>
        <family val="2"/>
        <scheme val="minor"/>
      </rPr>
      <t>STP</t>
    </r>
    <r>
      <rPr>
        <b/>
        <sz val="12"/>
        <color theme="1"/>
        <rFont val="Aptos Narrow"/>
        <family val="2"/>
        <scheme val="minor"/>
      </rPr>
      <t xml:space="preserve"> vol</t>
    </r>
    <r>
      <rPr>
        <b/>
        <vertAlign val="superscript"/>
        <sz val="12"/>
        <color theme="1"/>
        <rFont val="Aptos Narrow"/>
        <family val="2"/>
        <scheme val="minor"/>
      </rPr>
      <t>-1</t>
    </r>
    <r>
      <rPr>
        <b/>
        <sz val="12"/>
        <color theme="1"/>
        <rFont val="Aptos Narrow"/>
        <family val="2"/>
        <scheme val="minor"/>
      </rPr>
      <t>)</t>
    </r>
  </si>
  <si>
    <r>
      <t>Unit Cell Volume (Å</t>
    </r>
    <r>
      <rPr>
        <b/>
        <vertAlign val="superscript"/>
        <sz val="12"/>
        <color theme="1"/>
        <rFont val="Aptos Narrow"/>
        <family val="2"/>
        <scheme val="minor"/>
      </rPr>
      <t>3</t>
    </r>
    <r>
      <rPr>
        <b/>
        <sz val="12"/>
        <color theme="1"/>
        <rFont val="Aptos Narrow"/>
        <family val="2"/>
        <scheme val="minor"/>
      </rPr>
      <t>)</t>
    </r>
  </si>
  <si>
    <t>Experimental lattice constants (Å) (a x b x c)</t>
  </si>
  <si>
    <r>
      <t>Calculated Pore Volume (Å</t>
    </r>
    <r>
      <rPr>
        <b/>
        <vertAlign val="superscript"/>
        <sz val="12"/>
        <color theme="1"/>
        <rFont val="Aptos Narrow"/>
        <family val="2"/>
        <scheme val="minor"/>
      </rPr>
      <t>3</t>
    </r>
    <r>
      <rPr>
        <b/>
        <sz val="12"/>
        <color theme="1"/>
        <rFont val="Aptos Narrow"/>
        <family val="2"/>
        <scheme val="minor"/>
      </rPr>
      <t>)</t>
    </r>
  </si>
  <si>
    <t>Guest Molecule</t>
  </si>
  <si>
    <t>Presence of Guest Molecule in cif file</t>
  </si>
  <si>
    <r>
      <rPr>
        <b/>
        <sz val="12"/>
        <color theme="1"/>
        <rFont val="Aptos Narrow"/>
        <family val="2"/>
        <scheme val="minor"/>
      </rPr>
      <t xml:space="preserve">Table S9. </t>
    </r>
    <r>
      <rPr>
        <sz val="12"/>
        <color theme="1"/>
        <rFont val="Aptos Narrow"/>
        <family val="2"/>
        <scheme val="minor"/>
      </rPr>
      <t>List of MIL-53(Al) structures used for GCMC simulations and their physical characteristics characteristics.</t>
    </r>
  </si>
  <si>
    <t>CSD. REF. CODE</t>
  </si>
  <si>
    <r>
      <rPr>
        <b/>
        <sz val="12"/>
        <color theme="1"/>
        <rFont val="Aptos Narrow"/>
        <family val="2"/>
        <scheme val="minor"/>
      </rPr>
      <t>Table S10.</t>
    </r>
    <r>
      <rPr>
        <sz val="12"/>
        <color theme="1"/>
        <rFont val="Aptos Narrow"/>
        <family val="2"/>
        <scheme val="minor"/>
      </rPr>
      <t xml:space="preserve"> List of un-modified structures from the CSD.</t>
    </r>
  </si>
  <si>
    <t>This work</t>
  </si>
  <si>
    <t>CCDC Space Group</t>
  </si>
  <si>
    <r>
      <rPr>
        <b/>
        <sz val="12"/>
        <color theme="1"/>
        <rFont val="Aptos Narrow"/>
        <family val="2"/>
        <scheme val="minor"/>
      </rPr>
      <t>Table S11.</t>
    </r>
    <r>
      <rPr>
        <sz val="12"/>
        <color theme="1"/>
        <rFont val="Aptos Narrow"/>
        <family val="2"/>
        <scheme val="minor"/>
      </rPr>
      <t xml:space="preserve"> List of space groups as reported by CCDC and as determined following the cleaning procedure in the manuscript.</t>
    </r>
  </si>
  <si>
    <t>MMPF-8</t>
  </si>
  <si>
    <t>CAU-8</t>
  </si>
  <si>
    <t>bio-MOF-11</t>
  </si>
  <si>
    <t>PCN-21</t>
  </si>
  <si>
    <t>MAF-X5</t>
  </si>
  <si>
    <t>MAF-X4</t>
  </si>
  <si>
    <t>UoC-1</t>
  </si>
  <si>
    <t>Ho-TCA</t>
  </si>
  <si>
    <t>PCN-58</t>
  </si>
  <si>
    <t>CALF-25</t>
  </si>
  <si>
    <t>CD-MOF-4</t>
  </si>
  <si>
    <t>STU_2</t>
  </si>
  <si>
    <t>STU-3</t>
  </si>
  <si>
    <t>STU-1</t>
  </si>
  <si>
    <t>MIL-50</t>
  </si>
  <si>
    <t>MCF-22 bis(dimethylformamide) monohydrate clathrate</t>
  </si>
  <si>
    <t>CZJ-1-a</t>
  </si>
  <si>
    <t>DUT-67(Hf)</t>
  </si>
  <si>
    <t>DUT-67(Zr)</t>
  </si>
  <si>
    <t>DUT-67</t>
  </si>
  <si>
    <t>MIL-47 styrene high loading</t>
  </si>
  <si>
    <t>DUT-12(Cu)</t>
  </si>
  <si>
    <t>DUT-10(Cu)</t>
  </si>
  <si>
    <t>DUT-10(Co)</t>
  </si>
  <si>
    <t>DUT-11</t>
  </si>
  <si>
    <t>DUT-10(Zn)</t>
  </si>
  <si>
    <t>MCF-27</t>
  </si>
  <si>
    <t>PCN-60</t>
  </si>
  <si>
    <t>CPO-27-Mg</t>
  </si>
  <si>
    <t>CPO-9</t>
  </si>
  <si>
    <t>UHM-7</t>
  </si>
  <si>
    <t>ZIF-2</t>
  </si>
  <si>
    <t>IRMOF-20</t>
  </si>
  <si>
    <t>MOF-646</t>
  </si>
  <si>
    <t>SNU-30SC</t>
  </si>
  <si>
    <t>SNU-30</t>
  </si>
  <si>
    <t>UTSA-36</t>
  </si>
  <si>
    <t>MIL-117</t>
  </si>
  <si>
    <t>MFU-4l</t>
  </si>
  <si>
    <t>JUC-103</t>
  </si>
  <si>
    <t>PCN-13</t>
  </si>
  <si>
    <t>sod-ZMOF</t>
  </si>
  <si>
    <t>rho-ZMOF</t>
  </si>
  <si>
    <t>IFMC-8</t>
  </si>
  <si>
    <t>IFMC-7</t>
  </si>
  <si>
    <t>IFMC-6</t>
  </si>
  <si>
    <t>ATF-2</t>
  </si>
  <si>
    <t>ocMOM-2-2</t>
  </si>
  <si>
    <t>NU-110E</t>
  </si>
  <si>
    <t>NU-109E</t>
  </si>
  <si>
    <t>NTHU-5</t>
  </si>
  <si>
    <t>Ga-NTHU-5</t>
  </si>
  <si>
    <t>Bio-MOF-100</t>
  </si>
  <si>
    <t>MOF-5</t>
  </si>
  <si>
    <t>IRMOF-77</t>
  </si>
  <si>
    <t>IRMOF-76</t>
  </si>
  <si>
    <t>PCN-9 (Mn)</t>
  </si>
  <si>
    <t>PCN-9 (Fe)</t>
  </si>
  <si>
    <t>NTU-27a</t>
  </si>
  <si>
    <t>NTU-Z7c</t>
  </si>
  <si>
    <t>NU-125</t>
  </si>
  <si>
    <t>IFMC-11</t>
  </si>
  <si>
    <t>IRMOF-74-XI</t>
  </si>
  <si>
    <t>IRMOF-74-IX</t>
  </si>
  <si>
    <t>IRMOF-74-VI-oeg</t>
  </si>
  <si>
    <t>IRMOF-74-VII</t>
  </si>
  <si>
    <t>IRMOF-74-VI</t>
  </si>
  <si>
    <t>IRMOF-74-V-hex</t>
  </si>
  <si>
    <t>IRMOF-74-V</t>
  </si>
  <si>
    <t>IRMOF-74-IV</t>
  </si>
  <si>
    <t>IRMOF-74-III</t>
  </si>
  <si>
    <t>IRMOF-74-II</t>
  </si>
  <si>
    <t>NOTT-114</t>
  </si>
  <si>
    <t>DUT-7(RT)</t>
  </si>
  <si>
    <t>DUT-7(LT)</t>
  </si>
  <si>
    <t>ULMOF-5</t>
  </si>
  <si>
    <t>UiO-28-175; anhydrous UiO-28</t>
  </si>
  <si>
    <t>evacuated MOF-14</t>
  </si>
  <si>
    <t>as synthesized MOF-14</t>
  </si>
  <si>
    <t>ITQMOF-2</t>
  </si>
  <si>
    <t>MesoMOF-2</t>
  </si>
  <si>
    <t>MIL-53-Fe-lt</t>
  </si>
  <si>
    <t>MIL-53-Fe-int</t>
  </si>
  <si>
    <t>BMOF-2-dioxole</t>
  </si>
  <si>
    <t>MOF-1-dioxole</t>
  </si>
  <si>
    <t>NOTT-122</t>
  </si>
  <si>
    <t>IRMOF-3-AM4XL</t>
  </si>
  <si>
    <t>IRMOF-3-AM7XL</t>
  </si>
  <si>
    <t>IRMOF-3-AM3XL</t>
  </si>
  <si>
    <t>IRMOF-3-AM5XL</t>
  </si>
  <si>
    <t>IRMOF-3-AM6XL</t>
  </si>
  <si>
    <t>MTAF-3</t>
  </si>
  <si>
    <t>MMCF-1</t>
  </si>
  <si>
    <t>MIL-69</t>
  </si>
  <si>
    <t>GWMOF-8</t>
  </si>
  <si>
    <t>GWMOF-7</t>
  </si>
  <si>
    <t>MIL-141(Li)</t>
  </si>
  <si>
    <t>Ubbp-3</t>
  </si>
  <si>
    <t>PIZOF-1</t>
  </si>
  <si>
    <t>UTSA-20</t>
  </si>
  <si>
    <t>NJU-Bai2</t>
  </si>
  <si>
    <t>UMCM-150N1</t>
  </si>
  <si>
    <t>UMCM-150N2</t>
  </si>
  <si>
    <t>JUC-64</t>
  </si>
  <si>
    <t>JUC-63</t>
  </si>
  <si>
    <t>JUC-62</t>
  </si>
  <si>
    <t>MAF-4</t>
  </si>
  <si>
    <t>ZIF8</t>
  </si>
  <si>
    <t>DUT-53(Hf)</t>
  </si>
  <si>
    <t>PCN-515</t>
  </si>
  <si>
    <t>PCN-514</t>
  </si>
  <si>
    <t>PCN-513</t>
  </si>
  <si>
    <t>PCN-511</t>
  </si>
  <si>
    <t>PCN-516</t>
  </si>
  <si>
    <t>PCN-514 (DMA)</t>
  </si>
  <si>
    <t>MIL-101</t>
  </si>
  <si>
    <t>MIL-112</t>
  </si>
  <si>
    <t>amino-MIL53(Al) close form</t>
  </si>
  <si>
    <t>amino-MIL53(Al) NP form</t>
  </si>
  <si>
    <t>Mg-MOF-1</t>
  </si>
  <si>
    <t>PMOF-2(Cu)</t>
  </si>
  <si>
    <t>PMOF-2(Zn)</t>
  </si>
  <si>
    <t>BIF-3-Li</t>
  </si>
  <si>
    <t>BIF-3-Cu</t>
  </si>
  <si>
    <t>MIL-53ht</t>
  </si>
  <si>
    <t>ZIF-22</t>
  </si>
  <si>
    <t>ZIF-21</t>
  </si>
  <si>
    <t>ZIF-20</t>
  </si>
  <si>
    <t>MIL-126</t>
  </si>
  <si>
    <t>ZJU-20</t>
  </si>
  <si>
    <t>ZJU-19</t>
  </si>
  <si>
    <t>ZJU-18</t>
  </si>
  <si>
    <t>MOF-177-OMe</t>
  </si>
  <si>
    <t>PCN-46</t>
  </si>
  <si>
    <t>TO-MOF</t>
  </si>
  <si>
    <t>MIL-68 (Ga)</t>
  </si>
  <si>
    <t>MIL-68 (In)</t>
  </si>
  <si>
    <t>64R-NTHU-13</t>
  </si>
  <si>
    <t>56R-NTHU-13</t>
  </si>
  <si>
    <t>48R-NTHU-13</t>
  </si>
  <si>
    <t>40R-NTHU-13</t>
  </si>
  <si>
    <t>28R-NTHU-13</t>
  </si>
  <si>
    <t>DUT-58</t>
  </si>
  <si>
    <t>JUC-57</t>
  </si>
  <si>
    <t>BIF-9-Cu</t>
  </si>
  <si>
    <t>MOF-602</t>
  </si>
  <si>
    <t>MOF-601</t>
  </si>
  <si>
    <t>MOF-119</t>
  </si>
  <si>
    <t>MOF-115</t>
  </si>
  <si>
    <t>ZJU-30</t>
  </si>
  <si>
    <t>MIL-74</t>
  </si>
  <si>
    <t>MCF-19-Vb</t>
  </si>
  <si>
    <t>MCF-19-IIb</t>
  </si>
  <si>
    <t>MCF-19-Ia</t>
  </si>
  <si>
    <t>ZIF-8 dinitrogen</t>
  </si>
  <si>
    <t>FMOF-2</t>
  </si>
  <si>
    <t>SIZ-3</t>
  </si>
  <si>
    <t>CPM-13</t>
  </si>
  <si>
    <t>CPM-11</t>
  </si>
  <si>
    <t>CPM-5'</t>
  </si>
  <si>
    <t>SALEM-2</t>
  </si>
  <si>
    <t>MFU-4</t>
  </si>
  <si>
    <t>NJU-Bai8</t>
  </si>
  <si>
    <t>NJU-Bai7</t>
  </si>
  <si>
    <t>JUC-70</t>
  </si>
  <si>
    <t>JUC-68</t>
  </si>
  <si>
    <t>JUC-67</t>
  </si>
  <si>
    <t>JUC-66</t>
  </si>
  <si>
    <t>JUC-65</t>
  </si>
  <si>
    <t>PCN-12'</t>
  </si>
  <si>
    <t>MAPO-18</t>
  </si>
  <si>
    <t>MOF-COOH</t>
  </si>
  <si>
    <t>UTSA-34</t>
  </si>
  <si>
    <t>PCN-610</t>
  </si>
  <si>
    <t>MCF-26</t>
  </si>
  <si>
    <t>MIL-60</t>
  </si>
  <si>
    <t>MFU-5</t>
  </si>
  <si>
    <t>MIL-53lt</t>
  </si>
  <si>
    <t>COZ-1</t>
  </si>
  <si>
    <t>ZIF62,CAG</t>
  </si>
  <si>
    <t>RPF-4-beta</t>
  </si>
  <si>
    <t>RPF-4</t>
  </si>
  <si>
    <t>ZIF-77,FRL</t>
  </si>
  <si>
    <t>ZIF-71-RHO</t>
  </si>
  <si>
    <t>ZIF-70-GME</t>
  </si>
  <si>
    <t>ZIF-68-GME</t>
  </si>
  <si>
    <t>ZIF-67-SOD</t>
  </si>
  <si>
    <t>ZIF-65-SOD</t>
  </si>
  <si>
    <t>TUDMOF-3</t>
  </si>
  <si>
    <t>UTSA-32</t>
  </si>
  <si>
    <t>TAF-1</t>
  </si>
  <si>
    <t>PCM-16</t>
  </si>
  <si>
    <t>MMPF-1</t>
  </si>
  <si>
    <t>In-MOF 1</t>
  </si>
  <si>
    <t>GWMOF-3</t>
  </si>
  <si>
    <t>CMOF-2</t>
  </si>
  <si>
    <t>CPF-5</t>
  </si>
  <si>
    <t>MOF-01</t>
  </si>
  <si>
    <t>DMOF-13</t>
  </si>
  <si>
    <t>DMOF-11</t>
  </si>
  <si>
    <t>DMOF-9</t>
  </si>
  <si>
    <t>DMOF-8</t>
  </si>
  <si>
    <t>DMOF-6</t>
  </si>
  <si>
    <t>DMOF-5</t>
  </si>
  <si>
    <t>DMOF-4</t>
  </si>
  <si>
    <t>DMOF-3</t>
  </si>
  <si>
    <t>DMOF-2</t>
  </si>
  <si>
    <t>DMOF-1</t>
  </si>
  <si>
    <t>JUC-85b</t>
  </si>
  <si>
    <t>JUC-85a</t>
  </si>
  <si>
    <t>MFU-2</t>
  </si>
  <si>
    <t>NOTT-400</t>
  </si>
  <si>
    <t>ZIF8 n-butanol</t>
  </si>
  <si>
    <t>PCM-11</t>
  </si>
  <si>
    <t>SCIF-9</t>
  </si>
  <si>
    <t>SLUG-23</t>
  </si>
  <si>
    <t>DUT-13</t>
  </si>
  <si>
    <t>MIL-53 ortho-xylene</t>
  </si>
  <si>
    <t>MIL-53ht p-xylene</t>
  </si>
  <si>
    <t>MIL-53as p-xylene</t>
  </si>
  <si>
    <t>usf-ZMOF</t>
  </si>
  <si>
    <t>BIF-23</t>
  </si>
  <si>
    <t>BIF-22</t>
  </si>
  <si>
    <t>NU-108-Cu</t>
  </si>
  <si>
    <t>F-MOF-10</t>
  </si>
  <si>
    <t>PCM-4</t>
  </si>
  <si>
    <t>MIL-100(Fe)</t>
  </si>
  <si>
    <t>FIR-5</t>
  </si>
  <si>
    <t>DUT-42</t>
  </si>
  <si>
    <t>FIR-1</t>
  </si>
  <si>
    <t>IMP-14</t>
  </si>
  <si>
    <t>IMP-13Co</t>
  </si>
  <si>
    <t>IMP-13Mg</t>
  </si>
  <si>
    <t>UTSA-38</t>
  </si>
  <si>
    <t>MIL-120</t>
  </si>
  <si>
    <t>UTSA-62</t>
  </si>
  <si>
    <t>Zn-CFA-1</t>
  </si>
  <si>
    <t>bio-MOF-12</t>
  </si>
  <si>
    <t>UCY-4</t>
  </si>
  <si>
    <t>UCY-5</t>
  </si>
  <si>
    <t>UCY-6</t>
  </si>
  <si>
    <t>UCY-7</t>
  </si>
  <si>
    <t>UCY-8</t>
  </si>
  <si>
    <t>UCY-10</t>
  </si>
  <si>
    <t>UCY-11</t>
  </si>
  <si>
    <t>UCY-12</t>
  </si>
  <si>
    <t>DUT-28(LT)</t>
  </si>
  <si>
    <t>BioMIL-2</t>
  </si>
  <si>
    <t>CPM-3</t>
  </si>
  <si>
    <t>CPM-2-NH!2$-Cs</t>
  </si>
  <si>
    <t>CPM-2-NH!2$</t>
  </si>
  <si>
    <t>SNU-50</t>
  </si>
  <si>
    <t>MOF-1</t>
  </si>
  <si>
    <t>NJU-Bai9</t>
  </si>
  <si>
    <t>PCN-6</t>
  </si>
  <si>
    <t>MOF-CJ3</t>
  </si>
  <si>
    <t>MOF-CJ5</t>
  </si>
  <si>
    <r>
      <rPr>
        <b/>
        <sz val="12"/>
        <color theme="1"/>
        <rFont val="Aptos Narrow"/>
        <family val="2"/>
        <scheme val="minor"/>
      </rPr>
      <t>Table S12.</t>
    </r>
    <r>
      <rPr>
        <sz val="12"/>
        <color theme="1"/>
        <rFont val="Aptos Narrow"/>
        <family val="2"/>
        <scheme val="minor"/>
      </rPr>
      <t xml:space="preserve"> List of MOFs with common name as reported in CSD.</t>
    </r>
  </si>
  <si>
    <t>Z.Y. Gao, L. Liang, X. Zhang, P. Xu, J.M. Sun
Facile one-pot synthesis of zn/mg-MOF-74 with unsaturated coordination metal centers for efficient CO2 adsorption and conversion to cyclic carbonates
ACS Appl. Mater. Interfaces, 13 (2021), pp. 61334-61345, 10.1021/acsami.1c20878</t>
  </si>
  <si>
    <t>Y. Guclu, H. Erer, H. Demiral, C. Altintas, S. Keskin, N. Tumanov, B.L. Su, F. Semerci
Oxalamide-functionalized metal organic frameworks for CO2 adsorption
ACS Appl. Mater. Interfaces, 13 (2021), pp. 33188-33198</t>
  </si>
  <si>
    <t>V.N. Le, T.K. Vo, J.H. Lee, J.C. Kim, T.H. Kim, K.H. Oh, Y.S. Bae, S.K. Kwak, J. Kim
A novel approach to prepare Cu(i)Zn@MIL-100(Fe) adsorbent with high co adsorption capacity, CO/CO2 selectivity and stability via controlled host-guest redox reaction
Chem. Eng. J., 404 (2021), Article 126492</t>
  </si>
  <si>
    <t>J.M. Park, D.K. Yoo, S.H. Jhung
Selective CO2 adsorption over functionalized Zr-based metal organic framework under atmospheric or lower pressure: Contribution of functional groups to adsorption
Chem. Eng. J., 402 (2020), Article 126254</t>
  </si>
  <si>
    <t>E.J. Kim, R.L. Siegelman, H.Z.H. Jiang, A.C. Forse, J.H. Lee, J.D. Martell, P.J. Milner, J.M. Falkowski, J.B. Neaton, J.A. Reimer, S.C. Weston, J.R. Long
Cooperative carbon capture and steam regeneration with tetraamine-appended metal-organic frameworks
Science, 369 (2020), p. 392-+</t>
  </si>
  <si>
    <t>H. Lyu, O.I.F. Chen, N. Hanikel, M.I. Hossain, R.W. Flaig, X.K. Pei, A. Amin, M.D. Doherty, R.K. Impastato, T.G. Glover, D.R. Moore, O.M. Yaghi
Carbon dioxide capture chemistry of amino acid functionalized metal-organic frameworks in humid flue gas
J. Am. Chem. Soc., 144 (2022), pp. 2387-2396</t>
  </si>
  <si>
    <t>M.E. Zick, S.M. Pugh, J.-H. Lee, A.C. Forse, P.J. Milner, Carbon dioxide capture at nucleophilic hydroxide sites in oxidation-resistant cyclodextrin-based metal–organic frameworks**, Angew. Chem. Int. Ed. 61(2022) e202206718. http://dx.doi.org/https://doi.org/10.1002/anie.202206718.</t>
  </si>
  <si>
    <t>C.E. Bien, Z.Z. Cai, C.R. Wade
Using postsynthetic x-type ligand exchange to enhance CO2 adsorption in metal-organic frameworks with kuratowski-type building units
Inorg. Chem., 60 (2021), pp. 11784-11794</t>
  </si>
  <si>
    <t>Z. Cai, C.E. Bien, Q. Liu, C.R. Wade
Insights into CO2 adsorption in M-OH functionalized MOFs
Chem. Mater., 32 (2020), pp. 4257-4264</t>
  </si>
  <si>
    <t>M. Zhao, Y. Ban, Z. Chang, Y. Zhou, K. Yang, Y. Wang, N. Cao, W. Yang
Pyrazine-interior-embodied MOF-74 for selective CO2 adsorption
AIChE J, 68 (2022)</t>
  </si>
  <si>
    <t>T.M.M. Ntep, H. Breitzke, L. Schmolke, C. Schlusener, B. Moll, S. Millan, N. Tannert, I. El Aita, G. Buntkowsky, C. Janiak
Facile in situ halogen functionalization via triple-bond hydrohalogenation: Enhancing sorption capacities through halogenation to halofumarate-based zr(iv)-metal-organic frameworks
Chem. Mater., 31 (2019), pp. 8629-8638</t>
  </si>
  <si>
    <t>L. Xu, C.-Y. Xing, D. Ke, L. Chen, Z.-J. Qiu, S.-L. Zeng, B.-J. Li, S. Zhang
Amino-functionalized β-cyclodextrin to construct green metal–organic framework materials for CO2 capture
ACS Appl. Mater. Interfaces, 12 (2020), pp. 3032-3041</t>
  </si>
  <si>
    <t>J.M. Park, G.-Y. Cha, D. Jo, K.H. Cho, J.W. Yoon, Y.K. Hwang, S.-K. Lee, U.H. Lee
Amine and fluorine co-functionalized MIL-101(Cr) synthesized via a mixed-ligand strategy for CO2 capture under humid conditions
Chem. Eng. J., 444 (2022), Article 136476</t>
  </si>
  <si>
    <t>R. Pan, Y.N. Guo, Y.N. Tang, D. Wei, L. Mengli, D.L. He
Dicationic liquid containing alkenyl modified cubtc improves the performance of the composites: Increasing the CO2 adsorption effect
Chem. Eng. J., 430 (2022), Article 132127</t>
  </si>
  <si>
    <t>W.L. Xue, L. Wang, Y.K. Li, H. Chen, K.X. Fu, F. Zhang, T. He, Y.H. Deng, J.R. Li, C.Q. Wan
Reticular chemistry for ionic liquid-functionalized metal-organic frameworks with high selectivity for CO2
ACS Sustain. Chem. Eng., 8 (2020), pp. 18558-18567</t>
  </si>
  <si>
    <t>T.D. Duong, S.A. Sapchenko, I. da Silva, H.G.W. Godfrey, Y. Cheng, L.L. Daemen, P. Manuel, M.D. Frogley, G. Cinque, A.J. Ramirez-Cuesta, S. Yang, M. Schröder
Observation of binding of carbon dioxide to nitro-decorated metal–organic frameworks
Chem. Sci., 11 (2020), pp. 5339-5346</t>
  </si>
  <si>
    <t>H. Ning, Z. Yang, Z. Yin, D. Wang, Z. Meng, C. Wang, Y. Zhang, Z. Chen
A novel strategy to enhance the performance of co2 adsorption separation: Grafting hyper-cross-linked polyimide onto composites of UiO-66-NH2 and GO
ACS Appl. Mater. Interfaces, 13 (2021), pp. 17781-17790</t>
  </si>
  <si>
    <t>Y.J. Chang, H.L. Huang, L. Wang, Y. Li, C.L. Zhong
Synergistic dual-Li+ sites for CO2 separation in metal-organic framework composites
Chem. Eng. J., 402 (2020), Article 126201</t>
  </si>
  <si>
    <t>Z. Li, H.F. Chen, C. Chen, Q.R. Guo, X. Li, Y.T. He, H.J. Wang, N.J. Feng, H. Wan, G.F. Guan
High dispersion of polyethyleneimine within mesoporous uio-66s through pore size engineering for selective CO2 capture
Chem. Eng. J., 375 (2019), Article 121962</t>
  </si>
  <si>
    <t>X. Zhou, L. Liu, H. Kou, S. Zheng, M. Song, J. Lu, X. Tai
A multifunctional 3D supermolecular co coordination polymer with potential for CO2 adsorption, antibacterial activity, and selective sensing of Fe3+/Cr3+ ions and tnp
Front. Chem., 9 (2021), Article 678993</t>
  </si>
  <si>
    <t>J. Peng, Z. Liu, Y. Wu, S. Xian, Z. Li
High-performance selective CO2 capture on a stable and flexible metal–organic framework via discriminatory gate-opening effect
ACS Appl. Mater. Interfaces, 14 (2022), pp. 21089-21097,</t>
  </si>
  <si>
    <t>T. Xu, M. Jia, X. Liu, J. Li, Y. Liu
Designing multicomponent metal–organic frameworks with hierarchical structure-mimicking distribution for high CO2 capture performance
Inorg. Chem., 61 (2022), pp. 7663-7670</t>
  </si>
  <si>
    <t>Z. Li, Y. Ye, C. Shi, Z. Yao, Z. Zhang, S. Xiang
Isoreticular double interpenetrating copper–pyrazolate–carboxylate frameworks for efficient CO2 capture
Cryst. Growth Des., 22 (2022), pp. 3853-3861</t>
  </si>
  <si>
    <t>A.R. Millward, O.M. Yaghi
Metal-organic frameworks with exceptionally high capacity for storage of carbon dioxide at room temperature
J Am Chem Soc, 127 (51) (2005), pp. 17998-17999</t>
  </si>
  <si>
    <t>P.L. Llewellyn, S. Bourrelly, C. Serre, A. Vimont, M. Daturi, I. Hamon, L.S. Hwa Jhung
High uptakes of CO2 and CH4 in mesoporous metal-organic frameworks MIL-100 and MIL-101
Langmuir, 24 (14) (2008), pp. 7245-7250</t>
  </si>
  <si>
    <t>H. Furukawa, N. Ko, Y.B. Go, N. Aratani, S.B. Choi, E. Choi, O.M. Yaghi
Ultrahigh porosity in metal-organic frameworks
Science, 329 (5990) (2010), pp. 424-428</t>
  </si>
  <si>
    <t>D. Yuan, D. Zhao, D. Sun, H.C. Zhou
An isoreticular series of metal–organic frameworks with dendritic hexacarboxylate ligands and exceptionally high gas-uptake capacity
Angew Chem, 122 (31) (2010), pp. 5485-548</t>
  </si>
  <si>
    <t>A.O. Yazaydin, R.Q. Snurr, T.H. Park, K. Koh, J. Liu, M.D. LeVan, A.I. Benin, P. Jakubczak, M. Lanuza, D.B. Galloway, J.J. Low
Screening of metal-organic frameworks for carbon dioxide capture from flue gas using a combined experimental and modeling approach
J Am Chem Soc, 131 (51) (2009), pp. 18198-18199</t>
  </si>
  <si>
    <t>D. Britt, H. Furukawa, B. Wang, T.G. Glover, O.M. Yaghi
Highly efficient separation of carbon dioxide by a metal-organic framework replete with open metal sites
P Natl A Sci, 106 (49) (2009), pp. 20637-20640</t>
  </si>
  <si>
    <t>W. Meng, Y. Zeng, Z. Liang, W. Guo, C. Zhi, Y. Wu, R. Zhong, C. Qu, R. Zou
Tuning expanded pores in metal–organic frameworks for selective capture and catalytic conversion of carbon dioxide
ChemSusChem, 11 (21) (2018), pp. 3751-3757</t>
  </si>
  <si>
    <t>J. Gascon, U. Aktay, M.D. Hernandez-Alonso, G.P. van Klink, F. Kapteijn
Amino-based metal-organic frameworks as stable, highly active basic catalysts
J Catal, 261 (1) (2009), pp. 75-87</t>
  </si>
  <si>
    <t>R. Banerjee, A. Phan, B. Wang, C. Knobler, H. Furukawa, M. O'Keeffe, O.M. Yaghi
High-throughput synthesis of zeolitic imidazolate frameworks and application to CO2 capture
Science, 319 (5865) (2008), pp. 939-943</t>
  </si>
  <si>
    <t>A. Noguera‐Díaz, J. Villarroel‐Rocha, V.P. Ting, N. Bimbo, K. Sapag, T.J. Mays
Flexible ZIFs: probing guest‐induced flexibility with CO2, N2 and Ar adsorption
J Chem Technol Biotechnol, 94 (12) (2019), pp. 3787-3792</t>
  </si>
  <si>
    <t>R. Banerjee, H. Furukawa, D. Britt, C. Knobler, M. O'Keeffe, O.M. Yaghi
Control of pore size and functionality in isoreticular zeolitic imidazolate frameworks and their carbon dioxide selective capture properties
J Am Chem Soc, 131 (11) (2009), pp. 3875-3877</t>
  </si>
  <si>
    <t>CSD Code from Excel</t>
  </si>
  <si>
    <t>CSD Code from Lit.</t>
  </si>
  <si>
    <t>Trace Reference?</t>
  </si>
  <si>
    <t>EDUSUR</t>
  </si>
  <si>
    <t>CUSXOE</t>
  </si>
  <si>
    <t>CUSYAR</t>
  </si>
  <si>
    <t>BOHWUS</t>
  </si>
  <si>
    <t>^^^</t>
  </si>
  <si>
    <t>CO2 Uptake, mmol/g</t>
  </si>
  <si>
    <t>Look at the relevant table for these</t>
  </si>
  <si>
    <t>P.D. Dietzel, V. Besikiotis, R. Blom
Application of metal–organic frameworks with coordinatively unsaturated metal sites in storage and separation of methane and carbon dioxide
J. Mater. Chem., 19 (39) (2009), pp. 7362-7370</t>
  </si>
  <si>
    <t>References</t>
  </si>
  <si>
    <t>look</t>
  </si>
  <si>
    <t>pyMOF-74a (MOF-74 derivatives)</t>
  </si>
  <si>
    <r>
      <t>[Zn</t>
    </r>
    <r>
      <rPr>
        <sz val="11"/>
        <color theme="1"/>
        <rFont val="Georgia"/>
        <family val="1"/>
      </rPr>
      <t>5</t>
    </r>
    <r>
      <rPr>
        <sz val="14"/>
        <color theme="1"/>
        <rFont val="Georgia"/>
        <family val="1"/>
      </rPr>
      <t>(OH)</t>
    </r>
    <r>
      <rPr>
        <sz val="11"/>
        <color theme="1"/>
        <rFont val="Georgia"/>
        <family val="1"/>
      </rPr>
      <t>2.1</t>
    </r>
    <r>
      <rPr>
        <sz val="14"/>
        <color theme="1"/>
        <rFont val="Georgia"/>
        <family val="1"/>
      </rPr>
      <t>(NHPh)</t>
    </r>
    <r>
      <rPr>
        <sz val="11"/>
        <color theme="1"/>
        <rFont val="Georgia"/>
        <family val="1"/>
      </rPr>
      <t>1.9</t>
    </r>
    <r>
      <rPr>
        <sz val="14"/>
        <color theme="1"/>
        <rFont val="Georgia"/>
        <family val="1"/>
      </rPr>
      <t>(btdd)</t>
    </r>
    <r>
      <rPr>
        <sz val="11"/>
        <color theme="1"/>
        <rFont val="Georgia"/>
        <family val="1"/>
      </rPr>
      <t>3</t>
    </r>
    <r>
      <rPr>
        <sz val="14"/>
        <color theme="1"/>
        <rFont val="Georgia"/>
        <family val="1"/>
      </rPr>
      <t xml:space="preserve"> (MFU-4I framework)</t>
    </r>
  </si>
  <si>
    <t>MFU-4l (2a-NiOH)  (MFU-4I framework)</t>
  </si>
  <si>
    <t>Li+@PAA@UiO-66</t>
  </si>
  <si>
    <t>Cu BTC (HKUST-1)</t>
  </si>
  <si>
    <t>50PEI@meso-UiO-66–0.2Cu</t>
  </si>
  <si>
    <t>CSD Code from Lit. OR CCDC</t>
  </si>
  <si>
    <t>ADUWON</t>
  </si>
  <si>
    <t>MOF-74 (Zn)</t>
  </si>
  <si>
    <t>ORIVOC</t>
  </si>
  <si>
    <t>LASYOU/RUVKAV</t>
  </si>
  <si>
    <t>Cu3(BTC)2 (HKUST-1)</t>
  </si>
  <si>
    <t xml:space="preserve">DOTSOV 42 </t>
  </si>
  <si>
    <t>BABRII</t>
  </si>
  <si>
    <t>SUKXUS01</t>
  </si>
  <si>
    <t>EDUVEE</t>
  </si>
  <si>
    <t>EDUTIG</t>
  </si>
  <si>
    <t>VUJBOS</t>
  </si>
  <si>
    <t>HEJPIZ</t>
  </si>
  <si>
    <t>KISXIU</t>
  </si>
  <si>
    <t>ORIVUI</t>
  </si>
  <si>
    <t>ORIWAP</t>
  </si>
  <si>
    <t>HEJPAR</t>
  </si>
  <si>
    <t>CUBYAD</t>
  </si>
  <si>
    <t>QOVXAC</t>
  </si>
  <si>
    <t>QOVXEG</t>
  </si>
  <si>
    <t>VEJZUG</t>
  </si>
  <si>
    <t>GITVAH</t>
  </si>
  <si>
    <t>RIRDIH</t>
  </si>
  <si>
    <t>CAN ONLY FIND ZIF-79-Co</t>
  </si>
  <si>
    <t>CAN ONLY FIND ZIF-78-Co</t>
  </si>
  <si>
    <t>CAN ONLY FIND ZIF-68-Co</t>
  </si>
  <si>
    <t>CIZSUD</t>
  </si>
  <si>
    <t>CIZTEO</t>
  </si>
  <si>
    <t>CIZTOY</t>
  </si>
  <si>
    <t>MAYBE YAGCAL??</t>
  </si>
  <si>
    <t>QAYBOL</t>
  </si>
  <si>
    <t>WEJBAS</t>
  </si>
  <si>
    <t xml:space="preserve"> </t>
  </si>
  <si>
    <t>AJECIE</t>
  </si>
  <si>
    <t>FEDFOM</t>
  </si>
  <si>
    <t>BOHKAM</t>
  </si>
  <si>
    <t>ZUTNOU</t>
  </si>
  <si>
    <t>SEFWIN</t>
  </si>
  <si>
    <t>HEKFOW</t>
  </si>
  <si>
    <t>RUBTAK</t>
  </si>
  <si>
    <t>SURKAT</t>
  </si>
  <si>
    <t>FAZPEF</t>
  </si>
  <si>
    <t>FEGDEE</t>
  </si>
  <si>
    <t>GOTTEN TO HERE WITH CSD CODE RETRIEVAL AND CLEAN TABLE</t>
  </si>
  <si>
    <t>PARENT</t>
  </si>
  <si>
    <t>NOTES</t>
  </si>
  <si>
    <t>BOWHUS</t>
  </si>
  <si>
    <t>From Table_S1</t>
  </si>
  <si>
    <t xml:space="preserve">From Articles </t>
  </si>
  <si>
    <t>Void Fraction</t>
  </si>
  <si>
    <t xml:space="preserve">Pore Limiting Diameter, </t>
  </si>
  <si>
    <t>Volumetric Surface Area  (m2/cm3)</t>
  </si>
  <si>
    <t>Geometric Surface Area (m2/g)</t>
  </si>
  <si>
    <t>Largest Cavity Diameter</t>
  </si>
  <si>
    <r>
      <t>Density (g/cm</t>
    </r>
    <r>
      <rPr>
        <b/>
        <vertAlign val="superscript"/>
        <sz val="22"/>
        <color theme="1"/>
        <rFont val="Aptos Narrow"/>
        <scheme val="minor"/>
      </rPr>
      <t>3</t>
    </r>
    <r>
      <rPr>
        <b/>
        <sz val="22"/>
        <color theme="1"/>
        <rFont val="Aptos Narrow"/>
        <scheme val="minor"/>
      </rPr>
      <t>)</t>
    </r>
  </si>
  <si>
    <r>
      <t>Pore volume (cm</t>
    </r>
    <r>
      <rPr>
        <b/>
        <vertAlign val="superscript"/>
        <sz val="22"/>
        <color theme="1"/>
        <rFont val="Aptos Narrow"/>
        <scheme val="minor"/>
      </rPr>
      <t>3</t>
    </r>
    <r>
      <rPr>
        <b/>
        <sz val="22"/>
        <color theme="1"/>
        <rFont val="Aptos Narrow"/>
        <scheme val="minor"/>
      </rPr>
      <t>/g)</t>
    </r>
  </si>
  <si>
    <t>1.92nm = 19.2A</t>
  </si>
  <si>
    <t>5A</t>
  </si>
  <si>
    <t>8, 10A</t>
  </si>
  <si>
    <t>PD: A.R. Millward, O.M. Yaghi
Metal-organic frameworks with exceptionally high capacity for storage of carbon dioxide at room temperature
J Am Chem Soc, 127 (51) (2005), pp. 17998-17999</t>
  </si>
  <si>
    <t>5, 15A</t>
  </si>
  <si>
    <t>11, 17A</t>
  </si>
  <si>
    <t>10, 15A</t>
  </si>
  <si>
    <t>12, 15A</t>
  </si>
  <si>
    <t>11A</t>
  </si>
  <si>
    <t>Furukawa H., Miller M. A., Yaghi O. M., Independent verification of the saturation hydrogen uptake in MOF-177 and establishment of a benchmark for hydrogen adsorption in metal–organic frameworks. J. Mater. Chem. 17, 3197 (2007).</t>
  </si>
  <si>
    <t>D:   H. Furukawa, N. Ko, Y.B. Go, N. Aratani, S.B. Choi, E. Choi, O.M. Yaghi
Ultrahigh porosity in metal-organic frameworks
Science, 329 (5990) (2010), pp. 424-428</t>
  </si>
  <si>
    <t>11, 17 A</t>
  </si>
  <si>
    <t>Pore Diameter, A</t>
  </si>
  <si>
    <t>Amir Mohammad Najafi, Saeed Soltanali, Farhad Khorashe, Hamid Ghassabzadeh,
Effect of binder on CO2, CH4, and N2 adsorption behavior, structural properties, and diffusion coefficients on extruded zeolite 13X,
Chemosphere, Volume 324, 2023, 138275, SSN 0045-6535,</t>
  </si>
  <si>
    <t>H. Li, M. Eddaoudi, T.L. Groy, O.M. Yaghi, J. Am. Chem. Soc. 120, 8571 (1998) | PD: A.R. Millward, O.M. Yaghi
Metal-organic frameworks with exceptionally high capacity for storage of carbon dioxide at room temperature
J Am Chem Soc, 127 (51) (2005), pp. 17998-17999</t>
  </si>
  <si>
    <t>P.L. Llewellyn, S. Bourrelly, C. Serre, A. Vimont, M. Daturi, I. Hamon, L.S. Hwa Jhung
High uptakes of CO2 and CH4 in mesoporous metal-organic frameworks MIL-100 and MIL-101
Langmuir, 24 (14) (2008), pp. 7245-7251</t>
  </si>
  <si>
    <t>P.L. Llewellyn, S. Bourrelly, C. Serre, A. Vimont, M. Daturi, I. Hamon, L.S. Hwa Jhung
High uptakes of CO2 and CH4 in mesoporous metal-organic frameworks MIL-100 and MIL-101
Langmuir, 24 (14) (2008), pp. 7245-7252</t>
  </si>
  <si>
    <t>Missing Properties References</t>
  </si>
  <si>
    <t xml:space="preserve"> A.R. Millward, O.M. Yaghi
Metal-organic frameworks with exceptionally high capacity for storage of carbon dioxide at room temperature
J Am Chem Soc, 127 (51) (2005), pp. 17998-17999 PV: A.O. Yazaydin, R.Q. Snurr, T.H. Park, K. Koh, J. Liu, M.D. LeVan, A.I. Benin, P. Jakubczak, M. Lanuza, D.B. Galloway, J.J. Low
Screening of metal-organic frameworks for carbon dioxide capture from flue gas using a combined experimental and modeling approach
J Am Chem Soc, 131 (51) (2009), pp. 18198-18199</t>
  </si>
  <si>
    <t>1atm</t>
  </si>
  <si>
    <t>1bar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</si>
</sst>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44" x14ac:knownFonts="1">
    <font>
      <sz val="12"/>
      <color theme="1"/>
      <name val="Aptos Narrow"/>
      <family val="2"/>
      <scheme val="minor"/>
    </font>
    <font>
      <b/>
      <sz val="18"/>
      <color theme="1"/>
      <name val="Aptos Narrow"/>
      <scheme val="minor"/>
    </font>
    <font>
      <sz val="14"/>
      <color rgb="FF1F1F1F"/>
      <name val="Georgia"/>
      <family val="1"/>
    </font>
    <font>
      <sz val="11"/>
      <color rgb="FF1F1F1F"/>
      <name val="Georgia"/>
      <family val="1"/>
    </font>
    <font>
      <u/>
      <sz val="12"/>
      <color theme="10"/>
      <name val="Aptos Narrow"/>
      <family val="2"/>
      <scheme val="minor"/>
    </font>
    <font>
      <sz val="14"/>
      <color rgb="FF1F1F1F"/>
      <name val="Aptos Narrow"/>
      <scheme val="minor"/>
    </font>
    <font>
      <sz val="12"/>
      <color theme="1"/>
      <name val="Aptos Narrow"/>
      <scheme val="minor"/>
    </font>
    <font>
      <sz val="16"/>
      <color rgb="FF1F1F1F"/>
      <name val="Aptos Narrow"/>
      <scheme val="minor"/>
    </font>
    <font>
      <sz val="18"/>
      <color rgb="FF1F1F1F"/>
      <name val="Aptos Narrow"/>
      <scheme val="minor"/>
    </font>
    <font>
      <sz val="16"/>
      <color rgb="FF707070"/>
      <name val="Aptos Narrow"/>
      <scheme val="minor"/>
    </font>
    <font>
      <sz val="11"/>
      <color rgb="FF1F1F1F"/>
      <name val="Aptos Narrow"/>
      <scheme val="minor"/>
    </font>
    <font>
      <b/>
      <i/>
      <sz val="14"/>
      <color rgb="FF1F1F1F"/>
      <name val="Aptos Narrow"/>
      <scheme val="minor"/>
    </font>
    <font>
      <u/>
      <sz val="12"/>
      <color theme="10"/>
      <name val="Aptos Narrow"/>
      <scheme val="minor"/>
    </font>
    <font>
      <sz val="14"/>
      <color theme="1"/>
      <name val="Aptos Narrow"/>
      <scheme val="minor"/>
    </font>
    <font>
      <u/>
      <sz val="14"/>
      <color theme="10"/>
      <name val="Aptos Narrow"/>
      <scheme val="minor"/>
    </font>
    <font>
      <sz val="11"/>
      <color theme="1"/>
      <name val="Aptos Narrow"/>
      <scheme val="minor"/>
    </font>
    <font>
      <sz val="11"/>
      <color rgb="FF707070"/>
      <name val="Aptos Narrow"/>
      <scheme val="minor"/>
    </font>
    <font>
      <sz val="14"/>
      <color theme="1"/>
      <name val="Georgia"/>
      <family val="1"/>
    </font>
    <font>
      <sz val="11"/>
      <color theme="1"/>
      <name val="Georgia"/>
      <family val="1"/>
    </font>
    <font>
      <b/>
      <sz val="14"/>
      <color theme="1"/>
      <name val="Georgia"/>
      <family val="1"/>
    </font>
    <font>
      <i/>
      <sz val="14"/>
      <color rgb="FF1F1F1F"/>
      <name val="Georgia"/>
      <family val="1"/>
    </font>
    <font>
      <b/>
      <sz val="12"/>
      <color theme="1"/>
      <name val="Aptos Narrow"/>
      <family val="2"/>
      <scheme val="minor"/>
    </font>
    <font>
      <sz val="12"/>
      <color theme="1"/>
      <name val="Aptos Narrow"/>
      <family val="2"/>
      <charset val="129"/>
      <scheme val="minor"/>
    </font>
    <font>
      <b/>
      <vertAlign val="superscript"/>
      <sz val="12"/>
      <color theme="1"/>
      <name val="Aptos Narrow"/>
      <family val="2"/>
      <scheme val="minor"/>
    </font>
    <font>
      <vertAlign val="superscript"/>
      <sz val="12"/>
      <color theme="1"/>
      <name val="Aptos Narrow"/>
      <family val="2"/>
      <scheme val="minor"/>
    </font>
    <font>
      <sz val="12"/>
      <color rgb="FF000000"/>
      <name val="Aptos Narrow"/>
      <family val="2"/>
      <scheme val="minor"/>
    </font>
    <font>
      <sz val="12"/>
      <color rgb="FF222222"/>
      <name val="Aptos Narrow"/>
      <family val="2"/>
      <scheme val="minor"/>
    </font>
    <font>
      <vertAlign val="subscript"/>
      <sz val="12"/>
      <color theme="1"/>
      <name val="Aptos Narrow"/>
      <family val="2"/>
      <scheme val="minor"/>
    </font>
    <font>
      <b/>
      <sz val="12"/>
      <name val="Aptos Narrow"/>
      <family val="2"/>
      <scheme val="minor"/>
    </font>
    <font>
      <sz val="12"/>
      <name val="Aptos Narrow"/>
      <family val="2"/>
      <scheme val="minor"/>
    </font>
    <font>
      <vertAlign val="superscript"/>
      <sz val="12"/>
      <color rgb="FF000000"/>
      <name val="Aptos Narrow"/>
      <family val="2"/>
      <scheme val="minor"/>
    </font>
    <font>
      <vertAlign val="subscript"/>
      <sz val="12"/>
      <color rgb="FF000000"/>
      <name val="Aptos Narrow"/>
      <family val="2"/>
      <scheme val="minor"/>
    </font>
    <font>
      <sz val="12"/>
      <color rgb="FF0000FF"/>
      <name val="Aptos Narrow"/>
      <family val="2"/>
      <scheme val="minor"/>
    </font>
    <font>
      <b/>
      <vertAlign val="subscript"/>
      <sz val="12"/>
      <color theme="1"/>
      <name val="Aptos Narrow"/>
      <family val="2"/>
      <scheme val="minor"/>
    </font>
    <font>
      <b/>
      <sz val="12"/>
      <color theme="1"/>
      <name val="Calibri"/>
      <family val="2"/>
    </font>
    <font>
      <sz val="11"/>
      <color rgb="FF000000"/>
      <name val="Aptos Narrow"/>
      <family val="2"/>
      <scheme val="minor"/>
    </font>
    <font>
      <sz val="14"/>
      <color rgb="FF000000"/>
      <name val="Aptos Narrow"/>
      <scheme val="minor"/>
    </font>
    <font>
      <b/>
      <sz val="36"/>
      <color theme="1"/>
      <name val="Aptos Narrow (Body)"/>
    </font>
    <font>
      <b/>
      <sz val="20"/>
      <color theme="1"/>
      <name val="Aptos Narrow"/>
      <scheme val="minor"/>
    </font>
    <font>
      <b/>
      <sz val="22"/>
      <color theme="1"/>
      <name val="Aptos Narrow"/>
      <scheme val="minor"/>
    </font>
    <font>
      <b/>
      <sz val="36"/>
      <color theme="1"/>
      <name val="Aptos Narrow"/>
      <scheme val="minor"/>
    </font>
    <font>
      <b/>
      <vertAlign val="superscript"/>
      <sz val="22"/>
      <color theme="1"/>
      <name val="Aptos Narrow"/>
      <scheme val="minor"/>
    </font>
    <font>
      <sz val="22"/>
      <color theme="1"/>
      <name val="Aptos Narrow"/>
      <scheme val="minor"/>
    </font>
    <font>
      <sz val="8"/>
      <name val="Aptos Narrow"/>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6" tint="0.79998168889431442"/>
        <bgColor indexed="64"/>
      </patternFill>
    </fill>
  </fills>
  <borders count="3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ck">
        <color auto="1"/>
      </left>
      <right style="thick">
        <color auto="1"/>
      </right>
      <top/>
      <bottom/>
      <diagonal/>
    </border>
    <border>
      <left/>
      <right style="thick">
        <color auto="1"/>
      </right>
      <top/>
      <bottom/>
      <diagonal/>
    </border>
    <border>
      <left style="medium">
        <color indexed="64"/>
      </left>
      <right style="medium">
        <color indexed="64"/>
      </right>
      <top/>
      <bottom style="medium">
        <color indexed="64"/>
      </bottom>
      <diagonal/>
    </border>
    <border>
      <left/>
      <right style="thick">
        <color auto="1"/>
      </right>
      <top style="medium">
        <color indexed="64"/>
      </top>
      <bottom/>
      <diagonal/>
    </border>
    <border>
      <left style="thick">
        <color auto="1"/>
      </left>
      <right style="thick">
        <color auto="1"/>
      </right>
      <top style="medium">
        <color indexed="64"/>
      </top>
      <bottom/>
      <diagonal/>
    </border>
    <border>
      <left/>
      <right/>
      <top style="medium">
        <color indexed="64"/>
      </top>
      <bottom style="medium">
        <color indexed="64"/>
      </bottom>
      <diagonal/>
    </border>
  </borders>
  <cellStyleXfs count="3">
    <xf numFmtId="0" fontId="0" fillId="0" borderId="0"/>
    <xf numFmtId="0" fontId="4" fillId="0" borderId="0" applyNumberFormat="0" applyFill="0" applyBorder="0" applyAlignment="0" applyProtection="0"/>
    <xf numFmtId="0" fontId="22" fillId="0" borderId="0"/>
  </cellStyleXfs>
  <cellXfs count="201">
    <xf numFmtId="0" fontId="0" fillId="0" borderId="0" xfId="0"/>
    <xf numFmtId="0" fontId="1" fillId="2" borderId="0" xfId="0" applyFont="1" applyFill="1" applyAlignment="1">
      <alignment horizontal="center"/>
    </xf>
    <xf numFmtId="0" fontId="6" fillId="2" borderId="0" xfId="0" applyFont="1" applyFill="1" applyAlignment="1">
      <alignment horizontal="center"/>
    </xf>
    <xf numFmtId="0" fontId="5" fillId="0" borderId="0" xfId="0" applyFont="1" applyAlignment="1">
      <alignment horizontal="center"/>
    </xf>
    <xf numFmtId="0" fontId="13" fillId="0" borderId="0" xfId="0" applyFont="1" applyAlignment="1">
      <alignment horizontal="center"/>
    </xf>
    <xf numFmtId="0" fontId="14" fillId="0" borderId="0" xfId="1" applyFont="1" applyAlignment="1">
      <alignment horizontal="center"/>
    </xf>
    <xf numFmtId="0" fontId="11" fillId="0" borderId="0" xfId="0" applyFont="1" applyAlignment="1">
      <alignment horizontal="center"/>
    </xf>
    <xf numFmtId="0" fontId="6" fillId="0" borderId="0" xfId="0" applyFont="1" applyAlignment="1">
      <alignment horizontal="left"/>
    </xf>
    <xf numFmtId="0" fontId="1" fillId="0" borderId="0" xfId="0" applyFont="1" applyAlignment="1">
      <alignment horizontal="left"/>
    </xf>
    <xf numFmtId="0" fontId="6"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8" fillId="0" borderId="0" xfId="0" applyFont="1" applyAlignment="1">
      <alignment horizontal="left"/>
    </xf>
    <xf numFmtId="0" fontId="9" fillId="0" borderId="0" xfId="0" applyFont="1" applyAlignment="1">
      <alignment horizontal="left"/>
    </xf>
    <xf numFmtId="0" fontId="15" fillId="0" borderId="0" xfId="0" applyFont="1" applyAlignment="1">
      <alignment horizontal="left"/>
    </xf>
    <xf numFmtId="0" fontId="10" fillId="0" borderId="0" xfId="0" applyFont="1" applyAlignment="1">
      <alignment horizontal="left"/>
    </xf>
    <xf numFmtId="0" fontId="16" fillId="0" borderId="0" xfId="0" applyFont="1" applyAlignment="1">
      <alignment horizontal="left"/>
    </xf>
    <xf numFmtId="0" fontId="13" fillId="3" borderId="0" xfId="0" applyFont="1" applyFill="1" applyAlignment="1">
      <alignment horizontal="center"/>
    </xf>
    <xf numFmtId="0" fontId="6" fillId="3" borderId="0" xfId="0" applyFont="1" applyFill="1" applyAlignment="1">
      <alignment horizontal="center"/>
    </xf>
    <xf numFmtId="0" fontId="6" fillId="5" borderId="0" xfId="0" applyFont="1" applyFill="1" applyAlignment="1">
      <alignment horizontal="center"/>
    </xf>
    <xf numFmtId="0" fontId="1" fillId="5" borderId="0" xfId="0" applyFont="1" applyFill="1" applyAlignment="1">
      <alignment horizontal="center"/>
    </xf>
    <xf numFmtId="0" fontId="17" fillId="0" borderId="0" xfId="0" applyFont="1" applyAlignment="1">
      <alignment horizontal="center"/>
    </xf>
    <xf numFmtId="0" fontId="15" fillId="0" borderId="0" xfId="0" applyFont="1" applyAlignment="1">
      <alignment horizontal="center"/>
    </xf>
    <xf numFmtId="0" fontId="19" fillId="0" borderId="0" xfId="0" applyFont="1" applyAlignment="1">
      <alignment horizontal="center"/>
    </xf>
    <xf numFmtId="0" fontId="13" fillId="6" borderId="0" xfId="0" applyFont="1" applyFill="1" applyAlignment="1">
      <alignment horizontal="center"/>
    </xf>
    <xf numFmtId="0" fontId="6" fillId="6" borderId="0" xfId="0" applyFont="1" applyFill="1" applyAlignment="1">
      <alignment horizontal="center"/>
    </xf>
    <xf numFmtId="0" fontId="15" fillId="6" borderId="0" xfId="0" applyFont="1" applyFill="1" applyAlignment="1">
      <alignment horizontal="left"/>
    </xf>
    <xf numFmtId="0" fontId="13" fillId="6" borderId="0" xfId="0" quotePrefix="1" applyFont="1" applyFill="1" applyAlignment="1">
      <alignment horizontal="center"/>
    </xf>
    <xf numFmtId="0" fontId="5" fillId="6" borderId="0" xfId="0" applyFont="1" applyFill="1" applyAlignment="1">
      <alignment horizontal="center"/>
    </xf>
    <xf numFmtId="0" fontId="19" fillId="6" borderId="0" xfId="0" applyFont="1" applyFill="1" applyAlignment="1">
      <alignment horizontal="center"/>
    </xf>
    <xf numFmtId="0" fontId="15" fillId="3" borderId="0" xfId="0" applyFont="1" applyFill="1" applyAlignment="1">
      <alignment horizontal="center"/>
    </xf>
    <xf numFmtId="0" fontId="15" fillId="6" borderId="0" xfId="0" applyFont="1" applyFill="1" applyAlignment="1">
      <alignment horizontal="center"/>
    </xf>
    <xf numFmtId="0" fontId="12" fillId="0" borderId="0" xfId="1"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4" fillId="0" borderId="0" xfId="1" applyAlignment="1">
      <alignment horizontal="center"/>
    </xf>
    <xf numFmtId="0" fontId="0" fillId="6" borderId="0" xfId="0" applyFill="1" applyAlignment="1">
      <alignment horizontal="center"/>
    </xf>
    <xf numFmtId="3" fontId="17" fillId="0" borderId="0" xfId="0" applyNumberFormat="1" applyFont="1" applyAlignment="1">
      <alignment horizontal="center"/>
    </xf>
    <xf numFmtId="0" fontId="6" fillId="3" borderId="0" xfId="0" applyFont="1" applyFill="1" applyAlignment="1">
      <alignment horizontal="left"/>
    </xf>
    <xf numFmtId="0" fontId="6" fillId="6" borderId="0" xfId="0" applyFont="1" applyFill="1" applyAlignment="1">
      <alignment horizontal="left"/>
    </xf>
    <xf numFmtId="0" fontId="2" fillId="4" borderId="0" xfId="0" applyFont="1" applyFill="1" applyAlignment="1">
      <alignment horizontal="center"/>
    </xf>
    <xf numFmtId="0" fontId="17" fillId="7" borderId="0" xfId="0" applyFont="1" applyFill="1" applyAlignment="1">
      <alignment horizontal="center"/>
    </xf>
    <xf numFmtId="0" fontId="22" fillId="0" borderId="0" xfId="2"/>
    <xf numFmtId="164" fontId="22" fillId="0" borderId="0" xfId="2" applyNumberFormat="1" applyAlignment="1">
      <alignment horizontal="right"/>
    </xf>
    <xf numFmtId="2" fontId="22" fillId="0" borderId="0" xfId="2" applyNumberFormat="1" applyAlignment="1">
      <alignment horizontal="right"/>
    </xf>
    <xf numFmtId="2" fontId="22" fillId="0" borderId="0" xfId="2" applyNumberFormat="1"/>
    <xf numFmtId="164" fontId="22" fillId="0" borderId="0" xfId="2" applyNumberFormat="1"/>
    <xf numFmtId="0" fontId="22" fillId="0" borderId="0" xfId="2" applyAlignment="1">
      <alignment horizontal="left"/>
    </xf>
    <xf numFmtId="0" fontId="22" fillId="0" borderId="1" xfId="2" applyBorder="1"/>
    <xf numFmtId="165" fontId="22" fillId="0" borderId="1" xfId="2" applyNumberFormat="1" applyBorder="1"/>
    <xf numFmtId="2" fontId="22" fillId="0" borderId="2" xfId="2" applyNumberFormat="1" applyBorder="1"/>
    <xf numFmtId="2" fontId="22" fillId="0" borderId="1" xfId="2" applyNumberFormat="1" applyBorder="1"/>
    <xf numFmtId="164" fontId="22" fillId="0" borderId="1" xfId="2" applyNumberFormat="1" applyBorder="1"/>
    <xf numFmtId="0" fontId="22" fillId="0" borderId="1" xfId="2" quotePrefix="1" applyBorder="1" applyAlignment="1">
      <alignment horizontal="center"/>
    </xf>
    <xf numFmtId="0" fontId="22" fillId="0" borderId="1" xfId="2" applyBorder="1" applyAlignment="1">
      <alignment horizontal="left"/>
    </xf>
    <xf numFmtId="0" fontId="22" fillId="0" borderId="3" xfId="2" applyBorder="1"/>
    <xf numFmtId="165" fontId="22" fillId="0" borderId="3" xfId="2" applyNumberFormat="1" applyBorder="1"/>
    <xf numFmtId="2" fontId="22" fillId="0" borderId="4" xfId="2" applyNumberFormat="1" applyBorder="1"/>
    <xf numFmtId="2" fontId="22" fillId="0" borderId="3" xfId="2" applyNumberFormat="1" applyBorder="1"/>
    <xf numFmtId="164" fontId="22" fillId="0" borderId="3" xfId="2" applyNumberFormat="1" applyBorder="1"/>
    <xf numFmtId="0" fontId="22" fillId="0" borderId="3" xfId="2" quotePrefix="1" applyBorder="1" applyAlignment="1">
      <alignment horizontal="center"/>
    </xf>
    <xf numFmtId="0" fontId="22" fillId="0" borderId="3" xfId="2" applyBorder="1" applyAlignment="1">
      <alignment horizontal="left"/>
    </xf>
    <xf numFmtId="164" fontId="22" fillId="0" borderId="3" xfId="2" applyNumberFormat="1" applyBorder="1" applyAlignment="1">
      <alignment horizontal="right"/>
    </xf>
    <xf numFmtId="2" fontId="22" fillId="0" borderId="4" xfId="2" applyNumberFormat="1" applyBorder="1" applyAlignment="1">
      <alignment horizontal="right"/>
    </xf>
    <xf numFmtId="0" fontId="22" fillId="0" borderId="3" xfId="2" applyBorder="1" applyAlignment="1">
      <alignment horizontal="center"/>
    </xf>
    <xf numFmtId="165" fontId="22" fillId="0" borderId="3" xfId="2" applyNumberFormat="1" applyBorder="1" applyAlignment="1">
      <alignment horizontal="right"/>
    </xf>
    <xf numFmtId="165" fontId="22" fillId="0" borderId="0" xfId="2" applyNumberFormat="1"/>
    <xf numFmtId="0" fontId="22" fillId="0" borderId="5" xfId="2" applyBorder="1"/>
    <xf numFmtId="165" fontId="22" fillId="0" borderId="5" xfId="2" applyNumberFormat="1" applyBorder="1"/>
    <xf numFmtId="2" fontId="22" fillId="0" borderId="6" xfId="2" applyNumberFormat="1" applyBorder="1"/>
    <xf numFmtId="2" fontId="22" fillId="0" borderId="5" xfId="2" applyNumberFormat="1" applyBorder="1"/>
    <xf numFmtId="164" fontId="22" fillId="0" borderId="5" xfId="2" applyNumberFormat="1" applyBorder="1"/>
    <xf numFmtId="0" fontId="22" fillId="0" borderId="5" xfId="2" quotePrefix="1" applyBorder="1" applyAlignment="1">
      <alignment horizontal="center"/>
    </xf>
    <xf numFmtId="0" fontId="22" fillId="0" borderId="5" xfId="2" applyBorder="1" applyAlignment="1">
      <alignment horizontal="left"/>
    </xf>
    <xf numFmtId="0" fontId="21" fillId="0" borderId="7" xfId="2" applyFont="1" applyBorder="1" applyAlignment="1">
      <alignment horizontal="left"/>
    </xf>
    <xf numFmtId="0" fontId="21" fillId="0" borderId="7" xfId="2" applyFont="1" applyBorder="1" applyAlignment="1">
      <alignment horizontal="center"/>
    </xf>
    <xf numFmtId="164" fontId="21" fillId="0" borderId="7" xfId="2" applyNumberFormat="1" applyFont="1" applyBorder="1" applyAlignment="1">
      <alignment horizontal="left"/>
    </xf>
    <xf numFmtId="164" fontId="21" fillId="0" borderId="8" xfId="2" applyNumberFormat="1" applyFont="1" applyBorder="1" applyAlignment="1">
      <alignment horizontal="left"/>
    </xf>
    <xf numFmtId="2" fontId="21" fillId="0" borderId="5" xfId="2" applyNumberFormat="1" applyFont="1" applyBorder="1" applyAlignment="1">
      <alignment horizontal="left"/>
    </xf>
    <xf numFmtId="2" fontId="21" fillId="0" borderId="7" xfId="2" applyNumberFormat="1" applyFont="1" applyBorder="1" applyAlignment="1">
      <alignment horizontal="left"/>
    </xf>
    <xf numFmtId="0" fontId="25" fillId="0" borderId="3" xfId="2" applyFont="1" applyBorder="1"/>
    <xf numFmtId="0" fontId="22" fillId="0" borderId="3" xfId="2" applyBorder="1" applyAlignment="1">
      <alignment wrapText="1"/>
    </xf>
    <xf numFmtId="0" fontId="22" fillId="0" borderId="9" xfId="2" applyBorder="1"/>
    <xf numFmtId="0" fontId="26" fillId="0" borderId="3" xfId="2" applyFont="1" applyBorder="1"/>
    <xf numFmtId="0" fontId="22" fillId="0" borderId="10" xfId="2" applyBorder="1"/>
    <xf numFmtId="0" fontId="25" fillId="0" borderId="5" xfId="2" applyFont="1" applyBorder="1"/>
    <xf numFmtId="0" fontId="28" fillId="0" borderId="7" xfId="2" applyFont="1" applyBorder="1"/>
    <xf numFmtId="0" fontId="21" fillId="0" borderId="7" xfId="2" applyFont="1" applyBorder="1"/>
    <xf numFmtId="164" fontId="21" fillId="0" borderId="7" xfId="2" applyNumberFormat="1" applyFont="1" applyBorder="1"/>
    <xf numFmtId="0" fontId="29" fillId="0" borderId="0" xfId="2" applyFont="1" applyAlignment="1">
      <alignment horizontal="left"/>
    </xf>
    <xf numFmtId="0" fontId="29" fillId="0" borderId="1" xfId="1" applyFont="1" applyBorder="1" applyAlignment="1">
      <alignment horizontal="left"/>
    </xf>
    <xf numFmtId="0" fontId="22" fillId="0" borderId="11" xfId="2" applyBorder="1"/>
    <xf numFmtId="2" fontId="22" fillId="0" borderId="11" xfId="2" applyNumberFormat="1" applyBorder="1"/>
    <xf numFmtId="0" fontId="29" fillId="0" borderId="3" xfId="1" applyFont="1" applyBorder="1" applyAlignment="1">
      <alignment horizontal="left"/>
    </xf>
    <xf numFmtId="2" fontId="22" fillId="0" borderId="9" xfId="2" applyNumberFormat="1" applyBorder="1"/>
    <xf numFmtId="0" fontId="29" fillId="0" borderId="3" xfId="2" applyFont="1" applyBorder="1" applyAlignment="1">
      <alignment horizontal="left"/>
    </xf>
    <xf numFmtId="0" fontId="25" fillId="0" borderId="9" xfId="2" applyFont="1" applyBorder="1"/>
    <xf numFmtId="0" fontId="29" fillId="0" borderId="3" xfId="1" applyFont="1" applyBorder="1" applyAlignment="1">
      <alignment horizontal="left" vertical="top"/>
    </xf>
    <xf numFmtId="0" fontId="29" fillId="0" borderId="5" xfId="1" applyFont="1" applyBorder="1" applyAlignment="1">
      <alignment horizontal="left"/>
    </xf>
    <xf numFmtId="2" fontId="22" fillId="0" borderId="10" xfId="2" applyNumberFormat="1" applyBorder="1"/>
    <xf numFmtId="0" fontId="28" fillId="0" borderId="5" xfId="2" applyFont="1" applyBorder="1" applyAlignment="1">
      <alignment horizontal="left"/>
    </xf>
    <xf numFmtId="0" fontId="21" fillId="0" borderId="5" xfId="2" applyFont="1" applyBorder="1" applyAlignment="1">
      <alignment horizontal="left"/>
    </xf>
    <xf numFmtId="0" fontId="22" fillId="0" borderId="1" xfId="2" applyBorder="1" applyAlignment="1">
      <alignment horizontal="center"/>
    </xf>
    <xf numFmtId="0" fontId="22" fillId="0" borderId="1" xfId="2" applyBorder="1" applyAlignment="1">
      <alignment horizontal="center" vertical="center" wrapText="1"/>
    </xf>
    <xf numFmtId="0" fontId="25" fillId="0" borderId="1" xfId="2" applyFont="1" applyBorder="1" applyAlignment="1">
      <alignment horizontal="center" vertical="center" wrapText="1"/>
    </xf>
    <xf numFmtId="0" fontId="22" fillId="0" borderId="3" xfId="2" applyBorder="1" applyAlignment="1">
      <alignment horizontal="center" vertical="center" wrapText="1"/>
    </xf>
    <xf numFmtId="0" fontId="25" fillId="0" borderId="3" xfId="2" applyFont="1" applyBorder="1" applyAlignment="1">
      <alignment horizontal="center" vertical="center" wrapText="1"/>
    </xf>
    <xf numFmtId="0" fontId="21" fillId="0" borderId="7" xfId="2" applyFont="1" applyBorder="1" applyAlignment="1">
      <alignment horizontal="center" vertical="center" wrapText="1"/>
    </xf>
    <xf numFmtId="0" fontId="32" fillId="0" borderId="3" xfId="2" applyFont="1" applyBorder="1" applyAlignment="1">
      <alignment horizontal="center" vertical="center" wrapText="1"/>
    </xf>
    <xf numFmtId="0" fontId="22" fillId="0" borderId="5" xfId="2" applyBorder="1" applyAlignment="1">
      <alignment horizontal="center"/>
    </xf>
    <xf numFmtId="0" fontId="22" fillId="0" borderId="0" xfId="2" applyAlignment="1">
      <alignment horizontal="justify" vertical="center"/>
    </xf>
    <xf numFmtId="164" fontId="22" fillId="0" borderId="1" xfId="2" applyNumberFormat="1" applyBorder="1" applyAlignment="1">
      <alignment horizontal="center"/>
    </xf>
    <xf numFmtId="164" fontId="22" fillId="0" borderId="3" xfId="2" applyNumberFormat="1" applyBorder="1" applyAlignment="1">
      <alignment horizontal="center"/>
    </xf>
    <xf numFmtId="164" fontId="22" fillId="0" borderId="5" xfId="2" applyNumberFormat="1" applyBorder="1" applyAlignment="1">
      <alignment horizontal="center"/>
    </xf>
    <xf numFmtId="0" fontId="22" fillId="0" borderId="2" xfId="2" applyBorder="1" applyAlignment="1">
      <alignment horizontal="left"/>
    </xf>
    <xf numFmtId="0" fontId="22" fillId="0" borderId="11" xfId="2" applyBorder="1" applyAlignment="1">
      <alignment horizontal="left"/>
    </xf>
    <xf numFmtId="0" fontId="35" fillId="0" borderId="1" xfId="2" applyFont="1" applyBorder="1"/>
    <xf numFmtId="0" fontId="35" fillId="0" borderId="3" xfId="2" applyFont="1" applyBorder="1"/>
    <xf numFmtId="0" fontId="15" fillId="0" borderId="0" xfId="0" applyFont="1" applyAlignment="1">
      <alignment horizontal="center" wrapText="1"/>
    </xf>
    <xf numFmtId="0" fontId="6" fillId="0" borderId="0" xfId="0" applyFont="1" applyAlignment="1">
      <alignment horizontal="center" wrapText="1"/>
    </xf>
    <xf numFmtId="0" fontId="10" fillId="0" borderId="0" xfId="0" applyFont="1" applyAlignment="1">
      <alignment horizontal="left" wrapText="1"/>
    </xf>
    <xf numFmtId="0" fontId="7" fillId="0" borderId="0" xfId="0" applyFont="1" applyAlignment="1">
      <alignment horizontal="left" wrapText="1"/>
    </xf>
    <xf numFmtId="0" fontId="1" fillId="6" borderId="13" xfId="0" applyFont="1" applyFill="1" applyBorder="1" applyAlignment="1">
      <alignment horizontal="center"/>
    </xf>
    <xf numFmtId="0" fontId="1" fillId="6" borderId="12" xfId="0" applyFont="1" applyFill="1" applyBorder="1" applyAlignment="1">
      <alignment horizontal="center"/>
    </xf>
    <xf numFmtId="0" fontId="0" fillId="8" borderId="14" xfId="0" applyFill="1" applyBorder="1" applyAlignment="1">
      <alignment horizontal="center"/>
    </xf>
    <xf numFmtId="0" fontId="0" fillId="8" borderId="15" xfId="0" applyFill="1" applyBorder="1" applyAlignment="1">
      <alignment horizontal="center"/>
    </xf>
    <xf numFmtId="0" fontId="13" fillId="0" borderId="0" xfId="0" quotePrefix="1" applyFont="1" applyAlignment="1">
      <alignment horizontal="center"/>
    </xf>
    <xf numFmtId="0" fontId="4" fillId="0" borderId="0" xfId="1" applyFill="1" applyAlignment="1">
      <alignment horizontal="center"/>
    </xf>
    <xf numFmtId="0" fontId="6" fillId="9" borderId="0" xfId="0" applyFont="1" applyFill="1" applyAlignment="1">
      <alignment horizontal="left"/>
    </xf>
    <xf numFmtId="0" fontId="17" fillId="9" borderId="0" xfId="0" applyFont="1" applyFill="1" applyAlignment="1">
      <alignment horizontal="center"/>
    </xf>
    <xf numFmtId="0" fontId="13" fillId="9" borderId="0" xfId="0" applyFont="1" applyFill="1" applyAlignment="1">
      <alignment horizontal="center"/>
    </xf>
    <xf numFmtId="0" fontId="4" fillId="9" borderId="0" xfId="1" applyFill="1" applyAlignment="1">
      <alignment horizontal="center"/>
    </xf>
    <xf numFmtId="0" fontId="6" fillId="9" borderId="0" xfId="0" applyFont="1" applyFill="1" applyAlignment="1">
      <alignment horizontal="center"/>
    </xf>
    <xf numFmtId="0" fontId="6" fillId="9" borderId="0" xfId="0" applyFont="1" applyFill="1" applyAlignment="1">
      <alignment horizontal="center" wrapText="1"/>
    </xf>
    <xf numFmtId="0" fontId="4" fillId="0" borderId="0" xfId="1" applyAlignment="1">
      <alignment horizontal="center"/>
    </xf>
    <xf numFmtId="0" fontId="1" fillId="0" borderId="0" xfId="0" applyFont="1" applyAlignment="1">
      <alignment horizontal="center"/>
    </xf>
    <xf numFmtId="0" fontId="1" fillId="3" borderId="0" xfId="0" applyFont="1" applyFill="1" applyAlignment="1">
      <alignment horizontal="center"/>
    </xf>
    <xf numFmtId="0" fontId="17" fillId="0" borderId="0" xfId="0" applyFont="1" applyAlignment="1">
      <alignment horizontal="center"/>
    </xf>
    <xf numFmtId="0" fontId="22" fillId="0" borderId="0" xfId="2" applyAlignment="1">
      <alignment horizontal="left"/>
    </xf>
    <xf numFmtId="0" fontId="13" fillId="0" borderId="0" xfId="0" applyFont="1" applyFill="1" applyAlignment="1">
      <alignment horizontal="center"/>
    </xf>
    <xf numFmtId="0" fontId="17" fillId="0" borderId="0" xfId="0" applyFont="1" applyFill="1" applyAlignment="1">
      <alignment horizontal="center"/>
    </xf>
    <xf numFmtId="0" fontId="19" fillId="0" borderId="0" xfId="0" applyFont="1" applyFill="1" applyAlignment="1">
      <alignment horizontal="center"/>
    </xf>
    <xf numFmtId="0" fontId="6" fillId="11" borderId="28" xfId="0" applyFont="1" applyFill="1" applyBorder="1" applyAlignment="1">
      <alignment horizontal="center"/>
    </xf>
    <xf numFmtId="0" fontId="36" fillId="11" borderId="28" xfId="0" applyFont="1" applyFill="1" applyBorder="1" applyAlignment="1">
      <alignment horizontal="center"/>
    </xf>
    <xf numFmtId="0" fontId="6" fillId="0" borderId="14" xfId="0" applyFont="1" applyFill="1" applyBorder="1" applyAlignment="1">
      <alignment horizontal="center"/>
    </xf>
    <xf numFmtId="0" fontId="6" fillId="0" borderId="15" xfId="0" applyFont="1" applyFill="1" applyBorder="1" applyAlignment="1">
      <alignment horizontal="center"/>
    </xf>
    <xf numFmtId="0" fontId="36" fillId="0" borderId="14" xfId="0" applyFont="1" applyFill="1" applyBorder="1" applyAlignment="1">
      <alignment horizontal="center"/>
    </xf>
    <xf numFmtId="0" fontId="36" fillId="0" borderId="15" xfId="0" applyFont="1" applyFill="1" applyBorder="1" applyAlignment="1">
      <alignment horizontal="center"/>
    </xf>
    <xf numFmtId="0" fontId="6" fillId="0" borderId="17" xfId="0" applyFont="1" applyFill="1" applyBorder="1" applyAlignment="1">
      <alignment horizontal="center"/>
    </xf>
    <xf numFmtId="0" fontId="37" fillId="3" borderId="0" xfId="0" applyFont="1" applyFill="1" applyBorder="1" applyAlignment="1">
      <alignment horizontal="center"/>
    </xf>
    <xf numFmtId="0" fontId="37" fillId="3" borderId="29" xfId="0" applyFont="1" applyFill="1" applyBorder="1" applyAlignment="1">
      <alignment horizontal="center"/>
    </xf>
    <xf numFmtId="0" fontId="37" fillId="3" borderId="24" xfId="0" applyFont="1" applyFill="1" applyBorder="1" applyAlignment="1">
      <alignment horizontal="center"/>
    </xf>
    <xf numFmtId="0" fontId="40" fillId="3" borderId="0" xfId="0" applyFont="1" applyFill="1" applyBorder="1" applyAlignment="1">
      <alignment horizontal="center"/>
    </xf>
    <xf numFmtId="0" fontId="40" fillId="3" borderId="24" xfId="0" applyFont="1" applyFill="1" applyBorder="1" applyAlignment="1">
      <alignment horizontal="center"/>
    </xf>
    <xf numFmtId="0" fontId="38" fillId="2" borderId="14" xfId="0" applyFont="1" applyFill="1" applyBorder="1" applyAlignment="1">
      <alignment horizontal="center"/>
    </xf>
    <xf numFmtId="0" fontId="38" fillId="2" borderId="17" xfId="0" applyFont="1" applyFill="1" applyBorder="1" applyAlignment="1">
      <alignment horizontal="center"/>
    </xf>
    <xf numFmtId="0" fontId="39" fillId="0" borderId="12" xfId="0" applyFont="1" applyFill="1" applyBorder="1" applyAlignment="1">
      <alignment horizontal="center"/>
    </xf>
    <xf numFmtId="0" fontId="39" fillId="0" borderId="16" xfId="0" applyFont="1" applyFill="1" applyBorder="1" applyAlignment="1">
      <alignment horizontal="center"/>
    </xf>
    <xf numFmtId="0" fontId="39" fillId="0" borderId="20" xfId="2" applyFont="1" applyFill="1" applyBorder="1" applyAlignment="1">
      <alignment horizontal="center"/>
    </xf>
    <xf numFmtId="164" fontId="39" fillId="0" borderId="21" xfId="2" applyNumberFormat="1" applyFont="1" applyFill="1" applyBorder="1" applyAlignment="1">
      <alignment horizontal="center"/>
    </xf>
    <xf numFmtId="2" fontId="39" fillId="0" borderId="21" xfId="2" applyNumberFormat="1" applyFont="1" applyFill="1" applyBorder="1" applyAlignment="1">
      <alignment horizontal="center"/>
    </xf>
    <xf numFmtId="164" fontId="39" fillId="0" borderId="22" xfId="2" applyNumberFormat="1" applyFont="1" applyFill="1" applyBorder="1" applyAlignment="1">
      <alignment horizontal="center"/>
    </xf>
    <xf numFmtId="164" fontId="39" fillId="0" borderId="23" xfId="2" applyNumberFormat="1" applyFont="1" applyFill="1" applyBorder="1" applyAlignment="1">
      <alignment horizontal="center"/>
    </xf>
    <xf numFmtId="0" fontId="39" fillId="0" borderId="13" xfId="0" applyFont="1" applyFill="1" applyBorder="1" applyAlignment="1">
      <alignment horizontal="center"/>
    </xf>
    <xf numFmtId="0" fontId="39" fillId="11" borderId="28" xfId="0" applyFont="1" applyFill="1" applyBorder="1" applyAlignment="1">
      <alignment horizontal="center"/>
    </xf>
    <xf numFmtId="0" fontId="39" fillId="0" borderId="19" xfId="0" applyFont="1" applyFill="1" applyBorder="1" applyAlignment="1">
      <alignment horizontal="center"/>
    </xf>
    <xf numFmtId="0" fontId="39" fillId="0" borderId="30" xfId="0" applyFont="1" applyFill="1" applyBorder="1" applyAlignment="1">
      <alignment horizontal="center"/>
    </xf>
    <xf numFmtId="0" fontId="39" fillId="0" borderId="18" xfId="0" applyFont="1" applyFill="1" applyBorder="1" applyAlignment="1">
      <alignment horizontal="center"/>
    </xf>
    <xf numFmtId="0" fontId="40" fillId="3" borderId="26" xfId="0" applyFont="1" applyFill="1" applyBorder="1" applyAlignment="1">
      <alignment horizontal="center"/>
    </xf>
    <xf numFmtId="0" fontId="6" fillId="12" borderId="14" xfId="0" applyFont="1" applyFill="1" applyBorder="1" applyAlignment="1">
      <alignment horizontal="center"/>
    </xf>
    <xf numFmtId="0" fontId="5" fillId="4" borderId="0" xfId="0" applyFont="1" applyFill="1" applyAlignment="1">
      <alignment horizontal="center"/>
    </xf>
    <xf numFmtId="0" fontId="6" fillId="10" borderId="14" xfId="0" applyFont="1" applyFill="1" applyBorder="1" applyAlignment="1">
      <alignment horizontal="center"/>
    </xf>
    <xf numFmtId="0" fontId="6" fillId="0" borderId="0" xfId="0" applyFont="1" applyBorder="1" applyAlignment="1">
      <alignment horizontal="center"/>
    </xf>
    <xf numFmtId="0" fontId="40" fillId="3" borderId="25" xfId="0" applyFont="1" applyFill="1" applyBorder="1" applyAlignment="1">
      <alignment horizontal="center" wrapText="1"/>
    </xf>
    <xf numFmtId="0" fontId="40" fillId="3" borderId="26" xfId="0" applyFont="1" applyFill="1" applyBorder="1" applyAlignment="1">
      <alignment horizontal="center" wrapText="1"/>
    </xf>
    <xf numFmtId="0" fontId="40" fillId="3" borderId="27" xfId="0" applyFont="1" applyFill="1" applyBorder="1" applyAlignment="1">
      <alignment horizontal="center" wrapText="1"/>
    </xf>
    <xf numFmtId="0" fontId="40" fillId="3" borderId="15" xfId="0" applyFont="1" applyFill="1" applyBorder="1" applyAlignment="1">
      <alignment horizontal="center" wrapText="1"/>
    </xf>
    <xf numFmtId="0" fontId="40" fillId="3" borderId="0" xfId="0" applyFont="1" applyFill="1" applyBorder="1" applyAlignment="1">
      <alignment horizontal="center" wrapText="1"/>
    </xf>
    <xf numFmtId="0" fontId="40" fillId="3" borderId="17" xfId="0" applyFont="1" applyFill="1" applyBorder="1" applyAlignment="1">
      <alignment horizontal="center" wrapText="1"/>
    </xf>
    <xf numFmtId="0" fontId="40" fillId="3" borderId="18" xfId="0" applyFont="1" applyFill="1" applyBorder="1" applyAlignment="1">
      <alignment horizontal="center" wrapText="1"/>
    </xf>
    <xf numFmtId="0" fontId="40" fillId="3" borderId="24" xfId="0" applyFont="1" applyFill="1" applyBorder="1" applyAlignment="1">
      <alignment horizontal="center" wrapText="1"/>
    </xf>
    <xf numFmtId="0" fontId="40" fillId="3" borderId="19" xfId="0" applyFont="1" applyFill="1" applyBorder="1" applyAlignment="1">
      <alignment horizontal="center" wrapText="1"/>
    </xf>
    <xf numFmtId="0" fontId="39" fillId="0" borderId="13" xfId="0" applyFont="1" applyFill="1" applyBorder="1" applyAlignment="1">
      <alignment horizontal="center" wrapText="1"/>
    </xf>
    <xf numFmtId="0" fontId="39" fillId="0" borderId="12" xfId="0" applyFont="1" applyFill="1" applyBorder="1" applyAlignment="1">
      <alignment horizontal="center" wrapText="1"/>
    </xf>
    <xf numFmtId="0" fontId="37" fillId="3" borderId="25" xfId="0" applyFont="1" applyFill="1" applyBorder="1" applyAlignment="1">
      <alignment horizontal="center"/>
    </xf>
    <xf numFmtId="0" fontId="37" fillId="3" borderId="26" xfId="0" applyFont="1" applyFill="1" applyBorder="1" applyAlignment="1">
      <alignment horizontal="center"/>
    </xf>
    <xf numFmtId="0" fontId="37" fillId="3" borderId="31" xfId="0" applyFont="1" applyFill="1" applyBorder="1" applyAlignment="1">
      <alignment horizontal="center"/>
    </xf>
    <xf numFmtId="0" fontId="6" fillId="11" borderId="32" xfId="0" applyFont="1" applyFill="1" applyBorder="1" applyAlignment="1">
      <alignment horizontal="center"/>
    </xf>
    <xf numFmtId="0" fontId="6" fillId="0" borderId="26" xfId="0" applyFont="1" applyBorder="1" applyAlignment="1">
      <alignment horizontal="center"/>
    </xf>
    <xf numFmtId="0" fontId="37" fillId="3" borderId="15" xfId="0" applyFont="1" applyFill="1" applyBorder="1" applyAlignment="1">
      <alignment horizontal="center"/>
    </xf>
    <xf numFmtId="0" fontId="37" fillId="3" borderId="18" xfId="0" applyFont="1" applyFill="1" applyBorder="1" applyAlignment="1">
      <alignment horizontal="center"/>
    </xf>
    <xf numFmtId="0" fontId="42" fillId="0" borderId="0" xfId="0" applyFont="1" applyBorder="1" applyAlignment="1">
      <alignment horizontal="center"/>
    </xf>
    <xf numFmtId="0" fontId="6" fillId="0" borderId="15" xfId="0" applyFont="1" applyFill="1" applyBorder="1" applyAlignment="1">
      <alignment horizontal="center" wrapText="1"/>
    </xf>
    <xf numFmtId="0" fontId="6" fillId="0" borderId="14" xfId="0" applyFont="1" applyFill="1" applyBorder="1" applyAlignment="1">
      <alignment horizontal="center" wrapText="1"/>
    </xf>
    <xf numFmtId="0" fontId="39" fillId="0" borderId="18" xfId="0" applyFont="1" applyFill="1" applyBorder="1" applyAlignment="1">
      <alignment horizontal="center" wrapText="1"/>
    </xf>
    <xf numFmtId="0" fontId="39" fillId="0" borderId="33" xfId="0" applyFont="1" applyFill="1" applyBorder="1" applyAlignment="1">
      <alignment horizontal="center" wrapText="1"/>
    </xf>
    <xf numFmtId="0" fontId="6" fillId="0" borderId="0" xfId="0" applyFont="1" applyFill="1" applyBorder="1" applyAlignment="1">
      <alignment horizontal="center" wrapText="1"/>
    </xf>
    <xf numFmtId="0" fontId="40" fillId="11" borderId="28" xfId="0" applyFont="1" applyFill="1" applyBorder="1" applyAlignment="1">
      <alignment horizontal="center"/>
    </xf>
    <xf numFmtId="0" fontId="39" fillId="11" borderId="28" xfId="0" applyFont="1" applyFill="1" applyBorder="1" applyAlignment="1">
      <alignment horizontal="center" wrapText="1"/>
    </xf>
    <xf numFmtId="0" fontId="6" fillId="11" borderId="28" xfId="0" applyFont="1" applyFill="1" applyBorder="1" applyAlignment="1">
      <alignment horizontal="center" wrapText="1"/>
    </xf>
  </cellXfs>
  <cellStyles count="3">
    <cellStyle name="Hyperlink" xfId="1" builtinId="8"/>
    <cellStyle name="Normal" xfId="0" builtinId="0"/>
    <cellStyle name="Normal 2" xfId="2" xr:uid="{7A06013E-35E9-9248-B43D-4294049E52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04896971935082X?via%3Dihub" TargetMode="External"/><Relationship Id="rId21" Type="http://schemas.openxmlformats.org/officeDocument/2006/relationships/hyperlink" Target="https://www.sciencedirect.com/science/article/pii/S001085452300382X?via%3Dihub" TargetMode="External"/><Relationship Id="rId42" Type="http://schemas.openxmlformats.org/officeDocument/2006/relationships/hyperlink" Target="https://www.sciencedirect.com/science/article/pii/S004896971935082X?via%3Dihub" TargetMode="External"/><Relationship Id="rId63" Type="http://schemas.openxmlformats.org/officeDocument/2006/relationships/hyperlink" Target="https://www.sciencedirect.com/science/article/pii/S004896971935082X?via%3Dihub" TargetMode="External"/><Relationship Id="rId84" Type="http://schemas.openxmlformats.org/officeDocument/2006/relationships/hyperlink" Target="https://www.sciencedirect.com/science/article/pii/S004896971935082X?via%3Dihub" TargetMode="External"/><Relationship Id="rId138" Type="http://schemas.openxmlformats.org/officeDocument/2006/relationships/hyperlink" Target="https://www.sciencedirect.com/science/article/pii/S004896971935082X?via%3Dihub" TargetMode="External"/><Relationship Id="rId107" Type="http://schemas.openxmlformats.org/officeDocument/2006/relationships/hyperlink" Target="https://www.sciencedirect.com/science/article/pii/S004896971935082X?via%3Dihub" TargetMode="External"/><Relationship Id="rId11" Type="http://schemas.openxmlformats.org/officeDocument/2006/relationships/hyperlink" Target="https://www.sciencedirect.com/science/article/pii/S1364032122003471?via=ihub" TargetMode="External"/><Relationship Id="rId32" Type="http://schemas.openxmlformats.org/officeDocument/2006/relationships/hyperlink" Target="https://www.sciencedirect.com/science/article/pii/S001085452300382X?via%3Dihub" TargetMode="External"/><Relationship Id="rId53" Type="http://schemas.openxmlformats.org/officeDocument/2006/relationships/hyperlink" Target="https://www.sciencedirect.com/science/article/pii/S004896971935082X?via%3Dihub" TargetMode="External"/><Relationship Id="rId74" Type="http://schemas.openxmlformats.org/officeDocument/2006/relationships/hyperlink" Target="https://www.sciencedirect.com/science/article/pii/S004896971935082X?via%3Dihub" TargetMode="External"/><Relationship Id="rId128" Type="http://schemas.openxmlformats.org/officeDocument/2006/relationships/hyperlink" Target="https://www.sciencedirect.com/science/article/pii/S004896971935082X?via%3Dihub" TargetMode="External"/><Relationship Id="rId149" Type="http://schemas.openxmlformats.org/officeDocument/2006/relationships/hyperlink" Target="https://www.sciencedirect.com/science/article/pii/S004896971935082X?via%3Dihub" TargetMode="External"/><Relationship Id="rId5" Type="http://schemas.openxmlformats.org/officeDocument/2006/relationships/hyperlink" Target="https://www.sciencedirect.com/science/article/pii/S1364032122003471?via=ihub" TargetMode="External"/><Relationship Id="rId95" Type="http://schemas.openxmlformats.org/officeDocument/2006/relationships/hyperlink" Target="https://www.sciencedirect.com/science/article/pii/S004896971935082X?via%3Dihub" TargetMode="External"/><Relationship Id="rId22" Type="http://schemas.openxmlformats.org/officeDocument/2006/relationships/hyperlink" Target="https://www.sciencedirect.com/science/article/pii/S001085452300382X?via%3Dihub" TargetMode="External"/><Relationship Id="rId27" Type="http://schemas.openxmlformats.org/officeDocument/2006/relationships/hyperlink" Target="https://www.sciencedirect.com/science/article/pii/S001085452300382X?via%3Dihub" TargetMode="External"/><Relationship Id="rId43" Type="http://schemas.openxmlformats.org/officeDocument/2006/relationships/hyperlink" Target="https://www.sciencedirect.com/science/article/pii/S004896971935082X?via%3Dihub" TargetMode="External"/><Relationship Id="rId48" Type="http://schemas.openxmlformats.org/officeDocument/2006/relationships/hyperlink" Target="https://www.sciencedirect.com/science/article/pii/S004896971935082X?via%3Dihub" TargetMode="External"/><Relationship Id="rId64" Type="http://schemas.openxmlformats.org/officeDocument/2006/relationships/hyperlink" Target="https://www.sciencedirect.com/science/article/pii/S004896971935082X?via%3Dihub" TargetMode="External"/><Relationship Id="rId69" Type="http://schemas.openxmlformats.org/officeDocument/2006/relationships/hyperlink" Target="https://www.sciencedirect.com/science/article/pii/S004896971935082X?via%3Dihub" TargetMode="External"/><Relationship Id="rId113" Type="http://schemas.openxmlformats.org/officeDocument/2006/relationships/hyperlink" Target="https://www.sciencedirect.com/science/article/pii/S004896971935082X?via%3Dihub" TargetMode="External"/><Relationship Id="rId118" Type="http://schemas.openxmlformats.org/officeDocument/2006/relationships/hyperlink" Target="https://www.sciencedirect.com/science/article/pii/S004896971935082X?via%3Dihub" TargetMode="External"/><Relationship Id="rId134" Type="http://schemas.openxmlformats.org/officeDocument/2006/relationships/hyperlink" Target="https://www.sciencedirect.com/science/article/pii/S004896971935082X?via%3Dihub" TargetMode="External"/><Relationship Id="rId139" Type="http://schemas.openxmlformats.org/officeDocument/2006/relationships/hyperlink" Target="https://www.sciencedirect.com/science/article/pii/S004896971935082X?via%3Dihub" TargetMode="External"/><Relationship Id="rId80" Type="http://schemas.openxmlformats.org/officeDocument/2006/relationships/hyperlink" Target="https://www.sciencedirect.com/science/article/pii/S004896971935082X?via%3Dihub" TargetMode="External"/><Relationship Id="rId85" Type="http://schemas.openxmlformats.org/officeDocument/2006/relationships/hyperlink" Target="https://www.sciencedirect.com/science/article/pii/S004896971935082X?via%3Dihub" TargetMode="External"/><Relationship Id="rId150" Type="http://schemas.openxmlformats.org/officeDocument/2006/relationships/hyperlink" Target="https://www.sciencedirect.com/science/article/pii/S004896971935082X?via%3Dihub" TargetMode="External"/><Relationship Id="rId155" Type="http://schemas.openxmlformats.org/officeDocument/2006/relationships/hyperlink" Target="mailto:50PEI@meso-UiO-66&#8211;0.2Cu" TargetMode="External"/><Relationship Id="rId12" Type="http://schemas.openxmlformats.org/officeDocument/2006/relationships/hyperlink" Target="https://www.sciencedirect.com/science/article/pii/S1364032122003471?via=ihub" TargetMode="External"/><Relationship Id="rId17" Type="http://schemas.openxmlformats.org/officeDocument/2006/relationships/hyperlink" Target="https://www.sciencedirect.com/science/article/pii/S001085452300382X?via%3Dihub" TargetMode="External"/><Relationship Id="rId33" Type="http://schemas.openxmlformats.org/officeDocument/2006/relationships/hyperlink" Target="https://www.sciencedirect.com/science/article/pii/S001085452300382X?via%3Dihub" TargetMode="External"/><Relationship Id="rId38" Type="http://schemas.openxmlformats.org/officeDocument/2006/relationships/hyperlink" Target="https://www.sciencedirect.com/science/article/pii/S004896971935082X?via%3Dihub" TargetMode="External"/><Relationship Id="rId59" Type="http://schemas.openxmlformats.org/officeDocument/2006/relationships/hyperlink" Target="https://www.sciencedirect.com/science/article/pii/S004896971935082X?via%3Dihub" TargetMode="External"/><Relationship Id="rId103" Type="http://schemas.openxmlformats.org/officeDocument/2006/relationships/hyperlink" Target="https://www.sciencedirect.com/science/article/pii/S004896971935082X?via%3Dihub" TargetMode="External"/><Relationship Id="rId108" Type="http://schemas.openxmlformats.org/officeDocument/2006/relationships/hyperlink" Target="https://www.sciencedirect.com/science/article/pii/S004896971935082X?via%3Dihub" TargetMode="External"/><Relationship Id="rId124" Type="http://schemas.openxmlformats.org/officeDocument/2006/relationships/hyperlink" Target="https://www.sciencedirect.com/science/article/pii/S004896971935082X?via%3Dihub" TargetMode="External"/><Relationship Id="rId129" Type="http://schemas.openxmlformats.org/officeDocument/2006/relationships/hyperlink" Target="https://www.sciencedirect.com/science/article/pii/S004896971935082X?via%3Dihub" TargetMode="External"/><Relationship Id="rId54" Type="http://schemas.openxmlformats.org/officeDocument/2006/relationships/hyperlink" Target="https://www.sciencedirect.com/science/article/pii/S004896971935082X?via%3Dihub" TargetMode="External"/><Relationship Id="rId70" Type="http://schemas.openxmlformats.org/officeDocument/2006/relationships/hyperlink" Target="https://www.sciencedirect.com/science/article/pii/S004896971935082X?via%3Dihub" TargetMode="External"/><Relationship Id="rId75" Type="http://schemas.openxmlformats.org/officeDocument/2006/relationships/hyperlink" Target="https://www.sciencedirect.com/science/article/pii/S004896971935082X?via%3Dihub" TargetMode="External"/><Relationship Id="rId91" Type="http://schemas.openxmlformats.org/officeDocument/2006/relationships/hyperlink" Target="https://www.sciencedirect.com/science/article/pii/S004896971935082X?via%3Dihub" TargetMode="External"/><Relationship Id="rId96" Type="http://schemas.openxmlformats.org/officeDocument/2006/relationships/hyperlink" Target="https://www.sciencedirect.com/science/article/pii/S004896971935082X?via%3Dihub" TargetMode="External"/><Relationship Id="rId140" Type="http://schemas.openxmlformats.org/officeDocument/2006/relationships/hyperlink" Target="https://www.sciencedirect.com/science/article/pii/S004896971935082X?via%3Dihub" TargetMode="External"/><Relationship Id="rId145" Type="http://schemas.openxmlformats.org/officeDocument/2006/relationships/hyperlink" Target="https://www.sciencedirect.com/science/article/pii/S004896971935082X?via%3Dihub" TargetMode="External"/><Relationship Id="rId1" Type="http://schemas.openxmlformats.org/officeDocument/2006/relationships/hyperlink" Target="https://www.sciencedirect.com/science/article/pii/S1364032122003471?via=ihub" TargetMode="External"/><Relationship Id="rId6" Type="http://schemas.openxmlformats.org/officeDocument/2006/relationships/hyperlink" Target="https://www.sciencedirect.com/science/article/pii/S1364032122003471?via=ihub" TargetMode="External"/><Relationship Id="rId23" Type="http://schemas.openxmlformats.org/officeDocument/2006/relationships/hyperlink" Target="https://www.sciencedirect.com/science/article/pii/S001085452300382X?via%3Dihub" TargetMode="External"/><Relationship Id="rId28" Type="http://schemas.openxmlformats.org/officeDocument/2006/relationships/hyperlink" Target="https://www.sciencedirect.com/science/article/pii/S001085452300382X?via%3Dihub" TargetMode="External"/><Relationship Id="rId49" Type="http://schemas.openxmlformats.org/officeDocument/2006/relationships/hyperlink" Target="https://www.sciencedirect.com/science/article/pii/S004896971935082X?via%3Dihub" TargetMode="External"/><Relationship Id="rId114" Type="http://schemas.openxmlformats.org/officeDocument/2006/relationships/hyperlink" Target="https://www.sciencedirect.com/science/article/pii/S004896971935082X?via%3Dihub" TargetMode="External"/><Relationship Id="rId119" Type="http://schemas.openxmlformats.org/officeDocument/2006/relationships/hyperlink" Target="https://www.sciencedirect.com/science/article/pii/S004896971935082X?via%3Dihub" TargetMode="External"/><Relationship Id="rId44" Type="http://schemas.openxmlformats.org/officeDocument/2006/relationships/hyperlink" Target="https://www.sciencedirect.com/science/article/pii/S004896971935082X?via%3Dihub" TargetMode="External"/><Relationship Id="rId60" Type="http://schemas.openxmlformats.org/officeDocument/2006/relationships/hyperlink" Target="https://www.sciencedirect.com/science/article/pii/S004896971935082X?via%3Dihub" TargetMode="External"/><Relationship Id="rId65" Type="http://schemas.openxmlformats.org/officeDocument/2006/relationships/hyperlink" Target="https://www.sciencedirect.com/science/article/pii/S004896971935082X?via%3Dihub" TargetMode="External"/><Relationship Id="rId81" Type="http://schemas.openxmlformats.org/officeDocument/2006/relationships/hyperlink" Target="https://www.sciencedirect.com/science/article/pii/S004896971935082X?via%3Dihub" TargetMode="External"/><Relationship Id="rId86" Type="http://schemas.openxmlformats.org/officeDocument/2006/relationships/hyperlink" Target="https://www.sciencedirect.com/science/article/pii/S004896971935082X?via%3Dihub" TargetMode="External"/><Relationship Id="rId130" Type="http://schemas.openxmlformats.org/officeDocument/2006/relationships/hyperlink" Target="https://www.sciencedirect.com/science/article/pii/S004896971935082X?via%3Dihub" TargetMode="External"/><Relationship Id="rId135" Type="http://schemas.openxmlformats.org/officeDocument/2006/relationships/hyperlink" Target="https://www.sciencedirect.com/science/article/pii/S004896971935082X?via%3Dihub" TargetMode="External"/><Relationship Id="rId151" Type="http://schemas.openxmlformats.org/officeDocument/2006/relationships/hyperlink" Target="https://www.sciencedirect.com/science/article/pii/S004896971935082X?via%3Dihub" TargetMode="External"/><Relationship Id="rId13" Type="http://schemas.openxmlformats.org/officeDocument/2006/relationships/hyperlink" Target="https://www.sciencedirect.com/science/article/pii/S1364032122003471?via=ihub" TargetMode="External"/><Relationship Id="rId18" Type="http://schemas.openxmlformats.org/officeDocument/2006/relationships/hyperlink" Target="https://www.sciencedirect.com/science/article/pii/S001085452300382X?via%3Dihub" TargetMode="External"/><Relationship Id="rId39" Type="http://schemas.openxmlformats.org/officeDocument/2006/relationships/hyperlink" Target="https://www.sciencedirect.com/science/article/pii/S004896971935082X?via%3Dihub" TargetMode="External"/><Relationship Id="rId109" Type="http://schemas.openxmlformats.org/officeDocument/2006/relationships/hyperlink" Target="https://www.sciencedirect.com/science/article/pii/S004896971935082X?via%3Dihub" TargetMode="External"/><Relationship Id="rId34" Type="http://schemas.openxmlformats.org/officeDocument/2006/relationships/hyperlink" Target="https://www.sciencedirect.com/science/article/pii/S001085452300382X?via%3Dihub" TargetMode="External"/><Relationship Id="rId50" Type="http://schemas.openxmlformats.org/officeDocument/2006/relationships/hyperlink" Target="https://www.sciencedirect.com/science/article/pii/S004896971935082X?via%3Dihub" TargetMode="External"/><Relationship Id="rId55" Type="http://schemas.openxmlformats.org/officeDocument/2006/relationships/hyperlink" Target="https://www.sciencedirect.com/science/article/pii/S004896971935082X?via%3Dihub" TargetMode="External"/><Relationship Id="rId76" Type="http://schemas.openxmlformats.org/officeDocument/2006/relationships/hyperlink" Target="https://www.sciencedirect.com/science/article/pii/S004896971935082X?via%3Dihub" TargetMode="External"/><Relationship Id="rId97" Type="http://schemas.openxmlformats.org/officeDocument/2006/relationships/hyperlink" Target="https://www.sciencedirect.com/science/article/pii/S004896971935082X?via%3Dihub" TargetMode="External"/><Relationship Id="rId104" Type="http://schemas.openxmlformats.org/officeDocument/2006/relationships/hyperlink" Target="https://www.sciencedirect.com/science/article/pii/S004896971935082X?via%3Dihub" TargetMode="External"/><Relationship Id="rId120" Type="http://schemas.openxmlformats.org/officeDocument/2006/relationships/hyperlink" Target="https://www.sciencedirect.com/science/article/pii/S004896971935082X?via%3Dihub" TargetMode="External"/><Relationship Id="rId125" Type="http://schemas.openxmlformats.org/officeDocument/2006/relationships/hyperlink" Target="https://www.sciencedirect.com/science/article/pii/S004896971935082X?via%3Dihub" TargetMode="External"/><Relationship Id="rId141" Type="http://schemas.openxmlformats.org/officeDocument/2006/relationships/hyperlink" Target="https://www.sciencedirect.com/science/article/pii/S004896971935082X?via%3Dihub" TargetMode="External"/><Relationship Id="rId146" Type="http://schemas.openxmlformats.org/officeDocument/2006/relationships/hyperlink" Target="https://www.sciencedirect.com/science/article/pii/S004896971935082X?via%3Dihub" TargetMode="External"/><Relationship Id="rId7" Type="http://schemas.openxmlformats.org/officeDocument/2006/relationships/hyperlink" Target="https://www.sciencedirect.com/science/article/pii/S1364032122003471?via=ihub" TargetMode="External"/><Relationship Id="rId71" Type="http://schemas.openxmlformats.org/officeDocument/2006/relationships/hyperlink" Target="https://www.sciencedirect.com/science/article/pii/S004896971935082X?via%3Dihub" TargetMode="External"/><Relationship Id="rId92" Type="http://schemas.openxmlformats.org/officeDocument/2006/relationships/hyperlink" Target="https://www.sciencedirect.com/science/article/pii/S004896971935082X?via%3Dihub" TargetMode="External"/><Relationship Id="rId2" Type="http://schemas.openxmlformats.org/officeDocument/2006/relationships/hyperlink" Target="https://www.sciencedirect.com/science/article/pii/S1364032122003471?via=ihub" TargetMode="External"/><Relationship Id="rId29" Type="http://schemas.openxmlformats.org/officeDocument/2006/relationships/hyperlink" Target="https://www.sciencedirect.com/science/article/pii/S001085452300382X?via%3Dihub" TargetMode="External"/><Relationship Id="rId24" Type="http://schemas.openxmlformats.org/officeDocument/2006/relationships/hyperlink" Target="https://www.sciencedirect.com/science/article/pii/S001085452300382X?via%3Dihub" TargetMode="External"/><Relationship Id="rId40" Type="http://schemas.openxmlformats.org/officeDocument/2006/relationships/hyperlink" Target="https://www.sciencedirect.com/science/article/pii/S004896971935082X?via%3Dihub" TargetMode="External"/><Relationship Id="rId45" Type="http://schemas.openxmlformats.org/officeDocument/2006/relationships/hyperlink" Target="https://www.sciencedirect.com/science/article/pii/S004896971935082X?via%3Dihub" TargetMode="External"/><Relationship Id="rId66" Type="http://schemas.openxmlformats.org/officeDocument/2006/relationships/hyperlink" Target="https://www.sciencedirect.com/science/article/pii/S004896971935082X?via%3Dihub" TargetMode="External"/><Relationship Id="rId87" Type="http://schemas.openxmlformats.org/officeDocument/2006/relationships/hyperlink" Target="https://www.sciencedirect.com/science/article/pii/S004896971935082X?via%3Dihub" TargetMode="External"/><Relationship Id="rId110" Type="http://schemas.openxmlformats.org/officeDocument/2006/relationships/hyperlink" Target="https://www.sciencedirect.com/science/article/pii/S004896971935082X?via%3Dihub" TargetMode="External"/><Relationship Id="rId115" Type="http://schemas.openxmlformats.org/officeDocument/2006/relationships/hyperlink" Target="https://www.sciencedirect.com/science/article/pii/S004896971935082X?via%3Dihub" TargetMode="External"/><Relationship Id="rId131" Type="http://schemas.openxmlformats.org/officeDocument/2006/relationships/hyperlink" Target="https://www.sciencedirect.com/science/article/pii/S004896971935082X?via%3Dihub" TargetMode="External"/><Relationship Id="rId136" Type="http://schemas.openxmlformats.org/officeDocument/2006/relationships/hyperlink" Target="https://www.sciencedirect.com/science/article/pii/S004896971935082X?via%3Dihub" TargetMode="External"/><Relationship Id="rId61" Type="http://schemas.openxmlformats.org/officeDocument/2006/relationships/hyperlink" Target="https://www.sciencedirect.com/science/article/pii/S004896971935082X?via%3Dihub" TargetMode="External"/><Relationship Id="rId82" Type="http://schemas.openxmlformats.org/officeDocument/2006/relationships/hyperlink" Target="https://www.sciencedirect.com/science/article/pii/S004896971935082X?via%3Dihub" TargetMode="External"/><Relationship Id="rId152" Type="http://schemas.openxmlformats.org/officeDocument/2006/relationships/hyperlink" Target="https://www.sciencedirect.com/science/article/pii/S1364032122003471?via%3Dihub" TargetMode="External"/><Relationship Id="rId19" Type="http://schemas.openxmlformats.org/officeDocument/2006/relationships/hyperlink" Target="https://www.sciencedirect.com/science/article/pii/S001085452300382X?via%3Dihub" TargetMode="External"/><Relationship Id="rId14" Type="http://schemas.openxmlformats.org/officeDocument/2006/relationships/hyperlink" Target="https://www.sciencedirect.com/science/article/pii/S001085452300382X?via%3Dihub" TargetMode="External"/><Relationship Id="rId30" Type="http://schemas.openxmlformats.org/officeDocument/2006/relationships/hyperlink" Target="https://www.sciencedirect.com/science/article/pii/S001085452300382X?via%3Dihub" TargetMode="External"/><Relationship Id="rId35" Type="http://schemas.openxmlformats.org/officeDocument/2006/relationships/hyperlink" Target="https://www.sciencedirect.com/science/article/pii/S001085452300382X?via%3Dihub" TargetMode="External"/><Relationship Id="rId56" Type="http://schemas.openxmlformats.org/officeDocument/2006/relationships/hyperlink" Target="https://www.sciencedirect.com/science/article/pii/S004896971935082X?via%3Dihub" TargetMode="External"/><Relationship Id="rId77" Type="http://schemas.openxmlformats.org/officeDocument/2006/relationships/hyperlink" Target="https://www.sciencedirect.com/science/article/pii/S004896971935082X?via%3Dihub" TargetMode="External"/><Relationship Id="rId100" Type="http://schemas.openxmlformats.org/officeDocument/2006/relationships/hyperlink" Target="https://www.sciencedirect.com/science/article/pii/S004896971935082X?via%3Dihub" TargetMode="External"/><Relationship Id="rId105" Type="http://schemas.openxmlformats.org/officeDocument/2006/relationships/hyperlink" Target="https://www.sciencedirect.com/science/article/pii/S004896971935082X?via%3Dihub" TargetMode="External"/><Relationship Id="rId126" Type="http://schemas.openxmlformats.org/officeDocument/2006/relationships/hyperlink" Target="https://www.sciencedirect.com/science/article/pii/S004896971935082X?via%3Dihub" TargetMode="External"/><Relationship Id="rId147" Type="http://schemas.openxmlformats.org/officeDocument/2006/relationships/hyperlink" Target="https://www.sciencedirect.com/science/article/pii/S004896971935082X?via%3Dihub" TargetMode="External"/><Relationship Id="rId8" Type="http://schemas.openxmlformats.org/officeDocument/2006/relationships/hyperlink" Target="https://www.sciencedirect.com/science/article/pii/S1364032122003471?via=ihub" TargetMode="External"/><Relationship Id="rId51" Type="http://schemas.openxmlformats.org/officeDocument/2006/relationships/hyperlink" Target="https://www.sciencedirect.com/science/article/pii/S004896971935082X?via%3Dihub" TargetMode="External"/><Relationship Id="rId72" Type="http://schemas.openxmlformats.org/officeDocument/2006/relationships/hyperlink" Target="https://www.sciencedirect.com/science/article/pii/S004896971935082X?via%3Dihub" TargetMode="External"/><Relationship Id="rId93" Type="http://schemas.openxmlformats.org/officeDocument/2006/relationships/hyperlink" Target="https://www.sciencedirect.com/science/article/pii/S004896971935082X?via%3Dihub" TargetMode="External"/><Relationship Id="rId98" Type="http://schemas.openxmlformats.org/officeDocument/2006/relationships/hyperlink" Target="https://www.sciencedirect.com/science/article/pii/S004896971935082X?via%3Dihub" TargetMode="External"/><Relationship Id="rId121" Type="http://schemas.openxmlformats.org/officeDocument/2006/relationships/hyperlink" Target="https://www.sciencedirect.com/science/article/pii/S004896971935082X?via%3Dihub" TargetMode="External"/><Relationship Id="rId142" Type="http://schemas.openxmlformats.org/officeDocument/2006/relationships/hyperlink" Target="https://www.sciencedirect.com/science/article/pii/S004896971935082X?via%3Dihub" TargetMode="External"/><Relationship Id="rId3" Type="http://schemas.openxmlformats.org/officeDocument/2006/relationships/hyperlink" Target="https://www.sciencedirect.com/science/article/pii/S1364032122003471?via=ihub" TargetMode="External"/><Relationship Id="rId25" Type="http://schemas.openxmlformats.org/officeDocument/2006/relationships/hyperlink" Target="https://www.sciencedirect.com/science/article/pii/S001085452300382X?via%3Dihub" TargetMode="External"/><Relationship Id="rId46" Type="http://schemas.openxmlformats.org/officeDocument/2006/relationships/hyperlink" Target="https://www.sciencedirect.com/science/article/pii/S004896971935082X?via%3Dihub" TargetMode="External"/><Relationship Id="rId67" Type="http://schemas.openxmlformats.org/officeDocument/2006/relationships/hyperlink" Target="https://www.sciencedirect.com/science/article/pii/S004896971935082X?via%3Dihub" TargetMode="External"/><Relationship Id="rId116" Type="http://schemas.openxmlformats.org/officeDocument/2006/relationships/hyperlink" Target="https://www.sciencedirect.com/science/article/pii/S004896971935082X?via%3Dihub" TargetMode="External"/><Relationship Id="rId137" Type="http://schemas.openxmlformats.org/officeDocument/2006/relationships/hyperlink" Target="https://www.sciencedirect.com/science/article/pii/S004896971935082X?via%3Dihub" TargetMode="External"/><Relationship Id="rId20" Type="http://schemas.openxmlformats.org/officeDocument/2006/relationships/hyperlink" Target="https://www.sciencedirect.com/science/article/pii/S001085452300382X?via%3Dihub" TargetMode="External"/><Relationship Id="rId41" Type="http://schemas.openxmlformats.org/officeDocument/2006/relationships/hyperlink" Target="https://www.sciencedirect.com/science/article/pii/S004896971935082X?via%3Dihub" TargetMode="External"/><Relationship Id="rId62" Type="http://schemas.openxmlformats.org/officeDocument/2006/relationships/hyperlink" Target="https://www.sciencedirect.com/science/article/pii/S004896971935082X?via%3Dihub" TargetMode="External"/><Relationship Id="rId83" Type="http://schemas.openxmlformats.org/officeDocument/2006/relationships/hyperlink" Target="https://www.sciencedirect.com/science/article/pii/S004896971935082X?via%3Dihub" TargetMode="External"/><Relationship Id="rId88" Type="http://schemas.openxmlformats.org/officeDocument/2006/relationships/hyperlink" Target="https://www.sciencedirect.com/science/article/pii/S004896971935082X?via%3Dihub" TargetMode="External"/><Relationship Id="rId111" Type="http://schemas.openxmlformats.org/officeDocument/2006/relationships/hyperlink" Target="https://www.sciencedirect.com/science/article/pii/S004896971935082X?via%3Dihub" TargetMode="External"/><Relationship Id="rId132" Type="http://schemas.openxmlformats.org/officeDocument/2006/relationships/hyperlink" Target="https://www.sciencedirect.com/science/article/pii/S004896971935082X?via%3Dihub" TargetMode="External"/><Relationship Id="rId153" Type="http://schemas.openxmlformats.org/officeDocument/2006/relationships/hyperlink" Target="https://www.sciencedirect.com/science/article/pii/S001085452300382X?via%3Dihub" TargetMode="External"/><Relationship Id="rId15" Type="http://schemas.openxmlformats.org/officeDocument/2006/relationships/hyperlink" Target="https://www.sciencedirect.com/science/article/pii/S001085452300382X?via%3Dihub" TargetMode="External"/><Relationship Id="rId36" Type="http://schemas.openxmlformats.org/officeDocument/2006/relationships/hyperlink" Target="https://www.sciencedirect.com/science/article/pii/S001085452300382X?via%3Dihub" TargetMode="External"/><Relationship Id="rId57" Type="http://schemas.openxmlformats.org/officeDocument/2006/relationships/hyperlink" Target="https://www.sciencedirect.com/science/article/pii/S004896971935082X?via%3Dihub" TargetMode="External"/><Relationship Id="rId106" Type="http://schemas.openxmlformats.org/officeDocument/2006/relationships/hyperlink" Target="https://www.sciencedirect.com/science/article/pii/S004896971935082X?via%3Dihub" TargetMode="External"/><Relationship Id="rId127" Type="http://schemas.openxmlformats.org/officeDocument/2006/relationships/hyperlink" Target="https://www.sciencedirect.com/science/article/pii/S004896971935082X?via%3Dihub" TargetMode="External"/><Relationship Id="rId10" Type="http://schemas.openxmlformats.org/officeDocument/2006/relationships/hyperlink" Target="https://www.sciencedirect.com/science/article/pii/S1364032122003471?via=ihub" TargetMode="External"/><Relationship Id="rId31" Type="http://schemas.openxmlformats.org/officeDocument/2006/relationships/hyperlink" Target="https://www.sciencedirect.com/science/article/pii/S001085452300382X?via%3Dihub" TargetMode="External"/><Relationship Id="rId52" Type="http://schemas.openxmlformats.org/officeDocument/2006/relationships/hyperlink" Target="https://www.sciencedirect.com/science/article/pii/S004896971935082X?via%3Dihub" TargetMode="External"/><Relationship Id="rId73" Type="http://schemas.openxmlformats.org/officeDocument/2006/relationships/hyperlink" Target="https://www.sciencedirect.com/science/article/pii/S004896971935082X?via%3Dihub" TargetMode="External"/><Relationship Id="rId78" Type="http://schemas.openxmlformats.org/officeDocument/2006/relationships/hyperlink" Target="https://www.sciencedirect.com/science/article/pii/S004896971935082X?via%3Dihub" TargetMode="External"/><Relationship Id="rId94" Type="http://schemas.openxmlformats.org/officeDocument/2006/relationships/hyperlink" Target="https://www.sciencedirect.com/science/article/pii/S004896971935082X?via%3Dihub" TargetMode="External"/><Relationship Id="rId99" Type="http://schemas.openxmlformats.org/officeDocument/2006/relationships/hyperlink" Target="https://www.sciencedirect.com/science/article/pii/S004896971935082X?via%3Dihub" TargetMode="External"/><Relationship Id="rId101" Type="http://schemas.openxmlformats.org/officeDocument/2006/relationships/hyperlink" Target="https://www.sciencedirect.com/science/article/pii/S004896971935082X?via%3Dihub" TargetMode="External"/><Relationship Id="rId122" Type="http://schemas.openxmlformats.org/officeDocument/2006/relationships/hyperlink" Target="https://www.sciencedirect.com/science/article/pii/S004896971935082X?via%3Dihub" TargetMode="External"/><Relationship Id="rId143" Type="http://schemas.openxmlformats.org/officeDocument/2006/relationships/hyperlink" Target="https://www.sciencedirect.com/science/article/pii/S004896971935082X?via%3Dihub" TargetMode="External"/><Relationship Id="rId148" Type="http://schemas.openxmlformats.org/officeDocument/2006/relationships/hyperlink" Target="https://www.sciencedirect.com/science/article/pii/S004896971935082X?via%3Dihub" TargetMode="External"/><Relationship Id="rId4" Type="http://schemas.openxmlformats.org/officeDocument/2006/relationships/hyperlink" Target="https://www.sciencedirect.com/science/article/pii/S1364032122003471?via=ihub" TargetMode="External"/><Relationship Id="rId9" Type="http://schemas.openxmlformats.org/officeDocument/2006/relationships/hyperlink" Target="https://www.sciencedirect.com/science/article/pii/S1364032122003471?via=ihub" TargetMode="External"/><Relationship Id="rId26" Type="http://schemas.openxmlformats.org/officeDocument/2006/relationships/hyperlink" Target="https://www.sciencedirect.com/science/article/pii/S001085452300382X?via%3Dihub" TargetMode="External"/><Relationship Id="rId47" Type="http://schemas.openxmlformats.org/officeDocument/2006/relationships/hyperlink" Target="https://www.sciencedirect.com/science/article/pii/S004896971935082X?via%3Dihub" TargetMode="External"/><Relationship Id="rId68" Type="http://schemas.openxmlformats.org/officeDocument/2006/relationships/hyperlink" Target="https://www.sciencedirect.com/science/article/pii/S004896971935082X?via%3Dihub" TargetMode="External"/><Relationship Id="rId89" Type="http://schemas.openxmlformats.org/officeDocument/2006/relationships/hyperlink" Target="https://www.sciencedirect.com/science/article/pii/S004896971935082X?via%3Dihub" TargetMode="External"/><Relationship Id="rId112" Type="http://schemas.openxmlformats.org/officeDocument/2006/relationships/hyperlink" Target="https://www.sciencedirect.com/science/article/pii/S004896971935082X?via%3Dihub" TargetMode="External"/><Relationship Id="rId133" Type="http://schemas.openxmlformats.org/officeDocument/2006/relationships/hyperlink" Target="https://www.sciencedirect.com/science/article/pii/S004896971935082X?via%3Dihub" TargetMode="External"/><Relationship Id="rId154" Type="http://schemas.openxmlformats.org/officeDocument/2006/relationships/hyperlink" Target="mailto:Li+@PAA@UiO-66" TargetMode="External"/><Relationship Id="rId16" Type="http://schemas.openxmlformats.org/officeDocument/2006/relationships/hyperlink" Target="https://www.sciencedirect.com/science/article/pii/S001085452300382X?via%3Dihub" TargetMode="External"/><Relationship Id="rId37" Type="http://schemas.openxmlformats.org/officeDocument/2006/relationships/hyperlink" Target="https://www.sciencedirect.com/science/article/pii/S004896971935082X?via%3Dihub" TargetMode="External"/><Relationship Id="rId58" Type="http://schemas.openxmlformats.org/officeDocument/2006/relationships/hyperlink" Target="https://www.sciencedirect.com/science/article/pii/S004896971935082X?via%3Dihub" TargetMode="External"/><Relationship Id="rId79" Type="http://schemas.openxmlformats.org/officeDocument/2006/relationships/hyperlink" Target="https://www.sciencedirect.com/science/article/pii/S004896971935082X?via%3Dihub" TargetMode="External"/><Relationship Id="rId102" Type="http://schemas.openxmlformats.org/officeDocument/2006/relationships/hyperlink" Target="https://www.sciencedirect.com/science/article/pii/S004896971935082X?via%3Dihub" TargetMode="External"/><Relationship Id="rId123" Type="http://schemas.openxmlformats.org/officeDocument/2006/relationships/hyperlink" Target="https://www.sciencedirect.com/science/article/pii/S004896971935082X?via%3Dihub" TargetMode="External"/><Relationship Id="rId144" Type="http://schemas.openxmlformats.org/officeDocument/2006/relationships/hyperlink" Target="https://www.sciencedirect.com/science/article/pii/S004896971935082X?via%3Dihub" TargetMode="External"/><Relationship Id="rId90" Type="http://schemas.openxmlformats.org/officeDocument/2006/relationships/hyperlink" Target="https://www.sciencedirect.com/science/article/pii/S004896971935082X?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A787-D5F1-B348-9382-3F4168CAEC90}">
  <dimension ref="B2:AA1427"/>
  <sheetViews>
    <sheetView topLeftCell="J1" zoomScale="86" zoomScaleNormal="67" workbookViewId="0">
      <selection activeCell="N6" sqref="N6"/>
    </sheetView>
  </sheetViews>
  <sheetFormatPr baseColWidth="10" defaultColWidth="10.83203125" defaultRowHeight="16" x14ac:dyDescent="0.2"/>
  <cols>
    <col min="1" max="1" width="10.83203125" style="9"/>
    <col min="2" max="2" width="12" style="7" customWidth="1"/>
    <col min="3" max="3" width="56" style="9" bestFit="1" customWidth="1"/>
    <col min="4" max="4" width="28.6640625" style="9" bestFit="1" customWidth="1"/>
    <col min="5" max="5" width="38.6640625" style="9" bestFit="1" customWidth="1"/>
    <col min="6" max="6" width="78.83203125" style="9" bestFit="1" customWidth="1"/>
    <col min="7" max="7" width="53.33203125" style="9" customWidth="1"/>
    <col min="8" max="8" width="18.83203125" style="9" bestFit="1" customWidth="1"/>
    <col min="9" max="9" width="46" style="9" bestFit="1" customWidth="1"/>
    <col min="10" max="10" width="57.83203125" style="9" customWidth="1"/>
    <col min="11" max="11" width="37.6640625" style="9" customWidth="1"/>
    <col min="12" max="12" width="35.1640625" style="9" customWidth="1"/>
    <col min="13" max="13" width="23.83203125" style="9" bestFit="1" customWidth="1"/>
    <col min="14" max="14" width="27.1640625" style="9" bestFit="1" customWidth="1"/>
    <col min="15" max="15" width="28.5" style="9" bestFit="1" customWidth="1"/>
    <col min="16" max="16" width="30.5" style="9" bestFit="1" customWidth="1"/>
    <col min="17" max="17" width="33.1640625" style="9" bestFit="1" customWidth="1"/>
    <col min="18" max="18" width="40.6640625" style="9" bestFit="1" customWidth="1"/>
    <col min="19" max="19" width="30.33203125" style="9" bestFit="1" customWidth="1"/>
    <col min="20" max="20" width="51.5" style="9" bestFit="1" customWidth="1"/>
    <col min="21" max="21" width="68.5" style="9" bestFit="1" customWidth="1"/>
    <col min="22" max="22" width="34.1640625" style="23" customWidth="1"/>
    <col min="23" max="23" width="88.83203125" style="9" bestFit="1" customWidth="1"/>
    <col min="24" max="24" width="248.1640625" style="9" bestFit="1" customWidth="1"/>
    <col min="25" max="25" width="21.1640625" style="9" bestFit="1" customWidth="1"/>
    <col min="26" max="26" width="56.1640625" style="9" bestFit="1" customWidth="1"/>
    <col min="27" max="27" width="22.1640625" style="9" bestFit="1" customWidth="1"/>
    <col min="28" max="16384" width="10.83203125" style="9"/>
  </cols>
  <sheetData>
    <row r="2" spans="2:22" ht="24" x14ac:dyDescent="0.3">
      <c r="C2" s="137" t="s">
        <v>0</v>
      </c>
      <c r="D2" s="137"/>
      <c r="E2" s="137"/>
      <c r="F2" s="137"/>
      <c r="G2" s="137"/>
      <c r="H2" s="137"/>
      <c r="I2" s="137"/>
      <c r="K2" s="10"/>
    </row>
    <row r="3" spans="2:22" ht="24" x14ac:dyDescent="0.3">
      <c r="C3" s="1" t="s">
        <v>1</v>
      </c>
      <c r="D3" s="1" t="s">
        <v>2</v>
      </c>
      <c r="E3" s="1" t="s">
        <v>3</v>
      </c>
      <c r="F3" s="1" t="s">
        <v>4</v>
      </c>
      <c r="G3" s="2"/>
      <c r="H3" s="2"/>
      <c r="I3" s="1"/>
      <c r="K3" s="10" t="s">
        <v>5</v>
      </c>
    </row>
    <row r="4" spans="2:22" x14ac:dyDescent="0.2">
      <c r="C4" s="2">
        <v>1</v>
      </c>
      <c r="D4" s="2" t="s">
        <v>6</v>
      </c>
      <c r="E4" s="2" t="s">
        <v>7</v>
      </c>
      <c r="F4" s="2"/>
      <c r="G4" s="2"/>
      <c r="H4" s="2"/>
      <c r="I4" s="2"/>
    </row>
    <row r="5" spans="2:22" x14ac:dyDescent="0.2">
      <c r="C5" s="2">
        <v>2</v>
      </c>
      <c r="D5" s="2" t="s">
        <v>8</v>
      </c>
      <c r="E5" s="2" t="s">
        <v>9</v>
      </c>
      <c r="F5" s="2"/>
      <c r="G5" s="2"/>
      <c r="H5" s="2"/>
      <c r="I5" s="2"/>
    </row>
    <row r="6" spans="2:22" ht="24" x14ac:dyDescent="0.3">
      <c r="C6" s="2">
        <v>3</v>
      </c>
      <c r="D6" s="2" t="s">
        <v>10</v>
      </c>
      <c r="E6" s="2" t="s">
        <v>11</v>
      </c>
      <c r="F6" s="2" t="s">
        <v>12</v>
      </c>
      <c r="G6" s="2"/>
      <c r="H6" s="2"/>
      <c r="I6" s="2"/>
      <c r="J6" s="20"/>
      <c r="K6" s="21" t="s">
        <v>13</v>
      </c>
      <c r="L6" s="20"/>
    </row>
    <row r="7" spans="2:22" ht="24" x14ac:dyDescent="0.3">
      <c r="C7" s="2"/>
      <c r="D7" s="2"/>
      <c r="E7" s="2"/>
      <c r="F7" s="2"/>
      <c r="G7" s="2"/>
      <c r="H7" s="2"/>
      <c r="I7" s="2"/>
      <c r="J7" s="20"/>
      <c r="K7" s="21" t="s">
        <v>14</v>
      </c>
      <c r="L7" s="20"/>
    </row>
    <row r="8" spans="2:22" x14ac:dyDescent="0.2">
      <c r="C8" s="2">
        <v>4</v>
      </c>
      <c r="D8" s="2" t="s">
        <v>15</v>
      </c>
      <c r="E8" s="2"/>
      <c r="F8" s="2"/>
      <c r="G8" s="2"/>
      <c r="H8" s="2"/>
      <c r="I8" s="2"/>
    </row>
    <row r="10" spans="2:22" s="19" customFormat="1" x14ac:dyDescent="0.2">
      <c r="B10" s="39"/>
      <c r="V10" s="31"/>
    </row>
    <row r="11" spans="2:22" ht="24" x14ac:dyDescent="0.3">
      <c r="B11" s="8" t="s">
        <v>16</v>
      </c>
      <c r="J11" s="36" t="s">
        <v>17</v>
      </c>
    </row>
    <row r="12" spans="2:22" ht="24" x14ac:dyDescent="0.3">
      <c r="C12" s="10" t="s">
        <v>18</v>
      </c>
      <c r="D12" s="10" t="s">
        <v>6907</v>
      </c>
      <c r="E12" s="10" t="s">
        <v>6926</v>
      </c>
      <c r="F12" s="10" t="s">
        <v>6909</v>
      </c>
      <c r="G12" s="10" t="s">
        <v>19</v>
      </c>
      <c r="H12" s="10" t="s">
        <v>20</v>
      </c>
      <c r="I12" s="10" t="s">
        <v>21</v>
      </c>
      <c r="J12" s="10" t="s">
        <v>22</v>
      </c>
      <c r="K12" s="10" t="s">
        <v>23</v>
      </c>
      <c r="L12" s="10" t="s">
        <v>24</v>
      </c>
      <c r="M12" s="10" t="s">
        <v>25</v>
      </c>
      <c r="N12" s="10" t="s">
        <v>26</v>
      </c>
      <c r="O12" s="10" t="s">
        <v>27</v>
      </c>
      <c r="P12" s="10" t="s">
        <v>28</v>
      </c>
      <c r="Q12" s="10" t="s">
        <v>29</v>
      </c>
      <c r="R12" s="10" t="s">
        <v>30</v>
      </c>
      <c r="S12" s="10" t="s">
        <v>31</v>
      </c>
      <c r="T12" s="10" t="s">
        <v>32</v>
      </c>
      <c r="U12" s="8" t="s">
        <v>33</v>
      </c>
      <c r="V12" s="9"/>
    </row>
    <row r="13" spans="2:22" ht="65" x14ac:dyDescent="0.25">
      <c r="C13" s="3" t="s">
        <v>34</v>
      </c>
      <c r="D13" s="4" t="str">
        <f>IFERROR(INDEX(Table_S12!$A$4:$A$324, MATCH(C13, Table_S12!$B$4:$B$324, 0)), "CSD Code Not Found")</f>
        <v>CSD Code Not Found</v>
      </c>
      <c r="E13" s="4" t="s">
        <v>123</v>
      </c>
      <c r="F13" s="4"/>
      <c r="G13" s="3">
        <v>7.4</v>
      </c>
      <c r="H13" s="4" t="s">
        <v>35</v>
      </c>
      <c r="I13" s="3">
        <f>G13</f>
        <v>7.4</v>
      </c>
      <c r="J13" s="4" t="s">
        <v>36</v>
      </c>
      <c r="K13" s="4"/>
      <c r="L13" s="3">
        <v>298</v>
      </c>
      <c r="M13" s="171" t="s">
        <v>37</v>
      </c>
      <c r="N13" s="3" t="s">
        <v>38</v>
      </c>
      <c r="O13" s="3" t="s">
        <v>38</v>
      </c>
      <c r="P13" s="4" t="s">
        <v>123</v>
      </c>
      <c r="Q13" s="4" t="s">
        <v>123</v>
      </c>
      <c r="R13" s="5" t="s">
        <v>39</v>
      </c>
      <c r="S13" s="4">
        <v>2</v>
      </c>
      <c r="T13" s="4" t="s">
        <v>40</v>
      </c>
      <c r="U13" s="121" t="s">
        <v>6896</v>
      </c>
      <c r="V13" s="9"/>
    </row>
    <row r="14" spans="2:22" ht="19" x14ac:dyDescent="0.25">
      <c r="C14" s="3" t="s">
        <v>41</v>
      </c>
      <c r="D14" s="4" t="str">
        <f>IFERROR(INDEX(Table_S12!$A$4:$A$324, MATCH(C14, Table_S12!$B$4:$B$324, 0)), "CSD Code Not Found")</f>
        <v>CSD Code Not Found</v>
      </c>
      <c r="E14" s="4" t="s">
        <v>6927</v>
      </c>
      <c r="F14" s="4"/>
      <c r="G14" s="4">
        <v>3.2</v>
      </c>
      <c r="H14" s="4" t="s">
        <v>35</v>
      </c>
      <c r="I14" s="3">
        <f t="shared" ref="I14:I37" si="0">G14</f>
        <v>3.2</v>
      </c>
      <c r="J14" s="4" t="s">
        <v>36</v>
      </c>
      <c r="K14" s="4"/>
      <c r="L14" s="3">
        <v>298</v>
      </c>
      <c r="M14" s="171" t="s">
        <v>37</v>
      </c>
      <c r="N14" s="3">
        <v>345</v>
      </c>
      <c r="O14" s="3" t="s">
        <v>123</v>
      </c>
      <c r="P14" s="4" t="s">
        <v>123</v>
      </c>
      <c r="Q14" s="4" t="s">
        <v>123</v>
      </c>
      <c r="R14" s="4"/>
      <c r="S14" s="4">
        <v>2</v>
      </c>
      <c r="T14" s="4"/>
      <c r="U14" s="16" t="s">
        <v>6914</v>
      </c>
      <c r="V14" s="9"/>
    </row>
    <row r="15" spans="2:22" ht="19" x14ac:dyDescent="0.25">
      <c r="C15" s="3" t="s">
        <v>6928</v>
      </c>
      <c r="D15" s="4" t="str">
        <f>IFERROR(INDEX(Table_S12!$A$4:$A$324, MATCH(C15, Table_S12!$B$4:$B$324, 0)), "CSD Code Not Found")</f>
        <v>CSD Code Not Found</v>
      </c>
      <c r="E15" s="4" t="s">
        <v>6929</v>
      </c>
      <c r="F15" s="4"/>
      <c r="G15" s="4">
        <v>10.4</v>
      </c>
      <c r="H15" s="4" t="s">
        <v>35</v>
      </c>
      <c r="I15" s="3">
        <f t="shared" si="0"/>
        <v>10.4</v>
      </c>
      <c r="J15" s="4" t="s">
        <v>36</v>
      </c>
      <c r="K15" s="4"/>
      <c r="L15" s="3">
        <v>298</v>
      </c>
      <c r="M15" s="171" t="s">
        <v>37</v>
      </c>
      <c r="N15" s="3">
        <v>816</v>
      </c>
      <c r="O15" s="3" t="s">
        <v>123</v>
      </c>
      <c r="P15" s="4" t="s">
        <v>123</v>
      </c>
      <c r="Q15" s="4" t="s">
        <v>123</v>
      </c>
      <c r="R15" s="4"/>
      <c r="S15" s="4">
        <v>2</v>
      </c>
      <c r="T15" s="4"/>
      <c r="U15" s="16" t="s">
        <v>6914</v>
      </c>
      <c r="V15" s="9"/>
    </row>
    <row r="16" spans="2:22" ht="19" x14ac:dyDescent="0.25">
      <c r="C16" s="3" t="s">
        <v>42</v>
      </c>
      <c r="D16" s="4" t="str">
        <f>IFERROR(INDEX(Table_S12!$A$4:$A$324, MATCH(C16, Table_S12!$B$4:$B$324, 0)), "CSD Code Not Found")</f>
        <v>CSD Code Not Found</v>
      </c>
      <c r="E16" s="4" t="s">
        <v>6930</v>
      </c>
      <c r="F16" s="4"/>
      <c r="G16" s="4">
        <v>10.199999999999999</v>
      </c>
      <c r="H16" s="4" t="s">
        <v>35</v>
      </c>
      <c r="I16" s="3">
        <f t="shared" si="0"/>
        <v>10.199999999999999</v>
      </c>
      <c r="J16" s="4" t="s">
        <v>36</v>
      </c>
      <c r="K16" s="4"/>
      <c r="L16" s="3">
        <v>298</v>
      </c>
      <c r="M16" s="171" t="s">
        <v>37</v>
      </c>
      <c r="N16" s="3">
        <v>1547</v>
      </c>
      <c r="O16" s="3" t="s">
        <v>123</v>
      </c>
      <c r="P16" s="4" t="s">
        <v>123</v>
      </c>
      <c r="Q16" s="4" t="s">
        <v>123</v>
      </c>
      <c r="R16" s="4"/>
      <c r="S16" s="4">
        <v>2</v>
      </c>
      <c r="T16" s="4"/>
      <c r="U16" s="16" t="s">
        <v>6914</v>
      </c>
      <c r="V16" s="9"/>
    </row>
    <row r="17" spans="3:22" ht="19" x14ac:dyDescent="0.25">
      <c r="C17" s="3" t="s">
        <v>6931</v>
      </c>
      <c r="D17" s="4" t="str">
        <f>IFERROR(INDEX(Table_S12!$A$4:$A$324, MATCH(C17, Table_S12!$B$4:$B$324, 0)), "CSD Code Not Found")</f>
        <v>CSD Code Not Found</v>
      </c>
      <c r="E17" s="4" t="s">
        <v>6932</v>
      </c>
      <c r="F17" s="4"/>
      <c r="G17" s="4">
        <v>10.7</v>
      </c>
      <c r="H17" s="4" t="s">
        <v>35</v>
      </c>
      <c r="I17" s="3">
        <f t="shared" si="0"/>
        <v>10.7</v>
      </c>
      <c r="J17" s="4" t="s">
        <v>36</v>
      </c>
      <c r="K17" s="4"/>
      <c r="L17" s="3">
        <v>298</v>
      </c>
      <c r="M17" s="171" t="s">
        <v>37</v>
      </c>
      <c r="N17" s="3">
        <v>1781</v>
      </c>
      <c r="O17" s="3" t="s">
        <v>123</v>
      </c>
      <c r="P17" s="4" t="s">
        <v>123</v>
      </c>
      <c r="Q17" s="4" t="s">
        <v>123</v>
      </c>
      <c r="R17" s="4"/>
      <c r="S17" s="4">
        <v>2</v>
      </c>
      <c r="T17" s="4"/>
      <c r="U17" s="16" t="s">
        <v>6914</v>
      </c>
      <c r="V17" s="9"/>
    </row>
    <row r="18" spans="3:22" ht="19" x14ac:dyDescent="0.25">
      <c r="C18" s="3" t="s">
        <v>43</v>
      </c>
      <c r="D18" s="4" t="str">
        <f>IFERROR(INDEX(Table_S12!$A$4:$A$324, MATCH(C18, Table_S12!$B$4:$B$324, 0)), "CSD Code Not Found")</f>
        <v>CSD Code Not Found</v>
      </c>
      <c r="E18" s="4" t="s">
        <v>6933</v>
      </c>
      <c r="F18" s="4"/>
      <c r="G18" s="4">
        <v>33.5</v>
      </c>
      <c r="H18" s="4" t="s">
        <v>35</v>
      </c>
      <c r="I18" s="3">
        <f t="shared" si="0"/>
        <v>33.5</v>
      </c>
      <c r="J18" s="4" t="s">
        <v>36</v>
      </c>
      <c r="K18" s="4"/>
      <c r="L18" s="3">
        <v>298</v>
      </c>
      <c r="M18" s="171" t="s">
        <v>37</v>
      </c>
      <c r="N18" s="3">
        <v>4508</v>
      </c>
      <c r="O18" s="3" t="s">
        <v>123</v>
      </c>
      <c r="P18" s="4" t="s">
        <v>123</v>
      </c>
      <c r="Q18" s="4" t="s">
        <v>123</v>
      </c>
      <c r="R18" s="4"/>
      <c r="S18" s="4">
        <v>2</v>
      </c>
      <c r="T18" s="4"/>
      <c r="U18" s="16" t="s">
        <v>6914</v>
      </c>
      <c r="V18" s="9"/>
    </row>
    <row r="19" spans="3:22" ht="19" x14ac:dyDescent="0.25">
      <c r="C19" s="3"/>
      <c r="D19" s="4"/>
      <c r="E19" s="4"/>
      <c r="F19" s="4"/>
      <c r="G19" s="4"/>
      <c r="H19" s="4" t="s">
        <v>35</v>
      </c>
      <c r="I19" s="3"/>
      <c r="J19" s="4"/>
      <c r="K19" s="4"/>
      <c r="L19" s="4"/>
      <c r="M19" s="4"/>
      <c r="N19" s="4"/>
      <c r="O19" s="4"/>
      <c r="P19" s="4"/>
      <c r="Q19" s="4"/>
      <c r="R19" s="4"/>
      <c r="S19" s="4"/>
      <c r="T19" s="4"/>
      <c r="U19" s="15"/>
      <c r="V19" s="9"/>
    </row>
    <row r="20" spans="3:22" ht="65" x14ac:dyDescent="0.25">
      <c r="C20" s="3" t="s">
        <v>202</v>
      </c>
      <c r="D20" s="4" t="str">
        <f>IFERROR(INDEX(Table_S12!$A$4:$A$324, MATCH(C20, Table_S12!$B$4:$B$324, 0)), "CSD Code Not Found")</f>
        <v>CSD Code Not Found</v>
      </c>
      <c r="E20" s="4" t="s">
        <v>5484</v>
      </c>
      <c r="F20" s="4"/>
      <c r="G20" s="4">
        <v>18</v>
      </c>
      <c r="H20" s="4" t="s">
        <v>35</v>
      </c>
      <c r="I20" s="3">
        <f t="shared" si="0"/>
        <v>18</v>
      </c>
      <c r="J20" s="4" t="s">
        <v>36</v>
      </c>
      <c r="K20" s="4"/>
      <c r="L20" s="3">
        <v>304</v>
      </c>
      <c r="M20" s="3" t="s">
        <v>44</v>
      </c>
      <c r="N20" s="3">
        <v>1900</v>
      </c>
      <c r="O20" s="3">
        <v>1.1000000000000001</v>
      </c>
      <c r="P20" s="4" t="s">
        <v>123</v>
      </c>
      <c r="Q20" s="4" t="s">
        <v>123</v>
      </c>
      <c r="R20" s="5" t="s">
        <v>45</v>
      </c>
      <c r="S20" s="4">
        <v>2</v>
      </c>
      <c r="T20" s="4"/>
      <c r="U20" s="121" t="s">
        <v>6897</v>
      </c>
      <c r="V20" s="9"/>
    </row>
    <row r="21" spans="3:22" ht="19" x14ac:dyDescent="0.25">
      <c r="C21" s="3" t="s">
        <v>46</v>
      </c>
      <c r="D21" s="4" t="str">
        <f>IFERROR(INDEX(Table_S12!$A$4:$A$324, MATCH(C21, Table_S12!$B$4:$B$324, 0)), "CSD Code Not Found")</f>
        <v>CSD Code Not Found</v>
      </c>
      <c r="E21" s="4" t="s">
        <v>2900</v>
      </c>
      <c r="F21" s="4"/>
      <c r="G21" s="3">
        <v>28</v>
      </c>
      <c r="H21" s="4" t="s">
        <v>35</v>
      </c>
      <c r="I21" s="3">
        <f t="shared" si="0"/>
        <v>28</v>
      </c>
      <c r="J21" s="4" t="s">
        <v>36</v>
      </c>
      <c r="K21" s="4"/>
      <c r="L21" s="3">
        <v>304</v>
      </c>
      <c r="M21" s="3" t="s">
        <v>44</v>
      </c>
      <c r="N21" s="3">
        <v>2800</v>
      </c>
      <c r="O21" s="3">
        <v>1.37</v>
      </c>
      <c r="P21" s="4" t="s">
        <v>123</v>
      </c>
      <c r="Q21" s="4" t="s">
        <v>123</v>
      </c>
      <c r="R21" s="4"/>
      <c r="S21" s="4">
        <v>2</v>
      </c>
      <c r="T21" s="4"/>
      <c r="U21" s="16" t="s">
        <v>6914</v>
      </c>
      <c r="V21" s="9"/>
    </row>
    <row r="22" spans="3:22" ht="19" x14ac:dyDescent="0.25">
      <c r="C22" s="3" t="s">
        <v>47</v>
      </c>
      <c r="D22" s="4" t="str">
        <f>IFERROR(INDEX(Table_S12!$A$4:$A$324, MATCH(C22, Table_S12!$B$4:$B$324, 0)), "CSD Code Not Found")</f>
        <v>CSD Code Not Found</v>
      </c>
      <c r="E22" s="4" t="s">
        <v>2900</v>
      </c>
      <c r="F22" s="4"/>
      <c r="G22" s="4">
        <v>34</v>
      </c>
      <c r="H22" s="4" t="s">
        <v>35</v>
      </c>
      <c r="I22" s="3">
        <f t="shared" si="0"/>
        <v>34</v>
      </c>
      <c r="J22" s="4" t="s">
        <v>36</v>
      </c>
      <c r="K22" s="6"/>
      <c r="L22" s="3">
        <v>304</v>
      </c>
      <c r="M22" s="3" t="s">
        <v>44</v>
      </c>
      <c r="N22" s="3">
        <v>3780</v>
      </c>
      <c r="O22" s="3">
        <v>1.74</v>
      </c>
      <c r="P22" s="4" t="s">
        <v>123</v>
      </c>
      <c r="Q22" s="4" t="s">
        <v>123</v>
      </c>
      <c r="R22" s="4"/>
      <c r="S22" s="4">
        <v>2</v>
      </c>
      <c r="T22" s="4"/>
      <c r="U22" s="16" t="s">
        <v>6914</v>
      </c>
      <c r="V22" s="9"/>
    </row>
    <row r="23" spans="3:22" ht="19" x14ac:dyDescent="0.25">
      <c r="C23" s="3" t="s">
        <v>48</v>
      </c>
      <c r="D23" s="4" t="str">
        <f>IFERROR(INDEX(Table_S12!$A$4:$A$324, MATCH(C23, Table_S12!$B$4:$B$324, 0)), "CSD Code Not Found")</f>
        <v>CSD Code Not Found</v>
      </c>
      <c r="E23" s="4" t="s">
        <v>2900</v>
      </c>
      <c r="F23" s="4"/>
      <c r="G23" s="4">
        <v>40</v>
      </c>
      <c r="H23" s="4" t="s">
        <v>35</v>
      </c>
      <c r="I23" s="3">
        <f t="shared" si="0"/>
        <v>40</v>
      </c>
      <c r="J23" s="4" t="s">
        <v>36</v>
      </c>
      <c r="K23" s="3"/>
      <c r="L23" s="3">
        <v>304</v>
      </c>
      <c r="M23" s="3" t="s">
        <v>44</v>
      </c>
      <c r="N23" s="3">
        <v>4230</v>
      </c>
      <c r="O23" s="3">
        <v>2.15</v>
      </c>
      <c r="P23" s="4" t="s">
        <v>123</v>
      </c>
      <c r="Q23" s="4" t="s">
        <v>123</v>
      </c>
      <c r="R23" s="4"/>
      <c r="S23" s="4">
        <v>2</v>
      </c>
      <c r="T23" s="4"/>
      <c r="U23" s="16" t="s">
        <v>6914</v>
      </c>
      <c r="V23" s="9"/>
    </row>
    <row r="24" spans="3:22" ht="19" x14ac:dyDescent="0.25">
      <c r="C24" s="3"/>
      <c r="D24" s="4"/>
      <c r="E24" s="4"/>
      <c r="F24" s="4"/>
      <c r="G24" s="4"/>
      <c r="H24" s="4" t="s">
        <v>35</v>
      </c>
      <c r="I24" s="3"/>
      <c r="J24" s="3"/>
      <c r="K24" s="4"/>
      <c r="L24" s="4"/>
      <c r="M24" s="4"/>
      <c r="N24" s="4"/>
      <c r="O24" s="4"/>
      <c r="P24" s="4"/>
      <c r="Q24" s="4"/>
      <c r="R24" s="4"/>
      <c r="S24" s="4"/>
      <c r="T24" s="4"/>
      <c r="U24" s="15"/>
      <c r="V24" s="9"/>
    </row>
    <row r="25" spans="3:22" ht="49" x14ac:dyDescent="0.25">
      <c r="C25" s="3" t="s">
        <v>43</v>
      </c>
      <c r="D25" s="4" t="str">
        <f>IFERROR(INDEX(Table_S12!$A$4:$A$324, MATCH(C25, Table_S12!$B$4:$B$324, 0)), "CSD Code Not Found")</f>
        <v>CSD Code Not Found</v>
      </c>
      <c r="E25" s="4" t="s">
        <v>6933</v>
      </c>
      <c r="F25" s="4"/>
      <c r="G25" s="3">
        <v>35.200000000000003</v>
      </c>
      <c r="H25" s="4" t="s">
        <v>35</v>
      </c>
      <c r="I25" s="3">
        <f t="shared" si="0"/>
        <v>35.200000000000003</v>
      </c>
      <c r="J25" s="3" t="s">
        <v>36</v>
      </c>
      <c r="K25" s="4"/>
      <c r="L25" s="3">
        <v>298</v>
      </c>
      <c r="M25" s="3" t="s">
        <v>44</v>
      </c>
      <c r="N25" s="3">
        <v>4500</v>
      </c>
      <c r="O25" s="3">
        <v>1.89</v>
      </c>
      <c r="P25" s="4" t="s">
        <v>123</v>
      </c>
      <c r="Q25" s="4" t="s">
        <v>123</v>
      </c>
      <c r="R25" s="5" t="s">
        <v>49</v>
      </c>
      <c r="S25" s="4">
        <v>2</v>
      </c>
      <c r="T25" s="4"/>
      <c r="U25" s="121" t="s">
        <v>6898</v>
      </c>
      <c r="V25" s="9"/>
    </row>
    <row r="26" spans="3:22" ht="19" x14ac:dyDescent="0.25">
      <c r="C26" s="3" t="s">
        <v>50</v>
      </c>
      <c r="D26" s="4" t="str">
        <f>IFERROR(INDEX(Table_S12!$A$4:$A$324, MATCH(C26, Table_S12!$B$4:$B$324, 0)), "CSD Code Not Found")</f>
        <v>CSD Code Not Found</v>
      </c>
      <c r="E26" s="4" t="s">
        <v>6934</v>
      </c>
      <c r="F26" s="4"/>
      <c r="G26" s="4">
        <v>38.1</v>
      </c>
      <c r="H26" s="4" t="s">
        <v>35</v>
      </c>
      <c r="I26" s="3">
        <f t="shared" si="0"/>
        <v>38.1</v>
      </c>
      <c r="J26" s="3" t="s">
        <v>36</v>
      </c>
      <c r="K26" s="4"/>
      <c r="L26" s="3">
        <v>298</v>
      </c>
      <c r="M26" s="3" t="s">
        <v>44</v>
      </c>
      <c r="N26" s="3">
        <v>4460</v>
      </c>
      <c r="O26" s="3">
        <v>2.16</v>
      </c>
      <c r="P26" s="4" t="s">
        <v>123</v>
      </c>
      <c r="Q26" s="4" t="s">
        <v>123</v>
      </c>
      <c r="R26" s="4"/>
      <c r="S26" s="4">
        <v>2</v>
      </c>
      <c r="T26" s="4"/>
      <c r="U26" s="16" t="s">
        <v>6914</v>
      </c>
      <c r="V26" s="9"/>
    </row>
    <row r="27" spans="3:22" ht="19" x14ac:dyDescent="0.25">
      <c r="C27" s="3" t="s">
        <v>51</v>
      </c>
      <c r="D27" s="4" t="str">
        <f>IFERROR(INDEX(Table_S12!$A$4:$A$324, MATCH(C27, Table_S12!$B$4:$B$324, 0)), "CSD Code Not Found")</f>
        <v>CSD Code Not Found</v>
      </c>
      <c r="E27" s="4" t="s">
        <v>6911</v>
      </c>
      <c r="F27" s="4"/>
      <c r="G27" s="4">
        <v>64.3</v>
      </c>
      <c r="H27" s="4" t="s">
        <v>35</v>
      </c>
      <c r="I27" s="3">
        <f t="shared" si="0"/>
        <v>64.3</v>
      </c>
      <c r="J27" s="3" t="s">
        <v>36</v>
      </c>
      <c r="K27" s="4"/>
      <c r="L27" s="3">
        <v>298</v>
      </c>
      <c r="M27" s="3" t="s">
        <v>44</v>
      </c>
      <c r="N27" s="3">
        <v>4530</v>
      </c>
      <c r="O27" s="3">
        <v>3.59</v>
      </c>
      <c r="P27" s="4" t="s">
        <v>123</v>
      </c>
      <c r="Q27" s="4" t="s">
        <v>123</v>
      </c>
      <c r="R27" s="4"/>
      <c r="S27" s="4">
        <v>2</v>
      </c>
      <c r="T27" s="4"/>
      <c r="U27" s="17" t="s">
        <v>6914</v>
      </c>
      <c r="V27" s="9"/>
    </row>
    <row r="28" spans="3:22" ht="19" x14ac:dyDescent="0.25">
      <c r="C28" s="3" t="s">
        <v>52</v>
      </c>
      <c r="D28" s="4" t="str">
        <f>IFERROR(INDEX(Table_S12!$A$4:$A$324, MATCH(C28, Table_S12!$B$4:$B$324, 0)), "CSD Code Not Found")</f>
        <v>CSD Code Not Found</v>
      </c>
      <c r="E28" s="4" t="s">
        <v>6912</v>
      </c>
      <c r="F28" s="4"/>
      <c r="G28" s="4">
        <v>65.2</v>
      </c>
      <c r="H28" s="4" t="s">
        <v>35</v>
      </c>
      <c r="I28" s="3">
        <f t="shared" si="0"/>
        <v>65.2</v>
      </c>
      <c r="J28" s="3" t="s">
        <v>36</v>
      </c>
      <c r="K28" s="4"/>
      <c r="L28" s="3">
        <v>298</v>
      </c>
      <c r="M28" s="3" t="s">
        <v>44</v>
      </c>
      <c r="N28" s="3">
        <v>6240</v>
      </c>
      <c r="O28" s="3">
        <v>3.6</v>
      </c>
      <c r="P28" s="4" t="s">
        <v>123</v>
      </c>
      <c r="Q28" s="4" t="s">
        <v>123</v>
      </c>
      <c r="R28" s="4"/>
      <c r="S28" s="4">
        <v>2</v>
      </c>
      <c r="T28" s="4"/>
      <c r="U28" s="15" t="s">
        <v>6914</v>
      </c>
      <c r="V28" s="9"/>
    </row>
    <row r="29" spans="3:22" ht="19" x14ac:dyDescent="0.25">
      <c r="C29" s="3"/>
      <c r="D29" s="4"/>
      <c r="E29" s="4"/>
      <c r="F29" s="4"/>
      <c r="G29" s="4"/>
      <c r="H29" s="4" t="s">
        <v>35</v>
      </c>
      <c r="I29" s="3"/>
      <c r="J29" s="4"/>
      <c r="K29" s="4"/>
      <c r="L29" s="4"/>
      <c r="M29" s="4"/>
      <c r="N29" s="4"/>
      <c r="O29" s="4"/>
      <c r="P29" s="4"/>
      <c r="Q29" s="4"/>
      <c r="R29" s="4"/>
      <c r="S29" s="4"/>
      <c r="T29" s="4"/>
      <c r="U29" s="15"/>
      <c r="V29" s="9"/>
    </row>
    <row r="30" spans="3:22" ht="65" x14ac:dyDescent="0.25">
      <c r="C30" s="3" t="s">
        <v>53</v>
      </c>
      <c r="D30" s="4" t="str">
        <f>IFERROR(INDEX(Table_S12!$A$4:$A$324, MATCH(C30, Table_S12!$B$4:$B$324, 0)), "CSD Code Not Found")</f>
        <v>CSD Code Not Found</v>
      </c>
      <c r="E30" s="4" t="s">
        <v>6935</v>
      </c>
      <c r="F30" s="4"/>
      <c r="G30" s="3">
        <v>14.7</v>
      </c>
      <c r="H30" s="4" t="s">
        <v>35</v>
      </c>
      <c r="I30" s="3">
        <f t="shared" si="0"/>
        <v>14.7</v>
      </c>
      <c r="J30" s="3" t="s">
        <v>36</v>
      </c>
      <c r="K30" s="3"/>
      <c r="L30" s="3">
        <v>298</v>
      </c>
      <c r="M30" s="171" t="s">
        <v>37</v>
      </c>
      <c r="N30" s="3">
        <v>2096</v>
      </c>
      <c r="O30" s="3" t="s">
        <v>38</v>
      </c>
      <c r="P30" s="4" t="s">
        <v>123</v>
      </c>
      <c r="Q30" s="4" t="s">
        <v>123</v>
      </c>
      <c r="R30" s="5" t="s">
        <v>39</v>
      </c>
      <c r="S30" s="4">
        <v>2</v>
      </c>
      <c r="T30" s="4"/>
      <c r="U30" s="121" t="s">
        <v>6896</v>
      </c>
      <c r="V30" s="9"/>
    </row>
    <row r="31" spans="3:22" ht="19" x14ac:dyDescent="0.25">
      <c r="C31" s="3" t="s">
        <v>54</v>
      </c>
      <c r="D31" s="4" t="str">
        <f>IFERROR(INDEX(Table_S12!$A$4:$A$324, MATCH(C31, Table_S12!$B$4:$B$324, 0)), "CSD Code Not Found")</f>
        <v>CSD Code Not Found</v>
      </c>
      <c r="E31" s="4" t="s">
        <v>6910</v>
      </c>
      <c r="F31" s="4"/>
      <c r="G31" s="4">
        <v>18.7</v>
      </c>
      <c r="H31" s="4" t="s">
        <v>35</v>
      </c>
      <c r="I31" s="3">
        <f t="shared" si="0"/>
        <v>18.7</v>
      </c>
      <c r="J31" s="3" t="s">
        <v>36</v>
      </c>
      <c r="K31" s="3"/>
      <c r="L31" s="3">
        <v>298</v>
      </c>
      <c r="M31" s="171" t="s">
        <v>37</v>
      </c>
      <c r="N31" s="3">
        <v>2160</v>
      </c>
      <c r="O31" s="3" t="s">
        <v>123</v>
      </c>
      <c r="P31" s="4" t="s">
        <v>123</v>
      </c>
      <c r="Q31" s="4" t="s">
        <v>123</v>
      </c>
      <c r="R31" s="4"/>
      <c r="S31" s="4">
        <v>2</v>
      </c>
      <c r="T31" s="4"/>
      <c r="U31" s="15" t="s">
        <v>6914</v>
      </c>
      <c r="V31" s="9"/>
    </row>
    <row r="32" spans="3:22" ht="19" x14ac:dyDescent="0.25">
      <c r="C32" s="3" t="s">
        <v>55</v>
      </c>
      <c r="D32" s="4" t="str">
        <f>IFERROR(INDEX(Table_S12!$A$4:$A$324, MATCH(C32, Table_S12!$B$4:$B$324, 0)), "CSD Code Not Found")</f>
        <v>CSD Code Not Found</v>
      </c>
      <c r="E32" s="4" t="s">
        <v>6936</v>
      </c>
      <c r="F32" s="4"/>
      <c r="G32" s="4">
        <v>19.5</v>
      </c>
      <c r="H32" s="4" t="s">
        <v>35</v>
      </c>
      <c r="I32" s="3">
        <f t="shared" si="0"/>
        <v>19.5</v>
      </c>
      <c r="J32" s="3" t="s">
        <v>36</v>
      </c>
      <c r="K32" s="3"/>
      <c r="L32" s="3">
        <v>298</v>
      </c>
      <c r="M32" s="171" t="s">
        <v>37</v>
      </c>
      <c r="N32" s="3">
        <v>2516</v>
      </c>
      <c r="O32" s="3" t="s">
        <v>123</v>
      </c>
      <c r="P32" s="4" t="s">
        <v>123</v>
      </c>
      <c r="Q32" s="4" t="s">
        <v>123</v>
      </c>
      <c r="R32" s="4"/>
      <c r="S32" s="4">
        <v>2</v>
      </c>
      <c r="T32" s="4"/>
      <c r="U32" s="15" t="s">
        <v>6914</v>
      </c>
      <c r="V32" s="9"/>
    </row>
    <row r="33" spans="2:22" ht="19" x14ac:dyDescent="0.25">
      <c r="C33" s="3" t="s">
        <v>56</v>
      </c>
      <c r="D33" s="4" t="str">
        <f>IFERROR(INDEX(Table_S12!$A$4:$A$324, MATCH(C33, Table_S12!$B$4:$B$324, 0)), "CSD Code Not Found")</f>
        <v>CSD Code Not Found</v>
      </c>
      <c r="E33" s="4" t="s">
        <v>5095</v>
      </c>
      <c r="F33" s="4"/>
      <c r="G33" s="4">
        <v>21.7</v>
      </c>
      <c r="H33" s="4" t="s">
        <v>35</v>
      </c>
      <c r="I33" s="3">
        <f t="shared" si="0"/>
        <v>21.7</v>
      </c>
      <c r="J33" s="3" t="s">
        <v>36</v>
      </c>
      <c r="K33" s="3"/>
      <c r="L33" s="3">
        <v>298</v>
      </c>
      <c r="M33" s="171" t="s">
        <v>37</v>
      </c>
      <c r="N33" s="3">
        <v>2833</v>
      </c>
      <c r="O33" s="3" t="s">
        <v>123</v>
      </c>
      <c r="P33" s="4" t="s">
        <v>123</v>
      </c>
      <c r="Q33" s="4" t="s">
        <v>123</v>
      </c>
      <c r="R33" s="4"/>
      <c r="S33" s="4">
        <v>2</v>
      </c>
      <c r="T33" s="4"/>
      <c r="U33" s="15" t="s">
        <v>6914</v>
      </c>
      <c r="V33" s="9"/>
    </row>
    <row r="34" spans="2:22" ht="19" x14ac:dyDescent="0.25">
      <c r="C34" s="3"/>
      <c r="D34" s="4"/>
      <c r="E34" s="4"/>
      <c r="F34" s="4"/>
      <c r="G34" s="4"/>
      <c r="H34" s="4"/>
      <c r="I34" s="3"/>
      <c r="J34" s="4"/>
      <c r="K34" s="4"/>
      <c r="L34" s="4"/>
      <c r="M34" s="4"/>
      <c r="N34" s="4"/>
      <c r="O34" s="4"/>
      <c r="P34" s="4"/>
      <c r="Q34" s="4"/>
      <c r="R34" s="4"/>
      <c r="S34" s="4"/>
      <c r="T34" s="4"/>
      <c r="U34" s="15"/>
      <c r="V34" s="9"/>
    </row>
    <row r="35" spans="2:22" ht="65" x14ac:dyDescent="0.25">
      <c r="C35" s="3" t="s">
        <v>57</v>
      </c>
      <c r="D35" s="4" t="str">
        <f>IFERROR(INDEX(Table_S12!$A$4:$A$324, MATCH(C35, Table_S12!$B$4:$B$324, 0)), "CSD Code Not Found")</f>
        <v>VUJBIM</v>
      </c>
      <c r="E35" s="4" t="s">
        <v>1351</v>
      </c>
      <c r="F35" s="4"/>
      <c r="G35" s="3">
        <v>23.5</v>
      </c>
      <c r="H35" s="4" t="s">
        <v>35</v>
      </c>
      <c r="I35" s="3">
        <f t="shared" si="0"/>
        <v>23.5</v>
      </c>
      <c r="J35" s="3" t="s">
        <v>36</v>
      </c>
      <c r="K35" s="3"/>
      <c r="L35" s="3">
        <v>298</v>
      </c>
      <c r="M35" s="3" t="s">
        <v>58</v>
      </c>
      <c r="N35" s="3">
        <v>3000</v>
      </c>
      <c r="O35" s="3">
        <v>1.36</v>
      </c>
      <c r="P35" s="4" t="s">
        <v>123</v>
      </c>
      <c r="Q35" s="4" t="s">
        <v>123</v>
      </c>
      <c r="R35" s="5" t="s">
        <v>59</v>
      </c>
      <c r="S35" s="4">
        <v>2</v>
      </c>
      <c r="T35" s="4"/>
      <c r="U35" s="121" t="s">
        <v>6899</v>
      </c>
      <c r="V35" s="9"/>
    </row>
    <row r="36" spans="2:22" ht="19" x14ac:dyDescent="0.25">
      <c r="C36" s="3" t="s">
        <v>60</v>
      </c>
      <c r="D36" s="4" t="str">
        <f>IFERROR(INDEX(Table_S12!$A$4:$A$324, MATCH(C36, Table_S12!$B$4:$B$324, 0)), "CSD Code Not Found")</f>
        <v>CSD Code Not Found</v>
      </c>
      <c r="E36" s="4" t="s">
        <v>6937</v>
      </c>
      <c r="F36" s="4"/>
      <c r="G36" s="4">
        <v>26.3</v>
      </c>
      <c r="H36" s="4" t="s">
        <v>35</v>
      </c>
      <c r="I36" s="3">
        <f t="shared" si="0"/>
        <v>26.3</v>
      </c>
      <c r="J36" s="3" t="s">
        <v>36</v>
      </c>
      <c r="K36" s="3"/>
      <c r="L36" s="3">
        <v>298</v>
      </c>
      <c r="M36" s="3" t="s">
        <v>58</v>
      </c>
      <c r="N36" s="3">
        <v>4000</v>
      </c>
      <c r="O36" s="3">
        <v>1.63</v>
      </c>
      <c r="P36" s="4" t="s">
        <v>123</v>
      </c>
      <c r="Q36" s="4" t="s">
        <v>123</v>
      </c>
      <c r="R36" s="4"/>
      <c r="S36" s="4">
        <v>2</v>
      </c>
      <c r="T36" s="4"/>
      <c r="U36" s="16" t="s">
        <v>6914</v>
      </c>
      <c r="V36" s="9"/>
    </row>
    <row r="37" spans="2:22" ht="19" x14ac:dyDescent="0.25">
      <c r="C37" s="3" t="s">
        <v>61</v>
      </c>
      <c r="D37" s="4" t="str">
        <f>IFERROR(INDEX(Table_S12!$A$4:$A$324, MATCH(C37, Table_S12!$B$4:$B$324, 0)), "CSD Code Not Found")</f>
        <v>HABRAF</v>
      </c>
      <c r="E37" s="4" t="s">
        <v>4376</v>
      </c>
      <c r="F37" s="4"/>
      <c r="G37" s="4">
        <v>30.4</v>
      </c>
      <c r="H37" s="4" t="s">
        <v>35</v>
      </c>
      <c r="I37" s="3">
        <f t="shared" si="0"/>
        <v>30.4</v>
      </c>
      <c r="J37" s="3" t="s">
        <v>36</v>
      </c>
      <c r="K37" s="3"/>
      <c r="L37" s="3">
        <v>298</v>
      </c>
      <c r="M37" s="3" t="s">
        <v>58</v>
      </c>
      <c r="N37" s="3">
        <v>5109</v>
      </c>
      <c r="O37" s="3">
        <v>2.13</v>
      </c>
      <c r="P37" s="4" t="s">
        <v>123</v>
      </c>
      <c r="Q37" s="4" t="s">
        <v>123</v>
      </c>
      <c r="R37" s="4"/>
      <c r="S37" s="4">
        <v>2</v>
      </c>
      <c r="T37" s="4"/>
      <c r="U37" s="17" t="s">
        <v>6914</v>
      </c>
      <c r="V37" s="9"/>
    </row>
    <row r="38" spans="2:22" s="26" customFormat="1" ht="19" x14ac:dyDescent="0.25">
      <c r="B38" s="40"/>
      <c r="C38" s="25"/>
      <c r="D38" s="25"/>
      <c r="E38" s="25"/>
      <c r="F38" s="25"/>
      <c r="G38" s="25"/>
      <c r="H38" s="29"/>
      <c r="I38" s="29"/>
      <c r="J38" s="29"/>
      <c r="K38" s="29"/>
      <c r="L38" s="25"/>
      <c r="M38" s="25"/>
      <c r="N38" s="25"/>
      <c r="O38" s="25"/>
      <c r="P38" s="25"/>
      <c r="Q38" s="25"/>
      <c r="R38" s="25"/>
      <c r="S38" s="25"/>
      <c r="T38" s="25"/>
      <c r="U38" s="27"/>
    </row>
    <row r="39" spans="2:22" ht="24" x14ac:dyDescent="0.3">
      <c r="B39" s="8" t="s">
        <v>62</v>
      </c>
      <c r="D39" s="4"/>
      <c r="E39" s="4"/>
      <c r="F39" s="4"/>
      <c r="G39" s="4"/>
      <c r="H39" s="3"/>
      <c r="I39" s="4"/>
      <c r="J39" s="4"/>
      <c r="K39" s="4"/>
      <c r="L39" s="4"/>
      <c r="M39" s="4"/>
      <c r="N39" s="4"/>
      <c r="O39" s="4"/>
      <c r="P39" s="4"/>
      <c r="Q39" s="4"/>
      <c r="R39" s="4"/>
      <c r="S39" s="4"/>
      <c r="T39" s="4"/>
      <c r="U39" s="15"/>
      <c r="V39" s="9"/>
    </row>
    <row r="40" spans="2:22" ht="81" x14ac:dyDescent="0.25">
      <c r="C40" s="3" t="s">
        <v>321</v>
      </c>
      <c r="D40" s="4" t="str">
        <f>IFERROR(INDEX(Table_S12!$A$4:$A$324, MATCH(C40, Table_S12!$B$4:$B$324, 0)), "CSD Code Not Found")</f>
        <v>DOTSOV42</v>
      </c>
      <c r="E40" s="4" t="s">
        <v>5197</v>
      </c>
      <c r="F40" s="4"/>
      <c r="G40" s="4">
        <v>5.0999999999999996</v>
      </c>
      <c r="H40" s="3" t="s">
        <v>35</v>
      </c>
      <c r="I40" s="3">
        <f>G40</f>
        <v>5.0999999999999996</v>
      </c>
      <c r="J40" s="3" t="s">
        <v>36</v>
      </c>
      <c r="K40" s="3"/>
      <c r="L40" s="3">
        <v>295</v>
      </c>
      <c r="M40" s="3">
        <v>1</v>
      </c>
      <c r="N40" s="3">
        <v>2134</v>
      </c>
      <c r="O40" s="9" t="s">
        <v>123</v>
      </c>
      <c r="P40" s="3" t="s">
        <v>63</v>
      </c>
      <c r="Q40" s="4" t="s">
        <v>123</v>
      </c>
      <c r="R40" s="33" t="s">
        <v>64</v>
      </c>
      <c r="S40" s="4">
        <v>3</v>
      </c>
      <c r="T40" s="4" t="s">
        <v>65</v>
      </c>
      <c r="U40" s="121" t="s">
        <v>6900</v>
      </c>
      <c r="V40" s="9"/>
    </row>
    <row r="41" spans="2:22" ht="19" x14ac:dyDescent="0.25">
      <c r="C41" s="3" t="s">
        <v>66</v>
      </c>
      <c r="D41" s="4" t="str">
        <f>IFERROR(INDEX(Table_S12!$A$4:$A$324, MATCH(C41, Table_S12!$B$4:$B$324, 0)), "CSD Code Not Found")</f>
        <v>CSD Code Not Found</v>
      </c>
      <c r="E41" s="4" t="s">
        <v>2825</v>
      </c>
      <c r="F41" s="4"/>
      <c r="G41" s="4">
        <v>2.6</v>
      </c>
      <c r="H41" s="3" t="s">
        <v>35</v>
      </c>
      <c r="I41" s="3">
        <f t="shared" ref="I41:I47" si="1">G41</f>
        <v>2.6</v>
      </c>
      <c r="J41" s="3" t="s">
        <v>36</v>
      </c>
      <c r="K41" s="4"/>
      <c r="L41" s="4">
        <v>298</v>
      </c>
      <c r="M41" s="4">
        <v>1</v>
      </c>
      <c r="N41" s="3">
        <v>3236</v>
      </c>
      <c r="O41" s="9" t="s">
        <v>123</v>
      </c>
      <c r="P41" s="3" t="s">
        <v>67</v>
      </c>
      <c r="Q41" s="4" t="s">
        <v>123</v>
      </c>
      <c r="R41" s="4"/>
      <c r="S41" s="4">
        <v>3</v>
      </c>
      <c r="T41" s="4"/>
      <c r="U41" s="16" t="s">
        <v>6914</v>
      </c>
      <c r="V41" s="9"/>
    </row>
    <row r="42" spans="2:22" ht="19" x14ac:dyDescent="0.25">
      <c r="C42" s="3" t="s">
        <v>68</v>
      </c>
      <c r="D42" s="4" t="str">
        <f>IFERROR(INDEX(Table_S12!$A$4:$A$324, MATCH(C42, Table_S12!$B$4:$B$324, 0)), "CSD Code Not Found")</f>
        <v>CSD Code Not Found</v>
      </c>
      <c r="E42" s="4" t="s">
        <v>2826</v>
      </c>
      <c r="F42" s="4"/>
      <c r="G42" s="4">
        <v>2.7</v>
      </c>
      <c r="H42" s="3" t="s">
        <v>35</v>
      </c>
      <c r="I42" s="3">
        <f t="shared" si="1"/>
        <v>2.7</v>
      </c>
      <c r="J42" s="3" t="s">
        <v>36</v>
      </c>
      <c r="K42" s="4"/>
      <c r="L42" s="4">
        <v>298</v>
      </c>
      <c r="M42" s="4">
        <v>1</v>
      </c>
      <c r="N42" s="3">
        <v>3110</v>
      </c>
      <c r="O42" s="9" t="s">
        <v>123</v>
      </c>
      <c r="P42" s="3" t="s">
        <v>69</v>
      </c>
      <c r="Q42" s="4" t="s">
        <v>123</v>
      </c>
      <c r="R42" s="4"/>
      <c r="S42" s="4">
        <v>3</v>
      </c>
      <c r="T42" s="4"/>
      <c r="U42" s="17" t="s">
        <v>6914</v>
      </c>
      <c r="V42" s="9"/>
    </row>
    <row r="43" spans="2:22" ht="19" x14ac:dyDescent="0.25">
      <c r="C43" s="3" t="s">
        <v>70</v>
      </c>
      <c r="D43" s="4" t="str">
        <f>IFERROR(INDEX(Table_S12!$A$4:$A$324, MATCH(C43, Table_S12!$B$4:$B$324, 0)), "CSD Code Not Found")</f>
        <v>CSD Code Not Found</v>
      </c>
      <c r="E43" s="4" t="s">
        <v>6938</v>
      </c>
      <c r="F43" s="4"/>
      <c r="G43" s="4">
        <v>2</v>
      </c>
      <c r="H43" s="3" t="s">
        <v>35</v>
      </c>
      <c r="I43" s="3">
        <f t="shared" si="1"/>
        <v>2</v>
      </c>
      <c r="J43" s="3" t="s">
        <v>36</v>
      </c>
      <c r="K43" s="4"/>
      <c r="L43" s="4">
        <v>298</v>
      </c>
      <c r="M43" s="4">
        <v>1</v>
      </c>
      <c r="N43" s="3">
        <v>1511</v>
      </c>
      <c r="O43" s="9" t="s">
        <v>123</v>
      </c>
      <c r="P43" s="3">
        <v>7.35</v>
      </c>
      <c r="Q43" s="4" t="s">
        <v>123</v>
      </c>
      <c r="R43" s="4"/>
      <c r="S43" s="4">
        <v>3</v>
      </c>
      <c r="T43" s="4"/>
      <c r="U43" s="15" t="s">
        <v>6914</v>
      </c>
      <c r="V43" s="9"/>
    </row>
    <row r="44" spans="2:22" ht="19" x14ac:dyDescent="0.25">
      <c r="C44" s="3" t="s">
        <v>43</v>
      </c>
      <c r="D44" s="4" t="str">
        <f>IFERROR(INDEX(Table_S12!$A$4:$A$324, MATCH(C44, Table_S12!$B$4:$B$324, 0)), "CSD Code Not Found")</f>
        <v>CSD Code Not Found</v>
      </c>
      <c r="E44" s="4" t="s">
        <v>6933</v>
      </c>
      <c r="F44" s="4"/>
      <c r="G44" s="4">
        <v>1.6</v>
      </c>
      <c r="H44" s="3" t="s">
        <v>35</v>
      </c>
      <c r="I44" s="3">
        <f t="shared" si="1"/>
        <v>1.6</v>
      </c>
      <c r="J44" s="4" t="s">
        <v>36</v>
      </c>
      <c r="K44" s="4"/>
      <c r="L44" s="4">
        <v>298</v>
      </c>
      <c r="M44" s="4">
        <v>1</v>
      </c>
      <c r="N44" s="3">
        <v>4833</v>
      </c>
      <c r="O44" s="9" t="s">
        <v>123</v>
      </c>
      <c r="P44" s="3">
        <v>10.45</v>
      </c>
      <c r="Q44" s="4" t="s">
        <v>123</v>
      </c>
      <c r="R44" s="4"/>
      <c r="S44" s="4">
        <v>3</v>
      </c>
      <c r="T44" s="4"/>
      <c r="U44" s="15" t="s">
        <v>6914</v>
      </c>
      <c r="V44" s="9"/>
    </row>
    <row r="45" spans="2:22" ht="19" x14ac:dyDescent="0.25">
      <c r="C45" s="3" t="s">
        <v>54</v>
      </c>
      <c r="D45" s="4" t="str">
        <f>IFERROR(INDEX(Table_S12!$A$4:$A$324, MATCH(C45, Table_S12!$B$4:$B$324, 0)), "CSD Code Not Found")</f>
        <v>CSD Code Not Found</v>
      </c>
      <c r="E45" s="4" t="s">
        <v>6910</v>
      </c>
      <c r="F45" s="4"/>
      <c r="G45" s="4">
        <v>1.1000000000000001</v>
      </c>
      <c r="H45" s="3" t="s">
        <v>35</v>
      </c>
      <c r="I45" s="3">
        <f t="shared" si="1"/>
        <v>1.1000000000000001</v>
      </c>
      <c r="J45" s="3" t="s">
        <v>36</v>
      </c>
      <c r="K45" s="3"/>
      <c r="L45" s="4">
        <v>298</v>
      </c>
      <c r="M45" s="4">
        <v>1</v>
      </c>
      <c r="N45" s="3">
        <v>3365</v>
      </c>
      <c r="O45" s="9" t="s">
        <v>123</v>
      </c>
      <c r="P45" s="3" t="s">
        <v>71</v>
      </c>
      <c r="Q45" s="4" t="s">
        <v>123</v>
      </c>
      <c r="R45" s="4"/>
      <c r="S45" s="4">
        <v>3</v>
      </c>
      <c r="T45" s="4"/>
      <c r="U45" s="15" t="s">
        <v>6914</v>
      </c>
      <c r="V45" s="9"/>
    </row>
    <row r="46" spans="2:22" ht="19" x14ac:dyDescent="0.25">
      <c r="C46" s="3" t="s">
        <v>72</v>
      </c>
      <c r="D46" s="4" t="str">
        <f>IFERROR(INDEX(Table_S12!$A$4:$A$324, MATCH(C46, Table_S12!$B$4:$B$324, 0)), "CSD Code Not Found")</f>
        <v>CSD Code Not Found</v>
      </c>
      <c r="E46" s="4" t="s">
        <v>6939</v>
      </c>
      <c r="F46" s="4"/>
      <c r="G46" s="4">
        <v>0.9</v>
      </c>
      <c r="H46" s="3" t="s">
        <v>35</v>
      </c>
      <c r="I46" s="3">
        <f t="shared" si="1"/>
        <v>0.9</v>
      </c>
      <c r="J46" s="3" t="s">
        <v>36</v>
      </c>
      <c r="K46" s="3"/>
      <c r="L46" s="4">
        <v>298</v>
      </c>
      <c r="M46" s="4">
        <v>1</v>
      </c>
      <c r="N46" s="3">
        <v>4972</v>
      </c>
      <c r="O46" s="9" t="s">
        <v>123</v>
      </c>
      <c r="P46" s="3" t="s">
        <v>73</v>
      </c>
      <c r="Q46" s="4" t="s">
        <v>123</v>
      </c>
      <c r="R46" s="4"/>
      <c r="S46" s="4">
        <v>3</v>
      </c>
      <c r="T46" s="4"/>
      <c r="U46" s="15" t="s">
        <v>6914</v>
      </c>
      <c r="V46" s="9"/>
    </row>
    <row r="47" spans="2:22" ht="21" customHeight="1" x14ac:dyDescent="0.25">
      <c r="C47" s="3" t="s">
        <v>56</v>
      </c>
      <c r="D47" s="4" t="str">
        <f>IFERROR(INDEX(Table_S12!$A$4:$A$324, MATCH(C47, Table_S12!$B$4:$B$324, 0)), "CSD Code Not Found")</f>
        <v>CSD Code Not Found</v>
      </c>
      <c r="E47" s="4" t="s">
        <v>5095</v>
      </c>
      <c r="F47" s="4"/>
      <c r="G47" s="4">
        <v>0.8</v>
      </c>
      <c r="H47" s="3" t="s">
        <v>35</v>
      </c>
      <c r="I47" s="3">
        <f t="shared" si="1"/>
        <v>0.8</v>
      </c>
      <c r="J47" s="3" t="s">
        <v>36</v>
      </c>
      <c r="K47" s="3"/>
      <c r="L47" s="4">
        <v>298</v>
      </c>
      <c r="M47" s="4">
        <v>1</v>
      </c>
      <c r="N47" s="3">
        <v>3562</v>
      </c>
      <c r="O47" s="9" t="s">
        <v>123</v>
      </c>
      <c r="P47" s="3" t="s">
        <v>74</v>
      </c>
      <c r="Q47" s="4" t="s">
        <v>123</v>
      </c>
      <c r="R47" s="4"/>
      <c r="S47" s="4">
        <v>3</v>
      </c>
      <c r="T47" s="4"/>
      <c r="U47" s="15" t="s">
        <v>6914</v>
      </c>
      <c r="V47" s="9"/>
    </row>
    <row r="48" spans="2:22" s="26" customFormat="1" ht="19" x14ac:dyDescent="0.25">
      <c r="B48" s="40"/>
      <c r="C48" s="25"/>
      <c r="D48" s="25"/>
      <c r="E48" s="25"/>
      <c r="F48" s="25"/>
      <c r="G48" s="25"/>
      <c r="H48" s="25"/>
      <c r="I48" s="25"/>
      <c r="J48" s="25"/>
      <c r="K48" s="25"/>
      <c r="L48" s="25"/>
      <c r="M48" s="25"/>
      <c r="N48" s="25"/>
      <c r="P48" s="25"/>
      <c r="Q48" s="25"/>
      <c r="R48" s="25"/>
      <c r="S48" s="25"/>
      <c r="T48" s="25"/>
      <c r="U48" s="27"/>
    </row>
    <row r="49" spans="2:22" ht="24" x14ac:dyDescent="0.3">
      <c r="B49" s="8" t="s">
        <v>75</v>
      </c>
      <c r="D49" s="4"/>
      <c r="E49" s="4"/>
      <c r="F49" s="4"/>
      <c r="G49" s="4"/>
      <c r="H49" s="4"/>
      <c r="I49" s="4"/>
      <c r="J49" s="4"/>
      <c r="K49" s="4"/>
      <c r="L49" s="4"/>
      <c r="M49" s="4"/>
      <c r="N49" s="4"/>
      <c r="O49" s="4"/>
      <c r="P49" s="4"/>
      <c r="Q49" s="4"/>
      <c r="R49" s="4"/>
      <c r="S49" s="4"/>
      <c r="T49" s="4"/>
      <c r="U49" s="15"/>
      <c r="V49" s="9"/>
    </row>
    <row r="50" spans="2:22" ht="81" x14ac:dyDescent="0.25">
      <c r="C50" s="3" t="s">
        <v>76</v>
      </c>
      <c r="D50" s="4" t="str">
        <f>IFERROR(INDEX(Table_S12!$A$4:$A$324, MATCH(C50, Table_S12!$B$4:$B$324, 0)), "CSD Code Not Found")</f>
        <v>CSD Code Not Found</v>
      </c>
      <c r="E50" s="4" t="s">
        <v>6929</v>
      </c>
      <c r="F50" s="4"/>
      <c r="G50" s="4">
        <v>5.5</v>
      </c>
      <c r="H50" s="4" t="s">
        <v>35</v>
      </c>
      <c r="I50" s="4">
        <v>5.5</v>
      </c>
      <c r="J50" s="4" t="s">
        <v>36</v>
      </c>
      <c r="K50" s="4"/>
      <c r="L50" s="4">
        <v>298</v>
      </c>
      <c r="M50" s="4">
        <v>1.0129999999999999</v>
      </c>
      <c r="N50" s="3">
        <v>816</v>
      </c>
      <c r="O50" s="4" t="s">
        <v>38</v>
      </c>
      <c r="P50" s="4" t="s">
        <v>123</v>
      </c>
      <c r="Q50" s="4" t="s">
        <v>123</v>
      </c>
      <c r="R50" s="33" t="s">
        <v>64</v>
      </c>
      <c r="S50" s="4">
        <v>4</v>
      </c>
      <c r="T50" s="4" t="s">
        <v>77</v>
      </c>
      <c r="U50" s="121" t="s">
        <v>6900</v>
      </c>
      <c r="V50" s="9"/>
    </row>
    <row r="51" spans="2:22" ht="19" x14ac:dyDescent="0.25">
      <c r="C51" s="3" t="s">
        <v>78</v>
      </c>
      <c r="D51" s="4" t="str">
        <f>IFERROR(INDEX(Table_S12!$A$4:$A$324, MATCH(C51, Table_S12!$B$4:$B$324, 0)), "CSD Code Not Found")</f>
        <v>CSD Code Not Found</v>
      </c>
      <c r="E51" s="4" t="s">
        <v>6940</v>
      </c>
      <c r="F51" s="4"/>
      <c r="G51" s="4">
        <v>5.8</v>
      </c>
      <c r="H51" s="4" t="s">
        <v>35</v>
      </c>
      <c r="I51" s="4">
        <v>5.8</v>
      </c>
      <c r="J51" s="4" t="s">
        <v>36</v>
      </c>
      <c r="K51" s="4"/>
      <c r="L51" s="4">
        <v>298</v>
      </c>
      <c r="M51" s="4">
        <v>1.0129999999999999</v>
      </c>
      <c r="N51" s="3">
        <v>1070</v>
      </c>
      <c r="O51" s="4" t="s">
        <v>123</v>
      </c>
      <c r="P51" s="4" t="s">
        <v>123</v>
      </c>
      <c r="Q51" s="4" t="s">
        <v>123</v>
      </c>
      <c r="S51" s="4">
        <v>4</v>
      </c>
      <c r="T51" s="4"/>
      <c r="U51" s="16" t="s">
        <v>6914</v>
      </c>
      <c r="V51" s="9"/>
    </row>
    <row r="52" spans="2:22" ht="19" x14ac:dyDescent="0.25">
      <c r="C52" s="3" t="s">
        <v>79</v>
      </c>
      <c r="D52" s="4" t="str">
        <f>IFERROR(INDEX(Table_S12!$A$4:$A$324, MATCH(C52, Table_S12!$B$4:$B$324, 0)), "CSD Code Not Found")</f>
        <v>CSD Code Not Found</v>
      </c>
      <c r="E52" s="4" t="s">
        <v>6941</v>
      </c>
      <c r="F52" s="4"/>
      <c r="G52" s="4">
        <v>7</v>
      </c>
      <c r="H52" s="4" t="s">
        <v>35</v>
      </c>
      <c r="I52" s="4">
        <v>7</v>
      </c>
      <c r="J52" s="4" t="s">
        <v>36</v>
      </c>
      <c r="K52" s="4"/>
      <c r="L52" s="4">
        <v>298</v>
      </c>
      <c r="M52" s="4">
        <v>1.0129999999999999</v>
      </c>
      <c r="N52" s="3">
        <v>1080</v>
      </c>
      <c r="O52" s="4" t="s">
        <v>123</v>
      </c>
      <c r="P52" s="4" t="s">
        <v>123</v>
      </c>
      <c r="Q52" s="4" t="s">
        <v>123</v>
      </c>
      <c r="S52" s="4">
        <v>4</v>
      </c>
      <c r="T52" s="4"/>
      <c r="U52" s="17" t="s">
        <v>6914</v>
      </c>
      <c r="V52" s="9"/>
    </row>
    <row r="53" spans="2:22" ht="19" x14ac:dyDescent="0.25">
      <c r="C53" s="3" t="s">
        <v>80</v>
      </c>
      <c r="D53" s="4" t="str">
        <f>IFERROR(INDEX(Table_S12!$A$4:$A$324, MATCH(C53, Table_S12!$B$4:$B$324, 0)), "CSD Code Not Found")</f>
        <v>CSD Code Not Found</v>
      </c>
      <c r="E53" s="4" t="s">
        <v>123</v>
      </c>
      <c r="F53" s="4"/>
      <c r="G53" s="4">
        <v>8.5</v>
      </c>
      <c r="H53" s="4" t="s">
        <v>35</v>
      </c>
      <c r="I53" s="4">
        <v>8.5</v>
      </c>
      <c r="J53" s="4" t="s">
        <v>36</v>
      </c>
      <c r="K53" s="4"/>
      <c r="L53" s="4">
        <v>298</v>
      </c>
      <c r="M53" s="4">
        <v>1.0129999999999999</v>
      </c>
      <c r="N53" s="3">
        <v>1495</v>
      </c>
      <c r="O53" s="4" t="s">
        <v>123</v>
      </c>
      <c r="P53" s="4" t="s">
        <v>123</v>
      </c>
      <c r="Q53" s="4" t="s">
        <v>123</v>
      </c>
      <c r="S53" s="4">
        <v>4</v>
      </c>
      <c r="T53" s="4"/>
      <c r="U53" s="15" t="s">
        <v>6914</v>
      </c>
      <c r="V53" s="9"/>
    </row>
    <row r="54" spans="2:22" ht="19" x14ac:dyDescent="0.25">
      <c r="C54" s="4"/>
      <c r="D54" s="4"/>
      <c r="E54" s="4"/>
      <c r="F54" s="4"/>
      <c r="H54" s="4"/>
      <c r="J54" s="4"/>
      <c r="K54" s="4"/>
      <c r="L54" s="4">
        <v>298</v>
      </c>
      <c r="M54" s="4">
        <v>1.0129999999999999</v>
      </c>
      <c r="O54" s="4" t="s">
        <v>123</v>
      </c>
      <c r="P54" s="4" t="s">
        <v>123</v>
      </c>
      <c r="Q54" s="4" t="s">
        <v>123</v>
      </c>
      <c r="S54" s="4"/>
      <c r="T54" s="4"/>
      <c r="U54" s="15"/>
      <c r="V54" s="9"/>
    </row>
    <row r="55" spans="2:22" ht="65" x14ac:dyDescent="0.25">
      <c r="C55" s="3" t="s">
        <v>81</v>
      </c>
      <c r="D55" s="4" t="str">
        <f>IFERROR(INDEX(Table_S12!$A$4:$A$324, MATCH(C55, Table_S12!$B$4:$B$324, 0)), "CSD Code Not Found")</f>
        <v>CSD Code Not Found</v>
      </c>
      <c r="E55" s="4" t="s">
        <v>6941</v>
      </c>
      <c r="F55" s="4"/>
      <c r="G55" s="4">
        <v>3.4</v>
      </c>
      <c r="H55" s="4" t="s">
        <v>35</v>
      </c>
      <c r="I55" s="4">
        <v>3.4</v>
      </c>
      <c r="J55" s="4" t="s">
        <v>36</v>
      </c>
      <c r="K55" s="4"/>
      <c r="L55" s="4">
        <v>298</v>
      </c>
      <c r="M55" s="4">
        <v>1.0129999999999999</v>
      </c>
      <c r="N55" s="3">
        <v>2941</v>
      </c>
      <c r="O55" s="4">
        <v>1.77</v>
      </c>
      <c r="P55" s="4" t="s">
        <v>123</v>
      </c>
      <c r="Q55" s="4" t="s">
        <v>123</v>
      </c>
      <c r="R55" s="33" t="s">
        <v>82</v>
      </c>
      <c r="S55" s="4">
        <v>4</v>
      </c>
      <c r="U55" s="121" t="s">
        <v>6901</v>
      </c>
      <c r="V55" s="9"/>
    </row>
    <row r="56" spans="2:22" ht="19" x14ac:dyDescent="0.25">
      <c r="C56" s="3" t="s">
        <v>83</v>
      </c>
      <c r="D56" s="4" t="str">
        <f>IFERROR(INDEX(Table_S12!$A$4:$A$324, MATCH(C56, Table_S12!$B$4:$B$324, 0)), "CSD Code Not Found")</f>
        <v>CSD Code Not Found</v>
      </c>
      <c r="E56" s="4" t="s">
        <v>6941</v>
      </c>
      <c r="F56" s="4"/>
      <c r="G56" s="4">
        <v>4.0999999999999996</v>
      </c>
      <c r="H56" s="4" t="s">
        <v>35</v>
      </c>
      <c r="I56" s="4">
        <v>4.0999999999999996</v>
      </c>
      <c r="J56" s="4" t="s">
        <v>36</v>
      </c>
      <c r="K56" s="4"/>
      <c r="L56" s="4">
        <v>298</v>
      </c>
      <c r="M56" s="4">
        <v>1.0129999999999999</v>
      </c>
      <c r="N56" s="3">
        <v>2712</v>
      </c>
      <c r="O56" s="4">
        <v>1.38</v>
      </c>
      <c r="P56" s="4" t="s">
        <v>123</v>
      </c>
      <c r="Q56" s="4" t="s">
        <v>123</v>
      </c>
      <c r="S56" s="4">
        <v>4</v>
      </c>
      <c r="U56" s="16" t="s">
        <v>6914</v>
      </c>
      <c r="V56" s="9"/>
    </row>
    <row r="57" spans="2:22" ht="19" x14ac:dyDescent="0.25">
      <c r="C57" s="3" t="s">
        <v>84</v>
      </c>
      <c r="D57" s="4" t="str">
        <f>IFERROR(INDEX(Table_S12!$A$4:$A$324, MATCH(C57, Table_S12!$B$4:$B$324, 0)), "CSD Code Not Found")</f>
        <v>CSD Code Not Found</v>
      </c>
      <c r="E57" s="4" t="s">
        <v>6941</v>
      </c>
      <c r="F57" s="4"/>
      <c r="G57" s="4">
        <v>3.9</v>
      </c>
      <c r="H57" s="4" t="s">
        <v>35</v>
      </c>
      <c r="I57" s="4">
        <v>3.9</v>
      </c>
      <c r="J57" s="4" t="s">
        <v>36</v>
      </c>
      <c r="K57" s="4"/>
      <c r="L57" s="4">
        <v>298</v>
      </c>
      <c r="M57" s="4">
        <v>1.0129999999999999</v>
      </c>
      <c r="N57" s="3">
        <v>2065</v>
      </c>
      <c r="O57" s="4">
        <v>1.1499999999999999</v>
      </c>
      <c r="P57" s="4" t="s">
        <v>123</v>
      </c>
      <c r="Q57" s="4" t="s">
        <v>123</v>
      </c>
      <c r="S57" s="4">
        <v>4</v>
      </c>
      <c r="U57" s="17" t="s">
        <v>6914</v>
      </c>
      <c r="V57" s="9"/>
    </row>
    <row r="58" spans="2:22" ht="19" x14ac:dyDescent="0.25">
      <c r="C58" s="4"/>
      <c r="D58" s="4"/>
      <c r="E58" s="4"/>
      <c r="F58" s="4"/>
      <c r="G58" s="4"/>
      <c r="H58" s="4"/>
      <c r="I58" s="4"/>
      <c r="J58" s="4"/>
      <c r="K58" s="4"/>
      <c r="L58" s="4"/>
      <c r="M58" s="4"/>
      <c r="O58" s="4"/>
      <c r="P58" s="4"/>
      <c r="Q58" s="4"/>
      <c r="S58" s="4"/>
      <c r="T58" s="4"/>
      <c r="U58" s="15"/>
      <c r="V58" s="9"/>
    </row>
    <row r="59" spans="2:22" ht="65" x14ac:dyDescent="0.25">
      <c r="C59" s="4" t="s">
        <v>85</v>
      </c>
      <c r="D59" s="4" t="str">
        <f>IFERROR(INDEX(Table_S12!$A$4:$A$324, MATCH(C59, Table_S12!$B$4:$B$324, 0)), "CSD Code Not Found")</f>
        <v>CSD Code Not Found</v>
      </c>
      <c r="E59" s="4" t="s">
        <v>6942</v>
      </c>
      <c r="F59" s="4"/>
      <c r="G59" s="4">
        <v>6.7</v>
      </c>
      <c r="H59" s="4" t="s">
        <v>35</v>
      </c>
      <c r="I59" s="4">
        <v>6.7</v>
      </c>
      <c r="J59" s="4" t="s">
        <v>36</v>
      </c>
      <c r="K59" s="4"/>
      <c r="L59" s="4">
        <v>313</v>
      </c>
      <c r="M59" s="4" t="s">
        <v>38</v>
      </c>
      <c r="N59" s="3">
        <v>675</v>
      </c>
      <c r="O59" s="4">
        <v>0.22</v>
      </c>
      <c r="P59" s="4" t="s">
        <v>123</v>
      </c>
      <c r="Q59" s="4" t="s">
        <v>123</v>
      </c>
      <c r="R59" s="33" t="s">
        <v>86</v>
      </c>
      <c r="S59" s="4">
        <v>4</v>
      </c>
      <c r="T59" s="4"/>
      <c r="U59" s="121" t="s">
        <v>6902</v>
      </c>
      <c r="V59" s="9"/>
    </row>
    <row r="60" spans="2:22" ht="19" x14ac:dyDescent="0.25">
      <c r="C60" s="4"/>
      <c r="D60" s="4"/>
      <c r="E60" s="4"/>
      <c r="F60" s="4"/>
      <c r="G60" s="4"/>
      <c r="H60" s="4"/>
      <c r="I60" s="4"/>
      <c r="J60" s="4"/>
      <c r="K60" s="4"/>
      <c r="L60" s="4"/>
      <c r="M60" s="4"/>
      <c r="N60" s="4"/>
      <c r="O60" s="4"/>
      <c r="P60" s="4"/>
      <c r="Q60" s="4"/>
      <c r="R60" s="4"/>
      <c r="S60" s="4"/>
      <c r="T60" s="4"/>
      <c r="U60" s="16"/>
      <c r="V60" s="9"/>
    </row>
    <row r="61" spans="2:22" ht="49" x14ac:dyDescent="0.25">
      <c r="C61" s="4" t="s">
        <v>87</v>
      </c>
      <c r="D61" s="4" t="str">
        <f>IFERROR(INDEX(Table_S12!$A$4:$A$324, MATCH(C61, Table_S12!$B$4:$B$324, 0)), "CSD Code Not Found")</f>
        <v>CSD Code Not Found</v>
      </c>
      <c r="E61" s="4" t="s">
        <v>634</v>
      </c>
      <c r="F61" s="4"/>
      <c r="G61" s="4">
        <v>6</v>
      </c>
      <c r="H61" s="4" t="s">
        <v>35</v>
      </c>
      <c r="I61" s="4">
        <v>6</v>
      </c>
      <c r="J61" s="4" t="s">
        <v>36</v>
      </c>
      <c r="K61" s="4"/>
      <c r="L61" s="4">
        <v>273</v>
      </c>
      <c r="M61" s="4">
        <v>1.0129999999999999</v>
      </c>
      <c r="N61" s="4" t="s">
        <v>38</v>
      </c>
      <c r="O61" s="4" t="s">
        <v>38</v>
      </c>
      <c r="P61" s="4" t="s">
        <v>123</v>
      </c>
      <c r="Q61" s="4" t="s">
        <v>123</v>
      </c>
      <c r="R61" s="33" t="s">
        <v>88</v>
      </c>
      <c r="S61" s="4">
        <v>4</v>
      </c>
      <c r="T61" s="4"/>
      <c r="U61" s="121" t="s">
        <v>6903</v>
      </c>
      <c r="V61" s="9"/>
    </row>
    <row r="62" spans="2:22" s="26" customFormat="1" ht="19" x14ac:dyDescent="0.25">
      <c r="B62" s="40"/>
      <c r="C62" s="25"/>
      <c r="D62" s="25"/>
      <c r="E62" s="25"/>
      <c r="F62" s="25"/>
      <c r="G62" s="25"/>
      <c r="H62" s="25"/>
      <c r="I62" s="25"/>
      <c r="J62" s="25"/>
      <c r="K62" s="25"/>
      <c r="L62" s="25"/>
      <c r="M62" s="25"/>
      <c r="N62" s="25"/>
      <c r="O62" s="25"/>
      <c r="P62" s="25"/>
      <c r="Q62" s="25"/>
      <c r="R62" s="25"/>
      <c r="S62" s="25"/>
      <c r="T62" s="28"/>
      <c r="U62" s="27"/>
    </row>
    <row r="63" spans="2:22" ht="24" x14ac:dyDescent="0.3">
      <c r="B63" s="8" t="s">
        <v>89</v>
      </c>
      <c r="C63" s="4"/>
      <c r="D63" s="4"/>
      <c r="E63" s="4"/>
      <c r="F63" s="4"/>
      <c r="G63" s="4"/>
      <c r="H63" s="4"/>
      <c r="I63" s="4"/>
      <c r="J63" s="4"/>
      <c r="K63" s="4"/>
      <c r="L63" s="4"/>
      <c r="M63" s="4"/>
      <c r="N63" s="4"/>
      <c r="O63" s="4"/>
      <c r="P63" s="4"/>
      <c r="Q63" s="4"/>
      <c r="R63" s="4"/>
      <c r="S63" s="4"/>
      <c r="T63" s="4"/>
      <c r="U63" s="16"/>
      <c r="V63" s="9"/>
    </row>
    <row r="64" spans="2:22" ht="65" x14ac:dyDescent="0.25">
      <c r="C64" s="4" t="s">
        <v>90</v>
      </c>
      <c r="D64" s="4" t="str">
        <f>IFERROR(INDEX(Table_S12!$A$4:$A$324, MATCH(C64, Table_S12!$B$4:$B$324, 0)), "CSD Code Not Found")</f>
        <v>FAWCEN</v>
      </c>
      <c r="E64" s="4" t="s">
        <v>6943</v>
      </c>
      <c r="F64" s="4"/>
      <c r="G64" s="4">
        <v>1</v>
      </c>
      <c r="H64" s="4" t="s">
        <v>35</v>
      </c>
      <c r="I64" s="4">
        <f>G64</f>
        <v>1</v>
      </c>
      <c r="J64" s="4"/>
      <c r="K64" s="4"/>
      <c r="L64" s="4">
        <v>298</v>
      </c>
      <c r="M64" s="4">
        <v>1</v>
      </c>
      <c r="N64" s="4">
        <v>1135</v>
      </c>
      <c r="O64" s="4" t="s">
        <v>123</v>
      </c>
      <c r="P64" s="4" t="s">
        <v>91</v>
      </c>
      <c r="Q64" s="4" t="s">
        <v>123</v>
      </c>
      <c r="R64" s="33" t="s">
        <v>92</v>
      </c>
      <c r="S64" s="4">
        <v>5</v>
      </c>
      <c r="T64" s="4"/>
      <c r="U64" s="121" t="s">
        <v>6904</v>
      </c>
      <c r="V64" s="9"/>
    </row>
    <row r="65" spans="2:24" ht="19" x14ac:dyDescent="0.25">
      <c r="C65" s="4"/>
      <c r="D65" s="4"/>
      <c r="E65" s="4"/>
      <c r="F65" s="4"/>
      <c r="H65" s="4"/>
      <c r="I65" s="4"/>
      <c r="J65" s="4"/>
      <c r="K65" s="4"/>
      <c r="L65" s="4"/>
      <c r="M65" s="4"/>
      <c r="O65" s="4"/>
      <c r="P65" s="4"/>
      <c r="Q65" s="4"/>
      <c r="S65" s="4"/>
      <c r="T65" s="4"/>
      <c r="U65" s="16"/>
      <c r="V65" s="9"/>
    </row>
    <row r="66" spans="2:24" ht="115" x14ac:dyDescent="0.3">
      <c r="C66" s="4" t="s">
        <v>93</v>
      </c>
      <c r="D66" s="4" t="str">
        <f>IFERROR(INDEX(Table_S12!$A$4:$A$324, MATCH(C66, Table_S12!$B$4:$B$324, 0)), "CSD Code Not Found")</f>
        <v>CSD Code Not Found</v>
      </c>
      <c r="E66" s="4" t="s">
        <v>6944</v>
      </c>
      <c r="F66" s="4"/>
      <c r="G66" s="4">
        <v>2.2999999999999998</v>
      </c>
      <c r="H66" s="4" t="s">
        <v>35</v>
      </c>
      <c r="I66" s="4">
        <f>G66</f>
        <v>2.2999999999999998</v>
      </c>
      <c r="J66" s="4"/>
      <c r="K66" s="4"/>
      <c r="L66" s="4">
        <v>273</v>
      </c>
      <c r="M66" s="4">
        <v>0.1</v>
      </c>
      <c r="N66" s="4">
        <v>240</v>
      </c>
      <c r="O66" s="4" t="s">
        <v>123</v>
      </c>
      <c r="P66" s="4" t="s">
        <v>94</v>
      </c>
      <c r="Q66" s="4" t="s">
        <v>123</v>
      </c>
      <c r="R66" s="33" t="s">
        <v>95</v>
      </c>
      <c r="S66" s="4">
        <v>5</v>
      </c>
      <c r="T66" s="4"/>
      <c r="U66" s="122" t="s">
        <v>6905</v>
      </c>
      <c r="V66" s="9"/>
    </row>
    <row r="67" spans="2:24" ht="24" x14ac:dyDescent="0.3">
      <c r="C67" s="4" t="s">
        <v>96</v>
      </c>
      <c r="D67" s="4" t="str">
        <f>IFERROR(INDEX(Table_S12!$A$4:$A$324, MATCH(C67, Table_S12!$B$4:$B$324, 0)), "CSD Code Not Found")</f>
        <v>CSD Code Not Found</v>
      </c>
      <c r="E67" s="4" t="s">
        <v>6945</v>
      </c>
      <c r="F67" s="4"/>
      <c r="G67" s="4">
        <v>2</v>
      </c>
      <c r="H67" s="4" t="s">
        <v>35</v>
      </c>
      <c r="I67" s="4">
        <f t="shared" ref="I67:I69" si="2">G67</f>
        <v>2</v>
      </c>
      <c r="J67" s="4"/>
      <c r="K67" s="4"/>
      <c r="L67" s="4">
        <v>273</v>
      </c>
      <c r="M67" s="4">
        <v>0.1</v>
      </c>
      <c r="N67" s="4">
        <v>224</v>
      </c>
      <c r="O67" s="4" t="s">
        <v>123</v>
      </c>
      <c r="P67" s="4" t="s">
        <v>94</v>
      </c>
      <c r="Q67" s="4" t="s">
        <v>123</v>
      </c>
      <c r="S67" s="4">
        <v>5</v>
      </c>
      <c r="T67" s="4"/>
      <c r="U67" s="13" t="s">
        <v>6914</v>
      </c>
      <c r="V67" s="9"/>
    </row>
    <row r="68" spans="2:24" ht="22" x14ac:dyDescent="0.3">
      <c r="C68" s="4" t="s">
        <v>97</v>
      </c>
      <c r="D68" s="4" t="str">
        <f>IFERROR(INDEX(Table_S12!$A$4:$A$324, MATCH(C68, Table_S12!$B$4:$B$324, 0)), "CSD Code Not Found")</f>
        <v>CSD Code Not Found</v>
      </c>
      <c r="E68" s="4" t="s">
        <v>6946</v>
      </c>
      <c r="F68" s="4"/>
      <c r="G68" s="4">
        <v>2.1</v>
      </c>
      <c r="H68" s="4" t="s">
        <v>35</v>
      </c>
      <c r="I68" s="4">
        <f t="shared" si="2"/>
        <v>2.1</v>
      </c>
      <c r="J68" s="4"/>
      <c r="K68" s="4"/>
      <c r="L68" s="4">
        <v>273</v>
      </c>
      <c r="M68" s="4">
        <v>0.1</v>
      </c>
      <c r="N68" s="4">
        <v>671</v>
      </c>
      <c r="O68" s="4" t="s">
        <v>123</v>
      </c>
      <c r="P68" s="4" t="s">
        <v>98</v>
      </c>
      <c r="Q68" s="4" t="s">
        <v>123</v>
      </c>
      <c r="S68" s="4">
        <v>5</v>
      </c>
      <c r="T68" s="4"/>
      <c r="U68" s="14" t="s">
        <v>6914</v>
      </c>
      <c r="V68" s="9"/>
    </row>
    <row r="69" spans="2:24" ht="19" x14ac:dyDescent="0.25">
      <c r="C69" s="4" t="s">
        <v>99</v>
      </c>
      <c r="D69" s="4" t="str">
        <f>IFERROR(INDEX(Table_S12!$A$4:$A$324, MATCH(C69, Table_S12!$B$4:$B$324, 0)), "CSD Code Not Found")</f>
        <v>CSD Code Not Found</v>
      </c>
      <c r="E69" s="4" t="s">
        <v>6947</v>
      </c>
      <c r="F69" s="4"/>
      <c r="G69" s="4" t="s">
        <v>100</v>
      </c>
      <c r="H69" s="4" t="s">
        <v>35</v>
      </c>
      <c r="I69" s="4" t="str">
        <f t="shared" si="2"/>
        <v>~3.1</v>
      </c>
      <c r="J69" s="4"/>
      <c r="K69" s="4"/>
      <c r="L69" s="4">
        <v>273</v>
      </c>
      <c r="M69" s="4" t="s">
        <v>101</v>
      </c>
      <c r="N69" s="4">
        <v>950</v>
      </c>
      <c r="O69" s="4" t="s">
        <v>123</v>
      </c>
      <c r="P69" s="4" t="s">
        <v>102</v>
      </c>
      <c r="Q69" s="4" t="s">
        <v>123</v>
      </c>
      <c r="S69" s="4">
        <v>5</v>
      </c>
      <c r="T69" s="4" t="s">
        <v>103</v>
      </c>
      <c r="U69" s="15" t="s">
        <v>6914</v>
      </c>
      <c r="V69" s="9"/>
    </row>
    <row r="70" spans="2:24" ht="19" x14ac:dyDescent="0.25">
      <c r="C70" s="4"/>
      <c r="D70" s="4"/>
      <c r="E70" s="4"/>
      <c r="F70" s="4"/>
      <c r="G70" s="4"/>
      <c r="H70" s="4"/>
      <c r="I70" s="4"/>
      <c r="J70" s="4"/>
      <c r="K70" s="4"/>
      <c r="L70" s="4"/>
      <c r="M70" s="4"/>
      <c r="O70" s="4"/>
      <c r="P70" s="4"/>
      <c r="Q70" s="4"/>
      <c r="S70" s="4"/>
      <c r="T70" s="4"/>
      <c r="U70" s="15"/>
      <c r="V70" s="9"/>
    </row>
    <row r="71" spans="2:24" ht="138" x14ac:dyDescent="0.3">
      <c r="C71" s="4" t="s">
        <v>104</v>
      </c>
      <c r="D71" s="4" t="str">
        <f>IFERROR(INDEX(Table_S12!$A$4:$A$324, MATCH(C71, Table_S12!$B$4:$B$324, 0)), "CSD Code Not Found")</f>
        <v>CSD Code Not Found</v>
      </c>
      <c r="E71" s="127" t="s">
        <v>6953</v>
      </c>
      <c r="F71" s="4" t="s">
        <v>6950</v>
      </c>
      <c r="G71" s="3" t="s">
        <v>105</v>
      </c>
      <c r="H71" s="4" t="s">
        <v>35</v>
      </c>
      <c r="I71" s="4" t="s">
        <v>6919</v>
      </c>
      <c r="J71" s="4"/>
      <c r="K71" s="4"/>
      <c r="L71" s="4">
        <v>298</v>
      </c>
      <c r="M71" s="4">
        <v>1</v>
      </c>
      <c r="N71" s="4">
        <v>620</v>
      </c>
      <c r="O71" s="4" t="s">
        <v>123</v>
      </c>
      <c r="P71" s="4" t="s">
        <v>106</v>
      </c>
      <c r="Q71" s="4" t="s">
        <v>123</v>
      </c>
      <c r="R71" s="33" t="s">
        <v>107</v>
      </c>
      <c r="S71" s="4">
        <v>5</v>
      </c>
      <c r="T71" s="4" t="s">
        <v>108</v>
      </c>
      <c r="U71" s="122" t="s">
        <v>6906</v>
      </c>
      <c r="V71" s="9"/>
    </row>
    <row r="72" spans="2:24" ht="24" x14ac:dyDescent="0.3">
      <c r="C72" s="4" t="s">
        <v>109</v>
      </c>
      <c r="D72" s="4" t="str">
        <f>IFERROR(INDEX(Table_S12!$A$4:$A$324, MATCH(C72, Table_S12!$B$4:$B$324, 0)), "CSD Code Not Found")</f>
        <v>CSD Code Not Found</v>
      </c>
      <c r="E72" s="4" t="s">
        <v>6948</v>
      </c>
      <c r="F72" s="4"/>
      <c r="G72" s="4" t="s">
        <v>6914</v>
      </c>
      <c r="H72" s="4" t="s">
        <v>35</v>
      </c>
      <c r="I72" s="4" t="s">
        <v>6919</v>
      </c>
      <c r="J72" s="4"/>
      <c r="K72" s="4"/>
      <c r="L72" s="4">
        <v>298</v>
      </c>
      <c r="M72" s="4">
        <v>1</v>
      </c>
      <c r="N72" s="4">
        <v>760</v>
      </c>
      <c r="O72" s="4" t="s">
        <v>123</v>
      </c>
      <c r="P72" s="4" t="s">
        <v>110</v>
      </c>
      <c r="Q72" s="4" t="s">
        <v>123</v>
      </c>
      <c r="R72" s="4"/>
      <c r="S72" s="4">
        <v>5</v>
      </c>
      <c r="T72" s="4"/>
      <c r="U72" s="34" t="s">
        <v>6914</v>
      </c>
      <c r="V72" s="9"/>
    </row>
    <row r="73" spans="2:24" ht="22" x14ac:dyDescent="0.3">
      <c r="C73" s="4" t="s">
        <v>111</v>
      </c>
      <c r="D73" s="4" t="str">
        <f>IFERROR(INDEX(Table_S12!$A$4:$A$324, MATCH(C73, Table_S12!$B$4:$B$324, 0)), "CSD Code Not Found")</f>
        <v>CSD Code Not Found</v>
      </c>
      <c r="E73" s="4" t="s">
        <v>6954</v>
      </c>
      <c r="F73" s="4" t="s">
        <v>6949</v>
      </c>
      <c r="G73" s="4" t="s">
        <v>6916</v>
      </c>
      <c r="H73" s="4" t="s">
        <v>35</v>
      </c>
      <c r="I73" s="4" t="s">
        <v>6919</v>
      </c>
      <c r="J73" s="4"/>
      <c r="K73" s="4"/>
      <c r="L73" s="4">
        <v>298</v>
      </c>
      <c r="M73" s="4">
        <v>1</v>
      </c>
      <c r="N73" s="4">
        <v>810</v>
      </c>
      <c r="O73" s="4" t="s">
        <v>123</v>
      </c>
      <c r="P73" s="4" t="s">
        <v>112</v>
      </c>
      <c r="Q73" s="4" t="s">
        <v>123</v>
      </c>
      <c r="R73" s="4"/>
      <c r="S73" s="4">
        <v>5</v>
      </c>
      <c r="T73" s="4"/>
      <c r="U73" s="35" t="s">
        <v>6914</v>
      </c>
      <c r="V73" s="9"/>
    </row>
    <row r="74" spans="2:24" ht="19" x14ac:dyDescent="0.25">
      <c r="C74" s="4" t="s">
        <v>99</v>
      </c>
      <c r="D74" s="4" t="str">
        <f>IFERROR(INDEX(Table_S12!$A$4:$A$324, MATCH(C74, Table_S12!$B$4:$B$324, 0)), "CSD Code Not Found")</f>
        <v>CSD Code Not Found</v>
      </c>
      <c r="E74" s="4" t="s">
        <v>6947</v>
      </c>
      <c r="G74" s="4"/>
      <c r="H74" s="4" t="s">
        <v>35</v>
      </c>
      <c r="I74" s="4" t="s">
        <v>6919</v>
      </c>
      <c r="J74" s="4"/>
      <c r="K74" s="4"/>
      <c r="L74" s="4">
        <v>298</v>
      </c>
      <c r="M74" s="4">
        <v>1</v>
      </c>
      <c r="N74" s="4">
        <v>950</v>
      </c>
      <c r="O74" s="4" t="s">
        <v>123</v>
      </c>
      <c r="P74" s="4" t="s">
        <v>102</v>
      </c>
      <c r="Q74" s="4" t="s">
        <v>123</v>
      </c>
      <c r="R74" s="4"/>
      <c r="S74" s="4">
        <v>5</v>
      </c>
      <c r="T74" s="4"/>
      <c r="U74" s="23" t="s">
        <v>6914</v>
      </c>
      <c r="V74" s="9"/>
    </row>
    <row r="75" spans="2:24" ht="19" x14ac:dyDescent="0.25">
      <c r="C75" s="4" t="s">
        <v>113</v>
      </c>
      <c r="D75" s="4" t="str">
        <f>IFERROR(INDEX(Table_S12!$A$4:$A$324, MATCH(C75, Table_S12!$B$4:$B$324, 0)), "CSD Code Not Found")</f>
        <v>CSD Code Not Found</v>
      </c>
      <c r="E75" s="4" t="s">
        <v>6952</v>
      </c>
      <c r="F75" s="4" t="s">
        <v>6951</v>
      </c>
      <c r="G75" s="4"/>
      <c r="H75" s="4" t="s">
        <v>35</v>
      </c>
      <c r="I75" s="4" t="s">
        <v>6919</v>
      </c>
      <c r="J75" s="4"/>
      <c r="K75" s="4"/>
      <c r="L75" s="4">
        <v>298</v>
      </c>
      <c r="M75" s="4">
        <v>1</v>
      </c>
      <c r="N75" s="4">
        <v>1090</v>
      </c>
      <c r="O75" s="4" t="s">
        <v>123</v>
      </c>
      <c r="P75" s="4" t="s">
        <v>114</v>
      </c>
      <c r="Q75" s="4" t="s">
        <v>123</v>
      </c>
      <c r="R75" s="4"/>
      <c r="S75" s="4">
        <v>5</v>
      </c>
      <c r="T75" s="4"/>
      <c r="U75" s="23" t="s">
        <v>6914</v>
      </c>
      <c r="V75" s="9"/>
    </row>
    <row r="76" spans="2:24" ht="20" customHeight="1" x14ac:dyDescent="0.25">
      <c r="C76" s="4" t="s">
        <v>115</v>
      </c>
      <c r="D76" s="4" t="str">
        <f>IFERROR(INDEX(Table_S12!$A$4:$A$324, MATCH(C76, Table_S12!$B$4:$B$324, 0)), "CSD Code Not Found")</f>
        <v>CSD Code Not Found</v>
      </c>
      <c r="E76" s="4" t="s">
        <v>123</v>
      </c>
      <c r="F76" s="4" t="s">
        <v>6955</v>
      </c>
      <c r="G76" s="4"/>
      <c r="H76" s="4"/>
      <c r="I76" s="4" t="s">
        <v>6919</v>
      </c>
      <c r="J76" s="4"/>
      <c r="K76" s="4"/>
      <c r="L76" s="4">
        <v>298</v>
      </c>
      <c r="M76" s="4">
        <v>1</v>
      </c>
      <c r="N76" s="4">
        <v>1300</v>
      </c>
      <c r="O76" s="4" t="s">
        <v>123</v>
      </c>
      <c r="P76" s="4" t="s">
        <v>116</v>
      </c>
      <c r="Q76" s="4" t="s">
        <v>123</v>
      </c>
      <c r="R76" s="4"/>
      <c r="S76" s="4">
        <v>5</v>
      </c>
      <c r="T76" s="4"/>
      <c r="U76" s="23" t="s">
        <v>6914</v>
      </c>
      <c r="V76" s="9"/>
    </row>
    <row r="77" spans="2:24" s="19" customFormat="1" ht="19" x14ac:dyDescent="0.25">
      <c r="B77" s="39"/>
      <c r="C77" s="18"/>
      <c r="D77" s="18"/>
      <c r="E77" s="18"/>
      <c r="F77" s="18"/>
      <c r="G77" s="18"/>
      <c r="H77" s="18"/>
      <c r="I77" s="18"/>
      <c r="J77" s="18"/>
      <c r="K77" s="18"/>
      <c r="L77" s="18"/>
      <c r="M77" s="18"/>
      <c r="N77" s="18"/>
      <c r="O77" s="18"/>
      <c r="P77" s="18"/>
      <c r="Q77" s="18"/>
      <c r="R77" s="18"/>
      <c r="S77" s="18"/>
      <c r="T77" s="18"/>
      <c r="U77" s="18"/>
      <c r="V77" s="31"/>
    </row>
    <row r="78" spans="2:24" ht="24" x14ac:dyDescent="0.3">
      <c r="B78" s="8" t="s">
        <v>117</v>
      </c>
      <c r="C78" s="4"/>
      <c r="D78" s="4"/>
      <c r="E78" s="4"/>
      <c r="F78" s="4"/>
      <c r="G78" s="4"/>
      <c r="H78" s="4"/>
      <c r="I78" s="4"/>
      <c r="J78" s="36" t="s">
        <v>118</v>
      </c>
      <c r="K78" s="4"/>
      <c r="L78" s="4"/>
      <c r="M78" s="4"/>
      <c r="N78" s="4"/>
      <c r="O78" s="4"/>
      <c r="P78" s="4"/>
      <c r="Q78" s="4"/>
      <c r="R78" s="4"/>
      <c r="S78" s="4"/>
      <c r="T78" s="4"/>
      <c r="U78" s="4"/>
    </row>
    <row r="79" spans="2:24" ht="24" x14ac:dyDescent="0.3">
      <c r="C79" s="10" t="s">
        <v>18</v>
      </c>
      <c r="D79" s="10" t="s">
        <v>119</v>
      </c>
      <c r="E79" s="10" t="s">
        <v>6908</v>
      </c>
      <c r="F79" s="10" t="s">
        <v>6909</v>
      </c>
      <c r="G79" s="10" t="s">
        <v>19</v>
      </c>
      <c r="H79" s="10" t="s">
        <v>20</v>
      </c>
      <c r="I79" s="10" t="s">
        <v>120</v>
      </c>
      <c r="J79" s="10" t="s">
        <v>121</v>
      </c>
      <c r="K79" s="10" t="s">
        <v>122</v>
      </c>
      <c r="L79" s="10" t="s">
        <v>21</v>
      </c>
      <c r="M79" s="10" t="s">
        <v>22</v>
      </c>
      <c r="N79" s="10" t="s">
        <v>23</v>
      </c>
      <c r="O79" s="10" t="s">
        <v>24</v>
      </c>
      <c r="P79" s="10" t="s">
        <v>25</v>
      </c>
      <c r="Q79" s="10" t="s">
        <v>26</v>
      </c>
      <c r="R79" s="10" t="s">
        <v>27</v>
      </c>
      <c r="S79" s="10" t="s">
        <v>28</v>
      </c>
      <c r="T79" s="10" t="s">
        <v>29</v>
      </c>
      <c r="U79" s="10" t="s">
        <v>30</v>
      </c>
      <c r="V79" s="10" t="s">
        <v>31</v>
      </c>
      <c r="W79" s="10" t="s">
        <v>32</v>
      </c>
      <c r="X79" s="10" t="s">
        <v>33</v>
      </c>
    </row>
    <row r="80" spans="2:24" ht="49" x14ac:dyDescent="0.25">
      <c r="C80" s="22" t="s">
        <v>80</v>
      </c>
      <c r="D80" s="4" t="str">
        <f>IFERROR(INDEX(Table_S12!$A$4:$A$324, MATCH(C80, Table_S12!$B$4:$B$324, 0)), "CSD Code Not Found")</f>
        <v>CSD Code Not Found</v>
      </c>
      <c r="E80" s="4" t="s">
        <v>123</v>
      </c>
      <c r="F80" s="4"/>
      <c r="G80" s="22"/>
      <c r="H80" s="4"/>
      <c r="I80" s="22">
        <v>1.49</v>
      </c>
      <c r="J80" s="22" t="s">
        <v>123</v>
      </c>
      <c r="K80" s="22">
        <v>27.66</v>
      </c>
      <c r="L80" s="4"/>
      <c r="M80" s="4"/>
      <c r="N80" s="4"/>
      <c r="O80" s="22" t="s">
        <v>124</v>
      </c>
      <c r="P80" s="4" t="s">
        <v>123</v>
      </c>
      <c r="Q80" s="22" t="s">
        <v>123</v>
      </c>
      <c r="R80" s="4" t="s">
        <v>123</v>
      </c>
      <c r="S80" s="4" t="s">
        <v>123</v>
      </c>
      <c r="T80" s="4" t="s">
        <v>123</v>
      </c>
      <c r="U80" s="36" t="s">
        <v>125</v>
      </c>
      <c r="V80" s="4"/>
      <c r="W80" s="4" t="s">
        <v>126</v>
      </c>
      <c r="X80" s="119" t="s">
        <v>6873</v>
      </c>
    </row>
    <row r="81" spans="3:24" ht="19" x14ac:dyDescent="0.25">
      <c r="C81" s="22" t="s">
        <v>76</v>
      </c>
      <c r="D81" s="4" t="str">
        <f>IFERROR(INDEX(Table_S12!$A$4:$A$324, MATCH(C81, Table_S12!$B$4:$B$324, 0)), "CSD Code Not Found")</f>
        <v>CSD Code Not Found</v>
      </c>
      <c r="E81" s="4" t="s">
        <v>6929</v>
      </c>
      <c r="F81" s="4"/>
      <c r="G81" s="22"/>
      <c r="H81" s="4"/>
      <c r="I81" s="22">
        <v>2.44</v>
      </c>
      <c r="J81" s="22" t="s">
        <v>123</v>
      </c>
      <c r="K81" s="22">
        <v>27.85</v>
      </c>
      <c r="L81" s="4"/>
      <c r="M81" s="4"/>
      <c r="N81" s="4"/>
      <c r="O81" s="22" t="s">
        <v>124</v>
      </c>
      <c r="P81" s="4" t="s">
        <v>123</v>
      </c>
      <c r="Q81" s="22" t="s">
        <v>123</v>
      </c>
      <c r="R81" s="4" t="s">
        <v>123</v>
      </c>
      <c r="S81" s="4" t="s">
        <v>123</v>
      </c>
      <c r="T81" s="4" t="s">
        <v>123</v>
      </c>
      <c r="U81" s="12"/>
      <c r="V81" s="4"/>
      <c r="W81" s="4" t="s">
        <v>127</v>
      </c>
      <c r="X81" s="23" t="s">
        <v>6914</v>
      </c>
    </row>
    <row r="82" spans="3:24" ht="19" x14ac:dyDescent="0.25">
      <c r="C82" s="22" t="s">
        <v>128</v>
      </c>
      <c r="D82" s="4" t="str">
        <f>IFERROR(INDEX(Table_S12!$A$4:$A$324, MATCH(C82, Table_S12!$B$4:$B$324, 0)), "CSD Code Not Found")</f>
        <v>CSD Code Not Found</v>
      </c>
      <c r="E82" s="4" t="s">
        <v>6929</v>
      </c>
      <c r="F82" s="4"/>
      <c r="G82" s="22"/>
      <c r="H82" s="4"/>
      <c r="I82" s="22">
        <v>3.99</v>
      </c>
      <c r="J82" s="22" t="s">
        <v>123</v>
      </c>
      <c r="K82" s="22">
        <v>32.11</v>
      </c>
      <c r="L82" s="4"/>
      <c r="M82" s="4"/>
      <c r="N82" s="4"/>
      <c r="O82" s="22" t="s">
        <v>124</v>
      </c>
      <c r="P82" s="4" t="s">
        <v>123</v>
      </c>
      <c r="Q82" s="22">
        <v>667.6</v>
      </c>
      <c r="R82" s="4" t="s">
        <v>123</v>
      </c>
      <c r="S82" s="4" t="s">
        <v>123</v>
      </c>
      <c r="T82" s="4" t="s">
        <v>123</v>
      </c>
      <c r="U82" s="12"/>
      <c r="V82" s="4"/>
      <c r="W82" s="4"/>
      <c r="X82" s="23" t="s">
        <v>6914</v>
      </c>
    </row>
    <row r="83" spans="3:24" ht="49" x14ac:dyDescent="0.25">
      <c r="C83" s="22" t="s">
        <v>129</v>
      </c>
      <c r="D83" s="4" t="str">
        <f>IFERROR(INDEX(Table_S12!$A$4:$A$324, MATCH(C83, Table_S12!$B$4:$B$324, 0)), "CSD Code Not Found")</f>
        <v>CSD Code Not Found</v>
      </c>
      <c r="E83" s="4" t="s">
        <v>123</v>
      </c>
      <c r="F83" s="4"/>
      <c r="G83" s="22"/>
      <c r="H83" s="4"/>
      <c r="I83" s="22">
        <v>2.2400000000000002</v>
      </c>
      <c r="J83" s="22">
        <v>43.8</v>
      </c>
      <c r="K83" s="22">
        <v>25</v>
      </c>
      <c r="L83" s="4"/>
      <c r="M83" s="4"/>
      <c r="N83" s="4"/>
      <c r="O83" s="22" t="s">
        <v>130</v>
      </c>
      <c r="P83" s="4" t="s">
        <v>123</v>
      </c>
      <c r="Q83" s="22" t="s">
        <v>123</v>
      </c>
      <c r="R83" s="4" t="s">
        <v>123</v>
      </c>
      <c r="S83" s="4" t="s">
        <v>123</v>
      </c>
      <c r="T83" s="4" t="s">
        <v>123</v>
      </c>
      <c r="U83" s="36" t="s">
        <v>45</v>
      </c>
      <c r="V83" s="4"/>
      <c r="W83" s="4"/>
      <c r="X83" s="119" t="s">
        <v>6874</v>
      </c>
    </row>
    <row r="84" spans="3:24" ht="49" x14ac:dyDescent="0.25">
      <c r="C84" s="42" t="s">
        <v>131</v>
      </c>
      <c r="D84" s="4" t="str">
        <f>IFERROR(INDEX(Table_S12!$A$4:$A$324, MATCH(C84, Table_S12!$B$4:$B$324, 0)), "CSD Code Not Found")</f>
        <v>CSD Code Not Found</v>
      </c>
      <c r="E84" s="4" t="s">
        <v>123</v>
      </c>
      <c r="F84" s="4"/>
      <c r="G84" s="22"/>
      <c r="H84" s="4"/>
      <c r="I84" s="22">
        <v>0.4</v>
      </c>
      <c r="J84" s="22" t="s">
        <v>123</v>
      </c>
      <c r="K84" s="22">
        <v>58</v>
      </c>
      <c r="L84" s="4"/>
      <c r="M84" s="4"/>
      <c r="N84" s="4"/>
      <c r="O84" s="22" t="s">
        <v>130</v>
      </c>
      <c r="P84" s="4" t="s">
        <v>123</v>
      </c>
      <c r="Q84" s="22" t="s">
        <v>123</v>
      </c>
      <c r="R84" s="4" t="s">
        <v>123</v>
      </c>
      <c r="S84" s="4" t="s">
        <v>123</v>
      </c>
      <c r="T84" s="4" t="s">
        <v>123</v>
      </c>
      <c r="U84" s="36" t="s">
        <v>49</v>
      </c>
      <c r="V84" s="4"/>
      <c r="W84" s="4"/>
      <c r="X84" s="119" t="s">
        <v>6875</v>
      </c>
    </row>
    <row r="85" spans="3:24" ht="49" x14ac:dyDescent="0.25">
      <c r="C85" s="22" t="s">
        <v>132</v>
      </c>
      <c r="D85" s="4" t="str">
        <f>IFERROR(INDEX(Table_S12!$A$4:$A$324, MATCH(C85, Table_S12!$B$4:$B$324, 0)), "CSD Code Not Found")</f>
        <v>CSD Code Not Found</v>
      </c>
      <c r="E85" s="4" t="s">
        <v>6913</v>
      </c>
      <c r="F85" s="4"/>
      <c r="G85" s="22"/>
      <c r="H85" s="4"/>
      <c r="I85" s="22">
        <v>1.36</v>
      </c>
      <c r="J85" s="22">
        <v>40</v>
      </c>
      <c r="K85" s="22">
        <v>34</v>
      </c>
      <c r="L85" s="4"/>
      <c r="M85" s="4"/>
      <c r="N85" s="4"/>
      <c r="O85" s="22" t="s">
        <v>130</v>
      </c>
      <c r="P85" s="4" t="s">
        <v>123</v>
      </c>
      <c r="Q85" s="22" t="s">
        <v>123</v>
      </c>
      <c r="R85" s="4" t="s">
        <v>123</v>
      </c>
      <c r="S85" s="4" t="s">
        <v>123</v>
      </c>
      <c r="T85" s="4" t="s">
        <v>123</v>
      </c>
      <c r="U85" s="128" t="s">
        <v>64</v>
      </c>
      <c r="V85" s="4"/>
      <c r="W85" s="4"/>
      <c r="X85" s="119" t="s">
        <v>6876</v>
      </c>
    </row>
    <row r="86" spans="3:24" ht="19" x14ac:dyDescent="0.25">
      <c r="C86" s="22" t="s">
        <v>133</v>
      </c>
      <c r="D86" s="4" t="str">
        <f>IFERROR(INDEX(Table_S12!$A$4:$A$324, MATCH(C86, Table_S12!$B$4:$B$324, 0)), "CSD Code Not Found")</f>
        <v>CSD Code Not Found</v>
      </c>
      <c r="E86" s="4" t="s">
        <v>6913</v>
      </c>
      <c r="F86" s="4"/>
      <c r="G86" s="22"/>
      <c r="H86" s="4"/>
      <c r="I86" s="22">
        <v>1.48</v>
      </c>
      <c r="J86" s="22">
        <v>48</v>
      </c>
      <c r="K86" s="22">
        <v>40</v>
      </c>
      <c r="L86" s="4"/>
      <c r="M86" s="4"/>
      <c r="N86" s="4"/>
      <c r="O86" s="22" t="s">
        <v>130</v>
      </c>
      <c r="P86" s="4" t="s">
        <v>123</v>
      </c>
      <c r="Q86" s="22" t="s">
        <v>123</v>
      </c>
      <c r="R86" s="4" t="s">
        <v>123</v>
      </c>
      <c r="S86" s="4" t="s">
        <v>123</v>
      </c>
      <c r="T86" s="4" t="s">
        <v>123</v>
      </c>
      <c r="U86" s="12"/>
      <c r="V86" s="4"/>
      <c r="W86" s="4"/>
      <c r="X86" s="23" t="s">
        <v>6914</v>
      </c>
    </row>
    <row r="87" spans="3:24" ht="19" x14ac:dyDescent="0.25">
      <c r="C87" s="22" t="s">
        <v>134</v>
      </c>
      <c r="D87" s="4" t="str">
        <f>IFERROR(INDEX(Table_S12!$A$4:$A$324, MATCH(C87, Table_S12!$B$4:$B$324, 0)), "CSD Code Not Found")</f>
        <v>CSD Code Not Found</v>
      </c>
      <c r="E87" s="4" t="s">
        <v>6913</v>
      </c>
      <c r="F87" s="4"/>
      <c r="G87" s="22"/>
      <c r="H87" s="4"/>
      <c r="I87" s="22">
        <v>1.62</v>
      </c>
      <c r="J87" s="22">
        <v>197</v>
      </c>
      <c r="K87" s="22">
        <v>48</v>
      </c>
      <c r="L87" s="4"/>
      <c r="M87" s="4"/>
      <c r="N87" s="4"/>
      <c r="O87" s="22" t="s">
        <v>130</v>
      </c>
      <c r="P87" s="4" t="s">
        <v>123</v>
      </c>
      <c r="Q87" s="22" t="s">
        <v>123</v>
      </c>
      <c r="R87" s="4" t="s">
        <v>123</v>
      </c>
      <c r="S87" s="4" t="s">
        <v>123</v>
      </c>
      <c r="T87" s="4" t="s">
        <v>123</v>
      </c>
      <c r="U87" s="12"/>
      <c r="V87" s="4"/>
      <c r="W87" s="4"/>
      <c r="X87" s="23" t="s">
        <v>6914</v>
      </c>
    </row>
    <row r="88" spans="3:24" ht="49" x14ac:dyDescent="0.25">
      <c r="C88" s="22" t="s">
        <v>135</v>
      </c>
      <c r="D88" s="4" t="str">
        <f>IFERROR(INDEX(Table_S12!$A$4:$A$324, MATCH(C88, Table_S12!$B$4:$B$324, 0)), "CSD Code Not Found")</f>
        <v>CSD Code Not Found</v>
      </c>
      <c r="E88" s="4" t="s">
        <v>123</v>
      </c>
      <c r="F88" s="4"/>
      <c r="G88" s="22"/>
      <c r="H88" s="4"/>
      <c r="I88" s="22">
        <v>2</v>
      </c>
      <c r="J88" s="22" t="s">
        <v>123</v>
      </c>
      <c r="K88" s="22" t="s">
        <v>123</v>
      </c>
      <c r="L88" s="4"/>
      <c r="M88" s="4"/>
      <c r="N88" s="4"/>
      <c r="O88" s="22" t="s">
        <v>136</v>
      </c>
      <c r="P88" s="4" t="s">
        <v>123</v>
      </c>
      <c r="Q88" s="22" t="s">
        <v>123</v>
      </c>
      <c r="R88" s="4" t="s">
        <v>123</v>
      </c>
      <c r="S88" s="4" t="s">
        <v>123</v>
      </c>
      <c r="T88" s="4" t="s">
        <v>123</v>
      </c>
      <c r="U88" s="36" t="s">
        <v>137</v>
      </c>
      <c r="V88" s="4"/>
      <c r="W88" s="4"/>
      <c r="X88" s="119" t="s">
        <v>6877</v>
      </c>
    </row>
    <row r="89" spans="3:24" ht="49" x14ac:dyDescent="0.25">
      <c r="C89" s="22" t="s">
        <v>138</v>
      </c>
      <c r="D89" s="4" t="str">
        <f>IFERROR(INDEX(Table_S12!$A$4:$A$324, MATCH(C89, Table_S12!$B$4:$B$324, 0)), "CSD Code Not Found")</f>
        <v>CSD Code Not Found</v>
      </c>
      <c r="E89" s="4" t="s">
        <v>6972</v>
      </c>
      <c r="F89" s="4"/>
      <c r="G89" s="22"/>
      <c r="H89" s="4"/>
      <c r="I89" s="22">
        <v>1.04</v>
      </c>
      <c r="J89" s="22" t="s">
        <v>123</v>
      </c>
      <c r="K89" s="22">
        <v>80</v>
      </c>
      <c r="L89" s="4"/>
      <c r="M89" s="4"/>
      <c r="N89" s="4"/>
      <c r="O89" s="22" t="s">
        <v>139</v>
      </c>
      <c r="P89" s="4" t="s">
        <v>123</v>
      </c>
      <c r="Q89" s="22" t="s">
        <v>123</v>
      </c>
      <c r="R89" s="4" t="s">
        <v>123</v>
      </c>
      <c r="S89" s="4" t="s">
        <v>123</v>
      </c>
      <c r="T89" s="4" t="s">
        <v>123</v>
      </c>
      <c r="U89" s="36" t="s">
        <v>140</v>
      </c>
      <c r="V89" s="4"/>
      <c r="W89" s="4"/>
      <c r="X89" s="119" t="s">
        <v>6878</v>
      </c>
    </row>
    <row r="90" spans="3:24" ht="19" x14ac:dyDescent="0.25">
      <c r="C90" s="22" t="s">
        <v>141</v>
      </c>
      <c r="D90" s="4" t="str">
        <f>IFERROR(INDEX(Table_S12!$A$4:$A$324, MATCH(C90, Table_S12!$B$4:$B$324, 0)), "CSD Code Not Found")</f>
        <v>CSD Code Not Found</v>
      </c>
      <c r="E90" s="4" t="s">
        <v>6956</v>
      </c>
      <c r="F90" s="4"/>
      <c r="G90" s="22"/>
      <c r="H90" s="4"/>
      <c r="I90" s="22">
        <v>0.54</v>
      </c>
      <c r="J90" s="22" t="s">
        <v>123</v>
      </c>
      <c r="K90" s="22">
        <v>46</v>
      </c>
      <c r="L90" s="4"/>
      <c r="M90" s="4"/>
      <c r="N90" s="4"/>
      <c r="O90" s="22" t="s">
        <v>139</v>
      </c>
      <c r="P90" s="4" t="s">
        <v>123</v>
      </c>
      <c r="Q90" s="22" t="s">
        <v>123</v>
      </c>
      <c r="R90" s="4" t="s">
        <v>123</v>
      </c>
      <c r="S90" s="4" t="s">
        <v>123</v>
      </c>
      <c r="T90" s="4" t="s">
        <v>123</v>
      </c>
      <c r="U90" s="12"/>
      <c r="V90" s="4"/>
      <c r="W90" s="4"/>
      <c r="X90" s="9" t="s">
        <v>6914</v>
      </c>
    </row>
    <row r="91" spans="3:24" ht="19" x14ac:dyDescent="0.25">
      <c r="C91" s="22" t="s">
        <v>142</v>
      </c>
      <c r="D91" s="4" t="str">
        <f>IFERROR(INDEX(Table_S12!$A$4:$A$324, MATCH(C91, Table_S12!$B$4:$B$324, 0)), "CSD Code Not Found")</f>
        <v>CSD Code Not Found</v>
      </c>
      <c r="E91" s="4" t="s">
        <v>6957</v>
      </c>
      <c r="F91" s="4" t="s">
        <v>6970</v>
      </c>
      <c r="G91" s="22"/>
      <c r="H91" s="4"/>
      <c r="I91" s="22">
        <v>1.98</v>
      </c>
      <c r="J91" s="22" t="s">
        <v>123</v>
      </c>
      <c r="K91" s="22">
        <v>22.7</v>
      </c>
      <c r="L91" s="4"/>
      <c r="M91" s="4"/>
      <c r="N91" s="4"/>
      <c r="O91" s="22" t="s">
        <v>143</v>
      </c>
      <c r="P91" s="4" t="s">
        <v>123</v>
      </c>
      <c r="Q91" s="22" t="s">
        <v>123</v>
      </c>
      <c r="R91" s="4" t="s">
        <v>123</v>
      </c>
      <c r="S91" s="4" t="s">
        <v>123</v>
      </c>
      <c r="T91" s="4" t="s">
        <v>123</v>
      </c>
      <c r="U91" s="36" t="s">
        <v>144</v>
      </c>
      <c r="V91" s="4"/>
      <c r="W91" s="4"/>
      <c r="X91" s="23" t="s">
        <v>6879</v>
      </c>
    </row>
    <row r="92" spans="3:24" ht="19" x14ac:dyDescent="0.25">
      <c r="C92" s="22" t="s">
        <v>145</v>
      </c>
      <c r="D92" s="4" t="str">
        <f>IFERROR(INDEX(Table_S12!$A$4:$A$324, MATCH(C92, Table_S12!$B$4:$B$324, 0)), "CSD Code Not Found")</f>
        <v>CSD Code Not Found</v>
      </c>
      <c r="E92" s="4" t="s">
        <v>6957</v>
      </c>
      <c r="F92" s="4"/>
      <c r="G92" s="22"/>
      <c r="H92" s="4"/>
      <c r="I92" s="22">
        <v>2.15</v>
      </c>
      <c r="J92" s="22" t="s">
        <v>123</v>
      </c>
      <c r="K92" s="22">
        <v>25.2</v>
      </c>
      <c r="L92" s="4"/>
      <c r="M92" s="4"/>
      <c r="N92" s="4"/>
      <c r="O92" s="22" t="s">
        <v>143</v>
      </c>
      <c r="P92" s="4" t="s">
        <v>123</v>
      </c>
      <c r="Q92" s="22" t="s">
        <v>123</v>
      </c>
      <c r="R92" s="4" t="s">
        <v>123</v>
      </c>
      <c r="S92" s="4" t="s">
        <v>123</v>
      </c>
      <c r="T92" s="4" t="s">
        <v>123</v>
      </c>
      <c r="U92" s="12"/>
      <c r="V92" s="4"/>
      <c r="W92" s="4"/>
      <c r="X92" s="23" t="s">
        <v>6914</v>
      </c>
    </row>
    <row r="93" spans="3:24" ht="19" x14ac:dyDescent="0.25">
      <c r="C93" s="22" t="s">
        <v>146</v>
      </c>
      <c r="D93" s="4" t="str">
        <f>IFERROR(INDEX(Table_S12!$A$4:$A$324, MATCH(C93, Table_S12!$B$4:$B$324, 0)), "CSD Code Not Found")</f>
        <v>CSD Code Not Found</v>
      </c>
      <c r="E93" s="4" t="s">
        <v>6957</v>
      </c>
      <c r="F93" s="4"/>
      <c r="G93" s="22"/>
      <c r="H93" s="4"/>
      <c r="I93" s="22">
        <v>2.65</v>
      </c>
      <c r="J93" s="22" t="s">
        <v>123</v>
      </c>
      <c r="K93" s="22">
        <v>22</v>
      </c>
      <c r="L93" s="4"/>
      <c r="M93" s="4"/>
      <c r="N93" s="4"/>
      <c r="O93" s="22" t="s">
        <v>143</v>
      </c>
      <c r="P93" s="4" t="s">
        <v>123</v>
      </c>
      <c r="Q93" s="22" t="s">
        <v>123</v>
      </c>
      <c r="R93" s="4" t="s">
        <v>123</v>
      </c>
      <c r="S93" s="4" t="s">
        <v>123</v>
      </c>
      <c r="T93" s="4" t="s">
        <v>123</v>
      </c>
      <c r="U93" s="12"/>
      <c r="V93" s="4"/>
      <c r="W93" s="4"/>
      <c r="X93" s="23" t="s">
        <v>6914</v>
      </c>
    </row>
    <row r="94" spans="3:24" ht="19" x14ac:dyDescent="0.25">
      <c r="C94" s="22" t="s">
        <v>147</v>
      </c>
      <c r="D94" s="4" t="str">
        <f>IFERROR(INDEX(Table_S12!$A$4:$A$324, MATCH(C94, Table_S12!$B$4:$B$324, 0)), "CSD Code Not Found")</f>
        <v>CSD Code Not Found</v>
      </c>
      <c r="E94" s="4" t="s">
        <v>6957</v>
      </c>
      <c r="F94" s="4"/>
      <c r="G94" s="22"/>
      <c r="H94" s="4"/>
      <c r="I94" s="22">
        <v>2.04</v>
      </c>
      <c r="J94" s="22" t="s">
        <v>123</v>
      </c>
      <c r="K94" s="22">
        <v>18.8</v>
      </c>
      <c r="L94" s="4"/>
      <c r="M94" s="4"/>
      <c r="N94" s="4"/>
      <c r="O94" s="22" t="s">
        <v>143</v>
      </c>
      <c r="P94" s="4" t="s">
        <v>123</v>
      </c>
      <c r="Q94" s="22" t="s">
        <v>123</v>
      </c>
      <c r="R94" s="4" t="s">
        <v>123</v>
      </c>
      <c r="S94" s="4" t="s">
        <v>123</v>
      </c>
      <c r="T94" s="4" t="s">
        <v>123</v>
      </c>
      <c r="U94" s="12"/>
      <c r="V94" s="4"/>
      <c r="W94" s="4"/>
      <c r="X94" s="23" t="s">
        <v>6914</v>
      </c>
    </row>
    <row r="95" spans="3:24" ht="19" x14ac:dyDescent="0.25">
      <c r="C95" s="22" t="s">
        <v>148</v>
      </c>
      <c r="D95" s="4" t="str">
        <f>IFERROR(INDEX(Table_S12!$A$4:$A$324, MATCH(C95, Table_S12!$B$4:$B$324, 0)), "CSD Code Not Found")</f>
        <v>CSD Code Not Found</v>
      </c>
      <c r="E95" s="4" t="s">
        <v>6957</v>
      </c>
      <c r="F95" s="4"/>
      <c r="G95" s="22"/>
      <c r="H95" s="4"/>
      <c r="I95" s="22">
        <v>2.5</v>
      </c>
      <c r="J95" s="22" t="s">
        <v>123</v>
      </c>
      <c r="K95" s="22">
        <v>19.399999999999999</v>
      </c>
      <c r="L95" s="4"/>
      <c r="M95" s="4"/>
      <c r="N95" s="4"/>
      <c r="O95" s="22" t="s">
        <v>143</v>
      </c>
      <c r="P95" s="4" t="s">
        <v>123</v>
      </c>
      <c r="Q95" s="22" t="s">
        <v>123</v>
      </c>
      <c r="R95" s="4" t="s">
        <v>123</v>
      </c>
      <c r="S95" s="4" t="s">
        <v>123</v>
      </c>
      <c r="T95" s="4" t="s">
        <v>123</v>
      </c>
      <c r="U95" s="12"/>
      <c r="V95" s="4"/>
      <c r="W95" s="4"/>
      <c r="X95" s="23" t="s">
        <v>6914</v>
      </c>
    </row>
    <row r="96" spans="3:24" ht="49" x14ac:dyDescent="0.25">
      <c r="C96" s="22" t="s">
        <v>6921</v>
      </c>
      <c r="D96" s="4" t="str">
        <f>IFERROR(INDEX(Table_S12!$A$4:$A$324, MATCH(C96, Table_S12!$B$4:$B$324, 0)), "CSD Code Not Found")</f>
        <v>CSD Code Not Found</v>
      </c>
      <c r="E96" s="4" t="s">
        <v>1594</v>
      </c>
      <c r="F96" s="4" t="s">
        <v>6958</v>
      </c>
      <c r="G96" s="22"/>
      <c r="H96" s="4"/>
      <c r="I96" s="22">
        <v>0.95</v>
      </c>
      <c r="J96" s="22" t="s">
        <v>123</v>
      </c>
      <c r="K96" s="22">
        <v>65</v>
      </c>
      <c r="L96" s="4"/>
      <c r="M96" s="4"/>
      <c r="N96" s="4"/>
      <c r="O96" s="22" t="s">
        <v>149</v>
      </c>
      <c r="P96" s="4" t="s">
        <v>123</v>
      </c>
      <c r="Q96" s="22">
        <v>2816</v>
      </c>
      <c r="R96" s="4" t="s">
        <v>123</v>
      </c>
      <c r="S96" s="4" t="s">
        <v>123</v>
      </c>
      <c r="T96" s="4" t="s">
        <v>123</v>
      </c>
      <c r="U96" s="36" t="s">
        <v>150</v>
      </c>
      <c r="V96" s="4"/>
      <c r="W96" s="4"/>
      <c r="X96" s="119" t="s">
        <v>6880</v>
      </c>
    </row>
    <row r="97" spans="2:24" ht="49" x14ac:dyDescent="0.25">
      <c r="C97" s="22" t="s">
        <v>6922</v>
      </c>
      <c r="D97" s="4" t="str">
        <f>IFERROR(INDEX(Table_S12!$A$4:$A$324, MATCH(C97, Table_S12!$B$4:$B$324, 0)), "CSD Code Not Found")</f>
        <v>CSD Code Not Found</v>
      </c>
      <c r="E97" s="4" t="s">
        <v>1594</v>
      </c>
      <c r="F97" s="4"/>
      <c r="G97" s="22"/>
      <c r="H97" s="4"/>
      <c r="I97" s="22">
        <v>4.1500000000000004</v>
      </c>
      <c r="J97" s="22" t="s">
        <v>123</v>
      </c>
      <c r="K97" s="22">
        <v>73</v>
      </c>
      <c r="L97" s="4"/>
      <c r="M97" s="4"/>
      <c r="N97" s="4"/>
      <c r="O97" s="22" t="s">
        <v>130</v>
      </c>
      <c r="P97" s="4" t="s">
        <v>123</v>
      </c>
      <c r="Q97" s="22">
        <v>3204</v>
      </c>
      <c r="R97" s="4" t="s">
        <v>123</v>
      </c>
      <c r="S97" s="4" t="s">
        <v>123</v>
      </c>
      <c r="T97" s="4" t="s">
        <v>123</v>
      </c>
      <c r="U97" s="36" t="s">
        <v>95</v>
      </c>
      <c r="V97" s="4"/>
      <c r="W97" s="4"/>
      <c r="X97" s="119" t="s">
        <v>6881</v>
      </c>
    </row>
    <row r="98" spans="2:24" ht="49" x14ac:dyDescent="0.25">
      <c r="C98" s="22" t="s">
        <v>6920</v>
      </c>
      <c r="D98" s="4" t="str">
        <f>IFERROR(INDEX(Table_S12!$A$4:$A$324, MATCH(C98, Table_S12!$B$4:$B$324, 0)), "CSD Code Not Found")</f>
        <v>CSD Code Not Found</v>
      </c>
      <c r="E98" s="4" t="s">
        <v>6959</v>
      </c>
      <c r="F98" s="4"/>
      <c r="G98" s="22"/>
      <c r="H98" s="4"/>
      <c r="I98" s="22">
        <v>2.3199999999999998</v>
      </c>
      <c r="J98" s="22">
        <v>87</v>
      </c>
      <c r="K98" s="22">
        <v>28.9</v>
      </c>
      <c r="L98" s="4"/>
      <c r="M98" s="4"/>
      <c r="N98" s="4"/>
      <c r="O98" s="22" t="s">
        <v>130</v>
      </c>
      <c r="P98" s="4" t="s">
        <v>123</v>
      </c>
      <c r="Q98" s="22">
        <v>605</v>
      </c>
      <c r="R98" s="4" t="s">
        <v>123</v>
      </c>
      <c r="S98" s="4" t="s">
        <v>123</v>
      </c>
      <c r="T98" s="4" t="s">
        <v>123</v>
      </c>
      <c r="U98" s="36" t="s">
        <v>151</v>
      </c>
      <c r="V98" s="4"/>
      <c r="W98" s="4"/>
      <c r="X98" s="119" t="s">
        <v>6882</v>
      </c>
    </row>
    <row r="99" spans="2:24" ht="19" x14ac:dyDescent="0.25">
      <c r="C99" s="22" t="s">
        <v>152</v>
      </c>
      <c r="D99" s="4" t="str">
        <f>IFERROR(INDEX(Table_S12!$A$4:$A$324, MATCH(C99, Table_S12!$B$4:$B$324, 0)), "CSD Code Not Found")</f>
        <v>CSD Code Not Found</v>
      </c>
      <c r="E99" s="4" t="s">
        <v>6959</v>
      </c>
      <c r="F99" s="4"/>
      <c r="G99" s="22"/>
      <c r="H99" s="4"/>
      <c r="I99" s="22">
        <v>1.35</v>
      </c>
      <c r="J99" s="22">
        <v>147</v>
      </c>
      <c r="K99" s="22">
        <v>20.5</v>
      </c>
      <c r="L99" s="4"/>
      <c r="M99" s="4"/>
      <c r="N99" s="4"/>
      <c r="O99" s="22" t="s">
        <v>130</v>
      </c>
      <c r="P99" s="4" t="s">
        <v>123</v>
      </c>
      <c r="Q99" s="9">
        <v>300</v>
      </c>
      <c r="R99" s="4" t="s">
        <v>123</v>
      </c>
      <c r="S99" s="4" t="s">
        <v>123</v>
      </c>
      <c r="T99" s="4" t="s">
        <v>123</v>
      </c>
      <c r="U99" s="12"/>
      <c r="V99" s="4"/>
      <c r="W99" s="4"/>
      <c r="X99" s="23" t="s">
        <v>6914</v>
      </c>
    </row>
    <row r="100" spans="2:24" ht="19" x14ac:dyDescent="0.25">
      <c r="C100" s="22" t="s">
        <v>153</v>
      </c>
      <c r="D100" s="4" t="str">
        <f>IFERROR(INDEX(Table_S12!$A$4:$A$324, MATCH(C100, Table_S12!$B$4:$B$324, 0)), "CSD Code Not Found")</f>
        <v>CSD Code Not Found</v>
      </c>
      <c r="E100" s="4" t="s">
        <v>6959</v>
      </c>
      <c r="F100" s="4"/>
      <c r="G100" s="22"/>
      <c r="H100" s="4"/>
      <c r="I100" s="22">
        <v>1.07</v>
      </c>
      <c r="J100" s="22">
        <v>471</v>
      </c>
      <c r="K100" s="22">
        <v>17.8</v>
      </c>
      <c r="L100" s="4"/>
      <c r="M100" s="4"/>
      <c r="N100" s="4"/>
      <c r="O100" s="22" t="s">
        <v>130</v>
      </c>
      <c r="P100" s="4" t="s">
        <v>123</v>
      </c>
      <c r="Q100" s="9">
        <v>42</v>
      </c>
      <c r="R100" s="4" t="s">
        <v>123</v>
      </c>
      <c r="S100" s="4" t="s">
        <v>123</v>
      </c>
      <c r="T100" s="4" t="s">
        <v>123</v>
      </c>
      <c r="U100" s="12"/>
      <c r="V100" s="4"/>
      <c r="W100" s="4"/>
      <c r="X100" s="23" t="s">
        <v>6914</v>
      </c>
    </row>
    <row r="101" spans="2:24" s="26" customFormat="1" ht="19" x14ac:dyDescent="0.25">
      <c r="B101" s="40"/>
      <c r="C101" s="30"/>
      <c r="D101" s="25"/>
      <c r="E101" s="25"/>
      <c r="F101" s="25"/>
      <c r="G101" s="25"/>
      <c r="H101" s="25"/>
      <c r="I101" s="25"/>
      <c r="J101" s="25"/>
      <c r="K101" s="25"/>
      <c r="L101" s="25"/>
      <c r="M101" s="25"/>
      <c r="N101" s="25"/>
      <c r="O101" s="25"/>
      <c r="P101" s="25"/>
      <c r="Q101" s="25"/>
      <c r="R101" s="25"/>
      <c r="S101" s="25"/>
      <c r="T101" s="25"/>
      <c r="U101" s="32"/>
    </row>
    <row r="102" spans="2:24" ht="24" x14ac:dyDescent="0.3">
      <c r="B102" s="8" t="s">
        <v>154</v>
      </c>
      <c r="D102" s="4"/>
      <c r="E102" s="4"/>
      <c r="F102" s="4"/>
      <c r="G102" s="4"/>
      <c r="H102" s="4"/>
      <c r="I102" s="4"/>
      <c r="J102" s="4"/>
      <c r="K102" s="4"/>
      <c r="L102" s="4"/>
      <c r="M102" s="4"/>
      <c r="N102" s="4"/>
      <c r="O102" s="140"/>
      <c r="P102" s="4"/>
      <c r="Q102" s="4"/>
      <c r="R102" s="4"/>
      <c r="S102" s="4"/>
      <c r="T102" s="4"/>
      <c r="U102" s="23"/>
      <c r="V102" s="9"/>
    </row>
    <row r="103" spans="2:24" ht="52" x14ac:dyDescent="0.25">
      <c r="C103" s="22" t="s">
        <v>155</v>
      </c>
      <c r="D103" s="4" t="str">
        <f>IFERROR(INDEX(Table_S12!$A$4:$A$324, MATCH(C103, Table_S12!$B$4:$B$324, 0)), "CSD Code Not Found")</f>
        <v>CSD Code Not Found</v>
      </c>
      <c r="E103" s="4" t="s">
        <v>6960</v>
      </c>
      <c r="F103" s="4"/>
      <c r="G103" s="4"/>
      <c r="H103" s="4"/>
      <c r="I103" s="22">
        <v>3.28</v>
      </c>
      <c r="J103" s="22" t="s">
        <v>123</v>
      </c>
      <c r="K103" s="22" t="s">
        <v>123</v>
      </c>
      <c r="L103" s="4"/>
      <c r="M103" s="4"/>
      <c r="N103" s="4"/>
      <c r="O103" s="141">
        <v>293.10000000000002</v>
      </c>
      <c r="P103" s="4" t="s">
        <v>123</v>
      </c>
      <c r="Q103" s="22">
        <v>852</v>
      </c>
      <c r="R103" s="4" t="s">
        <v>123</v>
      </c>
      <c r="S103" s="4" t="s">
        <v>123</v>
      </c>
      <c r="T103" s="4" t="s">
        <v>123</v>
      </c>
      <c r="U103" s="36" t="s">
        <v>156</v>
      </c>
      <c r="V103" s="9"/>
      <c r="X103" s="120" t="s">
        <v>6883</v>
      </c>
    </row>
    <row r="104" spans="2:24" ht="19" x14ac:dyDescent="0.25">
      <c r="C104" s="22" t="s">
        <v>157</v>
      </c>
      <c r="D104" s="4" t="str">
        <f>IFERROR(INDEX(Table_S12!$A$4:$A$324, MATCH(C104, Table_S12!$B$4:$B$324, 0)), "CSD Code Not Found")</f>
        <v>CSD Code Not Found</v>
      </c>
      <c r="E104" s="4" t="s">
        <v>6960</v>
      </c>
      <c r="F104" s="4"/>
      <c r="G104" s="4"/>
      <c r="H104" s="4"/>
      <c r="I104" s="22">
        <v>1.83</v>
      </c>
      <c r="J104" s="22" t="s">
        <v>123</v>
      </c>
      <c r="K104" s="22" t="s">
        <v>123</v>
      </c>
      <c r="L104" s="4"/>
      <c r="M104" s="4"/>
      <c r="N104" s="4"/>
      <c r="O104" s="141">
        <v>291.10000000000002</v>
      </c>
      <c r="P104" s="4" t="s">
        <v>123</v>
      </c>
      <c r="Q104" s="22">
        <v>620</v>
      </c>
      <c r="R104" s="4" t="s">
        <v>123</v>
      </c>
      <c r="S104" s="4" t="s">
        <v>123</v>
      </c>
      <c r="T104" s="4" t="s">
        <v>123</v>
      </c>
      <c r="U104" s="12"/>
      <c r="V104" s="9"/>
      <c r="X104" s="9" t="s">
        <v>6914</v>
      </c>
    </row>
    <row r="105" spans="2:24" ht="19" x14ac:dyDescent="0.25">
      <c r="C105" s="22" t="s">
        <v>158</v>
      </c>
      <c r="D105" s="4" t="str">
        <f>IFERROR(INDEX(Table_S12!$A$4:$A$324, MATCH(C105, Table_S12!$B$4:$B$324, 0)), "CSD Code Not Found")</f>
        <v>CSD Code Not Found</v>
      </c>
      <c r="E105" s="4" t="s">
        <v>6961</v>
      </c>
      <c r="F105" s="4"/>
      <c r="G105" s="4"/>
      <c r="H105" s="4"/>
      <c r="I105" s="22">
        <v>2.2799999999999998</v>
      </c>
      <c r="J105" s="22" t="s">
        <v>123</v>
      </c>
      <c r="K105" s="22" t="s">
        <v>123</v>
      </c>
      <c r="L105" s="4"/>
      <c r="M105" s="4"/>
      <c r="N105" s="4"/>
      <c r="O105" s="141">
        <v>293.10000000000002</v>
      </c>
      <c r="P105" s="4" t="s">
        <v>123</v>
      </c>
      <c r="Q105" s="22">
        <v>939</v>
      </c>
      <c r="R105" s="4" t="s">
        <v>123</v>
      </c>
      <c r="S105" s="4" t="s">
        <v>123</v>
      </c>
      <c r="T105" s="4" t="s">
        <v>123</v>
      </c>
      <c r="U105" s="12"/>
      <c r="V105" s="9"/>
      <c r="X105" s="9" t="s">
        <v>6914</v>
      </c>
    </row>
    <row r="106" spans="2:24" ht="52" x14ac:dyDescent="0.25">
      <c r="C106" s="22" t="s">
        <v>159</v>
      </c>
      <c r="D106" s="4" t="str">
        <f>IFERROR(INDEX(Table_S12!$A$4:$A$324, MATCH(C106, Table_S12!$B$4:$B$324, 0)), "CSD Code Not Found")</f>
        <v>CSD Code Not Found</v>
      </c>
      <c r="E106" s="4" t="s">
        <v>6963</v>
      </c>
      <c r="F106" s="4"/>
      <c r="G106" s="4"/>
      <c r="H106" s="4"/>
      <c r="I106" s="22">
        <v>0.05</v>
      </c>
      <c r="J106" s="22" t="s">
        <v>160</v>
      </c>
      <c r="K106" s="22" t="s">
        <v>123</v>
      </c>
      <c r="L106" s="4"/>
      <c r="M106" s="4"/>
      <c r="N106" s="4"/>
      <c r="O106" s="141">
        <v>273.10000000000002</v>
      </c>
      <c r="P106" s="4" t="s">
        <v>123</v>
      </c>
      <c r="Q106" s="22" t="s">
        <v>123</v>
      </c>
      <c r="R106" s="4" t="s">
        <v>123</v>
      </c>
      <c r="S106" s="4" t="s">
        <v>123</v>
      </c>
      <c r="T106" s="4" t="s">
        <v>123</v>
      </c>
      <c r="U106" s="36" t="s">
        <v>161</v>
      </c>
      <c r="V106" s="9"/>
      <c r="X106" s="120" t="s">
        <v>6884</v>
      </c>
    </row>
    <row r="107" spans="2:24" ht="19" x14ac:dyDescent="0.25">
      <c r="C107" s="22" t="s">
        <v>162</v>
      </c>
      <c r="D107" s="4" t="str">
        <f>IFERROR(INDEX(Table_S12!$A$4:$A$324, MATCH(C107, Table_S12!$B$4:$B$324, 0)), "CSD Code Not Found")</f>
        <v>CSD Code Not Found</v>
      </c>
      <c r="E107" s="4" t="s">
        <v>6962</v>
      </c>
      <c r="F107" s="4"/>
      <c r="G107" s="4"/>
      <c r="H107" s="4"/>
      <c r="I107" s="22">
        <v>0.55000000000000004</v>
      </c>
      <c r="J107" s="22" t="s">
        <v>163</v>
      </c>
      <c r="K107" s="22" t="s">
        <v>123</v>
      </c>
      <c r="L107" s="4"/>
      <c r="M107" s="4"/>
      <c r="N107" s="4"/>
      <c r="O107" s="141">
        <v>273.10000000000002</v>
      </c>
      <c r="P107" s="4" t="s">
        <v>123</v>
      </c>
      <c r="Q107" s="22" t="s">
        <v>123</v>
      </c>
      <c r="R107" s="4" t="s">
        <v>123</v>
      </c>
      <c r="S107" s="4" t="s">
        <v>123</v>
      </c>
      <c r="T107" s="4" t="s">
        <v>123</v>
      </c>
      <c r="U107" s="12"/>
      <c r="V107" s="9"/>
      <c r="X107" s="9" t="s">
        <v>6914</v>
      </c>
    </row>
    <row r="108" spans="2:24" ht="52" x14ac:dyDescent="0.25">
      <c r="C108" s="22" t="s">
        <v>164</v>
      </c>
      <c r="D108" s="4" t="str">
        <f>IFERROR(INDEX(Table_S12!$A$4:$A$324, MATCH(C108, Table_S12!$B$4:$B$324, 0)), "CSD Code Not Found")</f>
        <v>CSD Code Not Found</v>
      </c>
      <c r="E108" s="4" t="s">
        <v>2900</v>
      </c>
      <c r="F108" s="4"/>
      <c r="G108" s="4"/>
      <c r="H108" s="4"/>
      <c r="I108" s="22">
        <v>2.2000000000000002</v>
      </c>
      <c r="J108" s="22">
        <v>29</v>
      </c>
      <c r="K108" s="22">
        <v>32</v>
      </c>
      <c r="L108" s="4"/>
      <c r="M108" s="4"/>
      <c r="N108" s="4"/>
      <c r="O108" s="141">
        <v>293.10000000000002</v>
      </c>
      <c r="P108" s="4" t="s">
        <v>123</v>
      </c>
      <c r="Q108" s="22">
        <v>3195</v>
      </c>
      <c r="R108" s="4" t="s">
        <v>123</v>
      </c>
      <c r="S108" s="4" t="s">
        <v>123</v>
      </c>
      <c r="T108" s="4" t="s">
        <v>123</v>
      </c>
      <c r="U108" s="36" t="s">
        <v>165</v>
      </c>
      <c r="V108" s="9"/>
      <c r="X108" s="120" t="s">
        <v>6885</v>
      </c>
    </row>
    <row r="109" spans="2:24" ht="19" x14ac:dyDescent="0.25">
      <c r="C109" s="22" t="s">
        <v>166</v>
      </c>
      <c r="D109" s="4" t="str">
        <f>IFERROR(INDEX(Table_S12!$A$4:$A$324, MATCH(C109, Table_S12!$B$4:$B$324, 0)), "CSD Code Not Found")</f>
        <v>CSD Code Not Found</v>
      </c>
      <c r="E109" s="4" t="s">
        <v>2900</v>
      </c>
      <c r="F109" s="4"/>
      <c r="G109" s="4"/>
      <c r="H109" s="4"/>
      <c r="I109" s="22">
        <v>3</v>
      </c>
      <c r="J109" s="22">
        <v>51</v>
      </c>
      <c r="K109" s="22">
        <v>39</v>
      </c>
      <c r="L109" s="4"/>
      <c r="M109" s="4"/>
      <c r="N109" s="4"/>
      <c r="O109" s="141">
        <v>293.10000000000002</v>
      </c>
      <c r="P109" s="4" t="s">
        <v>123</v>
      </c>
      <c r="Q109" s="22">
        <v>2909</v>
      </c>
      <c r="R109" s="4" t="s">
        <v>123</v>
      </c>
      <c r="S109" s="4" t="s">
        <v>123</v>
      </c>
      <c r="T109" s="4" t="s">
        <v>123</v>
      </c>
      <c r="U109" s="12"/>
      <c r="V109" s="9"/>
      <c r="X109" s="9" t="s">
        <v>6914</v>
      </c>
    </row>
    <row r="110" spans="2:24" ht="19" x14ac:dyDescent="0.25">
      <c r="C110" s="22" t="s">
        <v>167</v>
      </c>
      <c r="D110" s="4" t="str">
        <f>IFERROR(INDEX(Table_S12!$A$4:$A$324, MATCH(C110, Table_S12!$B$4:$B$324, 0)), "CSD Code Not Found")</f>
        <v>CSD Code Not Found</v>
      </c>
      <c r="E110" s="4" t="s">
        <v>2900</v>
      </c>
      <c r="F110" s="4"/>
      <c r="G110" s="4"/>
      <c r="H110" s="4"/>
      <c r="I110" s="22">
        <v>3.6</v>
      </c>
      <c r="J110" s="22">
        <v>108</v>
      </c>
      <c r="K110" s="22">
        <v>45</v>
      </c>
      <c r="L110" s="4"/>
      <c r="M110" s="4"/>
      <c r="N110" s="4"/>
      <c r="O110" s="141">
        <v>293.10000000000002</v>
      </c>
      <c r="P110" s="4" t="s">
        <v>123</v>
      </c>
      <c r="Q110" s="22">
        <v>2385</v>
      </c>
      <c r="R110" s="4" t="s">
        <v>123</v>
      </c>
      <c r="S110" s="4" t="s">
        <v>123</v>
      </c>
      <c r="T110" s="4" t="s">
        <v>123</v>
      </c>
      <c r="U110" s="12"/>
      <c r="V110" s="9"/>
      <c r="X110" s="9" t="s">
        <v>6914</v>
      </c>
    </row>
    <row r="111" spans="2:24" s="26" customFormat="1" ht="19" x14ac:dyDescent="0.25">
      <c r="B111" s="40"/>
      <c r="C111" s="30"/>
      <c r="D111" s="25"/>
      <c r="E111" s="25"/>
      <c r="F111" s="25"/>
      <c r="G111" s="25"/>
      <c r="H111" s="25"/>
      <c r="I111" s="37"/>
      <c r="J111" s="37"/>
      <c r="K111" s="37"/>
      <c r="L111" s="25"/>
      <c r="M111" s="25"/>
      <c r="N111" s="25"/>
      <c r="O111" s="37"/>
      <c r="P111" s="25"/>
      <c r="Q111" s="25"/>
      <c r="R111" s="25"/>
      <c r="S111" s="25"/>
      <c r="T111" s="25"/>
      <c r="U111" s="37"/>
    </row>
    <row r="112" spans="2:24" ht="24" x14ac:dyDescent="0.3">
      <c r="B112" s="8" t="s">
        <v>168</v>
      </c>
      <c r="D112" s="4"/>
      <c r="E112" s="4"/>
      <c r="F112" s="4"/>
      <c r="G112" s="4"/>
      <c r="H112" s="4"/>
      <c r="I112" s="24"/>
      <c r="J112" s="24"/>
      <c r="K112" s="24"/>
      <c r="L112" s="4"/>
      <c r="M112" s="4"/>
      <c r="N112" s="4"/>
      <c r="O112" s="142"/>
      <c r="P112" s="4"/>
      <c r="Q112" s="4"/>
      <c r="R112" s="4"/>
      <c r="S112" s="4"/>
      <c r="T112" s="4"/>
      <c r="U112" s="24"/>
      <c r="V112" s="9"/>
    </row>
    <row r="113" spans="2:24" ht="52" x14ac:dyDescent="0.25">
      <c r="C113" s="22" t="s">
        <v>6924</v>
      </c>
      <c r="D113" s="4" t="str">
        <f>IFERROR(INDEX(Table_S12!$A$4:$A$324, MATCH(C113, Table_S12!$B$4:$B$324, 0)), "CSD Code Not Found")</f>
        <v>CSD Code Not Found</v>
      </c>
      <c r="E113" s="4" t="s">
        <v>5197</v>
      </c>
      <c r="F113" s="4"/>
      <c r="G113" s="4"/>
      <c r="H113" s="4"/>
      <c r="I113" s="22">
        <v>3.4</v>
      </c>
      <c r="J113" s="22" t="s">
        <v>123</v>
      </c>
      <c r="K113" s="22" t="s">
        <v>123</v>
      </c>
      <c r="L113" s="4"/>
      <c r="M113" s="4"/>
      <c r="N113" s="4"/>
      <c r="O113" s="141">
        <v>298.10000000000002</v>
      </c>
      <c r="P113" s="4" t="s">
        <v>123</v>
      </c>
      <c r="Q113" s="22">
        <v>526.51</v>
      </c>
      <c r="R113" s="4" t="s">
        <v>123</v>
      </c>
      <c r="S113" s="4" t="s">
        <v>123</v>
      </c>
      <c r="T113" s="4" t="s">
        <v>123</v>
      </c>
      <c r="U113" s="36" t="s">
        <v>169</v>
      </c>
      <c r="V113" s="9"/>
      <c r="X113" s="120" t="s">
        <v>6886</v>
      </c>
    </row>
    <row r="114" spans="2:24" ht="19" x14ac:dyDescent="0.25">
      <c r="C114" s="22" t="s">
        <v>170</v>
      </c>
      <c r="D114" s="4" t="str">
        <f>IFERROR(INDEX(Table_S12!$A$4:$A$324, MATCH(C114, Table_S12!$B$4:$B$324, 0)), "CSD Code Not Found")</f>
        <v>CSD Code Not Found</v>
      </c>
      <c r="E114" s="4" t="s">
        <v>5197</v>
      </c>
      <c r="F114" s="4"/>
      <c r="G114" s="4"/>
      <c r="H114" s="4"/>
      <c r="I114" s="22">
        <v>3.83</v>
      </c>
      <c r="J114" s="22" t="s">
        <v>123</v>
      </c>
      <c r="K114" s="22" t="s">
        <v>123</v>
      </c>
      <c r="L114" s="4"/>
      <c r="M114" s="4"/>
      <c r="N114" s="4"/>
      <c r="O114" s="141">
        <v>298.10000000000002</v>
      </c>
      <c r="P114" s="4" t="s">
        <v>123</v>
      </c>
      <c r="Q114" s="22">
        <v>841.1</v>
      </c>
      <c r="R114" s="4" t="s">
        <v>123</v>
      </c>
      <c r="S114" s="4" t="s">
        <v>123</v>
      </c>
      <c r="T114" s="4" t="s">
        <v>123</v>
      </c>
      <c r="U114" s="12"/>
      <c r="V114" s="9"/>
      <c r="X114" s="9" t="s">
        <v>6914</v>
      </c>
    </row>
    <row r="115" spans="2:24" ht="52" x14ac:dyDescent="0.25">
      <c r="C115" s="22" t="s">
        <v>171</v>
      </c>
      <c r="D115" s="4" t="str">
        <f>IFERROR(INDEX(Table_S12!$A$4:$A$324, MATCH(C115, Table_S12!$B$4:$B$324, 0)), "CSD Code Not Found")</f>
        <v>CSD Code Not Found</v>
      </c>
      <c r="E115" s="4" t="s">
        <v>6964</v>
      </c>
      <c r="F115" s="4"/>
      <c r="G115" s="4"/>
      <c r="H115" s="4"/>
      <c r="I115" s="22">
        <v>1.06</v>
      </c>
      <c r="J115" s="22" t="s">
        <v>123</v>
      </c>
      <c r="K115" s="22" t="s">
        <v>123</v>
      </c>
      <c r="L115" s="4"/>
      <c r="M115" s="4"/>
      <c r="N115" s="4"/>
      <c r="O115" s="141">
        <v>273.10000000000002</v>
      </c>
      <c r="P115" s="4" t="s">
        <v>123</v>
      </c>
      <c r="Q115" s="22">
        <v>2407</v>
      </c>
      <c r="R115" s="4" t="s">
        <v>123</v>
      </c>
      <c r="S115" s="4" t="s">
        <v>123</v>
      </c>
      <c r="T115" s="4" t="s">
        <v>123</v>
      </c>
      <c r="U115" s="36" t="s">
        <v>172</v>
      </c>
      <c r="V115" s="9"/>
      <c r="X115" s="120" t="s">
        <v>6887</v>
      </c>
    </row>
    <row r="116" spans="2:24" ht="19" x14ac:dyDescent="0.25">
      <c r="C116" s="22" t="s">
        <v>173</v>
      </c>
      <c r="D116" s="4" t="str">
        <f>IFERROR(INDEX(Table_S12!$A$4:$A$324, MATCH(C116, Table_S12!$B$4:$B$324, 0)), "CSD Code Not Found")</f>
        <v>CSD Code Not Found</v>
      </c>
      <c r="E116" s="4" t="s">
        <v>6964</v>
      </c>
      <c r="F116" s="4"/>
      <c r="G116" s="4"/>
      <c r="H116" s="4"/>
      <c r="I116" s="22">
        <v>0.8</v>
      </c>
      <c r="J116" s="22" t="s">
        <v>123</v>
      </c>
      <c r="K116" s="22" t="s">
        <v>123</v>
      </c>
      <c r="L116" s="4"/>
      <c r="M116" s="4"/>
      <c r="N116" s="4"/>
      <c r="O116" s="141">
        <v>273.10000000000002</v>
      </c>
      <c r="P116" s="4" t="s">
        <v>123</v>
      </c>
      <c r="Q116" s="22">
        <v>1627</v>
      </c>
      <c r="R116" s="4" t="s">
        <v>123</v>
      </c>
      <c r="S116" s="4" t="s">
        <v>123</v>
      </c>
      <c r="T116" s="4" t="s">
        <v>123</v>
      </c>
      <c r="U116" s="12"/>
      <c r="V116" s="9"/>
      <c r="X116" s="9" t="s">
        <v>6914</v>
      </c>
    </row>
    <row r="117" spans="2:24" ht="19" x14ac:dyDescent="0.25">
      <c r="C117" s="22" t="s">
        <v>174</v>
      </c>
      <c r="D117" s="4" t="str">
        <f>IFERROR(INDEX(Table_S12!$A$4:$A$324, MATCH(C117, Table_S12!$B$4:$B$324, 0)), "CSD Code Not Found")</f>
        <v>CSD Code Not Found</v>
      </c>
      <c r="E117" s="4" t="s">
        <v>6964</v>
      </c>
      <c r="F117" s="4"/>
      <c r="G117" s="4"/>
      <c r="H117" s="4"/>
      <c r="I117" s="22">
        <v>3.8</v>
      </c>
      <c r="J117" s="22">
        <v>36.56</v>
      </c>
      <c r="K117" s="22">
        <v>22.9</v>
      </c>
      <c r="L117" s="4"/>
      <c r="M117" s="4"/>
      <c r="N117" s="4"/>
      <c r="O117" s="141">
        <v>273.10000000000002</v>
      </c>
      <c r="P117" s="4" t="s">
        <v>123</v>
      </c>
      <c r="Q117" s="22">
        <v>1403</v>
      </c>
      <c r="R117" s="4" t="s">
        <v>123</v>
      </c>
      <c r="S117" s="4" t="s">
        <v>123</v>
      </c>
      <c r="T117" s="4" t="s">
        <v>123</v>
      </c>
      <c r="U117" s="12"/>
      <c r="V117" s="9"/>
      <c r="X117" s="9" t="s">
        <v>6914</v>
      </c>
    </row>
    <row r="118" spans="2:24" ht="52" x14ac:dyDescent="0.25">
      <c r="C118" s="22" t="s">
        <v>175</v>
      </c>
      <c r="D118" s="4" t="str">
        <f>IFERROR(INDEX(Table_S12!$A$4:$A$324, MATCH(C118, Table_S12!$B$4:$B$324, 0)), "CSD Code Not Found")</f>
        <v>CSD Code Not Found</v>
      </c>
      <c r="E118" s="4" t="s">
        <v>123</v>
      </c>
      <c r="F118" s="4"/>
      <c r="G118" s="4"/>
      <c r="H118" s="4"/>
      <c r="I118" s="22">
        <v>6.03</v>
      </c>
      <c r="J118" s="22" t="s">
        <v>123</v>
      </c>
      <c r="K118" s="22">
        <v>24</v>
      </c>
      <c r="L118" s="4"/>
      <c r="M118" s="4"/>
      <c r="N118" s="4"/>
      <c r="O118" s="141">
        <v>273.10000000000002</v>
      </c>
      <c r="P118" s="4" t="s">
        <v>123</v>
      </c>
      <c r="Q118" s="22">
        <v>3412</v>
      </c>
      <c r="R118" s="4" t="s">
        <v>123</v>
      </c>
      <c r="S118" s="4" t="s">
        <v>123</v>
      </c>
      <c r="T118" s="4" t="s">
        <v>123</v>
      </c>
      <c r="U118" s="36" t="s">
        <v>176</v>
      </c>
      <c r="V118" s="9"/>
      <c r="X118" s="120" t="s">
        <v>6888</v>
      </c>
    </row>
    <row r="119" spans="2:24" ht="19" x14ac:dyDescent="0.25">
      <c r="C119" s="22" t="s">
        <v>177</v>
      </c>
      <c r="D119" s="4" t="str">
        <f>IFERROR(INDEX(Table_S12!$A$4:$A$324, MATCH(C119, Table_S12!$B$4:$B$324, 0)), "CSD Code Not Found")</f>
        <v>CSD Code Not Found</v>
      </c>
      <c r="E119" s="4" t="s">
        <v>123</v>
      </c>
      <c r="F119" s="4"/>
      <c r="G119" s="4"/>
      <c r="H119" s="4"/>
      <c r="I119" s="22">
        <v>8.2100000000000009</v>
      </c>
      <c r="J119" s="22" t="s">
        <v>123</v>
      </c>
      <c r="K119" s="22">
        <v>24.6</v>
      </c>
      <c r="L119" s="4"/>
      <c r="M119" s="4"/>
      <c r="N119" s="4"/>
      <c r="O119" s="141">
        <v>273.10000000000002</v>
      </c>
      <c r="P119" s="4" t="s">
        <v>123</v>
      </c>
      <c r="Q119" s="22">
        <v>2893</v>
      </c>
      <c r="R119" s="4" t="s">
        <v>123</v>
      </c>
      <c r="S119" s="4" t="s">
        <v>123</v>
      </c>
      <c r="T119" s="4" t="s">
        <v>123</v>
      </c>
      <c r="U119" s="12"/>
      <c r="V119" s="9"/>
      <c r="X119" s="9" t="s">
        <v>6914</v>
      </c>
    </row>
    <row r="120" spans="2:24" ht="19" x14ac:dyDescent="0.25">
      <c r="C120" s="22" t="s">
        <v>178</v>
      </c>
      <c r="D120" s="4" t="str">
        <f>IFERROR(INDEX(Table_S12!$A$4:$A$324, MATCH(C120, Table_S12!$B$4:$B$324, 0)), "CSD Code Not Found")</f>
        <v>CSD Code Not Found</v>
      </c>
      <c r="E120" s="4" t="s">
        <v>123</v>
      </c>
      <c r="F120" s="4"/>
      <c r="G120" s="4"/>
      <c r="H120" s="4"/>
      <c r="I120" s="22">
        <v>8.0399999999999991</v>
      </c>
      <c r="J120" s="22" t="s">
        <v>123</v>
      </c>
      <c r="K120" s="22">
        <v>24.4</v>
      </c>
      <c r="L120" s="4"/>
      <c r="M120" s="4"/>
      <c r="N120" s="4"/>
      <c r="O120" s="141">
        <v>273.10000000000002</v>
      </c>
      <c r="P120" s="4" t="s">
        <v>123</v>
      </c>
      <c r="Q120" s="22">
        <v>2923</v>
      </c>
      <c r="R120" s="4" t="s">
        <v>123</v>
      </c>
      <c r="S120" s="4" t="s">
        <v>123</v>
      </c>
      <c r="T120" s="4" t="s">
        <v>123</v>
      </c>
      <c r="U120" s="12"/>
      <c r="V120" s="9"/>
      <c r="X120" s="9" t="s">
        <v>6914</v>
      </c>
    </row>
    <row r="121" spans="2:24" ht="52" x14ac:dyDescent="0.25">
      <c r="C121" s="22" t="s">
        <v>179</v>
      </c>
      <c r="D121" s="4" t="str">
        <f>IFERROR(INDEX(Table_S12!$A$4:$A$324, MATCH(C121, Table_S12!$B$4:$B$324, 0)), "CSD Code Not Found")</f>
        <v>CSD Code Not Found</v>
      </c>
      <c r="E121" s="4" t="s">
        <v>6966</v>
      </c>
      <c r="F121" s="4"/>
      <c r="G121" s="4"/>
      <c r="H121" s="4"/>
      <c r="I121" s="22">
        <v>2.8</v>
      </c>
      <c r="J121" s="22">
        <v>15.43</v>
      </c>
      <c r="K121" s="22" t="s">
        <v>123</v>
      </c>
      <c r="L121" s="4"/>
      <c r="M121" s="4"/>
      <c r="N121" s="4"/>
      <c r="O121" s="141">
        <v>298.3</v>
      </c>
      <c r="P121" s="4" t="s">
        <v>123</v>
      </c>
      <c r="Q121" s="22">
        <v>1169.43</v>
      </c>
      <c r="R121" s="4" t="s">
        <v>123</v>
      </c>
      <c r="S121" s="4" t="s">
        <v>123</v>
      </c>
      <c r="T121" s="4" t="s">
        <v>123</v>
      </c>
      <c r="U121" s="36" t="s">
        <v>180</v>
      </c>
      <c r="V121" s="9"/>
      <c r="X121" s="120" t="s">
        <v>6889</v>
      </c>
    </row>
    <row r="122" spans="2:24" ht="19" x14ac:dyDescent="0.25">
      <c r="C122" s="22" t="s">
        <v>181</v>
      </c>
      <c r="D122" s="4" t="str">
        <f>IFERROR(INDEX(Table_S12!$A$4:$A$324, MATCH(C122, Table_S12!$B$4:$B$324, 0)), "CSD Code Not Found")</f>
        <v>CSD Code Not Found</v>
      </c>
      <c r="E122" s="4" t="s">
        <v>6966</v>
      </c>
      <c r="F122" s="4"/>
      <c r="G122" s="4"/>
      <c r="H122" s="4"/>
      <c r="I122" s="22">
        <v>8.24</v>
      </c>
      <c r="J122" s="22">
        <v>64.709999999999994</v>
      </c>
      <c r="K122" s="22" t="s">
        <v>123</v>
      </c>
      <c r="L122" s="4"/>
      <c r="M122" s="4"/>
      <c r="N122" s="4"/>
      <c r="O122" s="141">
        <v>298.3</v>
      </c>
      <c r="P122" s="4" t="s">
        <v>123</v>
      </c>
      <c r="Q122" s="22">
        <v>917.57</v>
      </c>
      <c r="R122" s="4" t="s">
        <v>123</v>
      </c>
      <c r="S122" s="4" t="s">
        <v>123</v>
      </c>
      <c r="T122" s="4" t="s">
        <v>123</v>
      </c>
      <c r="U122" s="12"/>
      <c r="V122" s="9"/>
      <c r="X122" s="9" t="s">
        <v>6914</v>
      </c>
    </row>
    <row r="123" spans="2:24" ht="52" x14ac:dyDescent="0.25">
      <c r="C123" s="36" t="s">
        <v>6923</v>
      </c>
      <c r="D123" s="4" t="str">
        <f>IFERROR(INDEX(Table_S12!$A$4:$A$324, MATCH(C123, Table_S12!$B$4:$B$324, 0)), "CSD Code Not Found")</f>
        <v>CSD Code Not Found</v>
      </c>
      <c r="E123" s="4" t="s">
        <v>6965</v>
      </c>
      <c r="F123" s="4"/>
      <c r="G123" s="4"/>
      <c r="H123" s="4"/>
      <c r="I123" s="22">
        <v>0.94</v>
      </c>
      <c r="J123" s="22">
        <v>6341</v>
      </c>
      <c r="K123" s="22">
        <v>37</v>
      </c>
      <c r="L123" s="4"/>
      <c r="M123" s="4"/>
      <c r="N123" s="4"/>
      <c r="O123" s="141">
        <v>298.10000000000002</v>
      </c>
      <c r="P123" s="4" t="s">
        <v>123</v>
      </c>
      <c r="Q123" s="22">
        <v>238</v>
      </c>
      <c r="R123" s="4" t="s">
        <v>123</v>
      </c>
      <c r="S123" s="4" t="s">
        <v>123</v>
      </c>
      <c r="T123" s="4" t="s">
        <v>123</v>
      </c>
      <c r="U123" s="36" t="s">
        <v>182</v>
      </c>
      <c r="V123" s="9"/>
      <c r="X123" s="120" t="s">
        <v>6890</v>
      </c>
    </row>
    <row r="124" spans="2:24" s="26" customFormat="1" ht="19" x14ac:dyDescent="0.25">
      <c r="B124" s="40"/>
      <c r="C124" s="30"/>
      <c r="D124" s="25"/>
      <c r="E124" s="25"/>
      <c r="F124" s="25"/>
      <c r="G124" s="25"/>
      <c r="H124" s="25"/>
      <c r="I124" s="37"/>
      <c r="J124" s="37"/>
      <c r="K124" s="37"/>
      <c r="L124" s="25"/>
      <c r="M124" s="25"/>
      <c r="N124" s="25"/>
      <c r="O124" s="37"/>
      <c r="P124" s="25"/>
      <c r="Q124" s="25"/>
      <c r="R124" s="25"/>
      <c r="S124" s="25"/>
      <c r="T124" s="25"/>
      <c r="U124" s="37"/>
    </row>
    <row r="125" spans="2:24" ht="24" x14ac:dyDescent="0.3">
      <c r="B125" s="8" t="s">
        <v>183</v>
      </c>
      <c r="C125" s="24"/>
      <c r="D125" s="4"/>
      <c r="E125" s="4"/>
      <c r="F125" s="4"/>
      <c r="G125" s="4"/>
      <c r="H125" s="4"/>
      <c r="I125" s="24"/>
      <c r="J125" s="24"/>
      <c r="K125" s="24"/>
      <c r="L125" s="4"/>
      <c r="M125" s="4"/>
      <c r="N125" s="4"/>
      <c r="O125" s="142"/>
      <c r="P125" s="4"/>
      <c r="Q125" s="4"/>
      <c r="R125" s="4"/>
      <c r="S125" s="4"/>
      <c r="T125" s="4"/>
      <c r="U125" s="24"/>
      <c r="V125" s="9"/>
    </row>
    <row r="126" spans="2:24" ht="52" x14ac:dyDescent="0.25">
      <c r="C126" s="36" t="s">
        <v>6925</v>
      </c>
      <c r="D126" s="4" t="str">
        <f>IFERROR(INDEX(Table_S12!$A$4:$A$324, MATCH(C126, Table_S12!$B$4:$B$324, 0)), "CSD Code Not Found")</f>
        <v>CSD Code Not Found</v>
      </c>
      <c r="E126" s="4" t="s">
        <v>6965</v>
      </c>
      <c r="F126" s="4"/>
      <c r="G126" s="4"/>
      <c r="H126" s="4"/>
      <c r="I126" s="22">
        <v>1.39</v>
      </c>
      <c r="J126" s="22">
        <v>59</v>
      </c>
      <c r="K126" s="22">
        <v>133.80000000000001</v>
      </c>
      <c r="L126" s="4"/>
      <c r="M126" s="4"/>
      <c r="N126" s="4"/>
      <c r="O126" s="141">
        <v>298.10000000000002</v>
      </c>
      <c r="P126" s="4" t="s">
        <v>123</v>
      </c>
      <c r="Q126" s="22">
        <v>92</v>
      </c>
      <c r="R126" s="4" t="s">
        <v>123</v>
      </c>
      <c r="S126" s="4" t="s">
        <v>123</v>
      </c>
      <c r="T126" s="4" t="s">
        <v>123</v>
      </c>
      <c r="U126" s="36" t="s">
        <v>184</v>
      </c>
      <c r="V126" s="9"/>
      <c r="X126" s="120" t="s">
        <v>6891</v>
      </c>
    </row>
    <row r="127" spans="2:24" ht="52" x14ac:dyDescent="0.25">
      <c r="C127" s="22" t="s">
        <v>185</v>
      </c>
      <c r="D127" s="4" t="str">
        <f>IFERROR(INDEX(Table_S12!$A$4:$A$324, MATCH(C127, Table_S12!$B$4:$B$324, 0)), "CSD Code Not Found")</f>
        <v>CSD Code Not Found</v>
      </c>
      <c r="E127" s="4" t="s">
        <v>123</v>
      </c>
      <c r="F127" s="4"/>
      <c r="G127" s="4"/>
      <c r="H127" s="4"/>
      <c r="I127" s="22">
        <v>2.23</v>
      </c>
      <c r="J127" s="22" t="s">
        <v>123</v>
      </c>
      <c r="K127" s="22">
        <v>30</v>
      </c>
      <c r="L127" s="4"/>
      <c r="M127" s="4"/>
      <c r="N127" s="4"/>
      <c r="O127" s="141">
        <v>298.10000000000002</v>
      </c>
      <c r="P127" s="4" t="s">
        <v>123</v>
      </c>
      <c r="Q127" s="22" t="s">
        <v>123</v>
      </c>
      <c r="R127" s="4" t="s">
        <v>123</v>
      </c>
      <c r="S127" s="4" t="s">
        <v>123</v>
      </c>
      <c r="T127" s="4" t="s">
        <v>123</v>
      </c>
      <c r="U127" s="36" t="s">
        <v>186</v>
      </c>
      <c r="V127" s="9"/>
      <c r="X127" s="120" t="s">
        <v>6892</v>
      </c>
    </row>
    <row r="128" spans="2:24" ht="52" x14ac:dyDescent="0.25">
      <c r="C128" s="22" t="s">
        <v>187</v>
      </c>
      <c r="D128" s="4" t="str">
        <f>IFERROR(INDEX(Table_S12!$A$4:$A$324, MATCH(C128, Table_S12!$B$4:$B$324, 0)), "CSD Code Not Found")</f>
        <v>CSD Code Not Found</v>
      </c>
      <c r="E128" s="4" t="s">
        <v>123</v>
      </c>
      <c r="F128" s="4"/>
      <c r="G128" s="4"/>
      <c r="H128" s="4"/>
      <c r="I128" s="22">
        <v>2.6</v>
      </c>
      <c r="J128" s="22">
        <v>129</v>
      </c>
      <c r="K128" s="22">
        <v>34.5</v>
      </c>
      <c r="L128" s="4"/>
      <c r="M128" s="4"/>
      <c r="N128" s="4"/>
      <c r="O128" s="141">
        <v>298.10000000000002</v>
      </c>
      <c r="P128" s="4" t="s">
        <v>123</v>
      </c>
      <c r="Q128" s="22" t="s">
        <v>123</v>
      </c>
      <c r="R128" s="4" t="s">
        <v>123</v>
      </c>
      <c r="S128" s="4" t="s">
        <v>123</v>
      </c>
      <c r="T128" s="4" t="s">
        <v>123</v>
      </c>
      <c r="U128" s="36" t="s">
        <v>188</v>
      </c>
      <c r="V128" s="9"/>
      <c r="X128" s="120" t="s">
        <v>6893</v>
      </c>
    </row>
    <row r="129" spans="2:24" ht="52" x14ac:dyDescent="0.25">
      <c r="C129" s="22" t="s">
        <v>189</v>
      </c>
      <c r="D129" s="4" t="str">
        <f>IFERROR(INDEX(Table_S12!$A$4:$A$324, MATCH(C129, Table_S12!$B$4:$B$324, 0)), "CSD Code Not Found")</f>
        <v>CSD Code Not Found</v>
      </c>
      <c r="E129" s="4" t="s">
        <v>6967</v>
      </c>
      <c r="F129" s="4"/>
      <c r="G129" s="4"/>
      <c r="H129" s="4"/>
      <c r="I129" s="22">
        <v>7.63</v>
      </c>
      <c r="J129" s="22" t="s">
        <v>190</v>
      </c>
      <c r="K129" s="22">
        <v>32</v>
      </c>
      <c r="L129" s="4"/>
      <c r="M129" s="4"/>
      <c r="N129" s="4"/>
      <c r="O129" s="141">
        <v>273.10000000000002</v>
      </c>
      <c r="P129" s="4" t="s">
        <v>123</v>
      </c>
      <c r="Q129" s="22" t="s">
        <v>123</v>
      </c>
      <c r="R129" s="4" t="s">
        <v>123</v>
      </c>
      <c r="S129" s="4" t="s">
        <v>123</v>
      </c>
      <c r="T129" s="4" t="s">
        <v>123</v>
      </c>
      <c r="U129" s="36" t="s">
        <v>191</v>
      </c>
      <c r="V129" s="9"/>
      <c r="X129" s="120" t="s">
        <v>6894</v>
      </c>
    </row>
    <row r="130" spans="2:24" s="133" customFormat="1" ht="52" x14ac:dyDescent="0.25">
      <c r="B130" s="129"/>
      <c r="C130" s="130" t="s">
        <v>192</v>
      </c>
      <c r="D130" s="131" t="str">
        <f>IFERROR(INDEX(Table_S12!$A$4:$A$324, MATCH(C130, Table_S12!$B$4:$B$324, 0)), "CSD Code Not Found")</f>
        <v>CSD Code Not Found</v>
      </c>
      <c r="E130" s="131" t="s">
        <v>6968</v>
      </c>
      <c r="F130" s="131" t="s">
        <v>6969</v>
      </c>
      <c r="G130" s="131"/>
      <c r="H130" s="131"/>
      <c r="I130" s="130">
        <v>2.54</v>
      </c>
      <c r="J130" s="130">
        <v>5.3</v>
      </c>
      <c r="K130" s="130">
        <v>32.6</v>
      </c>
      <c r="L130" s="131"/>
      <c r="M130" s="131"/>
      <c r="N130" s="131"/>
      <c r="O130" s="130">
        <v>296.10000000000002</v>
      </c>
      <c r="P130" s="131" t="s">
        <v>123</v>
      </c>
      <c r="Q130" s="130">
        <v>750</v>
      </c>
      <c r="R130" s="131" t="s">
        <v>123</v>
      </c>
      <c r="S130" s="131" t="s">
        <v>123</v>
      </c>
      <c r="T130" s="131" t="s">
        <v>123</v>
      </c>
      <c r="U130" s="132" t="s">
        <v>193</v>
      </c>
      <c r="X130" s="134" t="s">
        <v>6895</v>
      </c>
    </row>
    <row r="131" spans="2:24" s="19" customFormat="1" ht="19" x14ac:dyDescent="0.25">
      <c r="B131" s="39"/>
      <c r="C131" s="18"/>
      <c r="D131" s="18"/>
      <c r="E131" s="18"/>
      <c r="F131" s="18"/>
      <c r="G131" s="18"/>
      <c r="H131" s="18"/>
      <c r="I131" s="18"/>
      <c r="J131" s="18"/>
      <c r="K131" s="18"/>
      <c r="L131" s="18"/>
      <c r="M131" s="18"/>
      <c r="N131" s="18"/>
      <c r="O131" s="18"/>
      <c r="P131" s="18"/>
      <c r="Q131" s="18"/>
      <c r="R131" s="18"/>
      <c r="S131" s="18"/>
      <c r="T131" s="18"/>
      <c r="U131" s="31"/>
    </row>
    <row r="132" spans="2:24" ht="24" x14ac:dyDescent="0.3">
      <c r="B132" s="8" t="s">
        <v>194</v>
      </c>
      <c r="C132" s="4"/>
      <c r="D132" s="4"/>
      <c r="E132" s="4"/>
      <c r="F132" s="4"/>
      <c r="G132" s="4"/>
      <c r="H132" s="4"/>
      <c r="J132" s="4" t="s">
        <v>195</v>
      </c>
      <c r="K132" s="4"/>
      <c r="L132" s="4"/>
      <c r="M132" s="4"/>
      <c r="N132" s="4"/>
      <c r="O132" s="4"/>
      <c r="P132" s="4"/>
      <c r="Q132" s="4"/>
      <c r="R132" s="4"/>
      <c r="S132" s="4"/>
      <c r="T132" s="4"/>
      <c r="U132" s="23"/>
      <c r="V132" s="9"/>
    </row>
    <row r="133" spans="2:24" ht="24" x14ac:dyDescent="0.3">
      <c r="C133" s="10" t="s">
        <v>18</v>
      </c>
      <c r="D133" s="10" t="s">
        <v>119</v>
      </c>
      <c r="E133" s="10"/>
      <c r="F133" s="10"/>
      <c r="G133" s="10" t="s">
        <v>19</v>
      </c>
      <c r="H133" s="10" t="s">
        <v>20</v>
      </c>
      <c r="I133" s="10" t="s">
        <v>120</v>
      </c>
      <c r="J133" s="10" t="s">
        <v>196</v>
      </c>
      <c r="K133" s="10" t="s">
        <v>122</v>
      </c>
      <c r="L133" s="10" t="s">
        <v>21</v>
      </c>
      <c r="M133" s="10" t="s">
        <v>22</v>
      </c>
      <c r="N133" s="10" t="s">
        <v>23</v>
      </c>
      <c r="O133" s="10" t="s">
        <v>24</v>
      </c>
      <c r="P133" s="10" t="s">
        <v>25</v>
      </c>
      <c r="Q133" s="10" t="s">
        <v>26</v>
      </c>
      <c r="R133" s="10" t="s">
        <v>27</v>
      </c>
      <c r="S133" s="10" t="s">
        <v>28</v>
      </c>
      <c r="T133" s="10" t="s">
        <v>29</v>
      </c>
      <c r="U133" s="10" t="s">
        <v>30</v>
      </c>
      <c r="V133" s="10" t="s">
        <v>31</v>
      </c>
      <c r="W133" s="10" t="s">
        <v>32</v>
      </c>
      <c r="X133" s="10" t="s">
        <v>33</v>
      </c>
    </row>
    <row r="134" spans="2:24" ht="19" x14ac:dyDescent="0.25">
      <c r="C134" s="11" t="s">
        <v>197</v>
      </c>
      <c r="D134" s="4" t="str">
        <f>IFERROR(INDEX(Table_S12!$A$4:$A$324, MATCH(C134, Table_S12!$B$4:$B$324, 0)), "CSD Code Not Found")</f>
        <v>CSD Code Not Found</v>
      </c>
      <c r="E134" s="4"/>
      <c r="F134" s="4"/>
      <c r="G134" s="4"/>
      <c r="H134" s="4"/>
      <c r="I134" s="11">
        <v>12.4</v>
      </c>
      <c r="J134" s="11" t="s">
        <v>123</v>
      </c>
      <c r="K134" s="4"/>
      <c r="L134" s="4"/>
      <c r="M134" s="4"/>
      <c r="N134" s="4"/>
      <c r="O134" s="4">
        <v>298.2</v>
      </c>
      <c r="P134" s="4">
        <v>7.1</v>
      </c>
      <c r="Q134" s="4"/>
      <c r="R134" s="4"/>
      <c r="S134" s="4"/>
      <c r="T134" s="4"/>
      <c r="U134" s="23"/>
      <c r="V134" s="9"/>
    </row>
    <row r="135" spans="2:24" ht="19" x14ac:dyDescent="0.25">
      <c r="C135" s="11" t="s">
        <v>198</v>
      </c>
      <c r="D135" s="4" t="str">
        <f>IFERROR(INDEX(Table_S12!$A$4:$A$324, MATCH(C135, Table_S12!$B$4:$B$324, 0)), "CSD Code Not Found")</f>
        <v>CSD Code Not Found</v>
      </c>
      <c r="E135" s="4"/>
      <c r="F135" s="4"/>
      <c r="G135" s="4"/>
      <c r="H135" s="4"/>
      <c r="I135" s="11" t="s">
        <v>199</v>
      </c>
      <c r="J135" s="11" t="s">
        <v>123</v>
      </c>
      <c r="K135" s="4"/>
      <c r="L135" s="4"/>
      <c r="M135" s="4"/>
      <c r="N135" s="4"/>
      <c r="O135" s="4">
        <v>298.2</v>
      </c>
      <c r="P135" s="4">
        <v>7.1</v>
      </c>
      <c r="Q135" s="4"/>
      <c r="R135" s="4"/>
      <c r="S135" s="4"/>
      <c r="T135" s="4"/>
      <c r="U135" s="23"/>
      <c r="V135" s="9"/>
    </row>
    <row r="136" spans="2:24" ht="19" x14ac:dyDescent="0.25">
      <c r="C136" s="11" t="s">
        <v>200</v>
      </c>
      <c r="D136" s="4" t="str">
        <f>IFERROR(INDEX(Table_S12!$A$4:$A$324, MATCH(C136, Table_S12!$B$4:$B$324, 0)), "CSD Code Not Found")</f>
        <v>CSD Code Not Found</v>
      </c>
      <c r="E136" s="4"/>
      <c r="F136" s="4"/>
      <c r="G136" s="4"/>
      <c r="H136" s="4"/>
      <c r="I136" s="11">
        <v>2.6</v>
      </c>
      <c r="J136" s="11" t="s">
        <v>123</v>
      </c>
      <c r="K136" s="4"/>
      <c r="L136" s="4"/>
      <c r="M136" s="4"/>
      <c r="N136" s="4"/>
      <c r="O136" s="4" t="s">
        <v>123</v>
      </c>
      <c r="P136" s="4" t="s">
        <v>123</v>
      </c>
      <c r="Q136" s="4"/>
      <c r="R136" s="4"/>
      <c r="S136" s="4"/>
      <c r="T136" s="4"/>
      <c r="U136" s="23"/>
      <c r="V136" s="9"/>
    </row>
    <row r="137" spans="2:24" ht="19" x14ac:dyDescent="0.25">
      <c r="C137" s="11" t="s">
        <v>201</v>
      </c>
      <c r="D137" s="4" t="str">
        <f>IFERROR(INDEX(Table_S12!$A$4:$A$324, MATCH(C137, Table_S12!$B$4:$B$324, 0)), "CSD Code Not Found")</f>
        <v>CSD Code Not Found</v>
      </c>
      <c r="E137" s="4"/>
      <c r="F137" s="4"/>
      <c r="G137" s="4"/>
      <c r="H137" s="4"/>
      <c r="I137" s="11">
        <v>14.93</v>
      </c>
      <c r="J137" s="11" t="s">
        <v>123</v>
      </c>
      <c r="K137" s="4"/>
      <c r="L137" s="4"/>
      <c r="M137" s="4"/>
      <c r="N137" s="4"/>
      <c r="O137" s="9" t="s">
        <v>123</v>
      </c>
      <c r="P137" s="4">
        <v>20</v>
      </c>
      <c r="Q137" s="4"/>
      <c r="R137" s="4"/>
      <c r="S137" s="4"/>
      <c r="T137" s="4"/>
      <c r="U137" s="23"/>
      <c r="V137" s="9"/>
    </row>
    <row r="138" spans="2:24" ht="19" x14ac:dyDescent="0.25">
      <c r="C138" s="11" t="s">
        <v>202</v>
      </c>
      <c r="D138" s="4" t="str">
        <f>IFERROR(INDEX(Table_S12!$A$4:$A$324, MATCH(C138, Table_S12!$B$4:$B$324, 0)), "CSD Code Not Found")</f>
        <v>CSD Code Not Found</v>
      </c>
      <c r="E138" s="4"/>
      <c r="F138" s="4"/>
      <c r="G138" s="4"/>
      <c r="H138" s="4"/>
      <c r="I138" s="11">
        <v>2.6</v>
      </c>
      <c r="J138" s="11" t="s">
        <v>123</v>
      </c>
      <c r="K138" s="4"/>
      <c r="L138" s="4"/>
      <c r="M138" s="4"/>
      <c r="N138" s="4"/>
      <c r="O138" s="4">
        <v>298</v>
      </c>
      <c r="P138" s="4">
        <v>1</v>
      </c>
      <c r="Q138" s="4"/>
      <c r="R138" s="4"/>
      <c r="S138" s="4"/>
      <c r="T138" s="4"/>
      <c r="U138" s="23"/>
      <c r="V138" s="9"/>
    </row>
    <row r="139" spans="2:24" ht="19" x14ac:dyDescent="0.25">
      <c r="C139" s="11" t="s">
        <v>203</v>
      </c>
      <c r="D139" s="4" t="str">
        <f>IFERROR(INDEX(Table_S12!$A$4:$A$324, MATCH(C139, Table_S12!$B$4:$B$324, 0)), "CSD Code Not Found")</f>
        <v>CSD Code Not Found</v>
      </c>
      <c r="E139" s="4"/>
      <c r="F139" s="4"/>
      <c r="G139" s="4"/>
      <c r="H139" s="4"/>
      <c r="I139" s="11">
        <v>7.11</v>
      </c>
      <c r="J139" s="11" t="s">
        <v>123</v>
      </c>
      <c r="K139" s="4"/>
      <c r="L139" s="4"/>
      <c r="M139" s="4"/>
      <c r="N139" s="4"/>
      <c r="O139" s="4">
        <v>273</v>
      </c>
      <c r="P139" s="4">
        <v>1</v>
      </c>
      <c r="Q139" s="4"/>
      <c r="R139" s="4"/>
      <c r="S139" s="4"/>
      <c r="T139" s="4"/>
      <c r="U139" s="23"/>
      <c r="V139" s="9"/>
    </row>
    <row r="140" spans="2:24" ht="19" x14ac:dyDescent="0.25">
      <c r="C140" s="11" t="s">
        <v>204</v>
      </c>
      <c r="D140" s="4" t="str">
        <f>IFERROR(INDEX(Table_S12!$A$4:$A$324, MATCH(C140, Table_S12!$B$4:$B$324, 0)), "CSD Code Not Found")</f>
        <v>CSD Code Not Found</v>
      </c>
      <c r="E140" s="4"/>
      <c r="F140" s="4"/>
      <c r="G140" s="4"/>
      <c r="H140" s="4"/>
      <c r="I140" s="11">
        <v>3.27</v>
      </c>
      <c r="J140" s="11">
        <v>76.5</v>
      </c>
      <c r="K140" s="4"/>
      <c r="L140" s="4"/>
      <c r="M140" s="4"/>
      <c r="N140" s="4"/>
      <c r="O140" s="4">
        <v>298</v>
      </c>
      <c r="P140" s="4">
        <v>1</v>
      </c>
      <c r="Q140" s="4"/>
      <c r="R140" s="4"/>
      <c r="S140" s="4"/>
      <c r="T140" s="4"/>
      <c r="U140" s="23"/>
      <c r="V140" s="9"/>
    </row>
    <row r="141" spans="2:24" ht="19" x14ac:dyDescent="0.25">
      <c r="C141" s="11" t="s">
        <v>205</v>
      </c>
      <c r="D141" s="4" t="str">
        <f>IFERROR(INDEX(Table_S12!$A$4:$A$324, MATCH(C141, Table_S12!$B$4:$B$324, 0)), "CSD Code Not Found")</f>
        <v>CSD Code Not Found</v>
      </c>
      <c r="E141" s="4"/>
      <c r="F141" s="4"/>
      <c r="G141" s="4"/>
      <c r="H141" s="4"/>
      <c r="I141" s="11">
        <v>6.65</v>
      </c>
      <c r="J141" s="11">
        <v>39</v>
      </c>
      <c r="K141" s="4"/>
      <c r="L141" s="4"/>
      <c r="M141" s="4"/>
      <c r="N141" s="4"/>
      <c r="O141" s="4">
        <v>273</v>
      </c>
      <c r="P141" s="4">
        <v>1</v>
      </c>
      <c r="Q141" s="4"/>
      <c r="R141" s="4"/>
      <c r="S141" s="4"/>
      <c r="T141" s="4"/>
      <c r="U141" s="23"/>
      <c r="V141" s="9"/>
    </row>
    <row r="142" spans="2:24" ht="19" x14ac:dyDescent="0.25">
      <c r="C142" s="11" t="s">
        <v>206</v>
      </c>
      <c r="D142" s="4" t="str">
        <f>IFERROR(INDEX(Table_S12!$A$4:$A$324, MATCH(C142, Table_S12!$B$4:$B$324, 0)), "CSD Code Not Found")</f>
        <v>CSD Code Not Found</v>
      </c>
      <c r="E142" s="4"/>
      <c r="F142" s="4"/>
      <c r="G142" s="4"/>
      <c r="H142" s="4"/>
      <c r="I142" s="11">
        <v>8.3000000000000007</v>
      </c>
      <c r="J142" s="11" t="s">
        <v>123</v>
      </c>
      <c r="K142" s="4"/>
      <c r="L142" s="4"/>
      <c r="M142" s="4"/>
      <c r="N142" s="4"/>
      <c r="O142" s="4">
        <v>273</v>
      </c>
      <c r="P142" s="4">
        <v>1</v>
      </c>
      <c r="Q142" s="4"/>
      <c r="R142" s="4"/>
      <c r="S142" s="4"/>
      <c r="T142" s="4"/>
      <c r="U142" s="23"/>
      <c r="V142" s="9"/>
    </row>
    <row r="143" spans="2:24" ht="19" x14ac:dyDescent="0.25">
      <c r="C143" s="11" t="s">
        <v>78</v>
      </c>
      <c r="D143" s="4" t="str">
        <f>IFERROR(INDEX(Table_S12!$A$4:$A$324, MATCH(C143, Table_S12!$B$4:$B$324, 0)), "CSD Code Not Found")</f>
        <v>CSD Code Not Found</v>
      </c>
      <c r="E143" s="4"/>
      <c r="F143" s="4"/>
      <c r="G143" s="4"/>
      <c r="H143" s="4"/>
      <c r="I143" s="11">
        <v>3.99</v>
      </c>
      <c r="J143" s="11" t="s">
        <v>123</v>
      </c>
      <c r="K143" s="4"/>
      <c r="L143" s="4"/>
      <c r="M143" s="4"/>
      <c r="N143" s="4"/>
      <c r="O143" s="4">
        <v>273</v>
      </c>
      <c r="P143" s="4">
        <v>1</v>
      </c>
      <c r="Q143" s="4"/>
      <c r="R143" s="4"/>
      <c r="S143" s="4"/>
      <c r="T143" s="4"/>
      <c r="U143" s="23"/>
      <c r="V143" s="9"/>
    </row>
    <row r="144" spans="2:24" ht="19" x14ac:dyDescent="0.25">
      <c r="C144" s="11" t="s">
        <v>207</v>
      </c>
      <c r="D144" s="4" t="str">
        <f>IFERROR(INDEX(Table_S12!$A$4:$A$324, MATCH(C144, Table_S12!$B$4:$B$324, 0)), "CSD Code Not Found")</f>
        <v>CSD Code Not Found</v>
      </c>
      <c r="E144" s="4"/>
      <c r="F144" s="4"/>
      <c r="G144" s="4"/>
      <c r="H144" s="4"/>
      <c r="I144" s="11">
        <v>3.62</v>
      </c>
      <c r="J144" s="11" t="s">
        <v>123</v>
      </c>
      <c r="K144" s="4"/>
      <c r="L144" s="4"/>
      <c r="M144" s="4"/>
      <c r="N144" s="4"/>
      <c r="O144" s="4">
        <v>273</v>
      </c>
      <c r="P144" s="4">
        <v>1</v>
      </c>
      <c r="Q144" s="4"/>
      <c r="R144" s="4"/>
      <c r="S144" s="4"/>
      <c r="T144" s="4"/>
      <c r="U144" s="23"/>
      <c r="V144" s="9"/>
    </row>
    <row r="145" spans="3:22" ht="19" x14ac:dyDescent="0.25">
      <c r="C145" s="11" t="s">
        <v>208</v>
      </c>
      <c r="D145" s="4" t="str">
        <f>IFERROR(INDEX(Table_S12!$A$4:$A$324, MATCH(C145, Table_S12!$B$4:$B$324, 0)), "CSD Code Not Found")</f>
        <v>CSD Code Not Found</v>
      </c>
      <c r="E145" s="4"/>
      <c r="F145" s="4"/>
      <c r="G145" s="4"/>
      <c r="H145" s="4"/>
      <c r="I145" s="11">
        <v>6.4</v>
      </c>
      <c r="J145" s="11" t="s">
        <v>123</v>
      </c>
      <c r="K145" s="4"/>
      <c r="L145" s="4"/>
      <c r="M145" s="4"/>
      <c r="N145" s="4"/>
      <c r="O145" s="4">
        <v>273</v>
      </c>
      <c r="P145" s="4">
        <v>1</v>
      </c>
      <c r="Q145" s="4"/>
      <c r="R145" s="4"/>
      <c r="S145" s="4"/>
      <c r="T145" s="4"/>
      <c r="U145" s="23"/>
      <c r="V145" s="9"/>
    </row>
    <row r="146" spans="3:22" ht="19" x14ac:dyDescent="0.25">
      <c r="C146" s="11" t="s">
        <v>79</v>
      </c>
      <c r="D146" s="4" t="str">
        <f>IFERROR(INDEX(Table_S12!$A$4:$A$324, MATCH(C146, Table_S12!$B$4:$B$324, 0)), "CSD Code Not Found")</f>
        <v>CSD Code Not Found</v>
      </c>
      <c r="E146" s="4"/>
      <c r="F146" s="4"/>
      <c r="G146" s="4"/>
      <c r="H146" s="4"/>
      <c r="I146" s="11">
        <v>5.03</v>
      </c>
      <c r="J146" s="11" t="s">
        <v>123</v>
      </c>
      <c r="K146" s="4"/>
      <c r="L146" s="4"/>
      <c r="M146" s="4"/>
      <c r="N146" s="4"/>
      <c r="O146" s="4">
        <v>273</v>
      </c>
      <c r="P146" s="4">
        <v>1</v>
      </c>
      <c r="Q146" s="4"/>
      <c r="R146" s="4"/>
      <c r="S146" s="4"/>
      <c r="T146" s="4"/>
      <c r="U146" s="23"/>
      <c r="V146" s="9"/>
    </row>
    <row r="147" spans="3:22" ht="19" x14ac:dyDescent="0.25">
      <c r="C147" s="11" t="s">
        <v>209</v>
      </c>
      <c r="D147" s="4" t="str">
        <f>IFERROR(INDEX(Table_S12!$A$4:$A$324, MATCH(C147, Table_S12!$B$4:$B$324, 0)), "CSD Code Not Found")</f>
        <v>CSD Code Not Found</v>
      </c>
      <c r="E147" s="4"/>
      <c r="F147" s="4"/>
      <c r="G147" s="4"/>
      <c r="H147" s="4"/>
      <c r="I147" s="11" t="s">
        <v>123</v>
      </c>
      <c r="J147" s="11">
        <v>395</v>
      </c>
      <c r="K147" s="4"/>
      <c r="L147" s="4"/>
      <c r="M147" s="4"/>
      <c r="N147" s="4"/>
      <c r="O147" s="4" t="s">
        <v>123</v>
      </c>
      <c r="P147" s="4" t="s">
        <v>123</v>
      </c>
      <c r="Q147" s="4"/>
      <c r="R147" s="4"/>
      <c r="S147" s="4"/>
      <c r="T147" s="4"/>
      <c r="U147" s="23"/>
      <c r="V147" s="9"/>
    </row>
    <row r="148" spans="3:22" ht="19" x14ac:dyDescent="0.25">
      <c r="C148" s="11" t="s">
        <v>210</v>
      </c>
      <c r="D148" s="4" t="str">
        <f>IFERROR(INDEX(Table_S12!$A$4:$A$324, MATCH(C148, Table_S12!$B$4:$B$324, 0)), "CSD Code Not Found")</f>
        <v>CSD Code Not Found</v>
      </c>
      <c r="E148" s="4"/>
      <c r="F148" s="4"/>
      <c r="G148" s="4"/>
      <c r="H148" s="4"/>
      <c r="I148" s="11">
        <v>3.28</v>
      </c>
      <c r="J148" s="11">
        <v>86</v>
      </c>
      <c r="K148" s="4"/>
      <c r="L148" s="4"/>
      <c r="M148" s="4"/>
      <c r="N148" s="4"/>
      <c r="O148" s="4">
        <v>298</v>
      </c>
      <c r="P148" s="4">
        <v>1</v>
      </c>
      <c r="Q148" s="4"/>
      <c r="R148" s="4"/>
      <c r="S148" s="4"/>
      <c r="T148" s="4"/>
      <c r="U148" s="23"/>
      <c r="V148" s="9"/>
    </row>
    <row r="149" spans="3:22" ht="19" x14ac:dyDescent="0.25">
      <c r="C149" s="11" t="s">
        <v>211</v>
      </c>
      <c r="D149" s="4" t="str">
        <f>IFERROR(INDEX(Table_S12!$A$4:$A$324, MATCH(C149, Table_S12!$B$4:$B$324, 0)), "CSD Code Not Found")</f>
        <v>CSD Code Not Found</v>
      </c>
      <c r="E149" s="4"/>
      <c r="F149" s="4"/>
      <c r="G149" s="4"/>
      <c r="H149" s="4"/>
      <c r="I149" s="11">
        <v>3.05</v>
      </c>
      <c r="J149" s="11" t="s">
        <v>123</v>
      </c>
      <c r="K149" s="4"/>
      <c r="L149" s="4"/>
      <c r="M149" s="4"/>
      <c r="N149" s="4"/>
      <c r="O149" s="4">
        <v>298</v>
      </c>
      <c r="P149" s="4">
        <v>1</v>
      </c>
      <c r="Q149" s="4"/>
      <c r="R149" s="4"/>
      <c r="S149" s="4"/>
      <c r="T149" s="4"/>
      <c r="U149" s="23"/>
      <c r="V149" s="9"/>
    </row>
    <row r="150" spans="3:22" ht="19" x14ac:dyDescent="0.25">
      <c r="C150" s="11" t="s">
        <v>212</v>
      </c>
      <c r="D150" s="4" t="str">
        <f>IFERROR(INDEX(Table_S12!$A$4:$A$324, MATCH(C150, Table_S12!$B$4:$B$324, 0)), "CSD Code Not Found")</f>
        <v>CSD Code Not Found</v>
      </c>
      <c r="E150" s="4"/>
      <c r="F150" s="4"/>
      <c r="G150" s="4"/>
      <c r="H150" s="4"/>
      <c r="I150" s="11">
        <v>3.27</v>
      </c>
      <c r="J150" s="11">
        <v>76.5</v>
      </c>
      <c r="K150" s="4"/>
      <c r="L150" s="4"/>
      <c r="M150" s="4"/>
      <c r="N150" s="4"/>
      <c r="O150" s="4">
        <v>298</v>
      </c>
      <c r="P150" s="4">
        <v>1</v>
      </c>
      <c r="Q150" s="4"/>
      <c r="R150" s="4"/>
      <c r="S150" s="4"/>
      <c r="T150" s="4"/>
      <c r="U150" s="23"/>
      <c r="V150" s="9"/>
    </row>
    <row r="151" spans="3:22" ht="19" x14ac:dyDescent="0.25">
      <c r="C151" s="11" t="s">
        <v>213</v>
      </c>
      <c r="D151" s="4" t="str">
        <f>IFERROR(INDEX(Table_S12!$A$4:$A$324, MATCH(C151, Table_S12!$B$4:$B$324, 0)), "CSD Code Not Found")</f>
        <v>CSD Code Not Found</v>
      </c>
      <c r="E151" s="4"/>
      <c r="F151" s="4"/>
      <c r="G151" s="4"/>
      <c r="H151" s="4"/>
      <c r="I151" s="11">
        <v>2.2000000000000002</v>
      </c>
      <c r="J151" s="11" t="s">
        <v>123</v>
      </c>
      <c r="K151" s="4"/>
      <c r="L151" s="4"/>
      <c r="M151" s="4"/>
      <c r="N151" s="4"/>
      <c r="O151" s="4">
        <v>77</v>
      </c>
      <c r="P151" s="4">
        <v>4</v>
      </c>
      <c r="Q151" s="4"/>
      <c r="R151" s="4"/>
      <c r="S151" s="4"/>
      <c r="T151" s="4"/>
      <c r="U151" s="23"/>
      <c r="V151" s="9"/>
    </row>
    <row r="152" spans="3:22" ht="19" x14ac:dyDescent="0.25">
      <c r="C152" s="11" t="s">
        <v>214</v>
      </c>
      <c r="D152" s="4" t="str">
        <f>IFERROR(INDEX(Table_S12!$A$4:$A$324, MATCH(C152, Table_S12!$B$4:$B$324, 0)), "CSD Code Not Found")</f>
        <v>CSD Code Not Found</v>
      </c>
      <c r="E152" s="4"/>
      <c r="F152" s="4"/>
      <c r="G152" s="4"/>
      <c r="H152" s="4"/>
      <c r="I152" s="11">
        <v>3.4</v>
      </c>
      <c r="J152" s="11" t="s">
        <v>123</v>
      </c>
      <c r="K152" s="4"/>
      <c r="L152" s="4"/>
      <c r="M152" s="4"/>
      <c r="N152" s="4"/>
      <c r="O152" s="4">
        <v>273</v>
      </c>
      <c r="P152" s="4">
        <v>1</v>
      </c>
      <c r="Q152" s="4"/>
      <c r="R152" s="4"/>
      <c r="S152" s="4"/>
      <c r="T152" s="4"/>
      <c r="U152" s="23"/>
      <c r="V152" s="9"/>
    </row>
    <row r="153" spans="3:22" ht="19" x14ac:dyDescent="0.25">
      <c r="C153" s="11" t="s">
        <v>215</v>
      </c>
      <c r="D153" s="4" t="str">
        <f>IFERROR(INDEX(Table_S12!$A$4:$A$324, MATCH(C153, Table_S12!$B$4:$B$324, 0)), "CSD Code Not Found")</f>
        <v>CSD Code Not Found</v>
      </c>
      <c r="E153" s="4"/>
      <c r="F153" s="4"/>
      <c r="G153" s="4"/>
      <c r="H153" s="4"/>
      <c r="I153" s="11">
        <v>2.91</v>
      </c>
      <c r="J153" s="11" t="s">
        <v>123</v>
      </c>
      <c r="K153" s="4"/>
      <c r="L153" s="4"/>
      <c r="M153" s="4"/>
      <c r="N153" s="4"/>
      <c r="O153" s="4">
        <v>298</v>
      </c>
      <c r="P153" s="4" t="s">
        <v>123</v>
      </c>
      <c r="Q153" s="4"/>
      <c r="R153" s="4"/>
      <c r="S153" s="4"/>
      <c r="T153" s="4"/>
      <c r="U153" s="23"/>
      <c r="V153" s="9"/>
    </row>
    <row r="154" spans="3:22" ht="19" x14ac:dyDescent="0.25">
      <c r="C154" s="11" t="s">
        <v>216</v>
      </c>
      <c r="D154" s="4" t="str">
        <f>IFERROR(INDEX(Table_S12!$A$4:$A$324, MATCH(C154, Table_S12!$B$4:$B$324, 0)), "CSD Code Not Found")</f>
        <v>CSD Code Not Found</v>
      </c>
      <c r="E154" s="4"/>
      <c r="F154" s="4"/>
      <c r="G154" s="4"/>
      <c r="H154" s="4"/>
      <c r="I154" s="11">
        <v>4.96</v>
      </c>
      <c r="J154" s="11" t="s">
        <v>123</v>
      </c>
      <c r="K154" s="4"/>
      <c r="L154" s="4"/>
      <c r="M154" s="4"/>
      <c r="N154" s="4"/>
      <c r="O154" s="4">
        <v>298</v>
      </c>
      <c r="P154" s="4" t="s">
        <v>123</v>
      </c>
      <c r="Q154" s="4"/>
      <c r="R154" s="4"/>
      <c r="S154" s="4"/>
      <c r="T154" s="4"/>
      <c r="U154" s="23"/>
      <c r="V154" s="9"/>
    </row>
    <row r="155" spans="3:22" ht="19" x14ac:dyDescent="0.25">
      <c r="C155" s="11" t="s">
        <v>217</v>
      </c>
      <c r="D155" s="4" t="str">
        <f>IFERROR(INDEX(Table_S12!$A$4:$A$324, MATCH(C155, Table_S12!$B$4:$B$324, 0)), "CSD Code Not Found")</f>
        <v>CSD Code Not Found</v>
      </c>
      <c r="E155" s="4"/>
      <c r="F155" s="4"/>
      <c r="G155" s="4"/>
      <c r="H155" s="4"/>
      <c r="I155" s="11">
        <v>4.3099999999999996</v>
      </c>
      <c r="J155" s="11" t="s">
        <v>123</v>
      </c>
      <c r="K155" s="4"/>
      <c r="L155" s="4"/>
      <c r="M155" s="4"/>
      <c r="N155" s="4"/>
      <c r="O155" s="4">
        <v>298</v>
      </c>
      <c r="P155" s="4" t="s">
        <v>123</v>
      </c>
      <c r="Q155" s="4"/>
      <c r="R155" s="4"/>
      <c r="S155" s="4"/>
      <c r="T155" s="4"/>
      <c r="U155" s="23"/>
      <c r="V155" s="9"/>
    </row>
    <row r="156" spans="3:22" ht="19" x14ac:dyDescent="0.25">
      <c r="C156" s="11" t="s">
        <v>216</v>
      </c>
      <c r="D156" s="4" t="str">
        <f>IFERROR(INDEX(Table_S12!$A$4:$A$324, MATCH(C156, Table_S12!$B$4:$B$324, 0)), "CSD Code Not Found")</f>
        <v>CSD Code Not Found</v>
      </c>
      <c r="E156" s="4"/>
      <c r="F156" s="4"/>
      <c r="G156" s="4"/>
      <c r="H156" s="4"/>
      <c r="I156" s="11">
        <v>6.33</v>
      </c>
      <c r="J156" s="11" t="s">
        <v>123</v>
      </c>
      <c r="K156" s="4"/>
      <c r="L156" s="4"/>
      <c r="M156" s="4"/>
      <c r="N156" s="4"/>
      <c r="O156" s="4">
        <v>273</v>
      </c>
      <c r="P156" s="4" t="s">
        <v>123</v>
      </c>
      <c r="Q156" s="4"/>
      <c r="R156" s="4"/>
      <c r="S156" s="4"/>
      <c r="T156" s="4"/>
      <c r="U156" s="23"/>
      <c r="V156" s="9"/>
    </row>
    <row r="157" spans="3:22" ht="19" x14ac:dyDescent="0.25">
      <c r="C157" s="11" t="s">
        <v>217</v>
      </c>
      <c r="D157" s="4" t="str">
        <f>IFERROR(INDEX(Table_S12!$A$4:$A$324, MATCH(C157, Table_S12!$B$4:$B$324, 0)), "CSD Code Not Found")</f>
        <v>CSD Code Not Found</v>
      </c>
      <c r="E157" s="4"/>
      <c r="F157" s="4"/>
      <c r="G157" s="4"/>
      <c r="H157" s="4"/>
      <c r="I157" s="11">
        <v>6</v>
      </c>
      <c r="J157" s="11" t="s">
        <v>123</v>
      </c>
      <c r="K157" s="4"/>
      <c r="L157" s="4"/>
      <c r="M157" s="4"/>
      <c r="N157" s="4"/>
      <c r="O157" s="4">
        <v>273</v>
      </c>
      <c r="P157" s="4" t="s">
        <v>123</v>
      </c>
      <c r="Q157" s="4"/>
      <c r="R157" s="4"/>
      <c r="S157" s="4"/>
      <c r="T157" s="4"/>
      <c r="U157" s="23"/>
      <c r="V157" s="9"/>
    </row>
    <row r="158" spans="3:22" ht="19" x14ac:dyDescent="0.25">
      <c r="C158" s="11" t="s">
        <v>218</v>
      </c>
      <c r="D158" s="4" t="str">
        <f>IFERROR(INDEX(Table_S12!$A$4:$A$324, MATCH(C158, Table_S12!$B$4:$B$324, 0)), "CSD Code Not Found")</f>
        <v>CSD Code Not Found</v>
      </c>
      <c r="E158" s="4"/>
      <c r="F158" s="4"/>
      <c r="G158" s="4"/>
      <c r="H158" s="4"/>
      <c r="I158" s="11">
        <v>1.54</v>
      </c>
      <c r="J158" s="11" t="s">
        <v>123</v>
      </c>
      <c r="K158" s="4"/>
      <c r="L158" s="4"/>
      <c r="M158" s="4"/>
      <c r="N158" s="4"/>
      <c r="O158" s="4">
        <v>273</v>
      </c>
      <c r="P158" s="4">
        <v>1</v>
      </c>
      <c r="Q158" s="4"/>
      <c r="R158" s="4"/>
      <c r="S158" s="4"/>
      <c r="T158" s="4"/>
      <c r="U158" s="23"/>
      <c r="V158" s="9"/>
    </row>
    <row r="159" spans="3:22" ht="19" x14ac:dyDescent="0.25">
      <c r="C159" s="11" t="s">
        <v>218</v>
      </c>
      <c r="D159" s="4" t="str">
        <f>IFERROR(INDEX(Table_S12!$A$4:$A$324, MATCH(C159, Table_S12!$B$4:$B$324, 0)), "CSD Code Not Found")</f>
        <v>CSD Code Not Found</v>
      </c>
      <c r="E159" s="4"/>
      <c r="F159" s="4"/>
      <c r="G159" s="4"/>
      <c r="H159" s="4"/>
      <c r="I159" s="11">
        <v>6.3</v>
      </c>
      <c r="J159" s="11" t="s">
        <v>123</v>
      </c>
      <c r="K159" s="4"/>
      <c r="L159" s="4"/>
      <c r="M159" s="4"/>
      <c r="N159" s="4"/>
      <c r="O159" s="4">
        <v>273</v>
      </c>
      <c r="P159" s="4">
        <v>20</v>
      </c>
      <c r="Q159" s="4"/>
      <c r="R159" s="4"/>
      <c r="S159" s="4"/>
      <c r="T159" s="4"/>
      <c r="U159" s="23"/>
      <c r="V159" s="9"/>
    </row>
    <row r="160" spans="3:22" ht="19" x14ac:dyDescent="0.25">
      <c r="C160" s="11" t="s">
        <v>219</v>
      </c>
      <c r="D160" s="4" t="str">
        <f>IFERROR(INDEX(Table_S12!$A$4:$A$324, MATCH(C160, Table_S12!$B$4:$B$324, 0)), "CSD Code Not Found")</f>
        <v>CSD Code Not Found</v>
      </c>
      <c r="E160" s="4"/>
      <c r="F160" s="4"/>
      <c r="G160" s="4"/>
      <c r="H160" s="4"/>
      <c r="I160" s="11">
        <v>82.31</v>
      </c>
      <c r="J160" s="11">
        <v>5</v>
      </c>
      <c r="K160" s="4"/>
      <c r="L160" s="4"/>
      <c r="M160" s="4"/>
      <c r="N160" s="4"/>
      <c r="O160" s="4">
        <v>298</v>
      </c>
      <c r="P160" s="4">
        <v>1</v>
      </c>
      <c r="Q160" s="4"/>
      <c r="R160" s="4"/>
      <c r="S160" s="4"/>
      <c r="T160" s="4"/>
      <c r="U160" s="23"/>
      <c r="V160" s="9"/>
    </row>
    <row r="161" spans="2:26" ht="19" x14ac:dyDescent="0.25">
      <c r="C161" s="11" t="s">
        <v>220</v>
      </c>
      <c r="D161" s="4" t="str">
        <f>IFERROR(INDEX(Table_S12!$A$4:$A$324, MATCH(C161, Table_S12!$B$4:$B$324, 0)), "CSD Code Not Found")</f>
        <v>CSD Code Not Found</v>
      </c>
      <c r="E161" s="4"/>
      <c r="F161" s="4"/>
      <c r="G161" s="4"/>
      <c r="H161" s="4"/>
      <c r="I161" s="11">
        <v>79.62</v>
      </c>
      <c r="J161" s="11" t="s">
        <v>123</v>
      </c>
      <c r="K161" s="4"/>
      <c r="L161" s="4"/>
      <c r="M161" s="4"/>
      <c r="N161" s="4"/>
      <c r="O161" s="4">
        <v>298</v>
      </c>
      <c r="P161" s="4">
        <v>1</v>
      </c>
      <c r="Q161" s="4"/>
      <c r="R161" s="4"/>
      <c r="S161" s="4"/>
      <c r="T161" s="4"/>
      <c r="U161" s="23"/>
      <c r="V161" s="9"/>
    </row>
    <row r="162" spans="2:26" ht="19" x14ac:dyDescent="0.25">
      <c r="C162" s="11" t="s">
        <v>221</v>
      </c>
      <c r="D162" s="4" t="str">
        <f>IFERROR(INDEX(Table_S12!$A$4:$A$324, MATCH(C162, Table_S12!$B$4:$B$324, 0)), "CSD Code Not Found")</f>
        <v>CSD Code Not Found</v>
      </c>
      <c r="E162" s="4"/>
      <c r="F162" s="4"/>
      <c r="G162" s="4"/>
      <c r="H162" s="4"/>
      <c r="I162" s="11">
        <v>1.94</v>
      </c>
      <c r="J162" s="11" t="s">
        <v>123</v>
      </c>
      <c r="K162" s="4"/>
      <c r="L162" s="4"/>
      <c r="M162" s="4"/>
      <c r="N162" s="4"/>
      <c r="O162" s="4">
        <v>298</v>
      </c>
      <c r="P162" s="4">
        <v>1</v>
      </c>
      <c r="Q162" s="4"/>
      <c r="R162" s="4"/>
      <c r="S162" s="4"/>
      <c r="T162" s="4"/>
      <c r="U162" s="23"/>
      <c r="V162" s="9"/>
    </row>
    <row r="163" spans="2:26" ht="19" x14ac:dyDescent="0.25">
      <c r="C163" s="11" t="s">
        <v>222</v>
      </c>
      <c r="D163" s="4" t="str">
        <f>IFERROR(INDEX(Table_S12!$A$4:$A$324, MATCH(C163, Table_S12!$B$4:$B$324, 0)), "CSD Code Not Found")</f>
        <v>CSD Code Not Found</v>
      </c>
      <c r="E163" s="4"/>
      <c r="F163" s="4"/>
      <c r="G163" s="4"/>
      <c r="H163" s="4"/>
      <c r="I163" s="11">
        <v>1.94</v>
      </c>
      <c r="J163" s="11" t="s">
        <v>123</v>
      </c>
      <c r="K163" s="4"/>
      <c r="L163" s="4"/>
      <c r="M163" s="4"/>
      <c r="N163" s="4"/>
      <c r="O163" s="4">
        <v>298</v>
      </c>
      <c r="P163" s="4">
        <v>1</v>
      </c>
      <c r="Q163" s="4"/>
      <c r="R163" s="4"/>
      <c r="S163" s="4"/>
      <c r="T163" s="4"/>
      <c r="U163" s="23"/>
      <c r="V163" s="9"/>
    </row>
    <row r="164" spans="2:26" ht="19" x14ac:dyDescent="0.25">
      <c r="C164" s="11" t="s">
        <v>223</v>
      </c>
      <c r="D164" s="4" t="str">
        <f>IFERROR(INDEX(Table_S12!$A$4:$A$324, MATCH(C164, Table_S12!$B$4:$B$324, 0)), "CSD Code Not Found")</f>
        <v>CSD Code Not Found</v>
      </c>
      <c r="E164" s="4"/>
      <c r="F164" s="4"/>
      <c r="G164" s="4"/>
      <c r="H164" s="4"/>
      <c r="I164" s="11">
        <v>3.63</v>
      </c>
      <c r="J164" s="11">
        <v>50</v>
      </c>
      <c r="K164" s="4"/>
      <c r="L164" s="4"/>
      <c r="M164" s="4"/>
      <c r="N164" s="4"/>
      <c r="O164" s="4">
        <v>298</v>
      </c>
      <c r="P164" s="4">
        <v>1</v>
      </c>
      <c r="Q164" s="4"/>
      <c r="R164" s="4"/>
      <c r="S164" s="4"/>
      <c r="T164" s="4"/>
      <c r="U164" s="23"/>
      <c r="V164" s="9"/>
    </row>
    <row r="165" spans="2:26" ht="19" x14ac:dyDescent="0.25">
      <c r="C165" s="11" t="s">
        <v>224</v>
      </c>
      <c r="D165" s="4" t="str">
        <f>IFERROR(INDEX(Table_S12!$A$4:$A$324, MATCH(C165, Table_S12!$B$4:$B$324, 0)), "CSD Code Not Found")</f>
        <v>CSD Code Not Found</v>
      </c>
      <c r="E165" s="4"/>
      <c r="F165" s="4"/>
      <c r="G165" s="4"/>
      <c r="H165" s="4"/>
      <c r="I165" s="11">
        <v>1.77</v>
      </c>
      <c r="J165" s="11" t="s">
        <v>123</v>
      </c>
      <c r="K165" s="4"/>
      <c r="L165" s="4"/>
      <c r="M165" s="4"/>
      <c r="N165" s="4"/>
      <c r="O165" s="4">
        <v>298</v>
      </c>
      <c r="P165" s="4">
        <v>1</v>
      </c>
      <c r="Q165" s="4"/>
      <c r="R165" s="4"/>
      <c r="S165" s="4"/>
      <c r="T165" s="4"/>
      <c r="U165" s="23"/>
      <c r="V165" s="9"/>
    </row>
    <row r="166" spans="2:26" ht="19" x14ac:dyDescent="0.25">
      <c r="C166" s="11" t="s">
        <v>225</v>
      </c>
      <c r="D166" s="4" t="str">
        <f>IFERROR(INDEX(Table_S12!$A$4:$A$324, MATCH(C166, Table_S12!$B$4:$B$324, 0)), "CSD Code Not Found")</f>
        <v>CSD Code Not Found</v>
      </c>
      <c r="E166" s="4"/>
      <c r="F166" s="4"/>
      <c r="G166" s="4"/>
      <c r="H166" s="4"/>
      <c r="I166" s="11">
        <v>3.89</v>
      </c>
      <c r="J166" s="11">
        <v>65</v>
      </c>
      <c r="K166" s="4"/>
      <c r="L166" s="4"/>
      <c r="M166" s="4"/>
      <c r="N166" s="4"/>
      <c r="O166" s="4">
        <v>273</v>
      </c>
      <c r="P166" s="4">
        <v>1.0129999999999999</v>
      </c>
      <c r="Q166" s="4"/>
      <c r="R166" s="4"/>
      <c r="S166" s="4"/>
      <c r="T166" s="4"/>
      <c r="U166" s="23"/>
      <c r="V166" s="9"/>
    </row>
    <row r="167" spans="2:26" ht="19" x14ac:dyDescent="0.25">
      <c r="C167" s="11" t="s">
        <v>225</v>
      </c>
      <c r="D167" s="4" t="str">
        <f>IFERROR(INDEX(Table_S12!$A$4:$A$324, MATCH(C167, Table_S12!$B$4:$B$324, 0)), "CSD Code Not Found")</f>
        <v>CSD Code Not Found</v>
      </c>
      <c r="E167" s="4"/>
      <c r="F167" s="4"/>
      <c r="G167" s="4"/>
      <c r="H167" s="4"/>
      <c r="I167" s="11">
        <v>2.9</v>
      </c>
      <c r="J167" s="11" t="s">
        <v>123</v>
      </c>
      <c r="K167" s="4"/>
      <c r="L167" s="4"/>
      <c r="M167" s="4"/>
      <c r="N167" s="4"/>
      <c r="O167" s="4">
        <v>296</v>
      </c>
      <c r="P167" s="4">
        <v>1.0129999999999999</v>
      </c>
      <c r="Q167" s="4"/>
      <c r="R167" s="4"/>
      <c r="S167" s="4"/>
      <c r="T167" s="4"/>
      <c r="U167" s="23"/>
      <c r="V167" s="9"/>
    </row>
    <row r="168" spans="2:26" ht="19" x14ac:dyDescent="0.25">
      <c r="C168" s="11" t="s">
        <v>226</v>
      </c>
      <c r="D168" s="4" t="str">
        <f>IFERROR(INDEX(Table_S12!$A$4:$A$324, MATCH(C168, Table_S12!$B$4:$B$324, 0)), "CSD Code Not Found")</f>
        <v>CSD Code Not Found</v>
      </c>
      <c r="E168" s="4"/>
      <c r="F168" s="4"/>
      <c r="G168" s="4"/>
      <c r="H168" s="4"/>
      <c r="I168" s="11">
        <v>0.96</v>
      </c>
      <c r="J168" s="11">
        <v>23.6</v>
      </c>
      <c r="K168" s="4"/>
      <c r="L168" s="4"/>
      <c r="M168" s="4"/>
      <c r="N168" s="4"/>
      <c r="O168" s="4">
        <v>298</v>
      </c>
      <c r="P168" s="4">
        <v>1</v>
      </c>
      <c r="Q168" s="4"/>
      <c r="R168" s="4"/>
      <c r="S168" s="4"/>
      <c r="T168" s="4"/>
      <c r="U168" s="23"/>
      <c r="V168" s="9"/>
    </row>
    <row r="169" spans="2:26" s="19" customFormat="1" ht="19" x14ac:dyDescent="0.25">
      <c r="B169" s="39"/>
      <c r="C169" s="18"/>
      <c r="D169" s="18"/>
      <c r="E169" s="18"/>
      <c r="F169" s="18"/>
      <c r="G169" s="18"/>
      <c r="H169" s="18"/>
      <c r="I169" s="18"/>
      <c r="J169" s="18"/>
      <c r="K169" s="18"/>
      <c r="L169" s="18"/>
      <c r="M169" s="18"/>
      <c r="N169" s="18"/>
      <c r="O169" s="18"/>
      <c r="P169" s="18"/>
      <c r="Q169" s="18"/>
      <c r="R169" s="18"/>
      <c r="S169" s="18"/>
      <c r="T169" s="18"/>
      <c r="U169" s="18"/>
      <c r="V169" s="31"/>
    </row>
    <row r="170" spans="2:26" ht="24" x14ac:dyDescent="0.3">
      <c r="B170" s="8" t="s">
        <v>227</v>
      </c>
      <c r="C170" s="4"/>
      <c r="D170" s="4"/>
      <c r="E170" s="4"/>
      <c r="F170" s="4"/>
      <c r="G170" s="4"/>
      <c r="H170" s="4"/>
      <c r="I170" s="4"/>
      <c r="J170" s="4" t="s">
        <v>228</v>
      </c>
      <c r="K170" s="4"/>
      <c r="L170" s="4"/>
      <c r="M170" s="4"/>
      <c r="N170" s="4"/>
      <c r="O170" s="4"/>
      <c r="P170" s="4"/>
      <c r="Q170" s="4"/>
      <c r="R170" s="4"/>
      <c r="S170" s="4"/>
      <c r="T170" s="4"/>
      <c r="U170" s="4"/>
    </row>
    <row r="171" spans="2:26" ht="24" x14ac:dyDescent="0.3">
      <c r="C171" s="10" t="s">
        <v>18</v>
      </c>
      <c r="D171" s="10" t="s">
        <v>119</v>
      </c>
      <c r="E171" s="10" t="s">
        <v>6908</v>
      </c>
      <c r="F171" s="10"/>
      <c r="G171" s="10" t="s">
        <v>19</v>
      </c>
      <c r="H171" s="10" t="s">
        <v>20</v>
      </c>
      <c r="I171" s="10" t="s">
        <v>120</v>
      </c>
      <c r="J171" s="10" t="s">
        <v>196</v>
      </c>
      <c r="K171" s="10" t="s">
        <v>122</v>
      </c>
      <c r="L171" s="10" t="s">
        <v>21</v>
      </c>
      <c r="M171" s="10" t="s">
        <v>22</v>
      </c>
      <c r="N171" s="10" t="s">
        <v>23</v>
      </c>
      <c r="O171" s="10" t="s">
        <v>24</v>
      </c>
      <c r="P171" s="10" t="s">
        <v>25</v>
      </c>
      <c r="Q171" s="10" t="s">
        <v>229</v>
      </c>
      <c r="R171" s="10" t="s">
        <v>230</v>
      </c>
      <c r="S171" s="10" t="s">
        <v>27</v>
      </c>
      <c r="T171" s="10" t="s">
        <v>28</v>
      </c>
      <c r="U171" s="10" t="s">
        <v>29</v>
      </c>
      <c r="V171" s="10" t="s">
        <v>30</v>
      </c>
      <c r="W171" s="10" t="s">
        <v>31</v>
      </c>
      <c r="X171" s="10" t="s">
        <v>32</v>
      </c>
      <c r="Y171" s="10" t="s">
        <v>33</v>
      </c>
    </row>
    <row r="172" spans="2:26" ht="86" x14ac:dyDescent="0.25">
      <c r="C172" s="11" t="s">
        <v>231</v>
      </c>
      <c r="D172" s="4" t="str">
        <f>IFERROR(INDEX(Table_S12!$A$4:$A$324, MATCH(C172, Table_S12!$B$4:$B$324, 0)), "CSD Code Not Found")</f>
        <v>CSD Code Not Found</v>
      </c>
      <c r="E172" s="4"/>
      <c r="F172" s="4"/>
      <c r="G172" s="11" t="s">
        <v>232</v>
      </c>
      <c r="H172" s="4" t="s">
        <v>233</v>
      </c>
      <c r="I172" s="4"/>
      <c r="J172" s="4"/>
      <c r="K172" s="4"/>
      <c r="L172" s="4"/>
      <c r="M172" s="4"/>
      <c r="N172" s="4"/>
      <c r="O172" s="11" t="s">
        <v>234</v>
      </c>
      <c r="P172" s="11" t="s">
        <v>235</v>
      </c>
      <c r="Q172" s="4"/>
      <c r="R172" s="4"/>
      <c r="S172" s="4"/>
      <c r="T172" s="11" t="s">
        <v>236</v>
      </c>
      <c r="U172" s="4"/>
      <c r="X172" s="9" t="s">
        <v>237</v>
      </c>
      <c r="Y172" s="36" t="s">
        <v>238</v>
      </c>
      <c r="Z172" s="120" t="s">
        <v>6917</v>
      </c>
    </row>
    <row r="173" spans="2:26" ht="19" x14ac:dyDescent="0.25">
      <c r="C173" s="11" t="s">
        <v>239</v>
      </c>
      <c r="D173" s="4" t="str">
        <f>IFERROR(INDEX(Table_S12!$A$4:$A$324, MATCH(C173, Table_S12!$B$4:$B$324, 0)), "CSD Code Not Found")</f>
        <v>CSD Code Not Found</v>
      </c>
      <c r="E173" s="4"/>
      <c r="F173" s="4"/>
      <c r="G173" s="11" t="s">
        <v>240</v>
      </c>
      <c r="H173" s="4" t="s">
        <v>15</v>
      </c>
      <c r="I173" s="4"/>
      <c r="J173" s="4"/>
      <c r="K173" s="4"/>
      <c r="L173" s="4"/>
      <c r="M173" s="4"/>
      <c r="N173" s="4"/>
      <c r="O173" s="11" t="s">
        <v>241</v>
      </c>
      <c r="P173" s="11" t="s">
        <v>242</v>
      </c>
      <c r="Q173" s="4"/>
      <c r="R173" s="4"/>
      <c r="S173" s="4"/>
      <c r="T173" s="11" t="s">
        <v>243</v>
      </c>
      <c r="U173" s="4"/>
      <c r="Y173" s="36" t="s">
        <v>244</v>
      </c>
      <c r="Z173" s="9" t="s">
        <v>6914</v>
      </c>
    </row>
    <row r="174" spans="2:26" ht="19" x14ac:dyDescent="0.25">
      <c r="C174" s="11" t="s">
        <v>245</v>
      </c>
      <c r="D174" s="4" t="str">
        <f>IFERROR(INDEX(Table_S12!$A$4:$A$324, MATCH(C174, Table_S12!$B$4:$B$324, 0)), "CSD Code Not Found")</f>
        <v>CSD Code Not Found</v>
      </c>
      <c r="E174" s="4"/>
      <c r="F174" s="4"/>
      <c r="G174" s="11" t="s">
        <v>246</v>
      </c>
      <c r="H174" s="4" t="s">
        <v>35</v>
      </c>
      <c r="I174" s="4"/>
      <c r="J174" s="4"/>
      <c r="K174" s="4"/>
      <c r="L174" s="4"/>
      <c r="M174" s="4"/>
      <c r="N174" s="4"/>
      <c r="O174" s="11" t="s">
        <v>247</v>
      </c>
      <c r="P174" s="11" t="s">
        <v>248</v>
      </c>
      <c r="Q174" s="4"/>
      <c r="R174" s="4"/>
      <c r="S174" s="4"/>
      <c r="T174" s="11" t="s">
        <v>249</v>
      </c>
      <c r="U174" s="4"/>
      <c r="Y174" s="36" t="s">
        <v>250</v>
      </c>
      <c r="Z174" s="9" t="s">
        <v>6914</v>
      </c>
    </row>
    <row r="175" spans="2:26" ht="19" x14ac:dyDescent="0.25">
      <c r="C175" s="11" t="s">
        <v>251</v>
      </c>
      <c r="D175" s="4" t="str">
        <f>IFERROR(INDEX(Table_S12!$A$4:$A$324, MATCH(C175, Table_S12!$B$4:$B$324, 0)), "CSD Code Not Found")</f>
        <v>CSD Code Not Found</v>
      </c>
      <c r="E175" s="4"/>
      <c r="F175" s="4"/>
      <c r="G175" s="11" t="s">
        <v>252</v>
      </c>
      <c r="H175" s="4" t="s">
        <v>8</v>
      </c>
      <c r="I175" s="4"/>
      <c r="J175" s="4"/>
      <c r="K175" s="4"/>
      <c r="L175" s="4"/>
      <c r="M175" s="4"/>
      <c r="N175" s="4"/>
      <c r="O175" s="11" t="s">
        <v>253</v>
      </c>
      <c r="P175" s="11" t="s">
        <v>254</v>
      </c>
      <c r="Q175" s="4"/>
      <c r="R175" s="4"/>
      <c r="S175" s="4"/>
      <c r="T175" s="11" t="s">
        <v>255</v>
      </c>
      <c r="U175" s="4"/>
      <c r="Y175" s="36" t="s">
        <v>256</v>
      </c>
      <c r="Z175" s="9" t="s">
        <v>6914</v>
      </c>
    </row>
    <row r="176" spans="2:26" ht="19" x14ac:dyDescent="0.25">
      <c r="C176" s="11" t="s">
        <v>257</v>
      </c>
      <c r="D176" s="4" t="str">
        <f>IFERROR(INDEX(Table_S12!$A$4:$A$324, MATCH(C176, Table_S12!$B$4:$B$324, 0)), "CSD Code Not Found")</f>
        <v>CSD Code Not Found</v>
      </c>
      <c r="E176" s="4"/>
      <c r="F176" s="4"/>
      <c r="G176" s="11" t="s">
        <v>258</v>
      </c>
      <c r="H176" s="4" t="s">
        <v>35</v>
      </c>
      <c r="I176" s="4"/>
      <c r="J176" s="4"/>
      <c r="K176" s="4"/>
      <c r="L176" s="4"/>
      <c r="M176" s="4"/>
      <c r="N176" s="4"/>
      <c r="O176" s="11" t="s">
        <v>259</v>
      </c>
      <c r="P176" s="11" t="s">
        <v>260</v>
      </c>
      <c r="Q176" s="4"/>
      <c r="R176" s="4"/>
      <c r="S176" s="4"/>
      <c r="T176" s="11">
        <v>3.35</v>
      </c>
      <c r="U176" s="4"/>
      <c r="Y176" s="36" t="s">
        <v>261</v>
      </c>
      <c r="Z176" s="9" t="s">
        <v>6914</v>
      </c>
    </row>
    <row r="177" spans="2:26" ht="19" x14ac:dyDescent="0.25">
      <c r="C177" s="11" t="s">
        <v>262</v>
      </c>
      <c r="D177" s="4" t="str">
        <f>IFERROR(INDEX(Table_S12!$A$4:$A$324, MATCH(C177, Table_S12!$B$4:$B$324, 0)), "CSD Code Not Found")</f>
        <v>CSD Code Not Found</v>
      </c>
      <c r="E177" s="4"/>
      <c r="F177" s="4"/>
      <c r="G177" s="11" t="s">
        <v>263</v>
      </c>
      <c r="H177" s="4" t="s">
        <v>35</v>
      </c>
      <c r="I177" s="4"/>
      <c r="J177" s="4"/>
      <c r="K177" s="4"/>
      <c r="L177" s="4"/>
      <c r="M177" s="4"/>
      <c r="N177" s="4"/>
      <c r="O177" s="11" t="s">
        <v>264</v>
      </c>
      <c r="P177" s="11" t="s">
        <v>265</v>
      </c>
      <c r="Q177" s="4"/>
      <c r="R177" s="4"/>
      <c r="S177" s="4"/>
      <c r="T177" s="11">
        <v>4.4000000000000004</v>
      </c>
      <c r="U177" s="4"/>
      <c r="Y177" s="36" t="s">
        <v>266</v>
      </c>
      <c r="Z177" s="9" t="s">
        <v>6914</v>
      </c>
    </row>
    <row r="178" spans="2:26" ht="19" x14ac:dyDescent="0.25">
      <c r="C178" s="11" t="s">
        <v>267</v>
      </c>
      <c r="D178" s="4" t="str">
        <f>IFERROR(INDEX(Table_S12!$A$4:$A$324, MATCH(C178, Table_S12!$B$4:$B$324, 0)), "CSD Code Not Found")</f>
        <v>CSD Code Not Found</v>
      </c>
      <c r="E178" s="4"/>
      <c r="F178" s="4"/>
      <c r="G178" s="11" t="s">
        <v>268</v>
      </c>
      <c r="H178" s="4" t="s">
        <v>15</v>
      </c>
      <c r="I178" s="4"/>
      <c r="J178" s="4"/>
      <c r="K178" s="4"/>
      <c r="L178" s="4"/>
      <c r="M178" s="4"/>
      <c r="N178" s="4"/>
      <c r="O178" s="11" t="s">
        <v>259</v>
      </c>
      <c r="P178" s="11" t="s">
        <v>254</v>
      </c>
      <c r="Q178" s="4"/>
      <c r="R178" s="4"/>
      <c r="S178" s="4"/>
      <c r="T178" s="11">
        <v>11.1</v>
      </c>
      <c r="U178" s="4"/>
      <c r="Y178" s="36" t="s">
        <v>269</v>
      </c>
      <c r="Z178" s="9" t="s">
        <v>6914</v>
      </c>
    </row>
    <row r="179" spans="2:26" ht="19" x14ac:dyDescent="0.25">
      <c r="C179" s="41" t="s">
        <v>270</v>
      </c>
      <c r="D179" s="4" t="str">
        <f>IFERROR(INDEX(Table_S12!$A$4:$A$324, MATCH(C179, Table_S12!$B$4:$B$324, 0)), "CSD Code Not Found")</f>
        <v>CSD Code Not Found</v>
      </c>
      <c r="E179" s="4"/>
      <c r="F179" s="4"/>
      <c r="G179" s="11" t="s">
        <v>271</v>
      </c>
      <c r="H179" s="4" t="s">
        <v>233</v>
      </c>
      <c r="I179" s="4"/>
      <c r="J179" s="4"/>
      <c r="K179" s="4"/>
      <c r="L179" s="4"/>
      <c r="M179" s="4"/>
      <c r="N179" s="4"/>
      <c r="O179" s="11" t="s">
        <v>259</v>
      </c>
      <c r="P179" s="11" t="s">
        <v>272</v>
      </c>
      <c r="Q179" s="4"/>
      <c r="R179" s="4"/>
      <c r="S179" s="4"/>
      <c r="T179" s="11" t="s">
        <v>273</v>
      </c>
      <c r="U179" s="4"/>
      <c r="X179" s="9" t="s">
        <v>274</v>
      </c>
      <c r="Y179" s="36" t="s">
        <v>275</v>
      </c>
      <c r="Z179" s="9" t="s">
        <v>6914</v>
      </c>
    </row>
    <row r="180" spans="2:26" s="26" customFormat="1" ht="19" x14ac:dyDescent="0.25">
      <c r="B180" s="40"/>
      <c r="C180" s="25"/>
      <c r="D180" s="25"/>
      <c r="E180" s="25"/>
      <c r="F180" s="25"/>
      <c r="G180" s="25"/>
      <c r="H180" s="25"/>
      <c r="I180" s="25"/>
      <c r="J180" s="25"/>
      <c r="K180" s="25"/>
      <c r="L180" s="25"/>
      <c r="M180" s="25"/>
      <c r="N180" s="25"/>
      <c r="O180" s="25"/>
      <c r="P180" s="25"/>
      <c r="Q180" s="25"/>
      <c r="R180" s="25"/>
      <c r="S180" s="25"/>
      <c r="T180" s="25"/>
      <c r="U180" s="25"/>
      <c r="V180" s="32"/>
    </row>
    <row r="181" spans="2:26" ht="24" x14ac:dyDescent="0.3">
      <c r="B181" s="8" t="s">
        <v>276</v>
      </c>
      <c r="C181" s="4"/>
      <c r="D181" s="4"/>
      <c r="E181" s="4"/>
      <c r="F181" s="4"/>
      <c r="G181" s="4"/>
      <c r="H181" s="4"/>
      <c r="J181" s="4"/>
      <c r="K181" s="4"/>
      <c r="L181" s="4"/>
      <c r="M181" s="4"/>
      <c r="N181" s="4"/>
      <c r="O181" s="4"/>
      <c r="P181" s="4"/>
      <c r="Q181" s="4"/>
      <c r="R181" s="4"/>
      <c r="S181" s="4"/>
      <c r="T181" s="4"/>
      <c r="U181" s="4"/>
    </row>
    <row r="182" spans="2:26" ht="19" x14ac:dyDescent="0.25">
      <c r="C182" s="22" t="s">
        <v>277</v>
      </c>
      <c r="D182" s="4" t="str">
        <f>IFERROR(INDEX(Table_S12!$A$4:$A$324, MATCH(C182, Table_S12!$B$4:$B$324, 0)), "CSD Code Not Found")</f>
        <v>CSD Code Not Found</v>
      </c>
      <c r="E182" s="4"/>
      <c r="F182" s="4"/>
      <c r="G182" s="22" t="s">
        <v>278</v>
      </c>
      <c r="H182" s="4"/>
      <c r="J182" s="4"/>
      <c r="K182" s="4"/>
      <c r="L182" s="4"/>
      <c r="M182" s="4"/>
      <c r="N182" s="4"/>
      <c r="O182" s="22">
        <v>304</v>
      </c>
      <c r="P182" s="22" t="s">
        <v>279</v>
      </c>
      <c r="Q182" s="4"/>
      <c r="R182" s="4"/>
      <c r="S182" s="4"/>
      <c r="T182" s="4"/>
      <c r="U182" s="4"/>
      <c r="Y182" s="36" t="s">
        <v>280</v>
      </c>
    </row>
    <row r="183" spans="2:26" ht="19" x14ac:dyDescent="0.25">
      <c r="C183" s="22" t="s">
        <v>281</v>
      </c>
      <c r="D183" s="4" t="str">
        <f>IFERROR(INDEX(Table_S12!$A$4:$A$324, MATCH(C183, Table_S12!$B$4:$B$324, 0)), "CSD Code Not Found")</f>
        <v>CSD Code Not Found</v>
      </c>
      <c r="E183" s="4"/>
      <c r="F183" s="4"/>
      <c r="G183" s="22" t="s">
        <v>282</v>
      </c>
      <c r="H183" s="4"/>
      <c r="J183" s="4"/>
      <c r="K183" s="4"/>
      <c r="L183" s="4"/>
      <c r="M183" s="4"/>
      <c r="N183" s="4"/>
      <c r="O183" s="22">
        <v>195</v>
      </c>
      <c r="P183" s="22" t="s">
        <v>283</v>
      </c>
      <c r="Q183" s="4"/>
      <c r="R183" s="4"/>
      <c r="S183" s="4"/>
      <c r="T183" s="4"/>
      <c r="U183" s="4"/>
      <c r="Y183" s="36" t="s">
        <v>284</v>
      </c>
    </row>
    <row r="184" spans="2:26" ht="19" x14ac:dyDescent="0.25">
      <c r="C184" s="22" t="s">
        <v>285</v>
      </c>
      <c r="D184" s="4" t="str">
        <f>IFERROR(INDEX(Table_S12!$A$4:$A$324, MATCH(C184, Table_S12!$B$4:$B$324, 0)), "CSD Code Not Found")</f>
        <v>CSD Code Not Found</v>
      </c>
      <c r="E184" s="4"/>
      <c r="F184" s="4"/>
      <c r="G184" s="22" t="s">
        <v>286</v>
      </c>
      <c r="H184" s="4"/>
      <c r="J184" s="4"/>
      <c r="K184" s="4"/>
      <c r="L184" s="4"/>
      <c r="M184" s="4"/>
      <c r="N184" s="4"/>
      <c r="O184" s="22">
        <v>195</v>
      </c>
      <c r="P184" s="22" t="s">
        <v>287</v>
      </c>
      <c r="Q184" s="4"/>
      <c r="R184" s="4"/>
      <c r="S184" s="4"/>
      <c r="T184" s="4"/>
      <c r="U184" s="4"/>
      <c r="Y184" s="36" t="s">
        <v>288</v>
      </c>
    </row>
    <row r="185" spans="2:26" ht="19" x14ac:dyDescent="0.25">
      <c r="C185" s="22" t="s">
        <v>289</v>
      </c>
      <c r="D185" s="4" t="str">
        <f>IFERROR(INDEX(Table_S12!$A$4:$A$324, MATCH(C185, Table_S12!$B$4:$B$324, 0)), "CSD Code Not Found")</f>
        <v>CSD Code Not Found</v>
      </c>
      <c r="E185" s="4"/>
      <c r="F185" s="4"/>
      <c r="G185" s="22" t="s">
        <v>290</v>
      </c>
      <c r="H185" s="4"/>
      <c r="J185" s="4"/>
      <c r="K185" s="4"/>
      <c r="L185" s="4"/>
      <c r="M185" s="4"/>
      <c r="N185" s="4"/>
      <c r="O185" s="22">
        <v>195</v>
      </c>
      <c r="P185" s="22" t="s">
        <v>254</v>
      </c>
      <c r="Q185" s="4"/>
      <c r="R185" s="4"/>
      <c r="S185" s="4"/>
      <c r="T185" s="4"/>
      <c r="U185" s="4"/>
      <c r="Y185" s="36" t="s">
        <v>291</v>
      </c>
    </row>
    <row r="186" spans="2:26" ht="19" x14ac:dyDescent="0.25">
      <c r="C186" s="22" t="s">
        <v>292</v>
      </c>
      <c r="D186" s="4" t="str">
        <f>IFERROR(INDEX(Table_S12!$A$4:$A$324, MATCH(C186, Table_S12!$B$4:$B$324, 0)), "CSD Code Not Found")</f>
        <v>CSD Code Not Found</v>
      </c>
      <c r="E186" s="4"/>
      <c r="F186" s="4"/>
      <c r="G186" s="22" t="s">
        <v>293</v>
      </c>
      <c r="H186" s="4"/>
      <c r="J186" s="4"/>
      <c r="K186" s="4"/>
      <c r="L186" s="4"/>
      <c r="M186" s="4"/>
      <c r="N186" s="4"/>
      <c r="O186" s="22">
        <v>195</v>
      </c>
      <c r="P186" s="22" t="s">
        <v>254</v>
      </c>
      <c r="Q186" s="4"/>
      <c r="R186" s="4"/>
      <c r="S186" s="4"/>
      <c r="T186" s="4"/>
      <c r="U186" s="4"/>
      <c r="Y186" s="36" t="s">
        <v>294</v>
      </c>
    </row>
    <row r="187" spans="2:26" ht="19" x14ac:dyDescent="0.25">
      <c r="C187" s="22" t="s">
        <v>295</v>
      </c>
      <c r="D187" s="4" t="str">
        <f>IFERROR(INDEX(Table_S12!$A$4:$A$324, MATCH(C187, Table_S12!$B$4:$B$324, 0)), "CSD Code Not Found")</f>
        <v>CSD Code Not Found</v>
      </c>
      <c r="E187" s="4"/>
      <c r="F187" s="4"/>
      <c r="G187" s="22" t="s">
        <v>296</v>
      </c>
      <c r="H187" s="4"/>
      <c r="J187" s="4"/>
      <c r="K187" s="4"/>
      <c r="L187" s="4"/>
      <c r="M187" s="4"/>
      <c r="N187" s="4"/>
      <c r="O187" s="22">
        <v>298</v>
      </c>
      <c r="P187" s="22" t="s">
        <v>297</v>
      </c>
      <c r="Q187" s="4"/>
      <c r="R187" s="4"/>
      <c r="S187" s="4"/>
      <c r="T187" s="4"/>
      <c r="U187" s="4"/>
      <c r="Y187" s="36" t="s">
        <v>298</v>
      </c>
    </row>
    <row r="188" spans="2:26" ht="19" x14ac:dyDescent="0.25">
      <c r="C188" s="22" t="s">
        <v>299</v>
      </c>
      <c r="D188" s="4" t="str">
        <f>IFERROR(INDEX(Table_S12!$A$4:$A$324, MATCH(C188, Table_S12!$B$4:$B$324, 0)), "CSD Code Not Found")</f>
        <v>CSD Code Not Found</v>
      </c>
      <c r="E188" s="4"/>
      <c r="F188" s="4"/>
      <c r="G188" s="22" t="s">
        <v>296</v>
      </c>
      <c r="H188" s="4"/>
      <c r="J188" s="4"/>
      <c r="K188" s="4"/>
      <c r="L188" s="4"/>
      <c r="M188" s="4"/>
      <c r="N188" s="4"/>
      <c r="O188" s="22">
        <v>298</v>
      </c>
      <c r="P188" s="22" t="s">
        <v>300</v>
      </c>
      <c r="Q188" s="4"/>
      <c r="R188" s="4"/>
      <c r="S188" s="4"/>
      <c r="T188" s="4"/>
      <c r="U188" s="4"/>
      <c r="Y188" s="36" t="s">
        <v>298</v>
      </c>
    </row>
    <row r="189" spans="2:26" ht="19" x14ac:dyDescent="0.25">
      <c r="C189" s="22" t="s">
        <v>301</v>
      </c>
      <c r="D189" s="4" t="str">
        <f>IFERROR(INDEX(Table_S12!$A$4:$A$324, MATCH(C189, Table_S12!$B$4:$B$324, 0)), "CSD Code Not Found")</f>
        <v>CSD Code Not Found</v>
      </c>
      <c r="E189" s="4"/>
      <c r="F189" s="4"/>
      <c r="G189" s="22" t="s">
        <v>302</v>
      </c>
      <c r="H189" s="4"/>
      <c r="J189" s="4"/>
      <c r="K189" s="4"/>
      <c r="L189" s="4"/>
      <c r="M189" s="4"/>
      <c r="N189" s="4"/>
      <c r="O189" s="22">
        <v>304</v>
      </c>
      <c r="P189" s="22" t="s">
        <v>303</v>
      </c>
      <c r="Q189" s="4"/>
      <c r="R189" s="4"/>
      <c r="S189" s="4"/>
      <c r="T189" s="4"/>
      <c r="U189" s="4"/>
      <c r="Y189" s="36" t="s">
        <v>304</v>
      </c>
    </row>
    <row r="190" spans="2:26" ht="19" x14ac:dyDescent="0.25">
      <c r="C190" s="22" t="s">
        <v>305</v>
      </c>
      <c r="D190" s="4" t="str">
        <f>IFERROR(INDEX(Table_S12!$A$4:$A$324, MATCH(C190, Table_S12!$B$4:$B$324, 0)), "CSD Code Not Found")</f>
        <v>CSD Code Not Found</v>
      </c>
      <c r="E190" s="4"/>
      <c r="F190" s="4"/>
      <c r="G190" s="22" t="s">
        <v>306</v>
      </c>
      <c r="H190" s="4"/>
      <c r="J190" s="4"/>
      <c r="K190" s="4"/>
      <c r="L190" s="4"/>
      <c r="M190" s="4"/>
      <c r="N190" s="4"/>
      <c r="O190" s="22">
        <v>195</v>
      </c>
      <c r="P190" s="22" t="s">
        <v>283</v>
      </c>
      <c r="Q190" s="4"/>
      <c r="R190" s="4"/>
      <c r="S190" s="4"/>
      <c r="T190" s="4"/>
      <c r="U190" s="4"/>
      <c r="Y190" s="36" t="s">
        <v>307</v>
      </c>
    </row>
    <row r="191" spans="2:26" ht="19" x14ac:dyDescent="0.25">
      <c r="C191" s="22" t="s">
        <v>308</v>
      </c>
      <c r="D191" s="4" t="str">
        <f>IFERROR(INDEX(Table_S12!$A$4:$A$324, MATCH(C191, Table_S12!$B$4:$B$324, 0)), "CSD Code Not Found")</f>
        <v>CSD Code Not Found</v>
      </c>
      <c r="E191" s="4"/>
      <c r="F191" s="4"/>
      <c r="G191" s="22" t="s">
        <v>296</v>
      </c>
      <c r="H191" s="4"/>
      <c r="I191" s="4"/>
      <c r="J191" s="4"/>
      <c r="K191" s="4"/>
      <c r="L191" s="4"/>
      <c r="M191" s="4"/>
      <c r="N191" s="4"/>
      <c r="O191" s="22">
        <v>273</v>
      </c>
      <c r="P191" s="22" t="s">
        <v>254</v>
      </c>
      <c r="Q191" s="4"/>
      <c r="R191" s="4"/>
      <c r="S191" s="4"/>
      <c r="T191" s="4"/>
      <c r="U191" s="4"/>
      <c r="Y191" s="36" t="s">
        <v>309</v>
      </c>
    </row>
    <row r="192" spans="2:26" ht="19" x14ac:dyDescent="0.25">
      <c r="C192" s="22" t="s">
        <v>310</v>
      </c>
      <c r="D192" s="4" t="str">
        <f>IFERROR(INDEX(Table_S12!$A$4:$A$324, MATCH(C192, Table_S12!$B$4:$B$324, 0)), "CSD Code Not Found")</f>
        <v>CSD Code Not Found</v>
      </c>
      <c r="E192" s="4"/>
      <c r="F192" s="4"/>
      <c r="G192" s="22" t="s">
        <v>311</v>
      </c>
      <c r="H192" s="4"/>
      <c r="I192" s="4"/>
      <c r="J192" s="4"/>
      <c r="K192" s="4"/>
      <c r="L192" s="4"/>
      <c r="M192" s="4"/>
      <c r="N192" s="4"/>
      <c r="O192" s="22">
        <v>195</v>
      </c>
      <c r="P192" s="22" t="s">
        <v>312</v>
      </c>
      <c r="Q192" s="4"/>
      <c r="R192" s="4"/>
      <c r="S192" s="4"/>
      <c r="T192" s="4"/>
      <c r="U192" s="4"/>
      <c r="Y192" s="36" t="s">
        <v>313</v>
      </c>
    </row>
    <row r="193" spans="2:25" ht="19" x14ac:dyDescent="0.25">
      <c r="C193" s="22" t="s">
        <v>314</v>
      </c>
      <c r="D193" s="4" t="str">
        <f>IFERROR(INDEX(Table_S12!$A$4:$A$324, MATCH(C193, Table_S12!$B$4:$B$324, 0)), "CSD Code Not Found")</f>
        <v>CSD Code Not Found</v>
      </c>
      <c r="E193" s="4"/>
      <c r="F193" s="4"/>
      <c r="G193" s="22" t="s">
        <v>315</v>
      </c>
      <c r="H193" s="4"/>
      <c r="I193" s="4"/>
      <c r="J193" s="4"/>
      <c r="K193" s="4"/>
      <c r="L193" s="4"/>
      <c r="M193" s="4"/>
      <c r="N193" s="4"/>
      <c r="O193" s="22">
        <v>298</v>
      </c>
      <c r="P193" s="22" t="s">
        <v>316</v>
      </c>
      <c r="Q193" s="4"/>
      <c r="R193" s="4"/>
      <c r="S193" s="4"/>
      <c r="T193" s="4"/>
      <c r="U193" s="4"/>
      <c r="Y193" s="12"/>
    </row>
    <row r="194" spans="2:25" s="26" customFormat="1" ht="19" x14ac:dyDescent="0.25">
      <c r="B194" s="40"/>
      <c r="C194" s="25"/>
      <c r="D194" s="25"/>
      <c r="E194" s="25"/>
      <c r="F194" s="25"/>
      <c r="G194" s="25"/>
      <c r="H194" s="25"/>
      <c r="I194" s="25"/>
      <c r="J194" s="25"/>
      <c r="K194" s="25"/>
      <c r="L194" s="25"/>
      <c r="M194" s="25"/>
      <c r="N194" s="25"/>
      <c r="O194" s="25"/>
      <c r="P194" s="25"/>
      <c r="Q194" s="25"/>
      <c r="R194" s="25"/>
      <c r="S194" s="25"/>
      <c r="T194" s="25"/>
      <c r="U194" s="25"/>
      <c r="V194" s="32"/>
    </row>
    <row r="195" spans="2:25" ht="24" x14ac:dyDescent="0.3">
      <c r="B195" s="8" t="s">
        <v>317</v>
      </c>
      <c r="C195" s="4"/>
      <c r="D195" s="4"/>
      <c r="E195" s="4"/>
      <c r="F195" s="4"/>
      <c r="G195" s="4"/>
      <c r="H195" s="4"/>
      <c r="I195" s="4" t="s">
        <v>318</v>
      </c>
      <c r="J195" s="4"/>
      <c r="K195" s="4"/>
      <c r="L195" s="4"/>
      <c r="M195" s="4"/>
      <c r="N195" s="4"/>
      <c r="O195" s="4"/>
      <c r="P195" s="4"/>
      <c r="Q195" s="4"/>
      <c r="R195" s="4"/>
      <c r="S195" s="4"/>
      <c r="T195" s="4"/>
      <c r="U195" s="4"/>
      <c r="Y195" s="36" t="s">
        <v>319</v>
      </c>
    </row>
    <row r="196" spans="2:25" ht="19" x14ac:dyDescent="0.25">
      <c r="C196" s="22" t="s">
        <v>43</v>
      </c>
      <c r="D196" s="4" t="str">
        <f>IFERROR(INDEX(Table_S12!$A$4:$A$324, MATCH(C196, Table_S12!$B$4:$B$324, 0)), "CSD Code Not Found")</f>
        <v>CSD Code Not Found</v>
      </c>
      <c r="E196" s="4"/>
      <c r="F196" s="4"/>
      <c r="G196" s="4"/>
      <c r="H196" s="4"/>
      <c r="I196" s="22">
        <v>60</v>
      </c>
      <c r="J196" s="4"/>
      <c r="K196" s="4"/>
      <c r="L196" s="4"/>
      <c r="M196" s="4"/>
      <c r="N196" s="4"/>
      <c r="O196" s="4">
        <v>298</v>
      </c>
      <c r="P196" s="4">
        <v>35</v>
      </c>
      <c r="Q196" s="38">
        <v>4508</v>
      </c>
      <c r="R196" s="38"/>
      <c r="S196" s="4"/>
      <c r="T196" s="4"/>
      <c r="U196" s="4"/>
      <c r="Y196" s="36" t="s">
        <v>320</v>
      </c>
    </row>
    <row r="197" spans="2:25" ht="19" x14ac:dyDescent="0.25">
      <c r="C197" s="22" t="s">
        <v>56</v>
      </c>
      <c r="D197" s="4" t="str">
        <f>IFERROR(INDEX(Table_S12!$A$4:$A$324, MATCH(C197, Table_S12!$B$4:$B$324, 0)), "CSD Code Not Found")</f>
        <v>CSD Code Not Found</v>
      </c>
      <c r="E197" s="4"/>
      <c r="F197" s="4"/>
      <c r="G197" s="4"/>
      <c r="H197" s="4"/>
      <c r="I197" s="22">
        <v>48.8</v>
      </c>
      <c r="J197" s="4"/>
      <c r="K197" s="4"/>
      <c r="L197" s="4"/>
      <c r="M197" s="4"/>
      <c r="N197" s="4"/>
      <c r="O197" s="4">
        <v>298</v>
      </c>
      <c r="P197" s="4">
        <v>35</v>
      </c>
      <c r="Q197" s="38">
        <v>2833</v>
      </c>
      <c r="R197" s="38"/>
      <c r="S197" s="4"/>
      <c r="T197" s="4"/>
      <c r="U197" s="4"/>
      <c r="Y197" s="36" t="s">
        <v>320</v>
      </c>
    </row>
    <row r="198" spans="2:25" ht="19" x14ac:dyDescent="0.25">
      <c r="C198" s="22" t="s">
        <v>55</v>
      </c>
      <c r="D198" s="4" t="str">
        <f>IFERROR(INDEX(Table_S12!$A$4:$A$324, MATCH(C198, Table_S12!$B$4:$B$324, 0)), "CSD Code Not Found")</f>
        <v>CSD Code Not Found</v>
      </c>
      <c r="E198" s="4"/>
      <c r="F198" s="4"/>
      <c r="G198" s="4"/>
      <c r="H198" s="4"/>
      <c r="I198" s="22">
        <v>46.2</v>
      </c>
      <c r="J198" s="4"/>
      <c r="K198" s="4"/>
      <c r="L198" s="4"/>
      <c r="M198" s="4"/>
      <c r="N198" s="4"/>
      <c r="O198" s="4">
        <v>298</v>
      </c>
      <c r="P198" s="4">
        <v>35</v>
      </c>
      <c r="Q198" s="38">
        <v>2516</v>
      </c>
      <c r="R198" s="38"/>
      <c r="S198" s="4"/>
      <c r="T198" s="4"/>
      <c r="U198" s="4"/>
      <c r="Y198" s="36" t="s">
        <v>320</v>
      </c>
    </row>
    <row r="199" spans="2:25" ht="19" x14ac:dyDescent="0.25">
      <c r="C199" s="22" t="s">
        <v>54</v>
      </c>
      <c r="D199" s="4" t="str">
        <f>IFERROR(INDEX(Table_S12!$A$4:$A$324, MATCH(C199, Table_S12!$B$4:$B$324, 0)), "CSD Code Not Found")</f>
        <v>CSD Code Not Found</v>
      </c>
      <c r="E199" s="4"/>
      <c r="F199" s="4"/>
      <c r="G199" s="4"/>
      <c r="H199" s="4"/>
      <c r="I199" s="22">
        <v>45.1</v>
      </c>
      <c r="J199" s="4"/>
      <c r="K199" s="4"/>
      <c r="L199" s="4"/>
      <c r="M199" s="4"/>
      <c r="N199" s="4"/>
      <c r="O199" s="4">
        <v>298</v>
      </c>
      <c r="P199" s="4">
        <v>35</v>
      </c>
      <c r="Q199" s="38">
        <v>2160</v>
      </c>
      <c r="R199" s="38"/>
      <c r="S199" s="4"/>
      <c r="T199" s="4"/>
      <c r="U199" s="4"/>
      <c r="Y199" s="36" t="s">
        <v>320</v>
      </c>
    </row>
    <row r="200" spans="2:25" ht="19" x14ac:dyDescent="0.25">
      <c r="C200" s="22" t="s">
        <v>53</v>
      </c>
      <c r="D200" s="4" t="str">
        <f>IFERROR(INDEX(Table_S12!$A$4:$A$324, MATCH(C200, Table_S12!$B$4:$B$324, 0)), "CSD Code Not Found")</f>
        <v>CSD Code Not Found</v>
      </c>
      <c r="E200" s="4"/>
      <c r="F200" s="4"/>
      <c r="G200" s="4"/>
      <c r="H200" s="4"/>
      <c r="I200" s="22">
        <v>39.299999999999997</v>
      </c>
      <c r="J200" s="4"/>
      <c r="K200" s="4"/>
      <c r="L200" s="4"/>
      <c r="M200" s="4"/>
      <c r="N200" s="4"/>
      <c r="O200" s="4">
        <v>298</v>
      </c>
      <c r="P200" s="4">
        <v>35</v>
      </c>
      <c r="Q200" s="38">
        <v>2096</v>
      </c>
      <c r="R200" s="38"/>
      <c r="S200" s="4"/>
      <c r="T200" s="4"/>
      <c r="U200" s="4"/>
      <c r="Y200" s="36" t="s">
        <v>320</v>
      </c>
    </row>
    <row r="201" spans="2:25" ht="19" x14ac:dyDescent="0.25">
      <c r="C201" s="22" t="s">
        <v>321</v>
      </c>
      <c r="D201" s="4" t="str">
        <f>IFERROR(INDEX(Table_S12!$A$4:$A$324, MATCH(C201, Table_S12!$B$4:$B$324, 0)), "CSD Code Not Found")</f>
        <v>DOTSOV42</v>
      </c>
      <c r="E201" s="4"/>
      <c r="F201" s="4"/>
      <c r="G201" s="4"/>
      <c r="H201" s="4"/>
      <c r="I201" s="22">
        <v>32</v>
      </c>
      <c r="J201" s="4"/>
      <c r="K201" s="4"/>
      <c r="L201" s="4"/>
      <c r="M201" s="4"/>
      <c r="N201" s="4"/>
      <c r="O201" s="4">
        <v>298</v>
      </c>
      <c r="P201" s="4">
        <v>35</v>
      </c>
      <c r="Q201" s="38">
        <v>1781</v>
      </c>
      <c r="R201" s="38"/>
      <c r="S201" s="4"/>
      <c r="T201" s="4"/>
      <c r="U201" s="4"/>
      <c r="Y201" s="36" t="s">
        <v>320</v>
      </c>
    </row>
    <row r="202" spans="2:25" ht="19" x14ac:dyDescent="0.25">
      <c r="C202" s="22" t="s">
        <v>76</v>
      </c>
      <c r="D202" s="4" t="str">
        <f>IFERROR(INDEX(Table_S12!$A$4:$A$324, MATCH(C202, Table_S12!$B$4:$B$324, 0)), "CSD Code Not Found")</f>
        <v>CSD Code Not Found</v>
      </c>
      <c r="E202" s="4"/>
      <c r="F202" s="4"/>
      <c r="G202" s="4"/>
      <c r="H202" s="4"/>
      <c r="I202" s="22">
        <v>31.4</v>
      </c>
      <c r="J202" s="4"/>
      <c r="K202" s="4"/>
      <c r="L202" s="4"/>
      <c r="M202" s="4"/>
      <c r="N202" s="4"/>
      <c r="O202" s="4">
        <v>298</v>
      </c>
      <c r="P202" s="4">
        <v>35</v>
      </c>
      <c r="Q202" s="22">
        <v>816</v>
      </c>
      <c r="R202" s="22"/>
      <c r="S202" s="4"/>
      <c r="T202" s="4"/>
      <c r="U202" s="4"/>
      <c r="Y202" s="36" t="s">
        <v>320</v>
      </c>
    </row>
    <row r="203" spans="2:25" ht="19" x14ac:dyDescent="0.25">
      <c r="C203" s="22" t="s">
        <v>42</v>
      </c>
      <c r="D203" s="4" t="str">
        <f>IFERROR(INDEX(Table_S12!$A$4:$A$324, MATCH(C203, Table_S12!$B$4:$B$324, 0)), "CSD Code Not Found")</f>
        <v>CSD Code Not Found</v>
      </c>
      <c r="E203" s="4"/>
      <c r="F203" s="4"/>
      <c r="G203" s="4"/>
      <c r="H203" s="4"/>
      <c r="I203" s="22">
        <v>31</v>
      </c>
      <c r="J203" s="4"/>
      <c r="K203" s="4"/>
      <c r="L203" s="4"/>
      <c r="M203" s="4"/>
      <c r="N203" s="4"/>
      <c r="O203" s="4">
        <v>298</v>
      </c>
      <c r="P203" s="4">
        <v>35</v>
      </c>
      <c r="Q203" s="38">
        <v>1547</v>
      </c>
      <c r="R203" s="38"/>
      <c r="S203" s="4"/>
      <c r="T203" s="4"/>
      <c r="U203" s="4"/>
      <c r="Y203" s="36" t="s">
        <v>320</v>
      </c>
    </row>
    <row r="204" spans="2:25" ht="19" x14ac:dyDescent="0.25">
      <c r="C204" s="22" t="s">
        <v>41</v>
      </c>
      <c r="D204" s="4" t="str">
        <f>IFERROR(INDEX(Table_S12!$A$4:$A$324, MATCH(C204, Table_S12!$B$4:$B$324, 0)), "CSD Code Not Found")</f>
        <v>CSD Code Not Found</v>
      </c>
      <c r="E204" s="4"/>
      <c r="F204" s="4"/>
      <c r="G204" s="4"/>
      <c r="H204" s="4"/>
      <c r="I204" s="22">
        <v>12.3</v>
      </c>
      <c r="J204" s="4"/>
      <c r="K204" s="4"/>
      <c r="L204" s="4"/>
      <c r="M204" s="4"/>
      <c r="N204" s="4"/>
      <c r="O204" s="4">
        <v>298</v>
      </c>
      <c r="P204" s="4">
        <v>35</v>
      </c>
      <c r="Q204" s="22">
        <v>345</v>
      </c>
      <c r="R204" s="22"/>
      <c r="S204" s="4"/>
      <c r="T204" s="4"/>
      <c r="U204" s="4"/>
    </row>
    <row r="205" spans="2:25" s="26" customFormat="1" ht="19" x14ac:dyDescent="0.25">
      <c r="B205" s="40"/>
      <c r="C205" s="25"/>
      <c r="D205" s="25"/>
      <c r="E205" s="25"/>
      <c r="F205" s="25"/>
      <c r="G205" s="25"/>
      <c r="H205" s="25"/>
      <c r="I205" s="25"/>
      <c r="J205" s="25"/>
      <c r="K205" s="25"/>
      <c r="L205" s="25"/>
      <c r="M205" s="25"/>
      <c r="N205" s="25"/>
      <c r="O205" s="25"/>
      <c r="P205" s="25"/>
      <c r="Q205" s="25"/>
      <c r="R205" s="25"/>
      <c r="S205" s="25"/>
      <c r="T205" s="25"/>
      <c r="U205" s="25"/>
      <c r="V205" s="32"/>
    </row>
    <row r="206" spans="2:25" ht="24" x14ac:dyDescent="0.3">
      <c r="B206" s="8" t="s">
        <v>322</v>
      </c>
      <c r="C206" s="4"/>
      <c r="D206" s="4"/>
      <c r="E206" s="4"/>
      <c r="F206" s="4"/>
      <c r="G206" s="4"/>
      <c r="H206" s="4"/>
      <c r="I206" s="4" t="s">
        <v>318</v>
      </c>
      <c r="J206" s="4"/>
      <c r="K206" s="4"/>
      <c r="L206" s="4"/>
      <c r="M206" s="4"/>
      <c r="N206" s="4"/>
      <c r="O206" s="4"/>
      <c r="P206" s="4"/>
      <c r="Q206" s="4"/>
      <c r="R206" s="4"/>
      <c r="S206" s="4"/>
      <c r="T206" s="4"/>
      <c r="U206" s="4"/>
    </row>
    <row r="207" spans="2:25" ht="19" x14ac:dyDescent="0.25">
      <c r="C207" s="11" t="s">
        <v>323</v>
      </c>
      <c r="D207" s="4" t="str">
        <f>IFERROR(INDEX(Table_S12!$A$4:$A$324, MATCH(C207, Table_S12!$B$4:$B$324, 0)), "CSD Code Not Found")</f>
        <v>CSD Code Not Found</v>
      </c>
      <c r="E207" s="4"/>
      <c r="F207" s="4"/>
      <c r="G207" s="4"/>
      <c r="H207" s="4"/>
      <c r="I207" s="11">
        <v>79.7</v>
      </c>
      <c r="J207" s="11"/>
      <c r="K207" s="11"/>
      <c r="L207" s="4"/>
      <c r="M207" s="4"/>
      <c r="N207" s="4"/>
      <c r="O207" s="11">
        <v>303</v>
      </c>
      <c r="P207" s="11">
        <v>20</v>
      </c>
      <c r="Q207" s="11">
        <v>2646</v>
      </c>
      <c r="R207" s="11">
        <v>2965</v>
      </c>
      <c r="S207" s="4"/>
      <c r="T207" s="4"/>
      <c r="U207" s="4"/>
      <c r="Y207" s="36" t="s">
        <v>324</v>
      </c>
    </row>
    <row r="208" spans="2:25" ht="19" x14ac:dyDescent="0.25">
      <c r="C208" s="11" t="s">
        <v>325</v>
      </c>
      <c r="D208" s="4" t="str">
        <f>IFERROR(INDEX(Table_S12!$A$4:$A$324, MATCH(C208, Table_S12!$B$4:$B$324, 0)), "CSD Code Not Found")</f>
        <v>MEHMET</v>
      </c>
      <c r="E208" s="4"/>
      <c r="F208" s="4"/>
      <c r="G208" s="4"/>
      <c r="H208" s="4"/>
      <c r="I208" s="11">
        <v>61.8</v>
      </c>
      <c r="J208" s="11"/>
      <c r="K208" s="11">
        <v>23</v>
      </c>
      <c r="L208" s="4"/>
      <c r="M208" s="4"/>
      <c r="N208" s="4"/>
      <c r="O208" s="11">
        <v>298</v>
      </c>
      <c r="P208" s="11">
        <v>30</v>
      </c>
      <c r="Q208" s="11">
        <v>4932</v>
      </c>
      <c r="R208" s="11"/>
      <c r="S208" s="4"/>
      <c r="T208" s="4"/>
      <c r="U208" s="4"/>
      <c r="Y208" s="36" t="s">
        <v>326</v>
      </c>
    </row>
    <row r="209" spans="3:25" ht="19" x14ac:dyDescent="0.25">
      <c r="C209" s="11" t="s">
        <v>327</v>
      </c>
      <c r="D209" s="4" t="str">
        <f>IFERROR(INDEX(Table_S12!$A$4:$A$324, MATCH(C209, Table_S12!$B$4:$B$324, 0)), "CSD Code Not Found")</f>
        <v>CSD Code Not Found</v>
      </c>
      <c r="E209" s="4"/>
      <c r="F209" s="4"/>
      <c r="G209" s="4"/>
      <c r="H209" s="4"/>
      <c r="I209" s="11">
        <v>59.8</v>
      </c>
      <c r="J209" s="11"/>
      <c r="K209" s="11"/>
      <c r="L209" s="4"/>
      <c r="M209" s="4"/>
      <c r="N209" s="4"/>
      <c r="O209" s="11">
        <v>298</v>
      </c>
      <c r="P209" s="11">
        <v>40</v>
      </c>
      <c r="Q209" s="11">
        <v>4198</v>
      </c>
      <c r="R209" s="11"/>
      <c r="S209" s="4"/>
      <c r="T209" s="4"/>
      <c r="U209" s="4"/>
      <c r="Y209" s="36" t="s">
        <v>328</v>
      </c>
    </row>
    <row r="210" spans="3:25" ht="19" x14ac:dyDescent="0.25">
      <c r="C210" s="11" t="s">
        <v>329</v>
      </c>
      <c r="D210" s="4" t="str">
        <f>IFERROR(INDEX(Table_S12!$A$4:$A$324, MATCH(C210, Table_S12!$B$4:$B$324, 0)), "CSD Code Not Found")</f>
        <v>CSD Code Not Found</v>
      </c>
      <c r="E210" s="4"/>
      <c r="F210" s="4"/>
      <c r="G210" s="4"/>
      <c r="H210" s="4"/>
      <c r="I210" s="11">
        <v>52.8</v>
      </c>
      <c r="J210" s="11"/>
      <c r="K210" s="11"/>
      <c r="L210" s="4"/>
      <c r="M210" s="4"/>
      <c r="N210" s="4"/>
      <c r="O210" s="11">
        <v>298</v>
      </c>
      <c r="P210" s="11">
        <v>40</v>
      </c>
      <c r="Q210" s="11">
        <v>3482</v>
      </c>
      <c r="R210" s="11"/>
      <c r="S210" s="4"/>
      <c r="T210" s="4"/>
      <c r="U210" s="4"/>
      <c r="Y210" s="36" t="s">
        <v>328</v>
      </c>
    </row>
    <row r="211" spans="3:25" ht="19" x14ac:dyDescent="0.25">
      <c r="C211" s="11" t="s">
        <v>330</v>
      </c>
      <c r="D211" s="4" t="str">
        <f>IFERROR(INDEX(Table_S12!$A$4:$A$324, MATCH(C211, Table_S12!$B$4:$B$324, 0)), "CSD Code Not Found")</f>
        <v>CSD Code Not Found</v>
      </c>
      <c r="E211" s="4"/>
      <c r="F211" s="4"/>
      <c r="G211" s="4"/>
      <c r="H211" s="4"/>
      <c r="I211" s="11">
        <v>49</v>
      </c>
      <c r="J211" s="11"/>
      <c r="K211" s="11"/>
      <c r="L211" s="4"/>
      <c r="M211" s="4"/>
      <c r="N211" s="4"/>
      <c r="O211" s="11">
        <v>300</v>
      </c>
      <c r="P211" s="11">
        <v>40</v>
      </c>
      <c r="Q211" s="11">
        <v>3831</v>
      </c>
      <c r="R211" s="11"/>
      <c r="S211" s="4"/>
      <c r="T211" s="4"/>
      <c r="U211" s="4"/>
      <c r="Y211" s="36" t="s">
        <v>331</v>
      </c>
    </row>
    <row r="212" spans="3:25" ht="19" x14ac:dyDescent="0.25">
      <c r="C212" s="11" t="s">
        <v>332</v>
      </c>
      <c r="D212" s="4" t="str">
        <f>IFERROR(INDEX(Table_S12!$A$4:$A$324, MATCH(C212, Table_S12!$B$4:$B$324, 0)), "CSD Code Not Found")</f>
        <v>CSD Code Not Found</v>
      </c>
      <c r="E212" s="4"/>
      <c r="F212" s="4"/>
      <c r="G212" s="4"/>
      <c r="H212" s="4"/>
      <c r="I212" s="11">
        <v>43.7</v>
      </c>
      <c r="J212" s="11"/>
      <c r="K212" s="11">
        <v>16</v>
      </c>
      <c r="L212" s="4"/>
      <c r="M212" s="4"/>
      <c r="N212" s="4"/>
      <c r="O212" s="11">
        <v>298</v>
      </c>
      <c r="P212" s="11">
        <v>55</v>
      </c>
      <c r="Q212" s="11">
        <v>2190</v>
      </c>
      <c r="R212" s="11"/>
      <c r="S212" s="4"/>
      <c r="T212" s="4"/>
      <c r="U212" s="4"/>
      <c r="Y212" s="36" t="s">
        <v>333</v>
      </c>
    </row>
    <row r="213" spans="3:25" ht="19" x14ac:dyDescent="0.25">
      <c r="C213" s="11" t="s">
        <v>334</v>
      </c>
      <c r="D213" s="4" t="str">
        <f>IFERROR(INDEX(Table_S12!$A$4:$A$324, MATCH(C213, Table_S12!$B$4:$B$324, 0)), "CSD Code Not Found")</f>
        <v>CSD Code Not Found</v>
      </c>
      <c r="E213" s="4"/>
      <c r="F213" s="4"/>
      <c r="G213" s="4"/>
      <c r="H213" s="4"/>
      <c r="I213" s="11">
        <v>41.9</v>
      </c>
      <c r="J213" s="11"/>
      <c r="K213" s="11">
        <v>18</v>
      </c>
      <c r="L213" s="4"/>
      <c r="M213" s="4"/>
      <c r="N213" s="4"/>
      <c r="O213" s="11">
        <v>318</v>
      </c>
      <c r="P213" s="11">
        <v>224.99</v>
      </c>
      <c r="Q213" s="11">
        <v>1706.42</v>
      </c>
      <c r="R213" s="11"/>
      <c r="S213" s="4"/>
      <c r="T213" s="4"/>
      <c r="U213" s="4"/>
      <c r="Y213" s="36" t="s">
        <v>335</v>
      </c>
    </row>
    <row r="214" spans="3:25" ht="19" x14ac:dyDescent="0.25">
      <c r="C214" s="11" t="s">
        <v>336</v>
      </c>
      <c r="D214" s="4" t="str">
        <f>IFERROR(INDEX(Table_S12!$A$4:$A$324, MATCH(C214, Table_S12!$B$4:$B$324, 0)), "CSD Code Not Found")</f>
        <v>CSD Code Not Found</v>
      </c>
      <c r="E214" s="4"/>
      <c r="F214" s="4"/>
      <c r="G214" s="4"/>
      <c r="H214" s="4"/>
      <c r="I214" s="11">
        <v>26.9</v>
      </c>
      <c r="J214" s="11"/>
      <c r="K214" s="11">
        <v>9</v>
      </c>
      <c r="L214" s="4"/>
      <c r="M214" s="4"/>
      <c r="N214" s="4"/>
      <c r="O214" s="11">
        <v>318</v>
      </c>
      <c r="P214" s="11">
        <v>224.99</v>
      </c>
      <c r="Q214" s="11">
        <v>1524.8</v>
      </c>
      <c r="R214" s="11"/>
      <c r="S214" s="4"/>
      <c r="T214" s="4"/>
      <c r="U214" s="4"/>
      <c r="Y214" s="36" t="s">
        <v>335</v>
      </c>
    </row>
    <row r="215" spans="3:25" ht="19" x14ac:dyDescent="0.25">
      <c r="C215" s="11" t="s">
        <v>337</v>
      </c>
      <c r="D215" s="4" t="str">
        <f>IFERROR(INDEX(Table_S12!$A$4:$A$324, MATCH(C215, Table_S12!$B$4:$B$324, 0)), "CSD Code Not Found")</f>
        <v>CSD Code Not Found</v>
      </c>
      <c r="E215" s="4"/>
      <c r="F215" s="4"/>
      <c r="G215" s="4"/>
      <c r="H215" s="4"/>
      <c r="I215" s="11">
        <v>38.1</v>
      </c>
      <c r="J215" s="11">
        <v>12</v>
      </c>
      <c r="K215" s="11">
        <v>20</v>
      </c>
      <c r="L215" s="4"/>
      <c r="M215" s="4"/>
      <c r="N215" s="4"/>
      <c r="O215" s="11">
        <v>298</v>
      </c>
      <c r="P215" s="11">
        <v>20</v>
      </c>
      <c r="Q215" s="11">
        <v>1980</v>
      </c>
      <c r="R215" s="11"/>
      <c r="S215" s="4"/>
      <c r="T215" s="4"/>
      <c r="U215" s="4"/>
      <c r="Y215" s="36" t="s">
        <v>338</v>
      </c>
    </row>
    <row r="216" spans="3:25" ht="19" x14ac:dyDescent="0.25">
      <c r="C216" s="11" t="s">
        <v>339</v>
      </c>
      <c r="D216" s="4" t="str">
        <f>IFERROR(INDEX(Table_S12!$A$4:$A$324, MATCH(C216, Table_S12!$B$4:$B$324, 0)), "CSD Code Not Found")</f>
        <v>CSD Code Not Found</v>
      </c>
      <c r="E216" s="4"/>
      <c r="F216" s="4"/>
      <c r="G216" s="4"/>
      <c r="H216" s="4"/>
      <c r="I216" s="11">
        <v>32</v>
      </c>
      <c r="J216" s="11"/>
      <c r="K216" s="11"/>
      <c r="L216" s="4"/>
      <c r="M216" s="4"/>
      <c r="N216" s="4"/>
      <c r="O216" s="11">
        <v>298</v>
      </c>
      <c r="P216" s="11">
        <v>20</v>
      </c>
      <c r="Q216" s="11">
        <v>1310</v>
      </c>
      <c r="R216" s="11"/>
      <c r="S216" s="4"/>
      <c r="T216" s="4"/>
      <c r="U216" s="4"/>
      <c r="Y216" s="36" t="s">
        <v>338</v>
      </c>
    </row>
    <row r="217" spans="3:25" ht="19" x14ac:dyDescent="0.25">
      <c r="C217" s="11" t="s">
        <v>340</v>
      </c>
      <c r="D217" s="4" t="str">
        <f>IFERROR(INDEX(Table_S12!$A$4:$A$324, MATCH(C217, Table_S12!$B$4:$B$324, 0)), "CSD Code Not Found")</f>
        <v>CSD Code Not Found</v>
      </c>
      <c r="E217" s="4"/>
      <c r="F217" s="4"/>
      <c r="G217" s="4"/>
      <c r="H217" s="4"/>
      <c r="I217" s="11">
        <v>27.5</v>
      </c>
      <c r="J217" s="11"/>
      <c r="K217" s="11"/>
      <c r="L217" s="4"/>
      <c r="M217" s="4"/>
      <c r="N217" s="4"/>
      <c r="O217" s="11">
        <v>298</v>
      </c>
      <c r="P217" s="11">
        <v>20</v>
      </c>
      <c r="Q217" s="11">
        <v>1500</v>
      </c>
      <c r="R217" s="11"/>
      <c r="S217" s="4"/>
      <c r="T217" s="4"/>
      <c r="U217" s="4"/>
      <c r="Y217" s="36" t="s">
        <v>338</v>
      </c>
    </row>
    <row r="218" spans="3:25" ht="19" x14ac:dyDescent="0.25">
      <c r="C218" s="11" t="s">
        <v>341</v>
      </c>
      <c r="D218" s="4" t="str">
        <f>IFERROR(INDEX(Table_S12!$A$4:$A$324, MATCH(C218, Table_S12!$B$4:$B$324, 0)), "CSD Code Not Found")</f>
        <v>CSD Code Not Found</v>
      </c>
      <c r="E218" s="4"/>
      <c r="F218" s="4"/>
      <c r="G218" s="4"/>
      <c r="H218" s="4"/>
      <c r="I218" s="11">
        <v>26.4</v>
      </c>
      <c r="J218" s="11">
        <v>17</v>
      </c>
      <c r="K218" s="11">
        <v>21</v>
      </c>
      <c r="L218" s="4"/>
      <c r="M218" s="4"/>
      <c r="N218" s="4"/>
      <c r="O218" s="11">
        <v>298</v>
      </c>
      <c r="P218" s="11">
        <v>20</v>
      </c>
      <c r="Q218" s="11">
        <v>1180</v>
      </c>
      <c r="R218" s="11"/>
      <c r="S218" s="4"/>
      <c r="T218" s="4"/>
      <c r="U218" s="4"/>
      <c r="Y218" s="36" t="s">
        <v>338</v>
      </c>
    </row>
    <row r="219" spans="3:25" ht="19" x14ac:dyDescent="0.25">
      <c r="C219" s="11" t="s">
        <v>342</v>
      </c>
      <c r="D219" s="4" t="str">
        <f>IFERROR(INDEX(Table_S12!$A$4:$A$324, MATCH(C219, Table_S12!$B$4:$B$324, 0)), "CSD Code Not Found")</f>
        <v>CSD Code Not Found</v>
      </c>
      <c r="E219" s="4"/>
      <c r="F219" s="4"/>
      <c r="G219" s="4"/>
      <c r="H219" s="4"/>
      <c r="I219" s="11">
        <v>25.4</v>
      </c>
      <c r="J219" s="11">
        <v>23</v>
      </c>
      <c r="K219" s="11">
        <v>23</v>
      </c>
      <c r="L219" s="4"/>
      <c r="M219" s="4"/>
      <c r="N219" s="4"/>
      <c r="O219" s="11">
        <v>298</v>
      </c>
      <c r="P219" s="11">
        <v>20</v>
      </c>
      <c r="Q219" s="11">
        <v>1120</v>
      </c>
      <c r="R219" s="11"/>
      <c r="S219" s="4"/>
      <c r="T219" s="4"/>
      <c r="U219" s="4"/>
      <c r="Y219" s="36" t="s">
        <v>338</v>
      </c>
    </row>
    <row r="220" spans="3:25" ht="19" x14ac:dyDescent="0.25">
      <c r="C220" s="11" t="s">
        <v>343</v>
      </c>
      <c r="D220" s="4" t="str">
        <f>IFERROR(INDEX(Table_S12!$A$4:$A$324, MATCH(C220, Table_S12!$B$4:$B$324, 0)), "CSD Code Not Found")</f>
        <v>CSD Code Not Found</v>
      </c>
      <c r="E220" s="4"/>
      <c r="F220" s="4"/>
      <c r="G220" s="4"/>
      <c r="H220" s="4"/>
      <c r="I220" s="11">
        <v>24.8</v>
      </c>
      <c r="J220" s="11"/>
      <c r="K220" s="11"/>
      <c r="L220" s="4"/>
      <c r="M220" s="4"/>
      <c r="N220" s="4"/>
      <c r="O220" s="11">
        <v>298</v>
      </c>
      <c r="P220" s="11">
        <v>20</v>
      </c>
      <c r="Q220" s="11">
        <v>1130</v>
      </c>
      <c r="R220" s="11"/>
      <c r="S220" s="4"/>
      <c r="T220" s="4"/>
      <c r="U220" s="4"/>
      <c r="Y220" s="36" t="s">
        <v>338</v>
      </c>
    </row>
    <row r="221" spans="3:25" ht="19" x14ac:dyDescent="0.25">
      <c r="C221" s="11" t="s">
        <v>344</v>
      </c>
      <c r="D221" s="4" t="str">
        <f>IFERROR(INDEX(Table_S12!$A$4:$A$324, MATCH(C221, Table_S12!$B$4:$B$324, 0)), "CSD Code Not Found")</f>
        <v>CSD Code Not Found</v>
      </c>
      <c r="E221" s="4"/>
      <c r="F221" s="4"/>
      <c r="G221" s="4"/>
      <c r="H221" s="4"/>
      <c r="I221" s="11">
        <v>24.3</v>
      </c>
      <c r="J221" s="11"/>
      <c r="K221" s="11"/>
      <c r="L221" s="4"/>
      <c r="M221" s="4"/>
      <c r="N221" s="4"/>
      <c r="O221" s="11">
        <v>298</v>
      </c>
      <c r="P221" s="11">
        <v>20</v>
      </c>
      <c r="Q221" s="11">
        <v>1320</v>
      </c>
      <c r="R221" s="11"/>
      <c r="S221" s="4"/>
      <c r="T221" s="4"/>
      <c r="U221" s="4"/>
      <c r="Y221" s="36" t="s">
        <v>338</v>
      </c>
    </row>
    <row r="222" spans="3:25" ht="19" x14ac:dyDescent="0.25">
      <c r="C222" s="11" t="s">
        <v>345</v>
      </c>
      <c r="D222" s="4" t="str">
        <f>IFERROR(INDEX(Table_S12!$A$4:$A$324, MATCH(C222, Table_S12!$B$4:$B$324, 0)), "CSD Code Not Found")</f>
        <v>CSD Code Not Found</v>
      </c>
      <c r="E222" s="4"/>
      <c r="F222" s="4"/>
      <c r="G222" s="4"/>
      <c r="H222" s="4"/>
      <c r="I222" s="11">
        <v>23.9</v>
      </c>
      <c r="J222" s="11"/>
      <c r="K222" s="11"/>
      <c r="L222" s="4"/>
      <c r="M222" s="4"/>
      <c r="N222" s="4"/>
      <c r="O222" s="11">
        <v>298</v>
      </c>
      <c r="P222" s="11">
        <v>20</v>
      </c>
      <c r="Q222" s="11">
        <v>1210</v>
      </c>
      <c r="R222" s="11"/>
      <c r="S222" s="4"/>
      <c r="T222" s="4"/>
      <c r="U222" s="4"/>
      <c r="Y222" s="36" t="s">
        <v>338</v>
      </c>
    </row>
    <row r="223" spans="3:25" ht="19" x14ac:dyDescent="0.25">
      <c r="C223" s="11" t="s">
        <v>346</v>
      </c>
      <c r="D223" s="4" t="str">
        <f>IFERROR(INDEX(Table_S12!$A$4:$A$324, MATCH(C223, Table_S12!$B$4:$B$324, 0)), "CSD Code Not Found")</f>
        <v>CSD Code Not Found</v>
      </c>
      <c r="E223" s="4"/>
      <c r="F223" s="4"/>
      <c r="G223" s="4"/>
      <c r="H223" s="4"/>
      <c r="I223" s="11">
        <v>17.100000000000001</v>
      </c>
      <c r="J223" s="11"/>
      <c r="K223" s="11"/>
      <c r="L223" s="4"/>
      <c r="M223" s="4"/>
      <c r="N223" s="4"/>
      <c r="O223" s="11">
        <v>298</v>
      </c>
      <c r="P223" s="11">
        <v>20</v>
      </c>
      <c r="Q223" s="11">
        <v>760</v>
      </c>
      <c r="R223" s="11"/>
      <c r="S223" s="4"/>
      <c r="T223" s="4"/>
      <c r="U223" s="4"/>
      <c r="Y223" s="36" t="s">
        <v>338</v>
      </c>
    </row>
    <row r="224" spans="3:25" ht="19" x14ac:dyDescent="0.25">
      <c r="C224" s="11" t="s">
        <v>164</v>
      </c>
      <c r="D224" s="4" t="str">
        <f>IFERROR(INDEX(Table_S12!$A$4:$A$324, MATCH(C224, Table_S12!$B$4:$B$324, 0)), "CSD Code Not Found")</f>
        <v>CSD Code Not Found</v>
      </c>
      <c r="E224" s="4"/>
      <c r="F224" s="4"/>
      <c r="G224" s="4"/>
      <c r="H224" s="4"/>
      <c r="I224" s="11">
        <v>24.2</v>
      </c>
      <c r="J224" s="11"/>
      <c r="K224" s="11"/>
      <c r="L224" s="4"/>
      <c r="M224" s="4"/>
      <c r="N224" s="4"/>
      <c r="O224" s="11">
        <v>303</v>
      </c>
      <c r="P224" s="11">
        <v>30</v>
      </c>
      <c r="Q224" s="11">
        <v>2549</v>
      </c>
      <c r="R224" s="11"/>
      <c r="S224" s="4"/>
      <c r="T224" s="4"/>
      <c r="U224" s="4"/>
      <c r="Y224" s="36" t="s">
        <v>347</v>
      </c>
    </row>
    <row r="225" spans="2:25" ht="19" x14ac:dyDescent="0.25">
      <c r="C225" s="11" t="s">
        <v>321</v>
      </c>
      <c r="D225" s="4" t="str">
        <f>IFERROR(INDEX(Table_S12!$A$4:$A$324, MATCH(C225, Table_S12!$B$4:$B$324, 0)), "CSD Code Not Found")</f>
        <v>DOTSOV42</v>
      </c>
      <c r="E225" s="4"/>
      <c r="F225" s="4"/>
      <c r="G225" s="4"/>
      <c r="H225" s="4"/>
      <c r="I225" s="11">
        <v>26.3</v>
      </c>
      <c r="J225" s="11"/>
      <c r="K225" s="11"/>
      <c r="L225" s="4"/>
      <c r="M225" s="4"/>
      <c r="N225" s="4"/>
      <c r="O225" s="11">
        <v>303</v>
      </c>
      <c r="P225" s="11">
        <v>30</v>
      </c>
      <c r="Q225" s="11">
        <v>1326</v>
      </c>
      <c r="R225" s="11"/>
      <c r="S225" s="4"/>
      <c r="T225" s="4"/>
      <c r="U225" s="4"/>
      <c r="Y225" s="36" t="s">
        <v>347</v>
      </c>
    </row>
    <row r="226" spans="2:25" ht="19" x14ac:dyDescent="0.25">
      <c r="C226" s="11" t="s">
        <v>348</v>
      </c>
      <c r="D226" s="4" t="str">
        <f>IFERROR(INDEX(Table_S12!$A$4:$A$324, MATCH(C226, Table_S12!$B$4:$B$324, 0)), "CSD Code Not Found")</f>
        <v>CSD Code Not Found</v>
      </c>
      <c r="E226" s="4"/>
      <c r="F226" s="4"/>
      <c r="G226" s="4"/>
      <c r="H226" s="4"/>
      <c r="I226" s="11">
        <v>51.2</v>
      </c>
      <c r="J226" s="11"/>
      <c r="K226" s="11">
        <v>21.1</v>
      </c>
      <c r="L226" s="4"/>
      <c r="M226" s="4"/>
      <c r="N226" s="4"/>
      <c r="O226" s="11">
        <v>298</v>
      </c>
      <c r="P226" s="11">
        <v>30</v>
      </c>
      <c r="Q226" s="11">
        <v>1599</v>
      </c>
      <c r="R226" s="11"/>
      <c r="S226" s="4"/>
      <c r="T226" s="4"/>
      <c r="U226" s="4"/>
      <c r="Y226" s="36" t="s">
        <v>349</v>
      </c>
    </row>
    <row r="227" spans="2:25" ht="19" x14ac:dyDescent="0.25">
      <c r="C227" s="11" t="s">
        <v>350</v>
      </c>
      <c r="D227" s="4" t="str">
        <f>IFERROR(INDEX(Table_S12!$A$4:$A$324, MATCH(C227, Table_S12!$B$4:$B$324, 0)), "CSD Code Not Found")</f>
        <v>CSD Code Not Found</v>
      </c>
      <c r="E227" s="4"/>
      <c r="F227" s="4"/>
      <c r="G227" s="4"/>
      <c r="H227" s="4"/>
      <c r="I227" s="11">
        <v>31.3</v>
      </c>
      <c r="J227" s="11"/>
      <c r="K227" s="11">
        <v>35.4</v>
      </c>
      <c r="L227" s="4"/>
      <c r="M227" s="4"/>
      <c r="N227" s="4"/>
      <c r="O227" s="11">
        <v>298</v>
      </c>
      <c r="P227" s="11">
        <v>30</v>
      </c>
      <c r="Q227" s="11">
        <v>832</v>
      </c>
      <c r="R227" s="11"/>
      <c r="S227" s="4"/>
      <c r="T227" s="4"/>
      <c r="U227" s="4"/>
      <c r="Y227" s="36" t="s">
        <v>349</v>
      </c>
    </row>
    <row r="228" spans="2:25" s="26" customFormat="1" ht="19" x14ac:dyDescent="0.25">
      <c r="B228" s="40"/>
      <c r="C228" s="25"/>
      <c r="D228" s="25"/>
      <c r="E228" s="25"/>
      <c r="F228" s="25"/>
      <c r="G228" s="25"/>
      <c r="H228" s="25"/>
      <c r="I228" s="25"/>
      <c r="J228" s="25"/>
      <c r="K228" s="25"/>
      <c r="L228" s="25"/>
      <c r="M228" s="25"/>
      <c r="N228" s="25"/>
      <c r="O228" s="25"/>
      <c r="P228" s="25"/>
      <c r="Q228" s="25"/>
      <c r="R228" s="25"/>
      <c r="S228" s="25"/>
      <c r="T228" s="25"/>
      <c r="U228" s="25"/>
      <c r="V228" s="32"/>
    </row>
    <row r="229" spans="2:25" ht="24" x14ac:dyDescent="0.3">
      <c r="B229" s="8" t="s">
        <v>351</v>
      </c>
      <c r="C229" s="4"/>
      <c r="D229" s="4"/>
      <c r="E229" s="4"/>
      <c r="F229" s="4"/>
      <c r="G229" s="4"/>
      <c r="H229" s="4"/>
      <c r="I229" s="4" t="s">
        <v>318</v>
      </c>
      <c r="J229" s="4"/>
      <c r="K229" s="4"/>
      <c r="L229" s="4"/>
      <c r="M229" s="4"/>
      <c r="N229" s="4"/>
      <c r="O229" s="4"/>
      <c r="P229" s="4"/>
      <c r="Q229" s="4"/>
      <c r="R229" s="4"/>
      <c r="S229" s="4"/>
      <c r="T229" s="4"/>
      <c r="U229" s="4"/>
    </row>
    <row r="230" spans="2:25" ht="19" x14ac:dyDescent="0.25">
      <c r="C230" s="22" t="s">
        <v>323</v>
      </c>
      <c r="D230" s="4" t="str">
        <f>IFERROR(INDEX(Table_S12!$A$4:$A$324, MATCH(C230, Table_S12!$B$4:$B$324, 0)), "CSD Code Not Found")</f>
        <v>CSD Code Not Found</v>
      </c>
      <c r="E230" s="4"/>
      <c r="F230" s="4"/>
      <c r="G230" s="4"/>
      <c r="H230" s="4"/>
      <c r="I230" s="22">
        <v>8</v>
      </c>
      <c r="J230" s="22"/>
      <c r="K230" s="22"/>
      <c r="L230" s="4"/>
      <c r="M230" s="4"/>
      <c r="N230" s="4"/>
      <c r="O230" s="22">
        <v>303</v>
      </c>
      <c r="P230" s="22">
        <v>1</v>
      </c>
      <c r="Q230" s="22">
        <v>2646</v>
      </c>
      <c r="R230" s="22">
        <v>2965</v>
      </c>
      <c r="S230" s="4"/>
      <c r="T230" s="4"/>
      <c r="U230" s="4"/>
      <c r="Y230" s="36" t="s">
        <v>324</v>
      </c>
    </row>
    <row r="231" spans="2:25" ht="19" x14ac:dyDescent="0.25">
      <c r="C231" s="22" t="s">
        <v>327</v>
      </c>
      <c r="D231" s="4" t="str">
        <f>IFERROR(INDEX(Table_S12!$A$4:$A$324, MATCH(C231, Table_S12!$B$4:$B$324, 0)), "CSD Code Not Found")</f>
        <v>CSD Code Not Found</v>
      </c>
      <c r="E231" s="4"/>
      <c r="F231" s="4"/>
      <c r="G231" s="4"/>
      <c r="H231" s="4"/>
      <c r="I231" s="22">
        <v>14.5</v>
      </c>
      <c r="J231" s="22"/>
      <c r="K231" s="22"/>
      <c r="L231" s="4"/>
      <c r="M231" s="4"/>
      <c r="N231" s="4"/>
      <c r="O231" s="22">
        <v>298</v>
      </c>
      <c r="P231" s="22">
        <v>1</v>
      </c>
      <c r="Q231" s="22">
        <v>4164</v>
      </c>
      <c r="R231" s="22"/>
      <c r="S231" s="4"/>
      <c r="T231" s="4"/>
      <c r="U231" s="4"/>
      <c r="Y231" s="36" t="s">
        <v>328</v>
      </c>
    </row>
    <row r="232" spans="2:25" ht="19" x14ac:dyDescent="0.25">
      <c r="C232" s="22" t="s">
        <v>329</v>
      </c>
      <c r="D232" s="4" t="str">
        <f>IFERROR(INDEX(Table_S12!$A$4:$A$324, MATCH(C232, Table_S12!$B$4:$B$324, 0)), "CSD Code Not Found")</f>
        <v>CSD Code Not Found</v>
      </c>
      <c r="E232" s="4"/>
      <c r="F232" s="4"/>
      <c r="G232" s="4"/>
      <c r="H232" s="4"/>
      <c r="I232" s="22">
        <v>12.3</v>
      </c>
      <c r="J232" s="22"/>
      <c r="K232" s="22"/>
      <c r="L232" s="4"/>
      <c r="M232" s="4"/>
      <c r="N232" s="4"/>
      <c r="O232" s="22">
        <v>298</v>
      </c>
      <c r="P232" s="22">
        <v>1</v>
      </c>
      <c r="Q232" s="22">
        <v>3482</v>
      </c>
      <c r="R232" s="22"/>
      <c r="S232" s="4"/>
      <c r="T232" s="4"/>
      <c r="U232" s="4"/>
      <c r="Y232" s="36" t="s">
        <v>328</v>
      </c>
    </row>
    <row r="233" spans="2:25" ht="19" x14ac:dyDescent="0.25">
      <c r="C233" s="22" t="s">
        <v>332</v>
      </c>
      <c r="D233" s="4" t="str">
        <f>IFERROR(INDEX(Table_S12!$A$4:$A$324, MATCH(C233, Table_S12!$B$4:$B$324, 0)), "CSD Code Not Found")</f>
        <v>CSD Code Not Found</v>
      </c>
      <c r="E233" s="4"/>
      <c r="F233" s="4"/>
      <c r="G233" s="4"/>
      <c r="H233" s="4"/>
      <c r="I233" s="22">
        <v>8.1</v>
      </c>
      <c r="J233" s="22"/>
      <c r="K233" s="22">
        <v>16</v>
      </c>
      <c r="L233" s="4"/>
      <c r="M233" s="4"/>
      <c r="N233" s="4"/>
      <c r="O233" s="22">
        <v>298</v>
      </c>
      <c r="P233" s="22">
        <v>1</v>
      </c>
      <c r="Q233" s="22">
        <v>2190</v>
      </c>
      <c r="R233" s="22"/>
      <c r="S233" s="4"/>
      <c r="T233" s="4"/>
      <c r="U233" s="4"/>
      <c r="Y233" s="36" t="s">
        <v>333</v>
      </c>
    </row>
    <row r="234" spans="2:25" ht="19" x14ac:dyDescent="0.25">
      <c r="C234" s="22" t="s">
        <v>352</v>
      </c>
      <c r="D234" s="4" t="str">
        <f>IFERROR(INDEX(Table_S12!$A$4:$A$324, MATCH(C234, Table_S12!$B$4:$B$324, 0)), "CSD Code Not Found")</f>
        <v>CSD Code Not Found</v>
      </c>
      <c r="E234" s="4"/>
      <c r="F234" s="4"/>
      <c r="G234" s="4"/>
      <c r="H234" s="4"/>
      <c r="I234" s="22">
        <v>13.3</v>
      </c>
      <c r="J234" s="22">
        <v>28</v>
      </c>
      <c r="K234" s="22">
        <v>29</v>
      </c>
      <c r="L234" s="4"/>
      <c r="M234" s="4"/>
      <c r="N234" s="4"/>
      <c r="O234" s="22">
        <v>298</v>
      </c>
      <c r="P234" s="22">
        <v>1</v>
      </c>
      <c r="Q234" s="22">
        <v>1050</v>
      </c>
      <c r="R234" s="22"/>
      <c r="S234" s="4"/>
      <c r="T234" s="4"/>
      <c r="U234" s="4"/>
      <c r="Y234" s="36" t="s">
        <v>338</v>
      </c>
    </row>
    <row r="235" spans="2:25" ht="19" x14ac:dyDescent="0.25">
      <c r="C235" s="22" t="s">
        <v>346</v>
      </c>
      <c r="D235" s="4" t="str">
        <f>IFERROR(INDEX(Table_S12!$A$4:$A$324, MATCH(C235, Table_S12!$B$4:$B$324, 0)), "CSD Code Not Found")</f>
        <v>CSD Code Not Found</v>
      </c>
      <c r="E235" s="4"/>
      <c r="F235" s="4"/>
      <c r="G235" s="4"/>
      <c r="H235" s="4"/>
      <c r="I235" s="22">
        <v>10.6</v>
      </c>
      <c r="J235" s="22"/>
      <c r="K235" s="22"/>
      <c r="L235" s="4"/>
      <c r="M235" s="4"/>
      <c r="N235" s="4"/>
      <c r="O235" s="22">
        <v>298</v>
      </c>
      <c r="P235" s="22">
        <v>1</v>
      </c>
      <c r="Q235" s="22">
        <v>760</v>
      </c>
      <c r="R235" s="22"/>
      <c r="S235" s="4"/>
      <c r="T235" s="4"/>
      <c r="U235" s="4"/>
      <c r="Y235" s="36" t="s">
        <v>338</v>
      </c>
    </row>
    <row r="236" spans="2:25" ht="19" x14ac:dyDescent="0.25">
      <c r="C236" s="22" t="s">
        <v>341</v>
      </c>
      <c r="D236" s="4" t="str">
        <f>IFERROR(INDEX(Table_S12!$A$4:$A$324, MATCH(C236, Table_S12!$B$4:$B$324, 0)), "CSD Code Not Found")</f>
        <v>CSD Code Not Found</v>
      </c>
      <c r="E236" s="4"/>
      <c r="F236" s="4"/>
      <c r="G236" s="4"/>
      <c r="H236" s="4"/>
      <c r="I236" s="22">
        <v>8.8000000000000007</v>
      </c>
      <c r="J236" s="22">
        <v>17</v>
      </c>
      <c r="K236" s="22">
        <v>21</v>
      </c>
      <c r="L236" s="4"/>
      <c r="M236" s="4"/>
      <c r="N236" s="4"/>
      <c r="O236" s="22">
        <v>298</v>
      </c>
      <c r="P236" s="22">
        <v>1</v>
      </c>
      <c r="Q236" s="22">
        <v>1180</v>
      </c>
      <c r="R236" s="22"/>
      <c r="S236" s="4"/>
      <c r="T236" s="4"/>
      <c r="U236" s="4"/>
      <c r="Y236" s="36" t="s">
        <v>338</v>
      </c>
    </row>
    <row r="237" spans="2:25" ht="19" x14ac:dyDescent="0.25">
      <c r="C237" s="22" t="s">
        <v>321</v>
      </c>
      <c r="D237" s="4" t="str">
        <f>IFERROR(INDEX(Table_S12!$A$4:$A$324, MATCH(C237, Table_S12!$B$4:$B$324, 0)), "CSD Code Not Found")</f>
        <v>DOTSOV42</v>
      </c>
      <c r="E237" s="4"/>
      <c r="F237" s="4"/>
      <c r="G237" s="4"/>
      <c r="H237" s="4"/>
      <c r="I237" s="22">
        <v>13.2</v>
      </c>
      <c r="J237" s="22"/>
      <c r="K237" s="22"/>
      <c r="L237" s="4"/>
      <c r="M237" s="4"/>
      <c r="N237" s="4"/>
      <c r="O237" s="22">
        <v>303</v>
      </c>
      <c r="P237" s="22">
        <v>1</v>
      </c>
      <c r="Q237" s="22">
        <v>1326</v>
      </c>
      <c r="R237" s="22"/>
      <c r="S237" s="4"/>
      <c r="T237" s="4"/>
      <c r="U237" s="4"/>
      <c r="Y237" s="36" t="s">
        <v>347</v>
      </c>
    </row>
    <row r="238" spans="2:25" ht="19" x14ac:dyDescent="0.25">
      <c r="C238" s="22" t="s">
        <v>80</v>
      </c>
      <c r="D238" s="4" t="str">
        <f>IFERROR(INDEX(Table_S12!$A$4:$A$324, MATCH(C238, Table_S12!$B$4:$B$324, 0)), "CSD Code Not Found")</f>
        <v>CSD Code Not Found</v>
      </c>
      <c r="E238" s="4"/>
      <c r="F238" s="4"/>
      <c r="G238" s="4"/>
      <c r="H238" s="4"/>
      <c r="I238" s="22">
        <v>30.1</v>
      </c>
      <c r="J238" s="22"/>
      <c r="K238" s="22"/>
      <c r="L238" s="4"/>
      <c r="M238" s="4"/>
      <c r="N238" s="4"/>
      <c r="O238" s="22">
        <v>298</v>
      </c>
      <c r="P238" s="22">
        <v>1</v>
      </c>
      <c r="Q238" s="22">
        <v>1416</v>
      </c>
      <c r="R238" s="22">
        <v>2085</v>
      </c>
      <c r="S238" s="4"/>
      <c r="T238" s="4"/>
      <c r="U238" s="4"/>
      <c r="Y238" s="36" t="s">
        <v>353</v>
      </c>
    </row>
    <row r="239" spans="2:25" ht="19" x14ac:dyDescent="0.25">
      <c r="C239" s="22" t="s">
        <v>78</v>
      </c>
      <c r="D239" s="4" t="str">
        <f>IFERROR(INDEX(Table_S12!$A$4:$A$324, MATCH(C239, Table_S12!$B$4:$B$324, 0)), "CSD Code Not Found")</f>
        <v>CSD Code Not Found</v>
      </c>
      <c r="E239" s="4"/>
      <c r="F239" s="4"/>
      <c r="G239" s="4"/>
      <c r="H239" s="4"/>
      <c r="I239" s="22">
        <v>19.399999999999999</v>
      </c>
      <c r="J239" s="22"/>
      <c r="K239" s="22"/>
      <c r="L239" s="4"/>
      <c r="M239" s="4"/>
      <c r="N239" s="4"/>
      <c r="O239" s="22">
        <v>298</v>
      </c>
      <c r="P239" s="22">
        <v>1</v>
      </c>
      <c r="Q239" s="22">
        <v>1252</v>
      </c>
      <c r="R239" s="22">
        <v>1841</v>
      </c>
      <c r="S239" s="4"/>
      <c r="T239" s="4"/>
      <c r="U239" s="4"/>
      <c r="Y239" s="36" t="s">
        <v>353</v>
      </c>
    </row>
    <row r="240" spans="2:25" ht="19" x14ac:dyDescent="0.25">
      <c r="C240" s="22" t="s">
        <v>354</v>
      </c>
      <c r="D240" s="4" t="str">
        <f>IFERROR(INDEX(Table_S12!$A$4:$A$324, MATCH(C240, Table_S12!$B$4:$B$324, 0)), "CSD Code Not Found")</f>
        <v>CSD Code Not Found</v>
      </c>
      <c r="E240" s="4"/>
      <c r="F240" s="4"/>
      <c r="G240" s="4"/>
      <c r="H240" s="4"/>
      <c r="I240" s="22">
        <v>25</v>
      </c>
      <c r="J240" s="22"/>
      <c r="K240" s="22">
        <v>47</v>
      </c>
      <c r="L240" s="4"/>
      <c r="M240" s="4"/>
      <c r="N240" s="4"/>
      <c r="O240" s="22">
        <v>298</v>
      </c>
      <c r="P240" s="22">
        <v>1</v>
      </c>
      <c r="Q240" s="22">
        <v>1415.1</v>
      </c>
      <c r="R240" s="22"/>
      <c r="S240" s="4"/>
      <c r="T240" s="4"/>
      <c r="U240" s="4"/>
      <c r="Y240" s="36" t="s">
        <v>355</v>
      </c>
    </row>
    <row r="241" spans="3:25" ht="19" x14ac:dyDescent="0.25">
      <c r="C241" s="22" t="s">
        <v>356</v>
      </c>
      <c r="D241" s="4" t="str">
        <f>IFERROR(INDEX(Table_S12!$A$4:$A$324, MATCH(C241, Table_S12!$B$4:$B$324, 0)), "CSD Code Not Found")</f>
        <v>CSD Code Not Found</v>
      </c>
      <c r="E241" s="4"/>
      <c r="F241" s="4"/>
      <c r="G241" s="4"/>
      <c r="H241" s="4"/>
      <c r="I241" s="22">
        <v>21.6</v>
      </c>
      <c r="J241" s="22"/>
      <c r="K241" s="22">
        <v>37</v>
      </c>
      <c r="L241" s="4"/>
      <c r="M241" s="4"/>
      <c r="N241" s="4"/>
      <c r="O241" s="22">
        <v>298</v>
      </c>
      <c r="P241" s="22">
        <v>1</v>
      </c>
      <c r="Q241" s="22">
        <v>1089.3</v>
      </c>
      <c r="R241" s="22"/>
      <c r="S241" s="4"/>
      <c r="T241" s="4"/>
      <c r="U241" s="4"/>
      <c r="Y241" s="36" t="s">
        <v>355</v>
      </c>
    </row>
    <row r="242" spans="3:25" ht="19" x14ac:dyDescent="0.25">
      <c r="C242" s="22" t="s">
        <v>357</v>
      </c>
      <c r="D242" s="4" t="str">
        <f>IFERROR(INDEX(Table_S12!$A$4:$A$324, MATCH(C242, Table_S12!$B$4:$B$324, 0)), "CSD Code Not Found")</f>
        <v>CSD Code Not Found</v>
      </c>
      <c r="E242" s="4"/>
      <c r="F242" s="4"/>
      <c r="G242" s="4"/>
      <c r="H242" s="4"/>
      <c r="I242" s="22">
        <v>20.5</v>
      </c>
      <c r="J242" s="22"/>
      <c r="K242" s="22">
        <v>42</v>
      </c>
      <c r="L242" s="4"/>
      <c r="M242" s="4"/>
      <c r="N242" s="4"/>
      <c r="O242" s="22">
        <v>298</v>
      </c>
      <c r="P242" s="22">
        <v>1</v>
      </c>
      <c r="Q242" s="22">
        <v>1017.5</v>
      </c>
      <c r="R242" s="22"/>
      <c r="S242" s="4"/>
      <c r="T242" s="4"/>
      <c r="U242" s="4"/>
      <c r="Y242" s="36" t="s">
        <v>355</v>
      </c>
    </row>
    <row r="243" spans="3:25" ht="19" x14ac:dyDescent="0.25">
      <c r="C243" s="22" t="s">
        <v>358</v>
      </c>
      <c r="D243" s="4" t="str">
        <f>IFERROR(INDEX(Table_S12!$A$4:$A$324, MATCH(C243, Table_S12!$B$4:$B$324, 0)), "CSD Code Not Found")</f>
        <v>UDEMEW</v>
      </c>
      <c r="E243" s="4"/>
      <c r="F243" s="4"/>
      <c r="G243" s="4"/>
      <c r="H243" s="4"/>
      <c r="I243" s="22">
        <v>9.5</v>
      </c>
      <c r="J243" s="22"/>
      <c r="K243" s="22"/>
      <c r="L243" s="4"/>
      <c r="M243" s="4"/>
      <c r="N243" s="4"/>
      <c r="O243" s="22">
        <v>298</v>
      </c>
      <c r="P243" s="22">
        <v>1</v>
      </c>
      <c r="Q243" s="22">
        <v>1528.7</v>
      </c>
      <c r="R243" s="22"/>
      <c r="S243" s="4"/>
      <c r="T243" s="4"/>
      <c r="U243" s="4"/>
      <c r="Y243" s="36" t="s">
        <v>355</v>
      </c>
    </row>
    <row r="244" spans="3:25" ht="19" x14ac:dyDescent="0.25">
      <c r="C244" s="22" t="s">
        <v>359</v>
      </c>
      <c r="D244" s="4" t="str">
        <f>IFERROR(INDEX(Table_S12!$A$4:$A$324, MATCH(C244, Table_S12!$B$4:$B$324, 0)), "CSD Code Not Found")</f>
        <v>CSD Code Not Found</v>
      </c>
      <c r="E244" s="4"/>
      <c r="F244" s="4"/>
      <c r="G244" s="4"/>
      <c r="H244" s="4"/>
      <c r="I244" s="22">
        <v>23.8</v>
      </c>
      <c r="J244" s="22"/>
      <c r="K244" s="22"/>
      <c r="L244" s="4"/>
      <c r="M244" s="4"/>
      <c r="N244" s="4"/>
      <c r="O244" s="22">
        <v>313</v>
      </c>
      <c r="P244" s="22">
        <v>1</v>
      </c>
      <c r="Q244" s="22"/>
      <c r="R244" s="22">
        <v>1940</v>
      </c>
      <c r="S244" s="4"/>
      <c r="T244" s="4"/>
      <c r="U244" s="4"/>
      <c r="Y244" s="36" t="s">
        <v>360</v>
      </c>
    </row>
    <row r="245" spans="3:25" ht="19" x14ac:dyDescent="0.25">
      <c r="C245" s="22" t="s">
        <v>361</v>
      </c>
      <c r="D245" s="4" t="str">
        <f>IFERROR(INDEX(Table_S12!$A$4:$A$324, MATCH(C245, Table_S12!$B$4:$B$324, 0)), "CSD Code Not Found")</f>
        <v>CSD Code Not Found</v>
      </c>
      <c r="E245" s="4"/>
      <c r="F245" s="4"/>
      <c r="G245" s="4"/>
      <c r="H245" s="4"/>
      <c r="I245" s="22">
        <v>15.8</v>
      </c>
      <c r="J245" s="22"/>
      <c r="K245" s="22"/>
      <c r="L245" s="4"/>
      <c r="M245" s="4"/>
      <c r="N245" s="4"/>
      <c r="O245" s="22">
        <v>313</v>
      </c>
      <c r="P245" s="22">
        <v>1</v>
      </c>
      <c r="Q245" s="22"/>
      <c r="R245" s="22"/>
      <c r="S245" s="4"/>
      <c r="T245" s="4"/>
      <c r="U245" s="4"/>
      <c r="Y245" s="36" t="s">
        <v>360</v>
      </c>
    </row>
    <row r="246" spans="3:25" ht="19" x14ac:dyDescent="0.25">
      <c r="C246" s="22" t="s">
        <v>362</v>
      </c>
      <c r="D246" s="4" t="str">
        <f>IFERROR(INDEX(Table_S12!$A$4:$A$324, MATCH(C246, Table_S12!$B$4:$B$324, 0)), "CSD Code Not Found")</f>
        <v>CSD Code Not Found</v>
      </c>
      <c r="E246" s="4"/>
      <c r="F246" s="4"/>
      <c r="G246" s="4"/>
      <c r="H246" s="4"/>
      <c r="I246" s="22">
        <v>21.2</v>
      </c>
      <c r="J246" s="22"/>
      <c r="K246" s="22"/>
      <c r="L246" s="4"/>
      <c r="M246" s="4"/>
      <c r="N246" s="4"/>
      <c r="O246" s="22">
        <v>313</v>
      </c>
      <c r="P246" s="22">
        <v>1</v>
      </c>
      <c r="Q246" s="22"/>
      <c r="R246" s="22">
        <v>1593</v>
      </c>
      <c r="S246" s="4"/>
      <c r="T246" s="4"/>
      <c r="U246" s="4"/>
      <c r="Y246" s="36" t="s">
        <v>360</v>
      </c>
    </row>
    <row r="247" spans="3:25" ht="19" x14ac:dyDescent="0.25">
      <c r="C247" s="22" t="s">
        <v>363</v>
      </c>
      <c r="D247" s="4" t="str">
        <f>IFERROR(INDEX(Table_S12!$A$4:$A$324, MATCH(C247, Table_S12!$B$4:$B$324, 0)), "CSD Code Not Found")</f>
        <v>CSD Code Not Found</v>
      </c>
      <c r="E247" s="4"/>
      <c r="F247" s="4"/>
      <c r="G247" s="4"/>
      <c r="H247" s="4"/>
      <c r="I247" s="22">
        <v>7.3</v>
      </c>
      <c r="J247" s="22"/>
      <c r="K247" s="22"/>
      <c r="L247" s="4"/>
      <c r="M247" s="4"/>
      <c r="N247" s="4"/>
      <c r="O247" s="22">
        <v>313</v>
      </c>
      <c r="P247" s="22">
        <v>1</v>
      </c>
      <c r="Q247" s="22"/>
      <c r="R247" s="22"/>
      <c r="S247" s="4"/>
      <c r="T247" s="4"/>
      <c r="U247" s="4"/>
      <c r="Y247" s="36" t="s">
        <v>360</v>
      </c>
    </row>
    <row r="248" spans="3:25" ht="19" x14ac:dyDescent="0.25">
      <c r="C248" s="22" t="s">
        <v>321</v>
      </c>
      <c r="D248" s="4" t="str">
        <f>IFERROR(INDEX(Table_S12!$A$4:$A$324, MATCH(C248, Table_S12!$B$4:$B$324, 0)), "CSD Code Not Found")</f>
        <v>DOTSOV42</v>
      </c>
      <c r="E248" s="4"/>
      <c r="F248" s="4"/>
      <c r="G248" s="4"/>
      <c r="H248" s="4"/>
      <c r="I248" s="22">
        <v>12.8</v>
      </c>
      <c r="J248" s="22"/>
      <c r="K248" s="22"/>
      <c r="L248" s="4"/>
      <c r="M248" s="4"/>
      <c r="N248" s="4"/>
      <c r="O248" s="22">
        <v>313</v>
      </c>
      <c r="P248" s="22">
        <v>1</v>
      </c>
      <c r="Q248" s="22"/>
      <c r="R248" s="22">
        <v>2203</v>
      </c>
      <c r="S248" s="4"/>
      <c r="T248" s="4"/>
      <c r="U248" s="4"/>
      <c r="Y248" s="36" t="s">
        <v>360</v>
      </c>
    </row>
    <row r="249" spans="3:25" ht="19" x14ac:dyDescent="0.25">
      <c r="C249" s="22" t="s">
        <v>364</v>
      </c>
      <c r="D249" s="4" t="str">
        <f>IFERROR(INDEX(Table_S12!$A$4:$A$324, MATCH(C249, Table_S12!$B$4:$B$324, 0)), "CSD Code Not Found")</f>
        <v>CSD Code Not Found</v>
      </c>
      <c r="E249" s="4"/>
      <c r="F249" s="4"/>
      <c r="G249" s="4"/>
      <c r="H249" s="4"/>
      <c r="I249" s="22">
        <v>11.3</v>
      </c>
      <c r="J249" s="22"/>
      <c r="K249" s="22"/>
      <c r="L249" s="4"/>
      <c r="M249" s="4"/>
      <c r="N249" s="4"/>
      <c r="O249" s="22">
        <v>313</v>
      </c>
      <c r="P249" s="22">
        <v>1</v>
      </c>
      <c r="Q249" s="22"/>
      <c r="R249" s="22"/>
      <c r="S249" s="4"/>
      <c r="T249" s="4"/>
      <c r="U249" s="4"/>
      <c r="Y249" s="36" t="s">
        <v>360</v>
      </c>
    </row>
    <row r="250" spans="3:25" ht="19" x14ac:dyDescent="0.25">
      <c r="C250" s="22" t="s">
        <v>365</v>
      </c>
      <c r="D250" s="4" t="str">
        <f>IFERROR(INDEX(Table_S12!$A$4:$A$324, MATCH(C250, Table_S12!$B$4:$B$324, 0)), "CSD Code Not Found")</f>
        <v>CSD Code Not Found</v>
      </c>
      <c r="E250" s="4"/>
      <c r="F250" s="4"/>
      <c r="G250" s="4"/>
      <c r="H250" s="4"/>
      <c r="I250" s="22">
        <v>21.7</v>
      </c>
      <c r="J250" s="22"/>
      <c r="K250" s="22"/>
      <c r="L250" s="4"/>
      <c r="M250" s="4"/>
      <c r="N250" s="4"/>
      <c r="O250" s="22">
        <v>195</v>
      </c>
      <c r="P250" s="22">
        <v>0.91</v>
      </c>
      <c r="Q250" s="22"/>
      <c r="R250" s="22"/>
      <c r="S250" s="4"/>
      <c r="T250" s="4"/>
      <c r="U250" s="4"/>
      <c r="Y250" s="36" t="s">
        <v>366</v>
      </c>
    </row>
    <row r="251" spans="3:25" ht="19" x14ac:dyDescent="0.25">
      <c r="C251" s="22" t="s">
        <v>367</v>
      </c>
      <c r="D251" s="4" t="str">
        <f>IFERROR(INDEX(Table_S12!$A$4:$A$324, MATCH(C251, Table_S12!$B$4:$B$324, 0)), "CSD Code Not Found")</f>
        <v>CSD Code Not Found</v>
      </c>
      <c r="E251" s="4"/>
      <c r="F251" s="4"/>
      <c r="G251" s="4"/>
      <c r="H251" s="4"/>
      <c r="I251" s="22">
        <v>19.899999999999999</v>
      </c>
      <c r="J251" s="22"/>
      <c r="K251" s="22">
        <v>25</v>
      </c>
      <c r="L251" s="4"/>
      <c r="M251" s="4"/>
      <c r="N251" s="4"/>
      <c r="O251" s="22">
        <v>298</v>
      </c>
      <c r="P251" s="22">
        <v>1</v>
      </c>
      <c r="Q251" s="22">
        <v>808</v>
      </c>
      <c r="R251" s="22">
        <v>1119</v>
      </c>
      <c r="S251" s="4"/>
      <c r="T251" s="4"/>
      <c r="U251" s="4"/>
      <c r="Y251" s="36" t="s">
        <v>368</v>
      </c>
    </row>
    <row r="252" spans="3:25" ht="19" x14ac:dyDescent="0.25">
      <c r="C252" s="22" t="s">
        <v>369</v>
      </c>
      <c r="D252" s="4" t="str">
        <f>IFERROR(INDEX(Table_S12!$A$4:$A$324, MATCH(C252, Table_S12!$B$4:$B$324, 0)), "CSD Code Not Found")</f>
        <v>CSD Code Not Found</v>
      </c>
      <c r="E252" s="4"/>
      <c r="F252" s="4"/>
      <c r="G252" s="4"/>
      <c r="H252" s="4"/>
      <c r="I252" s="22">
        <v>12.6</v>
      </c>
      <c r="J252" s="22"/>
      <c r="K252" s="22">
        <v>22.5</v>
      </c>
      <c r="L252" s="4"/>
      <c r="M252" s="4"/>
      <c r="N252" s="4"/>
      <c r="O252" s="22">
        <v>298</v>
      </c>
      <c r="P252" s="22">
        <v>1</v>
      </c>
      <c r="Q252" s="22">
        <v>966</v>
      </c>
      <c r="R252" s="22">
        <v>1257</v>
      </c>
      <c r="S252" s="4"/>
      <c r="T252" s="4"/>
      <c r="U252" s="4"/>
      <c r="Y252" s="36" t="s">
        <v>368</v>
      </c>
    </row>
    <row r="253" spans="3:25" ht="19" x14ac:dyDescent="0.25">
      <c r="C253" s="22" t="s">
        <v>370</v>
      </c>
      <c r="D253" s="4" t="str">
        <f>IFERROR(INDEX(Table_S12!$A$4:$A$324, MATCH(C253, Table_S12!$B$4:$B$324, 0)), "CSD Code Not Found")</f>
        <v>CSD Code Not Found</v>
      </c>
      <c r="E253" s="4"/>
      <c r="F253" s="4"/>
      <c r="G253" s="4"/>
      <c r="H253" s="4"/>
      <c r="I253" s="22">
        <v>18.399999999999999</v>
      </c>
      <c r="J253" s="22">
        <v>200</v>
      </c>
      <c r="K253" s="22">
        <v>33.799999999999997</v>
      </c>
      <c r="L253" s="4"/>
      <c r="M253" s="4"/>
      <c r="N253" s="4"/>
      <c r="O253" s="22">
        <v>298</v>
      </c>
      <c r="P253" s="22">
        <v>1</v>
      </c>
      <c r="Q253" s="22">
        <v>1762</v>
      </c>
      <c r="R253" s="22"/>
      <c r="S253" s="4"/>
      <c r="T253" s="4"/>
      <c r="U253" s="4"/>
      <c r="Y253" s="36" t="s">
        <v>371</v>
      </c>
    </row>
    <row r="254" spans="3:25" ht="19" x14ac:dyDescent="0.25">
      <c r="C254" s="22" t="s">
        <v>372</v>
      </c>
      <c r="D254" s="4" t="str">
        <f>IFERROR(INDEX(Table_S12!$A$4:$A$324, MATCH(C254, Table_S12!$B$4:$B$324, 0)), "CSD Code Not Found")</f>
        <v>CSD Code Not Found</v>
      </c>
      <c r="E254" s="4"/>
      <c r="F254" s="4"/>
      <c r="G254" s="4"/>
      <c r="H254" s="4"/>
      <c r="I254" s="22">
        <v>18.2</v>
      </c>
      <c r="J254" s="22"/>
      <c r="K254" s="22"/>
      <c r="L254" s="4"/>
      <c r="M254" s="4"/>
      <c r="N254" s="4"/>
      <c r="O254" s="22">
        <v>298</v>
      </c>
      <c r="P254" s="22">
        <v>1</v>
      </c>
      <c r="Q254" s="22">
        <v>798</v>
      </c>
      <c r="R254" s="22"/>
      <c r="S254" s="4"/>
      <c r="T254" s="4"/>
      <c r="U254" s="4"/>
      <c r="Y254" s="36" t="s">
        <v>373</v>
      </c>
    </row>
    <row r="255" spans="3:25" ht="19" x14ac:dyDescent="0.25">
      <c r="C255" s="22" t="s">
        <v>374</v>
      </c>
      <c r="D255" s="4" t="str">
        <f>IFERROR(INDEX(Table_S12!$A$4:$A$324, MATCH(C255, Table_S12!$B$4:$B$324, 0)), "CSD Code Not Found")</f>
        <v>CSD Code Not Found</v>
      </c>
      <c r="E255" s="4"/>
      <c r="F255" s="4"/>
      <c r="G255" s="4"/>
      <c r="H255" s="4"/>
      <c r="I255" s="22">
        <v>12</v>
      </c>
      <c r="J255" s="22"/>
      <c r="K255" s="22"/>
      <c r="L255" s="4"/>
      <c r="M255" s="4"/>
      <c r="N255" s="4"/>
      <c r="O255" s="22">
        <v>298</v>
      </c>
      <c r="P255" s="22">
        <v>1</v>
      </c>
      <c r="Q255" s="22">
        <v>409</v>
      </c>
      <c r="R255" s="22"/>
      <c r="S255" s="4"/>
      <c r="T255" s="4"/>
      <c r="U255" s="4"/>
      <c r="Y255" s="36" t="s">
        <v>373</v>
      </c>
    </row>
    <row r="256" spans="3:25" ht="19" x14ac:dyDescent="0.25">
      <c r="C256" s="22" t="s">
        <v>375</v>
      </c>
      <c r="D256" s="4" t="str">
        <f>IFERROR(INDEX(Table_S12!$A$4:$A$324, MATCH(C256, Table_S12!$B$4:$B$324, 0)), "CSD Code Not Found")</f>
        <v>CSD Code Not Found</v>
      </c>
      <c r="E256" s="4"/>
      <c r="F256" s="4"/>
      <c r="G256" s="4"/>
      <c r="H256" s="4"/>
      <c r="I256" s="22">
        <v>16.399999999999999</v>
      </c>
      <c r="J256" s="22"/>
      <c r="K256" s="22">
        <v>18.399999999999999</v>
      </c>
      <c r="L256" s="4"/>
      <c r="M256" s="4"/>
      <c r="N256" s="4"/>
      <c r="O256" s="22">
        <v>296</v>
      </c>
      <c r="P256" s="22">
        <v>1.01</v>
      </c>
      <c r="Q256" s="22">
        <v>2209</v>
      </c>
      <c r="R256" s="22"/>
      <c r="S256" s="4"/>
      <c r="T256" s="4"/>
      <c r="U256" s="4"/>
      <c r="Y256" s="36" t="s">
        <v>376</v>
      </c>
    </row>
    <row r="257" spans="3:25" ht="19" x14ac:dyDescent="0.25">
      <c r="C257" s="22" t="s">
        <v>377</v>
      </c>
      <c r="D257" s="4" t="str">
        <f>IFERROR(INDEX(Table_S12!$A$4:$A$324, MATCH(C257, Table_S12!$B$4:$B$324, 0)), "CSD Code Not Found")</f>
        <v>CSD Code Not Found</v>
      </c>
      <c r="E257" s="4"/>
      <c r="F257" s="4"/>
      <c r="G257" s="4"/>
      <c r="H257" s="4"/>
      <c r="I257" s="22">
        <v>15.6</v>
      </c>
      <c r="J257" s="22"/>
      <c r="K257" s="22">
        <v>30</v>
      </c>
      <c r="L257" s="4"/>
      <c r="M257" s="4"/>
      <c r="N257" s="4"/>
      <c r="O257" s="22">
        <v>298</v>
      </c>
      <c r="P257" s="22">
        <v>1</v>
      </c>
      <c r="Q257" s="22">
        <v>1487</v>
      </c>
      <c r="R257" s="22"/>
      <c r="S257" s="4"/>
      <c r="T257" s="4"/>
      <c r="U257" s="4"/>
      <c r="Y257" s="36" t="s">
        <v>378</v>
      </c>
    </row>
    <row r="258" spans="3:25" ht="19" x14ac:dyDescent="0.25">
      <c r="C258" s="22" t="s">
        <v>379</v>
      </c>
      <c r="D258" s="4" t="str">
        <f>IFERROR(INDEX(Table_S12!$A$4:$A$324, MATCH(C258, Table_S12!$B$4:$B$324, 0)), "CSD Code Not Found")</f>
        <v>CSD Code Not Found</v>
      </c>
      <c r="E258" s="4"/>
      <c r="F258" s="4"/>
      <c r="G258" s="4"/>
      <c r="H258" s="4"/>
      <c r="I258" s="22">
        <v>13.9</v>
      </c>
      <c r="J258" s="22"/>
      <c r="K258" s="22"/>
      <c r="L258" s="4"/>
      <c r="M258" s="4"/>
      <c r="N258" s="4"/>
      <c r="O258" s="22">
        <v>273</v>
      </c>
      <c r="P258" s="22">
        <v>1</v>
      </c>
      <c r="Q258" s="22"/>
      <c r="R258" s="22"/>
      <c r="S258" s="4"/>
      <c r="T258" s="4"/>
      <c r="U258" s="4"/>
      <c r="Y258" s="36" t="s">
        <v>380</v>
      </c>
    </row>
    <row r="259" spans="3:25" ht="19" x14ac:dyDescent="0.25">
      <c r="C259" s="22" t="s">
        <v>381</v>
      </c>
      <c r="D259" s="4" t="str">
        <f>IFERROR(INDEX(Table_S12!$A$4:$A$324, MATCH(C259, Table_S12!$B$4:$B$324, 0)), "CSD Code Not Found")</f>
        <v>CSD Code Not Found</v>
      </c>
      <c r="E259" s="4"/>
      <c r="F259" s="4"/>
      <c r="G259" s="4"/>
      <c r="H259" s="4"/>
      <c r="I259" s="22">
        <v>13.6</v>
      </c>
      <c r="J259" s="22">
        <v>95.8</v>
      </c>
      <c r="K259" s="22"/>
      <c r="L259" s="4"/>
      <c r="M259" s="4"/>
      <c r="N259" s="4"/>
      <c r="O259" s="22">
        <v>298</v>
      </c>
      <c r="P259" s="22">
        <v>1</v>
      </c>
      <c r="Q259" s="22">
        <v>710.5</v>
      </c>
      <c r="R259" s="22">
        <v>1046.5999999999999</v>
      </c>
      <c r="S259" s="4"/>
      <c r="T259" s="4"/>
      <c r="U259" s="4"/>
      <c r="Y259" s="36" t="s">
        <v>382</v>
      </c>
    </row>
    <row r="260" spans="3:25" ht="19" x14ac:dyDescent="0.25">
      <c r="C260" s="22" t="s">
        <v>383</v>
      </c>
      <c r="D260" s="4" t="str">
        <f>IFERROR(INDEX(Table_S12!$A$4:$A$324, MATCH(C260, Table_S12!$B$4:$B$324, 0)), "CSD Code Not Found")</f>
        <v>CSD Code Not Found</v>
      </c>
      <c r="E260" s="4"/>
      <c r="F260" s="4"/>
      <c r="G260" s="4"/>
      <c r="H260" s="4"/>
      <c r="I260" s="22">
        <v>12.7</v>
      </c>
      <c r="J260" s="22"/>
      <c r="K260" s="22">
        <v>28</v>
      </c>
      <c r="L260" s="4"/>
      <c r="M260" s="4"/>
      <c r="N260" s="4"/>
      <c r="O260" s="22">
        <v>298</v>
      </c>
      <c r="P260" s="22">
        <v>1</v>
      </c>
      <c r="Q260" s="22">
        <v>2100</v>
      </c>
      <c r="R260" s="22"/>
      <c r="S260" s="4"/>
      <c r="T260" s="4"/>
      <c r="U260" s="4"/>
      <c r="Y260" s="36" t="s">
        <v>384</v>
      </c>
    </row>
    <row r="261" spans="3:25" ht="19" x14ac:dyDescent="0.25">
      <c r="C261" s="22" t="s">
        <v>385</v>
      </c>
      <c r="D261" s="4" t="str">
        <f>IFERROR(INDEX(Table_S12!$A$4:$A$324, MATCH(C261, Table_S12!$B$4:$B$324, 0)), "CSD Code Not Found")</f>
        <v>CSD Code Not Found</v>
      </c>
      <c r="E261" s="4"/>
      <c r="F261" s="4"/>
      <c r="G261" s="4"/>
      <c r="H261" s="4"/>
      <c r="I261" s="22">
        <v>11</v>
      </c>
      <c r="J261" s="22"/>
      <c r="K261" s="22">
        <v>29</v>
      </c>
      <c r="L261" s="4"/>
      <c r="M261" s="4"/>
      <c r="N261" s="4"/>
      <c r="O261" s="22">
        <v>298</v>
      </c>
      <c r="P261" s="22">
        <v>1</v>
      </c>
      <c r="Q261" s="22">
        <v>2100</v>
      </c>
      <c r="R261" s="22"/>
      <c r="S261" s="4"/>
      <c r="T261" s="4"/>
      <c r="U261" s="4"/>
      <c r="Y261" s="36" t="s">
        <v>384</v>
      </c>
    </row>
    <row r="262" spans="3:25" ht="19" x14ac:dyDescent="0.25">
      <c r="C262" s="22" t="s">
        <v>386</v>
      </c>
      <c r="D262" s="4" t="str">
        <f>IFERROR(INDEX(Table_S12!$A$4:$A$324, MATCH(C262, Table_S12!$B$4:$B$324, 0)), "CSD Code Not Found")</f>
        <v>CSD Code Not Found</v>
      </c>
      <c r="E262" s="4"/>
      <c r="F262" s="4"/>
      <c r="G262" s="4"/>
      <c r="H262" s="4"/>
      <c r="I262" s="22">
        <v>11.7</v>
      </c>
      <c r="J262" s="22"/>
      <c r="K262" s="22"/>
      <c r="L262" s="4"/>
      <c r="M262" s="4"/>
      <c r="N262" s="4"/>
      <c r="O262" s="22">
        <v>293</v>
      </c>
      <c r="P262" s="22">
        <v>0.9</v>
      </c>
      <c r="Q262" s="22">
        <v>920</v>
      </c>
      <c r="R262" s="22"/>
      <c r="S262" s="4"/>
      <c r="T262" s="4"/>
      <c r="U262" s="4"/>
      <c r="Y262" s="36" t="s">
        <v>387</v>
      </c>
    </row>
    <row r="263" spans="3:25" ht="19" x14ac:dyDescent="0.25">
      <c r="C263" s="22" t="s">
        <v>388</v>
      </c>
      <c r="D263" s="4" t="str">
        <f>IFERROR(INDEX(Table_S12!$A$4:$A$324, MATCH(C263, Table_S12!$B$4:$B$324, 0)), "CSD Code Not Found")</f>
        <v>CSD Code Not Found</v>
      </c>
      <c r="E263" s="4"/>
      <c r="F263" s="4"/>
      <c r="G263" s="4"/>
      <c r="H263" s="4"/>
      <c r="I263" s="22">
        <v>7.6</v>
      </c>
      <c r="J263" s="22"/>
      <c r="K263" s="22"/>
      <c r="L263" s="4"/>
      <c r="M263" s="4"/>
      <c r="N263" s="4"/>
      <c r="O263" s="22">
        <v>293</v>
      </c>
      <c r="P263" s="22">
        <v>0.89</v>
      </c>
      <c r="Q263" s="22">
        <v>850</v>
      </c>
      <c r="R263" s="22"/>
      <c r="S263" s="4"/>
      <c r="T263" s="4"/>
      <c r="U263" s="4"/>
      <c r="Y263" s="36" t="s">
        <v>387</v>
      </c>
    </row>
    <row r="264" spans="3:25" ht="19" x14ac:dyDescent="0.25">
      <c r="C264" s="22" t="s">
        <v>389</v>
      </c>
      <c r="D264" s="4" t="str">
        <f>IFERROR(INDEX(Table_S12!$A$4:$A$324, MATCH(C264, Table_S12!$B$4:$B$324, 0)), "CSD Code Not Found")</f>
        <v>CSD Code Not Found</v>
      </c>
      <c r="E264" s="4"/>
      <c r="F264" s="4"/>
      <c r="G264" s="4"/>
      <c r="H264" s="4"/>
      <c r="I264" s="22">
        <v>10.9</v>
      </c>
      <c r="J264" s="22"/>
      <c r="K264" s="22">
        <v>29</v>
      </c>
      <c r="L264" s="4"/>
      <c r="M264" s="4"/>
      <c r="N264" s="4"/>
      <c r="O264" s="22">
        <v>298</v>
      </c>
      <c r="P264" s="22">
        <v>0.91</v>
      </c>
      <c r="Q264" s="22">
        <v>844</v>
      </c>
      <c r="R264" s="22">
        <v>1132</v>
      </c>
      <c r="S264" s="4"/>
      <c r="T264" s="4"/>
      <c r="U264" s="4"/>
      <c r="Y264" s="36" t="s">
        <v>390</v>
      </c>
    </row>
    <row r="265" spans="3:25" ht="19" x14ac:dyDescent="0.25">
      <c r="C265" s="22" t="s">
        <v>391</v>
      </c>
      <c r="D265" s="4" t="str">
        <f>IFERROR(INDEX(Table_S12!$A$4:$A$324, MATCH(C265, Table_S12!$B$4:$B$324, 0)), "CSD Code Not Found")</f>
        <v>CSD Code Not Found</v>
      </c>
      <c r="E265" s="4"/>
      <c r="F265" s="4"/>
      <c r="G265" s="4"/>
      <c r="H265" s="4"/>
      <c r="I265" s="22">
        <v>10.8</v>
      </c>
      <c r="J265" s="22"/>
      <c r="K265" s="22"/>
      <c r="L265" s="4"/>
      <c r="M265" s="4"/>
      <c r="N265" s="4"/>
      <c r="O265" s="22">
        <v>293</v>
      </c>
      <c r="P265" s="22">
        <v>1</v>
      </c>
      <c r="Q265" s="22">
        <v>1700</v>
      </c>
      <c r="R265" s="22"/>
      <c r="S265" s="4"/>
      <c r="T265" s="4"/>
      <c r="U265" s="4"/>
      <c r="Y265" s="36" t="s">
        <v>392</v>
      </c>
    </row>
    <row r="266" spans="3:25" ht="19" x14ac:dyDescent="0.25">
      <c r="C266" s="22" t="s">
        <v>393</v>
      </c>
      <c r="D266" s="4" t="str">
        <f>IFERROR(INDEX(Table_S12!$A$4:$A$324, MATCH(C266, Table_S12!$B$4:$B$324, 0)), "CSD Code Not Found")</f>
        <v>CSD Code Not Found</v>
      </c>
      <c r="E266" s="4"/>
      <c r="F266" s="4"/>
      <c r="G266" s="4"/>
      <c r="H266" s="4"/>
      <c r="I266" s="22">
        <v>10.8</v>
      </c>
      <c r="J266" s="22"/>
      <c r="K266" s="22"/>
      <c r="L266" s="4"/>
      <c r="M266" s="4"/>
      <c r="N266" s="4"/>
      <c r="O266" s="22">
        <v>298</v>
      </c>
      <c r="P266" s="22">
        <v>1</v>
      </c>
      <c r="Q266" s="22">
        <v>2310</v>
      </c>
      <c r="R266" s="22"/>
      <c r="S266" s="4"/>
      <c r="T266" s="4"/>
      <c r="U266" s="4"/>
      <c r="Y266" s="36" t="s">
        <v>394</v>
      </c>
    </row>
    <row r="267" spans="3:25" ht="19" x14ac:dyDescent="0.25">
      <c r="C267" s="22" t="s">
        <v>395</v>
      </c>
      <c r="D267" s="4" t="str">
        <f>IFERROR(INDEX(Table_S12!$A$4:$A$324, MATCH(C267, Table_S12!$B$4:$B$324, 0)), "CSD Code Not Found")</f>
        <v>CSD Code Not Found</v>
      </c>
      <c r="E267" s="4"/>
      <c r="F267" s="4"/>
      <c r="G267" s="4"/>
      <c r="H267" s="4"/>
      <c r="I267" s="22">
        <v>10.4</v>
      </c>
      <c r="J267" s="22"/>
      <c r="K267" s="22"/>
      <c r="L267" s="4"/>
      <c r="M267" s="4"/>
      <c r="N267" s="4"/>
      <c r="O267" s="22">
        <v>298</v>
      </c>
      <c r="P267" s="22">
        <v>1</v>
      </c>
      <c r="Q267" s="22">
        <v>2720</v>
      </c>
      <c r="R267" s="22"/>
      <c r="S267" s="4"/>
      <c r="T267" s="4"/>
      <c r="U267" s="4"/>
      <c r="Y267" s="36" t="s">
        <v>394</v>
      </c>
    </row>
    <row r="268" spans="3:25" ht="19" x14ac:dyDescent="0.25">
      <c r="C268" s="22" t="s">
        <v>396</v>
      </c>
      <c r="D268" s="4" t="str">
        <f>IFERROR(INDEX(Table_S12!$A$4:$A$324, MATCH(C268, Table_S12!$B$4:$B$324, 0)), "CSD Code Not Found")</f>
        <v>CSD Code Not Found</v>
      </c>
      <c r="E268" s="4"/>
      <c r="F268" s="4"/>
      <c r="G268" s="4"/>
      <c r="H268" s="4"/>
      <c r="I268" s="22">
        <v>9.6</v>
      </c>
      <c r="J268" s="22"/>
      <c r="K268" s="22"/>
      <c r="L268" s="4"/>
      <c r="M268" s="4"/>
      <c r="N268" s="4"/>
      <c r="O268" s="22">
        <v>298</v>
      </c>
      <c r="P268" s="22">
        <v>1</v>
      </c>
      <c r="Q268" s="22">
        <v>2250</v>
      </c>
      <c r="R268" s="22"/>
      <c r="S268" s="4"/>
      <c r="T268" s="4"/>
      <c r="U268" s="4"/>
      <c r="Y268" s="36" t="s">
        <v>394</v>
      </c>
    </row>
    <row r="269" spans="3:25" ht="19" x14ac:dyDescent="0.25">
      <c r="C269" s="22" t="s">
        <v>397</v>
      </c>
      <c r="D269" s="4" t="str">
        <f>IFERROR(INDEX(Table_S12!$A$4:$A$324, MATCH(C269, Table_S12!$B$4:$B$324, 0)), "CSD Code Not Found")</f>
        <v>CSD Code Not Found</v>
      </c>
      <c r="E269" s="4"/>
      <c r="F269" s="4"/>
      <c r="G269" s="4"/>
      <c r="H269" s="4"/>
      <c r="I269" s="22">
        <v>10.3</v>
      </c>
      <c r="J269" s="22"/>
      <c r="K269" s="22">
        <v>51</v>
      </c>
      <c r="L269" s="4"/>
      <c r="M269" s="4"/>
      <c r="N269" s="4"/>
      <c r="O269" s="22">
        <v>298</v>
      </c>
      <c r="P269" s="22">
        <v>1</v>
      </c>
      <c r="Q269" s="22">
        <v>368</v>
      </c>
      <c r="R269" s="22"/>
      <c r="S269" s="4"/>
      <c r="T269" s="4"/>
      <c r="U269" s="4"/>
      <c r="Y269" s="36" t="s">
        <v>398</v>
      </c>
    </row>
    <row r="270" spans="3:25" ht="19" x14ac:dyDescent="0.25">
      <c r="C270" s="22" t="s">
        <v>399</v>
      </c>
      <c r="D270" s="4" t="str">
        <f>IFERROR(INDEX(Table_S12!$A$4:$A$324, MATCH(C270, Table_S12!$B$4:$B$324, 0)), "CSD Code Not Found")</f>
        <v>CSD Code Not Found</v>
      </c>
      <c r="E270" s="4"/>
      <c r="F270" s="4"/>
      <c r="G270" s="4"/>
      <c r="H270" s="4"/>
      <c r="I270" s="22">
        <v>10</v>
      </c>
      <c r="J270" s="22"/>
      <c r="K270" s="22">
        <v>47</v>
      </c>
      <c r="L270" s="4"/>
      <c r="M270" s="4"/>
      <c r="N270" s="4"/>
      <c r="O270" s="22">
        <v>298</v>
      </c>
      <c r="P270" s="22">
        <v>1</v>
      </c>
      <c r="Q270" s="22">
        <v>223</v>
      </c>
      <c r="R270" s="22"/>
      <c r="S270" s="4"/>
      <c r="T270" s="4"/>
      <c r="U270" s="4"/>
      <c r="Y270" s="36" t="s">
        <v>398</v>
      </c>
    </row>
    <row r="271" spans="3:25" ht="19" x14ac:dyDescent="0.25">
      <c r="C271" s="22" t="s">
        <v>400</v>
      </c>
      <c r="D271" s="4" t="str">
        <f>IFERROR(INDEX(Table_S12!$A$4:$A$324, MATCH(C271, Table_S12!$B$4:$B$324, 0)), "CSD Code Not Found")</f>
        <v>CSD Code Not Found</v>
      </c>
      <c r="E271" s="4"/>
      <c r="F271" s="4"/>
      <c r="G271" s="4"/>
      <c r="H271" s="4"/>
      <c r="I271" s="22">
        <v>8.9</v>
      </c>
      <c r="J271" s="22"/>
      <c r="K271" s="22"/>
      <c r="L271" s="4"/>
      <c r="M271" s="4"/>
      <c r="N271" s="4"/>
      <c r="O271" s="22">
        <v>298</v>
      </c>
      <c r="P271" s="22">
        <v>1</v>
      </c>
      <c r="Q271" s="22"/>
      <c r="R271" s="22"/>
      <c r="S271" s="4"/>
      <c r="T271" s="4"/>
      <c r="U271" s="4"/>
      <c r="Y271" s="36" t="s">
        <v>398</v>
      </c>
    </row>
    <row r="272" spans="3:25" ht="19" x14ac:dyDescent="0.25">
      <c r="C272" s="22" t="s">
        <v>401</v>
      </c>
      <c r="D272" s="4" t="str">
        <f>IFERROR(INDEX(Table_S12!$A$4:$A$324, MATCH(C272, Table_S12!$B$4:$B$324, 0)), "CSD Code Not Found")</f>
        <v>CSD Code Not Found</v>
      </c>
      <c r="E272" s="4"/>
      <c r="F272" s="4"/>
      <c r="G272" s="4"/>
      <c r="H272" s="4"/>
      <c r="I272" s="22">
        <v>9.9</v>
      </c>
      <c r="J272" s="22">
        <v>30</v>
      </c>
      <c r="K272" s="22">
        <v>61.2</v>
      </c>
      <c r="L272" s="4"/>
      <c r="M272" s="4"/>
      <c r="N272" s="4"/>
      <c r="O272" s="22">
        <v>298</v>
      </c>
      <c r="P272" s="22">
        <v>1</v>
      </c>
      <c r="Q272" s="22"/>
      <c r="R272" s="22">
        <v>750</v>
      </c>
      <c r="S272" s="4"/>
      <c r="T272" s="4"/>
      <c r="U272" s="4"/>
      <c r="Y272" s="36" t="s">
        <v>402</v>
      </c>
    </row>
    <row r="273" spans="2:25" ht="19" x14ac:dyDescent="0.25">
      <c r="C273" s="22" t="s">
        <v>93</v>
      </c>
      <c r="D273" s="4" t="str">
        <f>IFERROR(INDEX(Table_S12!$A$4:$A$324, MATCH(C273, Table_S12!$B$4:$B$324, 0)), "CSD Code Not Found")</f>
        <v>CSD Code Not Found</v>
      </c>
      <c r="E273" s="4"/>
      <c r="F273" s="4"/>
      <c r="G273" s="4"/>
      <c r="H273" s="4"/>
      <c r="I273" s="22">
        <v>9.1</v>
      </c>
      <c r="J273" s="22"/>
      <c r="K273" s="22"/>
      <c r="L273" s="4"/>
      <c r="M273" s="4"/>
      <c r="N273" s="4"/>
      <c r="O273" s="22">
        <v>298</v>
      </c>
      <c r="P273" s="22">
        <v>1</v>
      </c>
      <c r="Q273" s="22">
        <v>312</v>
      </c>
      <c r="R273" s="22">
        <v>355</v>
      </c>
      <c r="S273" s="4"/>
      <c r="T273" s="4"/>
      <c r="U273" s="4"/>
      <c r="Y273" s="36" t="s">
        <v>403</v>
      </c>
    </row>
    <row r="274" spans="2:25" ht="19" x14ac:dyDescent="0.25">
      <c r="C274" s="22" t="s">
        <v>404</v>
      </c>
      <c r="D274" s="4" t="str">
        <f>IFERROR(INDEX(Table_S12!$A$4:$A$324, MATCH(C274, Table_S12!$B$4:$B$324, 0)), "CSD Code Not Found")</f>
        <v>CSD Code Not Found</v>
      </c>
      <c r="E274" s="4"/>
      <c r="F274" s="4"/>
      <c r="G274" s="4"/>
      <c r="H274" s="4"/>
      <c r="I274" s="22">
        <v>8.8000000000000007</v>
      </c>
      <c r="J274" s="22"/>
      <c r="K274" s="22">
        <v>37</v>
      </c>
      <c r="L274" s="4"/>
      <c r="M274" s="4"/>
      <c r="N274" s="4"/>
      <c r="O274" s="22">
        <v>298</v>
      </c>
      <c r="P274" s="22">
        <v>1</v>
      </c>
      <c r="Q274" s="22">
        <v>1844</v>
      </c>
      <c r="R274" s="22">
        <v>2200</v>
      </c>
      <c r="S274" s="4"/>
      <c r="T274" s="4"/>
      <c r="U274" s="4"/>
      <c r="Y274" s="36" t="s">
        <v>405</v>
      </c>
    </row>
    <row r="275" spans="2:25" ht="19" x14ac:dyDescent="0.25">
      <c r="C275" s="22" t="s">
        <v>406</v>
      </c>
      <c r="D275" s="4" t="str">
        <f>IFERROR(INDEX(Table_S12!$A$4:$A$324, MATCH(C275, Table_S12!$B$4:$B$324, 0)), "CSD Code Not Found")</f>
        <v>IMUTUG</v>
      </c>
      <c r="E275" s="4"/>
      <c r="F275" s="4"/>
      <c r="G275" s="4"/>
      <c r="H275" s="4"/>
      <c r="I275" s="22">
        <v>8.8000000000000007</v>
      </c>
      <c r="J275" s="22">
        <v>16.100000000000001</v>
      </c>
      <c r="K275" s="22">
        <v>36.1</v>
      </c>
      <c r="L275" s="4"/>
      <c r="M275" s="4"/>
      <c r="N275" s="4"/>
      <c r="O275" s="22">
        <v>298</v>
      </c>
      <c r="P275" s="22">
        <v>1</v>
      </c>
      <c r="Q275" s="22">
        <v>2187</v>
      </c>
      <c r="R275" s="22"/>
      <c r="S275" s="4"/>
      <c r="T275" s="4"/>
      <c r="U275" s="4"/>
      <c r="Y275" s="36" t="s">
        <v>407</v>
      </c>
    </row>
    <row r="276" spans="2:25" ht="19" x14ac:dyDescent="0.25">
      <c r="C276" s="22" t="s">
        <v>408</v>
      </c>
      <c r="D276" s="4" t="str">
        <f>IFERROR(INDEX(Table_S12!$A$4:$A$324, MATCH(C276, Table_S12!$B$4:$B$324, 0)), "CSD Code Not Found")</f>
        <v>CSD Code Not Found</v>
      </c>
      <c r="E276" s="4"/>
      <c r="F276" s="4"/>
      <c r="G276" s="4"/>
      <c r="H276" s="4"/>
      <c r="I276" s="22">
        <v>8.6999999999999993</v>
      </c>
      <c r="J276" s="22"/>
      <c r="K276" s="22">
        <v>34</v>
      </c>
      <c r="L276" s="4"/>
      <c r="M276" s="4"/>
      <c r="N276" s="4"/>
      <c r="O276" s="22">
        <v>303</v>
      </c>
      <c r="P276" s="22">
        <v>1</v>
      </c>
      <c r="Q276" s="22">
        <v>5</v>
      </c>
      <c r="R276" s="22"/>
      <c r="S276" s="4"/>
      <c r="T276" s="4"/>
      <c r="U276" s="4"/>
      <c r="Y276" s="36" t="s">
        <v>409</v>
      </c>
    </row>
    <row r="277" spans="2:25" ht="19" x14ac:dyDescent="0.25">
      <c r="C277" s="22" t="s">
        <v>410</v>
      </c>
      <c r="D277" s="4" t="str">
        <f>IFERROR(INDEX(Table_S12!$A$4:$A$324, MATCH(C277, Table_S12!$B$4:$B$324, 0)), "CSD Code Not Found")</f>
        <v>CSD Code Not Found</v>
      </c>
      <c r="E277" s="4"/>
      <c r="F277" s="4"/>
      <c r="G277" s="4"/>
      <c r="H277" s="4"/>
      <c r="I277" s="22">
        <v>8.1999999999999993</v>
      </c>
      <c r="J277" s="22">
        <v>81</v>
      </c>
      <c r="K277" s="22">
        <v>22.5</v>
      </c>
      <c r="L277" s="4"/>
      <c r="M277" s="4"/>
      <c r="N277" s="4"/>
      <c r="O277" s="22">
        <v>295</v>
      </c>
      <c r="P277" s="22">
        <v>1</v>
      </c>
      <c r="Q277" s="22">
        <v>1430</v>
      </c>
      <c r="R277" s="22">
        <v>1981</v>
      </c>
      <c r="S277" s="4"/>
      <c r="T277" s="4"/>
      <c r="U277" s="4"/>
      <c r="Y277" s="36" t="s">
        <v>411</v>
      </c>
    </row>
    <row r="278" spans="2:25" ht="19" x14ac:dyDescent="0.25">
      <c r="C278" s="22" t="s">
        <v>412</v>
      </c>
      <c r="D278" s="4" t="str">
        <f>IFERROR(INDEX(Table_S12!$A$4:$A$324, MATCH(C278, Table_S12!$B$4:$B$324, 0)), "CSD Code Not Found")</f>
        <v>CSD Code Not Found</v>
      </c>
      <c r="E278" s="4"/>
      <c r="F278" s="4"/>
      <c r="G278" s="4"/>
      <c r="H278" s="4"/>
      <c r="I278" s="22">
        <v>7.3</v>
      </c>
      <c r="J278" s="22">
        <v>25</v>
      </c>
      <c r="K278" s="22">
        <v>36</v>
      </c>
      <c r="L278" s="4"/>
      <c r="M278" s="4"/>
      <c r="N278" s="4"/>
      <c r="O278" s="22">
        <v>293</v>
      </c>
      <c r="P278" s="22">
        <v>1</v>
      </c>
      <c r="Q278" s="22"/>
      <c r="R278" s="22"/>
      <c r="S278" s="4"/>
      <c r="T278" s="4"/>
      <c r="U278" s="4"/>
      <c r="Y278" s="36" t="s">
        <v>413</v>
      </c>
    </row>
    <row r="279" spans="2:25" ht="19" x14ac:dyDescent="0.25">
      <c r="C279" s="22" t="s">
        <v>414</v>
      </c>
      <c r="D279" s="4" t="str">
        <f>IFERROR(INDEX(Table_S12!$A$4:$A$324, MATCH(C279, Table_S12!$B$4:$B$324, 0)), "CSD Code Not Found")</f>
        <v>CSD Code Not Found</v>
      </c>
      <c r="E279" s="4"/>
      <c r="F279" s="4"/>
      <c r="G279" s="4"/>
      <c r="H279" s="4"/>
      <c r="I279" s="22">
        <v>7.2</v>
      </c>
      <c r="J279" s="22"/>
      <c r="K279" s="22">
        <v>22.4</v>
      </c>
      <c r="L279" s="4"/>
      <c r="M279" s="4"/>
      <c r="N279" s="4"/>
      <c r="O279" s="22">
        <v>298</v>
      </c>
      <c r="P279" s="22">
        <v>1</v>
      </c>
      <c r="Q279" s="22">
        <v>1870</v>
      </c>
      <c r="R279" s="22">
        <v>1902</v>
      </c>
      <c r="S279" s="4"/>
      <c r="T279" s="4"/>
      <c r="U279" s="4"/>
      <c r="Y279" s="36" t="s">
        <v>415</v>
      </c>
    </row>
    <row r="280" spans="2:25" ht="19" x14ac:dyDescent="0.25">
      <c r="C280" s="22" t="s">
        <v>416</v>
      </c>
      <c r="D280" s="4" t="str">
        <f>IFERROR(INDEX(Table_S12!$A$4:$A$324, MATCH(C280, Table_S12!$B$4:$B$324, 0)), "CSD Code Not Found")</f>
        <v>CSD Code Not Found</v>
      </c>
      <c r="E280" s="4"/>
      <c r="F280" s="4"/>
      <c r="G280" s="4"/>
      <c r="H280" s="4"/>
      <c r="I280" s="22" t="s">
        <v>417</v>
      </c>
      <c r="J280" s="22">
        <v>39.299999999999997</v>
      </c>
      <c r="K280" s="12"/>
      <c r="L280" s="4"/>
      <c r="M280" s="4"/>
      <c r="N280" s="4"/>
      <c r="O280" s="22">
        <v>273</v>
      </c>
      <c r="P280" s="22">
        <v>1</v>
      </c>
      <c r="Q280" s="22">
        <v>788</v>
      </c>
      <c r="R280" s="22" t="s">
        <v>418</v>
      </c>
      <c r="S280" s="4"/>
      <c r="T280" s="4"/>
      <c r="U280" s="4"/>
      <c r="Y280" s="12"/>
    </row>
    <row r="281" spans="2:25" s="26" customFormat="1" ht="19" x14ac:dyDescent="0.25">
      <c r="B281" s="40"/>
      <c r="C281" s="25"/>
      <c r="D281" s="25"/>
      <c r="E281" s="25"/>
      <c r="F281" s="25"/>
      <c r="G281" s="25"/>
      <c r="H281" s="25"/>
      <c r="I281" s="25"/>
      <c r="J281" s="25"/>
      <c r="K281" s="25"/>
      <c r="L281" s="25"/>
      <c r="M281" s="25"/>
      <c r="N281" s="25"/>
      <c r="O281" s="25"/>
      <c r="P281" s="25"/>
      <c r="Q281" s="25"/>
      <c r="R281" s="25"/>
      <c r="S281" s="25"/>
      <c r="T281" s="25"/>
      <c r="U281" s="25"/>
      <c r="V281" s="32"/>
    </row>
    <row r="282" spans="2:25" ht="24" x14ac:dyDescent="0.3">
      <c r="B282" s="8" t="s">
        <v>419</v>
      </c>
      <c r="C282" s="4"/>
      <c r="D282" s="4"/>
      <c r="E282" s="4"/>
      <c r="F282" s="4"/>
      <c r="G282" s="4"/>
      <c r="H282" s="4"/>
      <c r="I282" s="4"/>
      <c r="J282" s="4"/>
      <c r="K282" s="4"/>
      <c r="L282" s="4"/>
      <c r="M282" s="4"/>
      <c r="N282" s="4"/>
      <c r="O282" s="4"/>
      <c r="P282" s="4"/>
      <c r="Q282" s="4"/>
      <c r="R282" s="4"/>
      <c r="S282" s="4"/>
      <c r="T282" s="4"/>
      <c r="U282" s="4"/>
    </row>
    <row r="283" spans="2:25" ht="24" x14ac:dyDescent="0.3">
      <c r="C283" s="10" t="s">
        <v>18</v>
      </c>
      <c r="D283" s="10" t="s">
        <v>119</v>
      </c>
      <c r="E283" s="10"/>
      <c r="F283" s="10"/>
      <c r="G283" s="10" t="s">
        <v>19</v>
      </c>
      <c r="H283" s="10" t="s">
        <v>20</v>
      </c>
      <c r="I283" s="10" t="s">
        <v>120</v>
      </c>
      <c r="J283" s="10" t="s">
        <v>196</v>
      </c>
      <c r="K283" s="10" t="s">
        <v>122</v>
      </c>
      <c r="L283" s="10" t="s">
        <v>21</v>
      </c>
      <c r="M283" s="10" t="s">
        <v>22</v>
      </c>
      <c r="N283" s="10" t="s">
        <v>23</v>
      </c>
      <c r="O283" s="10" t="s">
        <v>24</v>
      </c>
      <c r="P283" s="10" t="s">
        <v>25</v>
      </c>
      <c r="Q283" s="10" t="s">
        <v>229</v>
      </c>
      <c r="R283" s="10" t="s">
        <v>230</v>
      </c>
      <c r="S283" s="10" t="s">
        <v>27</v>
      </c>
      <c r="T283" s="10" t="s">
        <v>28</v>
      </c>
      <c r="U283" s="10" t="s">
        <v>29</v>
      </c>
      <c r="V283" s="10" t="s">
        <v>30</v>
      </c>
      <c r="W283" s="10" t="s">
        <v>31</v>
      </c>
      <c r="X283" s="10" t="s">
        <v>32</v>
      </c>
      <c r="Y283" s="10" t="s">
        <v>33</v>
      </c>
    </row>
    <row r="284" spans="2:25" ht="19" x14ac:dyDescent="0.25">
      <c r="C284" s="22" t="s">
        <v>420</v>
      </c>
      <c r="D284" s="4" t="str">
        <f>IFERROR(INDEX(Table_S12!$A$4:$A$324, MATCH(C284, Table_S12!$B$4:$B$324, 0)), "CSD Code Not Found")</f>
        <v>CSD Code Not Found</v>
      </c>
      <c r="E284" s="4"/>
      <c r="F284" s="4"/>
      <c r="G284" s="22" t="s">
        <v>421</v>
      </c>
      <c r="H284" s="4"/>
      <c r="I284" s="4"/>
      <c r="J284" s="22" t="s">
        <v>422</v>
      </c>
      <c r="K284" s="4"/>
      <c r="L284" s="4"/>
      <c r="M284" s="4"/>
      <c r="N284" s="4"/>
      <c r="O284" s="22">
        <v>298</v>
      </c>
      <c r="P284" s="22">
        <v>1</v>
      </c>
      <c r="Q284" s="22">
        <v>1938</v>
      </c>
      <c r="R284" s="4"/>
      <c r="S284" s="4"/>
      <c r="T284" s="4"/>
      <c r="U284" s="4"/>
      <c r="Y284" s="36" t="s">
        <v>423</v>
      </c>
    </row>
    <row r="285" spans="2:25" ht="19" x14ac:dyDescent="0.25">
      <c r="C285" s="22" t="s">
        <v>424</v>
      </c>
      <c r="D285" s="4" t="str">
        <f>IFERROR(INDEX(Table_S12!$A$4:$A$324, MATCH(C285, Table_S12!$B$4:$B$324, 0)), "CSD Code Not Found")</f>
        <v>CSD Code Not Found</v>
      </c>
      <c r="E285" s="4"/>
      <c r="F285" s="4"/>
      <c r="G285" s="22" t="s">
        <v>425</v>
      </c>
      <c r="H285" s="4"/>
      <c r="I285" s="4"/>
      <c r="J285" s="22" t="s">
        <v>426</v>
      </c>
      <c r="K285" s="4"/>
      <c r="L285" s="4"/>
      <c r="M285" s="4"/>
      <c r="N285" s="4"/>
      <c r="O285" s="22">
        <v>300</v>
      </c>
      <c r="P285" s="22" t="s">
        <v>427</v>
      </c>
      <c r="Q285" s="22">
        <v>2800</v>
      </c>
      <c r="R285" s="4"/>
      <c r="S285" s="4"/>
      <c r="T285" s="4"/>
      <c r="U285" s="4"/>
      <c r="Y285" s="36" t="s">
        <v>428</v>
      </c>
    </row>
    <row r="286" spans="2:25" ht="19" x14ac:dyDescent="0.25">
      <c r="C286" s="22" t="s">
        <v>424</v>
      </c>
      <c r="D286" s="4" t="str">
        <f>IFERROR(INDEX(Table_S12!$A$4:$A$324, MATCH(C286, Table_S12!$B$4:$B$324, 0)), "CSD Code Not Found")</f>
        <v>CSD Code Not Found</v>
      </c>
      <c r="E286" s="4"/>
      <c r="F286" s="4"/>
      <c r="G286" s="22" t="s">
        <v>429</v>
      </c>
      <c r="H286" s="4"/>
      <c r="I286" s="4"/>
      <c r="J286" s="22" t="s">
        <v>426</v>
      </c>
      <c r="K286" s="4"/>
      <c r="L286" s="4"/>
      <c r="M286" s="4"/>
      <c r="N286" s="4"/>
      <c r="O286" s="22">
        <v>300</v>
      </c>
      <c r="P286" s="22" t="s">
        <v>427</v>
      </c>
      <c r="Q286" s="22">
        <v>3780</v>
      </c>
      <c r="R286" s="4"/>
      <c r="S286" s="4"/>
      <c r="T286" s="4"/>
      <c r="U286" s="4"/>
      <c r="Y286" s="36" t="s">
        <v>428</v>
      </c>
    </row>
    <row r="287" spans="2:25" ht="19" x14ac:dyDescent="0.25">
      <c r="C287" s="22" t="s">
        <v>424</v>
      </c>
      <c r="D287" s="4" t="str">
        <f>IFERROR(INDEX(Table_S12!$A$4:$A$324, MATCH(C287, Table_S12!$B$4:$B$324, 0)), "CSD Code Not Found")</f>
        <v>CSD Code Not Found</v>
      </c>
      <c r="E287" s="4"/>
      <c r="F287" s="4"/>
      <c r="G287" s="22" t="s">
        <v>430</v>
      </c>
      <c r="H287" s="4"/>
      <c r="I287" s="4"/>
      <c r="J287" s="22" t="s">
        <v>426</v>
      </c>
      <c r="K287" s="4"/>
      <c r="L287" s="4"/>
      <c r="M287" s="4"/>
      <c r="N287" s="4"/>
      <c r="O287" s="22">
        <v>300</v>
      </c>
      <c r="P287" s="22" t="s">
        <v>427</v>
      </c>
      <c r="Q287" s="22">
        <v>4230</v>
      </c>
      <c r="R287" s="4"/>
      <c r="S287" s="4"/>
      <c r="T287" s="4"/>
      <c r="U287" s="4"/>
      <c r="Y287" s="36" t="s">
        <v>428</v>
      </c>
    </row>
    <row r="288" spans="2:25" ht="19" x14ac:dyDescent="0.25">
      <c r="C288" s="22" t="s">
        <v>431</v>
      </c>
      <c r="D288" s="4" t="str">
        <f>IFERROR(INDEX(Table_S12!$A$4:$A$324, MATCH(C288, Table_S12!$B$4:$B$324, 0)), "CSD Code Not Found")</f>
        <v>CSD Code Not Found</v>
      </c>
      <c r="E288" s="4"/>
      <c r="F288" s="4"/>
      <c r="G288" s="22" t="s">
        <v>432</v>
      </c>
      <c r="H288" s="4"/>
      <c r="I288" s="4"/>
      <c r="J288" s="22" t="s">
        <v>433</v>
      </c>
      <c r="K288" s="4"/>
      <c r="L288" s="4"/>
      <c r="M288" s="4"/>
      <c r="N288" s="4"/>
      <c r="O288" s="22">
        <v>196</v>
      </c>
      <c r="P288" s="22" t="s">
        <v>434</v>
      </c>
      <c r="Q288" s="22"/>
      <c r="R288" s="4"/>
      <c r="S288" s="4"/>
      <c r="T288" s="4"/>
      <c r="U288" s="4"/>
      <c r="Y288" s="36" t="s">
        <v>435</v>
      </c>
    </row>
    <row r="289" spans="2:27" ht="19" x14ac:dyDescent="0.25">
      <c r="C289" s="22" t="s">
        <v>436</v>
      </c>
      <c r="D289" s="4" t="str">
        <f>IFERROR(INDEX(Table_S12!$A$4:$A$324, MATCH(C289, Table_S12!$B$4:$B$324, 0)), "CSD Code Not Found")</f>
        <v>CSD Code Not Found</v>
      </c>
      <c r="E289" s="4"/>
      <c r="F289" s="4"/>
      <c r="G289" s="22" t="s">
        <v>437</v>
      </c>
      <c r="H289" s="4"/>
      <c r="I289" s="4"/>
      <c r="J289" s="22"/>
      <c r="K289" s="4"/>
      <c r="L289" s="4"/>
      <c r="M289" s="4"/>
      <c r="N289" s="4"/>
      <c r="O289" s="22" t="s">
        <v>438</v>
      </c>
      <c r="P289" s="22">
        <v>1</v>
      </c>
      <c r="Q289" s="22"/>
      <c r="R289" s="4"/>
      <c r="S289" s="4"/>
      <c r="T289" s="4"/>
      <c r="U289" s="4"/>
      <c r="Y289" s="36" t="s">
        <v>439</v>
      </c>
    </row>
    <row r="290" spans="2:27" ht="19" x14ac:dyDescent="0.25">
      <c r="C290" s="138" t="s">
        <v>440</v>
      </c>
      <c r="D290" s="4" t="str">
        <f>IFERROR(INDEX(Table_S12!$A$4:$A$324, MATCH(C290, Table_S12!$B$4:$B$324, 0)), "CSD Code Not Found")</f>
        <v>CSD Code Not Found</v>
      </c>
      <c r="E290" s="4"/>
      <c r="F290" s="4"/>
      <c r="G290" s="22" t="s">
        <v>441</v>
      </c>
      <c r="H290" s="4"/>
      <c r="I290" s="4"/>
      <c r="J290" s="138" t="s">
        <v>426</v>
      </c>
      <c r="K290" s="4"/>
      <c r="L290" s="4"/>
      <c r="M290" s="4"/>
      <c r="N290" s="4"/>
      <c r="O290" s="138">
        <v>298</v>
      </c>
      <c r="P290" s="138">
        <v>10</v>
      </c>
      <c r="Q290" s="22" t="s">
        <v>442</v>
      </c>
      <c r="R290" s="4"/>
      <c r="S290" s="4"/>
      <c r="T290" s="4"/>
      <c r="U290" s="4"/>
      <c r="Y290" s="135" t="s">
        <v>443</v>
      </c>
    </row>
    <row r="291" spans="2:27" ht="19" x14ac:dyDescent="0.25">
      <c r="C291" s="138"/>
      <c r="D291" s="4" t="str">
        <f>IFERROR(INDEX(Table_S12!$A$4:$A$324, MATCH(C291, Table_S12!$B$4:$B$324, 0)), "CSD Code Not Found")</f>
        <v>CSD Code Not Found</v>
      </c>
      <c r="E291" s="4"/>
      <c r="F291" s="4"/>
      <c r="G291" s="22" t="s">
        <v>444</v>
      </c>
      <c r="H291" s="4"/>
      <c r="I291" s="4"/>
      <c r="J291" s="138"/>
      <c r="K291" s="4"/>
      <c r="L291" s="4"/>
      <c r="M291" s="4"/>
      <c r="N291" s="4"/>
      <c r="O291" s="138"/>
      <c r="P291" s="138"/>
      <c r="Q291" s="22" t="s">
        <v>445</v>
      </c>
      <c r="R291" s="4"/>
      <c r="S291" s="4"/>
      <c r="T291" s="4"/>
      <c r="U291" s="4"/>
      <c r="Y291" s="135"/>
    </row>
    <row r="292" spans="2:27" ht="19" x14ac:dyDescent="0.25">
      <c r="C292" s="138"/>
      <c r="D292" s="4" t="str">
        <f>IFERROR(INDEX(Table_S12!$A$4:$A$324, MATCH(C292, Table_S12!$B$4:$B$324, 0)), "CSD Code Not Found")</f>
        <v>CSD Code Not Found</v>
      </c>
      <c r="E292" s="4"/>
      <c r="F292" s="4"/>
      <c r="G292" s="22"/>
      <c r="H292" s="4"/>
      <c r="I292" s="4"/>
      <c r="J292" s="138"/>
      <c r="K292" s="4"/>
      <c r="L292" s="4"/>
      <c r="M292" s="4"/>
      <c r="N292" s="4"/>
      <c r="O292" s="138"/>
      <c r="P292" s="138"/>
      <c r="Q292" s="22" t="s">
        <v>446</v>
      </c>
      <c r="R292" s="4"/>
      <c r="S292" s="4"/>
      <c r="T292" s="4"/>
      <c r="U292" s="4"/>
      <c r="Y292" s="135"/>
    </row>
    <row r="293" spans="2:27" ht="19" x14ac:dyDescent="0.25">
      <c r="C293" s="138"/>
      <c r="D293" s="4" t="str">
        <f>IFERROR(INDEX(Table_S12!$A$4:$A$324, MATCH(C293, Table_S12!$B$4:$B$324, 0)), "CSD Code Not Found")</f>
        <v>CSD Code Not Found</v>
      </c>
      <c r="E293" s="4"/>
      <c r="F293" s="4"/>
      <c r="G293" s="22"/>
      <c r="H293" s="4"/>
      <c r="I293" s="4"/>
      <c r="J293" s="138"/>
      <c r="K293" s="4"/>
      <c r="L293" s="4"/>
      <c r="M293" s="4"/>
      <c r="N293" s="4"/>
      <c r="O293" s="138"/>
      <c r="P293" s="138"/>
      <c r="Q293" s="22" t="s">
        <v>447</v>
      </c>
      <c r="R293" s="4"/>
      <c r="S293" s="4"/>
      <c r="T293" s="4"/>
      <c r="U293" s="4"/>
      <c r="Y293" s="135"/>
    </row>
    <row r="294" spans="2:27" s="26" customFormat="1" ht="19" x14ac:dyDescent="0.25">
      <c r="B294" s="40"/>
      <c r="C294" s="25"/>
      <c r="D294" s="25"/>
      <c r="E294" s="25"/>
      <c r="F294" s="25"/>
      <c r="G294" s="25"/>
      <c r="H294" s="25"/>
      <c r="I294" s="25"/>
      <c r="J294" s="25"/>
      <c r="K294" s="25"/>
      <c r="L294" s="25"/>
      <c r="M294" s="25"/>
      <c r="N294" s="25"/>
      <c r="O294" s="25"/>
      <c r="P294" s="25"/>
      <c r="Q294" s="25"/>
      <c r="R294" s="25"/>
      <c r="S294" s="25"/>
      <c r="T294" s="25"/>
      <c r="U294" s="25"/>
      <c r="V294" s="32"/>
    </row>
    <row r="295" spans="2:27" ht="24" x14ac:dyDescent="0.3">
      <c r="B295" s="8" t="s">
        <v>448</v>
      </c>
      <c r="C295" s="4"/>
      <c r="D295" s="4"/>
      <c r="E295" s="4"/>
      <c r="F295" s="4"/>
      <c r="G295" s="4"/>
      <c r="H295" s="4"/>
      <c r="I295" s="4"/>
      <c r="J295" s="4"/>
      <c r="K295" s="4"/>
      <c r="L295" s="4"/>
      <c r="M295" s="4"/>
      <c r="N295" s="4"/>
      <c r="O295" s="4"/>
      <c r="P295" s="4"/>
      <c r="Q295" s="4"/>
      <c r="R295" s="4"/>
      <c r="S295" s="4"/>
      <c r="T295" s="4"/>
      <c r="U295" s="4"/>
      <c r="Y295" s="36" t="s">
        <v>449</v>
      </c>
    </row>
    <row r="296" spans="2:27" ht="19" x14ac:dyDescent="0.25">
      <c r="C296" s="22" t="s">
        <v>450</v>
      </c>
      <c r="D296" s="4" t="str">
        <f>IFERROR(INDEX(Table_S12!$A$4:$A$324, MATCH(C296, Table_S12!$B$4:$B$324, 0)), "CSD Code Not Found")</f>
        <v>CSD Code Not Found</v>
      </c>
      <c r="E296" s="4"/>
      <c r="F296" s="4"/>
      <c r="G296" s="22" t="s">
        <v>451</v>
      </c>
      <c r="H296" s="4"/>
      <c r="I296" s="4"/>
      <c r="J296" s="4"/>
      <c r="K296" s="22" t="s">
        <v>452</v>
      </c>
      <c r="L296" s="4"/>
      <c r="M296" s="4"/>
      <c r="N296" s="4"/>
      <c r="O296" s="4"/>
      <c r="P296" s="4"/>
      <c r="Q296" s="22" t="s">
        <v>453</v>
      </c>
      <c r="R296" s="4"/>
      <c r="S296" s="22">
        <v>0.21</v>
      </c>
      <c r="T296" s="4"/>
      <c r="U296" s="4"/>
      <c r="Y296" s="36" t="s">
        <v>449</v>
      </c>
    </row>
    <row r="297" spans="2:27" ht="19" x14ac:dyDescent="0.25">
      <c r="C297" s="22">
        <v>1</v>
      </c>
      <c r="D297" s="4" t="str">
        <f>IFERROR(INDEX(Table_S12!$A$4:$A$324, MATCH(C297, Table_S12!$B$4:$B$324, 0)), "CSD Code Not Found")</f>
        <v>CSD Code Not Found</v>
      </c>
      <c r="E297" s="4"/>
      <c r="F297" s="4"/>
      <c r="G297" s="22" t="s">
        <v>454</v>
      </c>
      <c r="H297" s="4"/>
      <c r="I297" s="4"/>
      <c r="J297" s="4"/>
      <c r="K297" s="22" t="s">
        <v>455</v>
      </c>
      <c r="L297" s="4"/>
      <c r="M297" s="4"/>
      <c r="N297" s="4"/>
      <c r="O297" s="4"/>
      <c r="P297" s="4"/>
      <c r="Q297" s="22" t="s">
        <v>456</v>
      </c>
      <c r="R297" s="4"/>
      <c r="S297" s="22">
        <v>0.18</v>
      </c>
      <c r="T297" s="4"/>
      <c r="U297" s="4"/>
      <c r="Y297" s="36" t="s">
        <v>449</v>
      </c>
    </row>
    <row r="298" spans="2:27" ht="19" x14ac:dyDescent="0.25">
      <c r="C298" s="22">
        <v>2</v>
      </c>
      <c r="D298" s="4" t="str">
        <f>IFERROR(INDEX(Table_S12!$A$4:$A$324, MATCH(C298, Table_S12!$B$4:$B$324, 0)), "CSD Code Not Found")</f>
        <v>CSD Code Not Found</v>
      </c>
      <c r="E298" s="4"/>
      <c r="F298" s="4"/>
      <c r="G298" s="22" t="s">
        <v>457</v>
      </c>
      <c r="H298" s="4"/>
      <c r="I298" s="4"/>
      <c r="J298" s="4"/>
      <c r="K298" s="22" t="s">
        <v>458</v>
      </c>
      <c r="L298" s="4"/>
      <c r="M298" s="4"/>
      <c r="N298" s="4"/>
      <c r="O298" s="4"/>
      <c r="P298" s="4"/>
      <c r="Q298" s="22" t="s">
        <v>459</v>
      </c>
      <c r="R298" s="4"/>
      <c r="S298" s="22">
        <v>0.13</v>
      </c>
      <c r="T298" s="4"/>
      <c r="U298" s="4"/>
    </row>
    <row r="299" spans="2:27" s="26" customFormat="1" ht="19" x14ac:dyDescent="0.25">
      <c r="B299" s="40"/>
      <c r="C299" s="25"/>
      <c r="D299" s="25"/>
      <c r="E299" s="25"/>
      <c r="F299" s="25"/>
      <c r="G299" s="25"/>
      <c r="H299" s="25"/>
      <c r="I299" s="25"/>
      <c r="J299" s="25"/>
      <c r="K299" s="25"/>
      <c r="L299" s="25"/>
      <c r="M299" s="25"/>
      <c r="N299" s="25"/>
      <c r="O299" s="25"/>
      <c r="P299" s="25"/>
      <c r="Q299" s="25"/>
      <c r="R299" s="25"/>
      <c r="S299" s="25"/>
      <c r="T299" s="25"/>
      <c r="U299" s="25"/>
      <c r="V299" s="32"/>
    </row>
    <row r="300" spans="2:27" ht="24" x14ac:dyDescent="0.3">
      <c r="B300" s="8" t="s">
        <v>460</v>
      </c>
      <c r="C300" s="4"/>
      <c r="D300" s="4"/>
      <c r="E300" s="4"/>
      <c r="F300" s="4"/>
      <c r="G300" s="4"/>
      <c r="H300" s="4"/>
      <c r="I300" s="4"/>
      <c r="J300" s="4"/>
      <c r="K300" s="4"/>
      <c r="L300" s="4"/>
      <c r="M300" s="4"/>
      <c r="N300" s="4"/>
      <c r="O300" s="4"/>
      <c r="P300" s="4"/>
      <c r="Q300" s="4"/>
      <c r="R300" s="4"/>
      <c r="S300" s="4"/>
      <c r="T300" s="4"/>
      <c r="U300" s="4"/>
    </row>
    <row r="301" spans="2:27" ht="24" x14ac:dyDescent="0.3">
      <c r="C301" s="10" t="s">
        <v>18</v>
      </c>
      <c r="D301" s="10" t="s">
        <v>119</v>
      </c>
      <c r="E301" s="10"/>
      <c r="F301" s="10"/>
      <c r="G301" s="136" t="s">
        <v>19</v>
      </c>
      <c r="H301" s="136"/>
      <c r="I301" s="10" t="s">
        <v>20</v>
      </c>
      <c r="J301" s="10" t="s">
        <v>120</v>
      </c>
      <c r="K301" s="10" t="s">
        <v>196</v>
      </c>
      <c r="L301" s="10" t="s">
        <v>122</v>
      </c>
      <c r="M301" s="10" t="s">
        <v>21</v>
      </c>
      <c r="N301" s="10" t="s">
        <v>22</v>
      </c>
      <c r="O301" s="10" t="s">
        <v>23</v>
      </c>
      <c r="P301" s="10" t="s">
        <v>24</v>
      </c>
      <c r="Q301" s="10" t="s">
        <v>25</v>
      </c>
      <c r="R301" s="136" t="s">
        <v>229</v>
      </c>
      <c r="S301" s="136"/>
      <c r="T301" s="10" t="s">
        <v>230</v>
      </c>
      <c r="U301" s="10" t="s">
        <v>27</v>
      </c>
      <c r="V301" s="10" t="s">
        <v>28</v>
      </c>
      <c r="W301" s="10" t="s">
        <v>29</v>
      </c>
      <c r="X301" s="10" t="s">
        <v>30</v>
      </c>
      <c r="Y301" s="10" t="s">
        <v>31</v>
      </c>
      <c r="Z301" s="10" t="s">
        <v>32</v>
      </c>
      <c r="AA301" s="10" t="s">
        <v>33</v>
      </c>
    </row>
    <row r="302" spans="2:27" ht="19" x14ac:dyDescent="0.25">
      <c r="D302" s="4"/>
      <c r="E302" s="4"/>
      <c r="F302" s="4"/>
      <c r="G302" s="24" t="s">
        <v>461</v>
      </c>
      <c r="H302" s="24" t="s">
        <v>462</v>
      </c>
      <c r="I302" s="4"/>
      <c r="J302" s="4"/>
      <c r="K302" s="4"/>
      <c r="L302" s="4"/>
      <c r="M302" s="4"/>
      <c r="N302" s="4"/>
      <c r="O302" s="4"/>
      <c r="P302" s="4"/>
      <c r="Q302" s="4"/>
      <c r="R302" s="24" t="s">
        <v>461</v>
      </c>
      <c r="S302" s="24" t="s">
        <v>462</v>
      </c>
      <c r="T302" s="4"/>
      <c r="U302" s="4"/>
      <c r="Z302" s="9" t="s">
        <v>463</v>
      </c>
      <c r="AA302" s="36" t="s">
        <v>373</v>
      </c>
    </row>
    <row r="303" spans="2:27" ht="19" x14ac:dyDescent="0.25">
      <c r="C303" s="22" t="s">
        <v>464</v>
      </c>
      <c r="D303" s="4" t="str">
        <f>IFERROR(INDEX(Table_S12!$A$4:$A$324, MATCH(C303, Table_S12!$B$4:$B$324, 0)), "CSD Code Not Found")</f>
        <v>CSD Code Not Found</v>
      </c>
      <c r="E303" s="4"/>
      <c r="F303" s="4"/>
      <c r="G303" s="22" t="s">
        <v>418</v>
      </c>
      <c r="H303" s="22" t="s">
        <v>418</v>
      </c>
      <c r="I303" s="4"/>
      <c r="J303" s="4"/>
      <c r="K303" s="4"/>
      <c r="L303" s="22" t="s">
        <v>418</v>
      </c>
      <c r="M303" s="4"/>
      <c r="N303" s="4"/>
      <c r="O303" s="4"/>
      <c r="P303" s="4"/>
      <c r="Q303" s="22" t="s">
        <v>465</v>
      </c>
      <c r="R303" s="22">
        <v>798</v>
      </c>
      <c r="S303" s="22">
        <v>409</v>
      </c>
      <c r="T303" s="4"/>
      <c r="U303" s="4"/>
      <c r="AA303" s="36" t="s">
        <v>394</v>
      </c>
    </row>
    <row r="304" spans="2:27" ht="19" x14ac:dyDescent="0.25">
      <c r="C304" s="22" t="s">
        <v>466</v>
      </c>
      <c r="D304" s="4" t="str">
        <f>IFERROR(INDEX(Table_S12!$A$4:$A$324, MATCH(C304, Table_S12!$B$4:$B$324, 0)), "CSD Code Not Found")</f>
        <v>CSD Code Not Found</v>
      </c>
      <c r="E304" s="4"/>
      <c r="F304" s="4"/>
      <c r="G304" s="22" t="s">
        <v>418</v>
      </c>
      <c r="H304" s="22" t="s">
        <v>467</v>
      </c>
      <c r="I304" s="4"/>
      <c r="J304" s="4"/>
      <c r="K304" s="4"/>
      <c r="L304" s="22" t="s">
        <v>418</v>
      </c>
      <c r="M304" s="4"/>
      <c r="N304" s="4"/>
      <c r="O304" s="4"/>
      <c r="P304" s="4"/>
      <c r="Q304" s="22">
        <v>1</v>
      </c>
      <c r="R304" s="22">
        <v>2440</v>
      </c>
      <c r="S304" s="22">
        <v>2310</v>
      </c>
      <c r="T304" s="4"/>
      <c r="U304" s="4"/>
      <c r="AA304" s="36" t="s">
        <v>468</v>
      </c>
    </row>
    <row r="305" spans="3:27" ht="19" x14ac:dyDescent="0.25">
      <c r="C305" s="22" t="s">
        <v>469</v>
      </c>
      <c r="D305" s="4" t="str">
        <f>IFERROR(INDEX(Table_S12!$A$4:$A$324, MATCH(C305, Table_S12!$B$4:$B$324, 0)), "CSD Code Not Found")</f>
        <v>CSD Code Not Found</v>
      </c>
      <c r="E305" s="4"/>
      <c r="F305" s="4"/>
      <c r="G305" s="22" t="s">
        <v>470</v>
      </c>
      <c r="H305" s="22" t="s">
        <v>471</v>
      </c>
      <c r="I305" s="4"/>
      <c r="J305" s="4"/>
      <c r="K305" s="4"/>
      <c r="L305" s="22">
        <v>90</v>
      </c>
      <c r="M305" s="4"/>
      <c r="N305" s="4"/>
      <c r="O305" s="4"/>
      <c r="P305" s="4"/>
      <c r="Q305" s="22" t="s">
        <v>472</v>
      </c>
      <c r="R305" s="22">
        <v>1770</v>
      </c>
      <c r="S305" s="22">
        <v>345</v>
      </c>
      <c r="T305" s="4"/>
      <c r="U305" s="4"/>
      <c r="AA305" s="36" t="s">
        <v>473</v>
      </c>
    </row>
    <row r="306" spans="3:27" ht="19" x14ac:dyDescent="0.25">
      <c r="C306" s="22" t="s">
        <v>474</v>
      </c>
      <c r="D306" s="4" t="str">
        <f>IFERROR(INDEX(Table_S12!$A$4:$A$324, MATCH(C306, Table_S12!$B$4:$B$324, 0)), "CSD Code Not Found")</f>
        <v>CSD Code Not Found</v>
      </c>
      <c r="E306" s="4"/>
      <c r="F306" s="4"/>
      <c r="G306" s="22" t="s">
        <v>475</v>
      </c>
      <c r="H306" s="22" t="s">
        <v>476</v>
      </c>
      <c r="I306" s="4"/>
      <c r="J306" s="4"/>
      <c r="K306" s="4"/>
      <c r="L306" s="22" t="s">
        <v>477</v>
      </c>
      <c r="M306" s="4"/>
      <c r="N306" s="4"/>
      <c r="O306" s="4"/>
      <c r="P306" s="4"/>
      <c r="Q306" s="22">
        <v>0.15</v>
      </c>
      <c r="R306" s="22">
        <v>1770</v>
      </c>
      <c r="S306" s="22">
        <v>870</v>
      </c>
      <c r="T306" s="4"/>
      <c r="U306" s="4"/>
      <c r="AA306" s="36" t="s">
        <v>478</v>
      </c>
    </row>
    <row r="307" spans="3:27" ht="19" x14ac:dyDescent="0.25">
      <c r="C307" s="22" t="s">
        <v>479</v>
      </c>
      <c r="D307" s="4" t="str">
        <f>IFERROR(INDEX(Table_S12!$A$4:$A$324, MATCH(C307, Table_S12!$B$4:$B$324, 0)), "CSD Code Not Found")</f>
        <v>CSD Code Not Found</v>
      </c>
      <c r="E307" s="4"/>
      <c r="F307" s="4"/>
      <c r="G307" s="22" t="s">
        <v>480</v>
      </c>
      <c r="H307" s="22" t="s">
        <v>481</v>
      </c>
      <c r="I307" s="4"/>
      <c r="J307" s="4"/>
      <c r="K307" s="4"/>
      <c r="L307" s="22" t="s">
        <v>418</v>
      </c>
      <c r="M307" s="4"/>
      <c r="N307" s="4"/>
      <c r="O307" s="4"/>
      <c r="P307" s="4"/>
      <c r="Q307" s="22">
        <v>0.15</v>
      </c>
      <c r="R307" s="22">
        <v>3125</v>
      </c>
      <c r="S307" s="22">
        <v>608</v>
      </c>
      <c r="T307" s="4"/>
      <c r="U307" s="4"/>
      <c r="AA307" s="36" t="s">
        <v>482</v>
      </c>
    </row>
    <row r="308" spans="3:27" ht="19" x14ac:dyDescent="0.25">
      <c r="C308" s="22" t="s">
        <v>483</v>
      </c>
      <c r="D308" s="4" t="str">
        <f>IFERROR(INDEX(Table_S12!$A$4:$A$324, MATCH(C308, Table_S12!$B$4:$B$324, 0)), "CSD Code Not Found")</f>
        <v>CSD Code Not Found</v>
      </c>
      <c r="E308" s="4"/>
      <c r="F308" s="4"/>
      <c r="G308" s="22" t="s">
        <v>484</v>
      </c>
      <c r="H308" s="22" t="s">
        <v>485</v>
      </c>
      <c r="I308" s="4"/>
      <c r="J308" s="4"/>
      <c r="K308" s="4"/>
      <c r="L308" s="22" t="s">
        <v>418</v>
      </c>
      <c r="M308" s="4"/>
      <c r="N308" s="4"/>
      <c r="O308" s="4"/>
      <c r="P308" s="4"/>
      <c r="Q308" s="22" t="s">
        <v>486</v>
      </c>
      <c r="R308" s="22">
        <v>1628</v>
      </c>
      <c r="S308" s="22" t="s">
        <v>418</v>
      </c>
      <c r="T308" s="4"/>
      <c r="U308" s="4"/>
    </row>
    <row r="309" spans="3:27" ht="19" x14ac:dyDescent="0.25">
      <c r="C309" s="4"/>
      <c r="D309" s="4"/>
      <c r="E309" s="4"/>
      <c r="F309" s="4"/>
      <c r="G309" s="4"/>
      <c r="H309" s="4" t="s">
        <v>487</v>
      </c>
      <c r="I309" s="4"/>
      <c r="J309" s="4"/>
      <c r="K309" s="4"/>
      <c r="L309" s="4"/>
      <c r="M309" s="4"/>
      <c r="N309" s="4"/>
      <c r="O309" s="4"/>
      <c r="P309" s="4"/>
      <c r="Q309" s="4"/>
      <c r="R309" s="4"/>
      <c r="S309" s="4"/>
      <c r="T309" s="4"/>
      <c r="U309" s="4"/>
    </row>
    <row r="310" spans="3:27" ht="19" x14ac:dyDescent="0.25">
      <c r="C310" s="4"/>
      <c r="D310" s="4"/>
      <c r="E310" s="4"/>
      <c r="F310" s="4"/>
      <c r="G310" s="4"/>
      <c r="H310" s="4"/>
      <c r="I310" s="4"/>
      <c r="J310" s="4"/>
      <c r="K310" s="4"/>
      <c r="L310" s="4"/>
      <c r="M310" s="4"/>
      <c r="N310" s="4"/>
      <c r="O310" s="4"/>
      <c r="P310" s="4"/>
      <c r="Q310" s="4"/>
      <c r="R310" s="4"/>
      <c r="S310" s="4"/>
      <c r="T310" s="4"/>
      <c r="U310" s="4"/>
    </row>
    <row r="311" spans="3:27" ht="19" x14ac:dyDescent="0.25">
      <c r="C311" s="4"/>
      <c r="D311" s="4"/>
      <c r="E311" s="4"/>
      <c r="F311" s="4"/>
      <c r="G311" s="4"/>
      <c r="H311" s="4"/>
      <c r="I311" s="4"/>
      <c r="J311" s="4"/>
      <c r="K311" s="4"/>
      <c r="L311" s="4"/>
      <c r="M311" s="4"/>
      <c r="N311" s="4"/>
      <c r="O311" s="4"/>
      <c r="P311" s="4"/>
      <c r="Q311" s="4"/>
      <c r="R311" s="4"/>
      <c r="S311" s="4"/>
      <c r="T311" s="4"/>
      <c r="U311" s="4"/>
    </row>
    <row r="312" spans="3:27" ht="19" x14ac:dyDescent="0.25">
      <c r="C312" s="4"/>
      <c r="D312" s="4"/>
      <c r="E312" s="4"/>
      <c r="F312" s="4"/>
      <c r="G312" s="4"/>
      <c r="H312" s="4"/>
      <c r="I312" s="4"/>
      <c r="J312" s="4"/>
      <c r="K312" s="4"/>
      <c r="L312" s="4"/>
      <c r="M312" s="4"/>
      <c r="N312" s="4"/>
      <c r="O312" s="4"/>
      <c r="P312" s="4"/>
      <c r="Q312" s="4"/>
      <c r="R312" s="4"/>
      <c r="S312" s="4"/>
      <c r="T312" s="4"/>
      <c r="U312" s="4"/>
    </row>
    <row r="313" spans="3:27" ht="19" x14ac:dyDescent="0.25">
      <c r="C313" s="4"/>
      <c r="D313" s="4"/>
      <c r="E313" s="4"/>
      <c r="F313" s="4"/>
      <c r="G313" s="4"/>
      <c r="H313" s="4"/>
      <c r="I313" s="4"/>
      <c r="J313" s="4"/>
      <c r="K313" s="4"/>
      <c r="L313" s="4"/>
      <c r="M313" s="4"/>
      <c r="N313" s="4"/>
      <c r="O313" s="4"/>
      <c r="P313" s="4"/>
      <c r="Q313" s="4"/>
      <c r="R313" s="4"/>
      <c r="S313" s="4"/>
      <c r="T313" s="4"/>
      <c r="U313" s="4"/>
    </row>
    <row r="314" spans="3:27" ht="19" x14ac:dyDescent="0.25">
      <c r="C314" s="4"/>
      <c r="D314" s="4"/>
      <c r="E314" s="4"/>
      <c r="F314" s="4"/>
      <c r="G314" s="4"/>
      <c r="H314" s="4"/>
      <c r="I314" s="4"/>
      <c r="J314" s="4"/>
      <c r="K314" s="4"/>
      <c r="L314" s="4"/>
      <c r="M314" s="4"/>
      <c r="N314" s="4"/>
      <c r="O314" s="4"/>
      <c r="P314" s="4"/>
      <c r="Q314" s="4"/>
      <c r="R314" s="4"/>
      <c r="S314" s="4"/>
      <c r="T314" s="4"/>
      <c r="U314" s="4"/>
    </row>
    <row r="315" spans="3:27" ht="19" x14ac:dyDescent="0.25">
      <c r="C315" s="4"/>
      <c r="D315" s="4"/>
      <c r="E315" s="4"/>
      <c r="F315" s="4"/>
      <c r="G315" s="4"/>
      <c r="H315" s="4"/>
      <c r="I315" s="4"/>
      <c r="J315" s="4"/>
      <c r="K315" s="4"/>
      <c r="L315" s="4"/>
      <c r="M315" s="4"/>
      <c r="N315" s="4"/>
      <c r="O315" s="4"/>
      <c r="P315" s="4"/>
      <c r="Q315" s="4"/>
      <c r="R315" s="4"/>
      <c r="S315" s="4"/>
      <c r="T315" s="4"/>
      <c r="U315" s="4"/>
    </row>
    <row r="316" spans="3:27" ht="19" x14ac:dyDescent="0.25">
      <c r="C316" s="4"/>
      <c r="D316" s="4"/>
      <c r="E316" s="4"/>
      <c r="F316" s="4"/>
      <c r="G316" s="4"/>
      <c r="H316" s="4"/>
      <c r="I316" s="4"/>
      <c r="J316" s="4"/>
      <c r="K316" s="4"/>
      <c r="L316" s="4"/>
      <c r="M316" s="4"/>
      <c r="N316" s="4"/>
      <c r="O316" s="4"/>
      <c r="P316" s="4"/>
      <c r="Q316" s="4"/>
      <c r="R316" s="4"/>
      <c r="S316" s="4"/>
      <c r="T316" s="4"/>
      <c r="U316" s="4"/>
    </row>
    <row r="317" spans="3:27" ht="19" x14ac:dyDescent="0.25">
      <c r="C317" s="4"/>
      <c r="D317" s="4"/>
      <c r="E317" s="4"/>
      <c r="F317" s="4"/>
      <c r="G317" s="4"/>
      <c r="H317" s="4"/>
      <c r="I317" s="4"/>
      <c r="J317" s="4"/>
      <c r="K317" s="4"/>
      <c r="L317" s="4"/>
      <c r="M317" s="4"/>
      <c r="N317" s="4"/>
      <c r="O317" s="4"/>
      <c r="P317" s="4"/>
      <c r="Q317" s="4"/>
      <c r="R317" s="4"/>
      <c r="S317" s="4"/>
      <c r="T317" s="4"/>
      <c r="U317" s="4"/>
    </row>
    <row r="318" spans="3:27" ht="19" x14ac:dyDescent="0.25">
      <c r="C318" s="4"/>
      <c r="D318" s="4"/>
      <c r="E318" s="4"/>
      <c r="F318" s="4"/>
      <c r="G318" s="4"/>
      <c r="H318" s="4"/>
      <c r="I318" s="4"/>
      <c r="J318" s="4"/>
      <c r="K318" s="4"/>
      <c r="L318" s="4"/>
      <c r="M318" s="4"/>
      <c r="N318" s="4"/>
      <c r="O318" s="4"/>
      <c r="P318" s="4"/>
      <c r="Q318" s="4"/>
      <c r="R318" s="4"/>
      <c r="S318" s="4"/>
      <c r="T318" s="4"/>
      <c r="U318" s="4"/>
    </row>
    <row r="319" spans="3:27" ht="19" x14ac:dyDescent="0.25">
      <c r="C319" s="4"/>
      <c r="D319" s="4"/>
      <c r="E319" s="4"/>
      <c r="F319" s="4"/>
      <c r="G319" s="4"/>
      <c r="H319" s="4"/>
      <c r="I319" s="4"/>
      <c r="J319" s="4"/>
      <c r="K319" s="4"/>
      <c r="L319" s="4"/>
      <c r="M319" s="4"/>
      <c r="N319" s="4"/>
      <c r="O319" s="4"/>
      <c r="P319" s="4"/>
      <c r="Q319" s="4"/>
      <c r="R319" s="4"/>
      <c r="S319" s="4"/>
      <c r="T319" s="4"/>
      <c r="U319" s="4"/>
    </row>
    <row r="320" spans="3:27" ht="19" x14ac:dyDescent="0.25">
      <c r="C320" s="4"/>
      <c r="D320" s="4"/>
      <c r="E320" s="4"/>
      <c r="F320" s="4"/>
      <c r="G320" s="4"/>
      <c r="H320" s="4"/>
      <c r="I320" s="4"/>
      <c r="J320" s="4"/>
      <c r="K320" s="4"/>
      <c r="L320" s="4"/>
      <c r="M320" s="4"/>
      <c r="N320" s="4"/>
      <c r="O320" s="4"/>
      <c r="P320" s="4"/>
      <c r="Q320" s="4"/>
      <c r="R320" s="4"/>
      <c r="S320" s="4"/>
      <c r="T320" s="4"/>
      <c r="U320" s="4"/>
    </row>
    <row r="321" spans="3:21" ht="19" x14ac:dyDescent="0.25">
      <c r="C321" s="4"/>
      <c r="D321" s="4"/>
      <c r="E321" s="4"/>
      <c r="F321" s="4"/>
      <c r="G321" s="4"/>
      <c r="H321" s="4"/>
      <c r="I321" s="4"/>
      <c r="J321" s="4"/>
      <c r="K321" s="4"/>
      <c r="L321" s="4"/>
      <c r="M321" s="4"/>
      <c r="N321" s="4"/>
      <c r="O321" s="4"/>
      <c r="P321" s="4"/>
      <c r="Q321" s="4"/>
      <c r="R321" s="4"/>
      <c r="S321" s="4"/>
      <c r="T321" s="4"/>
      <c r="U321" s="4"/>
    </row>
    <row r="322" spans="3:21" ht="19" x14ac:dyDescent="0.25">
      <c r="C322" s="4"/>
      <c r="D322" s="4"/>
      <c r="E322" s="4"/>
      <c r="F322" s="4"/>
      <c r="G322" s="4"/>
      <c r="H322" s="4"/>
      <c r="I322" s="4"/>
      <c r="J322" s="4"/>
      <c r="K322" s="4"/>
      <c r="L322" s="4"/>
      <c r="M322" s="4"/>
      <c r="N322" s="4"/>
      <c r="O322" s="4"/>
      <c r="P322" s="4"/>
      <c r="Q322" s="4"/>
      <c r="R322" s="4"/>
      <c r="S322" s="4"/>
      <c r="T322" s="4"/>
      <c r="U322" s="4"/>
    </row>
    <row r="323" spans="3:21" ht="19" x14ac:dyDescent="0.25">
      <c r="C323" s="4"/>
      <c r="D323" s="4"/>
      <c r="E323" s="4"/>
      <c r="F323" s="4"/>
      <c r="G323" s="4"/>
      <c r="H323" s="4"/>
      <c r="I323" s="4"/>
      <c r="J323" s="4"/>
      <c r="K323" s="4"/>
      <c r="L323" s="4"/>
      <c r="M323" s="4"/>
      <c r="N323" s="4"/>
      <c r="O323" s="4"/>
      <c r="P323" s="4"/>
      <c r="Q323" s="4"/>
      <c r="R323" s="4"/>
      <c r="S323" s="4"/>
      <c r="T323" s="4"/>
      <c r="U323" s="4"/>
    </row>
    <row r="324" spans="3:21" ht="19" x14ac:dyDescent="0.25">
      <c r="C324" s="4"/>
      <c r="D324" s="4"/>
      <c r="E324" s="4"/>
      <c r="F324" s="4"/>
      <c r="G324" s="4"/>
      <c r="H324" s="4"/>
      <c r="I324" s="4"/>
      <c r="J324" s="4"/>
      <c r="K324" s="4"/>
      <c r="L324" s="4"/>
      <c r="M324" s="4"/>
      <c r="N324" s="4"/>
      <c r="O324" s="4"/>
      <c r="P324" s="4"/>
      <c r="Q324" s="4"/>
      <c r="R324" s="4"/>
      <c r="S324" s="4"/>
      <c r="T324" s="4"/>
      <c r="U324" s="4"/>
    </row>
    <row r="325" spans="3:21" ht="19" x14ac:dyDescent="0.25">
      <c r="C325" s="4"/>
      <c r="D325" s="4"/>
      <c r="E325" s="4"/>
      <c r="F325" s="4"/>
      <c r="G325" s="4"/>
      <c r="H325" s="4"/>
      <c r="I325" s="4"/>
      <c r="J325" s="4"/>
      <c r="K325" s="4"/>
      <c r="L325" s="4"/>
      <c r="M325" s="4"/>
      <c r="N325" s="4"/>
      <c r="O325" s="4"/>
      <c r="P325" s="4"/>
      <c r="Q325" s="4"/>
      <c r="R325" s="4"/>
      <c r="S325" s="4"/>
      <c r="T325" s="4"/>
      <c r="U325" s="4"/>
    </row>
    <row r="326" spans="3:21" ht="19" x14ac:dyDescent="0.25">
      <c r="C326" s="4"/>
      <c r="D326" s="4"/>
      <c r="E326" s="4"/>
      <c r="F326" s="4"/>
      <c r="G326" s="4"/>
      <c r="H326" s="4"/>
      <c r="I326" s="4"/>
      <c r="J326" s="4"/>
      <c r="K326" s="4"/>
      <c r="L326" s="4"/>
      <c r="M326" s="4"/>
      <c r="N326" s="4"/>
      <c r="O326" s="4"/>
      <c r="P326" s="4"/>
      <c r="Q326" s="4"/>
      <c r="R326" s="4"/>
      <c r="S326" s="4"/>
      <c r="T326" s="4"/>
      <c r="U326" s="4"/>
    </row>
    <row r="327" spans="3:21" ht="19" x14ac:dyDescent="0.25">
      <c r="C327" s="4"/>
      <c r="D327" s="4"/>
      <c r="E327" s="4"/>
      <c r="F327" s="4"/>
      <c r="G327" s="4"/>
      <c r="H327" s="4"/>
      <c r="I327" s="4"/>
      <c r="J327" s="4"/>
      <c r="K327" s="4"/>
      <c r="L327" s="4"/>
      <c r="M327" s="4"/>
      <c r="N327" s="4"/>
      <c r="O327" s="4"/>
      <c r="P327" s="4"/>
      <c r="Q327" s="4"/>
      <c r="R327" s="4"/>
      <c r="S327" s="4"/>
      <c r="T327" s="4"/>
      <c r="U327" s="4"/>
    </row>
    <row r="328" spans="3:21" ht="19" x14ac:dyDescent="0.25">
      <c r="C328" s="4"/>
      <c r="D328" s="4"/>
      <c r="E328" s="4"/>
      <c r="F328" s="4"/>
      <c r="G328" s="4"/>
      <c r="H328" s="4"/>
      <c r="I328" s="4"/>
      <c r="J328" s="4"/>
      <c r="K328" s="4"/>
      <c r="L328" s="4"/>
      <c r="M328" s="4"/>
      <c r="N328" s="4"/>
      <c r="O328" s="4"/>
      <c r="P328" s="4"/>
      <c r="Q328" s="4"/>
      <c r="R328" s="4"/>
      <c r="S328" s="4"/>
      <c r="T328" s="4"/>
      <c r="U328" s="4"/>
    </row>
    <row r="329" spans="3:21" ht="19" x14ac:dyDescent="0.25">
      <c r="C329" s="4"/>
      <c r="D329" s="4"/>
      <c r="E329" s="4"/>
      <c r="F329" s="4"/>
      <c r="G329" s="4"/>
      <c r="H329" s="4"/>
      <c r="I329" s="4"/>
      <c r="J329" s="4"/>
      <c r="K329" s="4"/>
      <c r="L329" s="4"/>
      <c r="M329" s="4"/>
      <c r="N329" s="4"/>
      <c r="O329" s="4"/>
      <c r="P329" s="4"/>
      <c r="Q329" s="4"/>
      <c r="R329" s="4"/>
      <c r="S329" s="4"/>
      <c r="T329" s="4"/>
      <c r="U329" s="4"/>
    </row>
    <row r="330" spans="3:21" ht="19" x14ac:dyDescent="0.25">
      <c r="C330" s="4"/>
      <c r="D330" s="4"/>
      <c r="E330" s="4"/>
      <c r="F330" s="4"/>
      <c r="G330" s="4"/>
      <c r="H330" s="4"/>
      <c r="I330" s="4"/>
      <c r="J330" s="4"/>
      <c r="K330" s="4"/>
      <c r="L330" s="4"/>
      <c r="M330" s="4"/>
      <c r="N330" s="4"/>
      <c r="O330" s="4"/>
      <c r="P330" s="4"/>
      <c r="Q330" s="4"/>
      <c r="R330" s="4"/>
      <c r="S330" s="4"/>
      <c r="T330" s="4"/>
      <c r="U330" s="4"/>
    </row>
    <row r="331" spans="3:21" ht="19" x14ac:dyDescent="0.25">
      <c r="C331" s="4"/>
      <c r="D331" s="4"/>
      <c r="E331" s="4"/>
      <c r="F331" s="4"/>
      <c r="G331" s="4"/>
      <c r="H331" s="4"/>
      <c r="I331" s="4"/>
      <c r="J331" s="4"/>
      <c r="K331" s="4"/>
      <c r="L331" s="4"/>
      <c r="M331" s="4"/>
      <c r="N331" s="4"/>
      <c r="O331" s="4"/>
      <c r="P331" s="4"/>
      <c r="Q331" s="4"/>
      <c r="R331" s="4"/>
      <c r="S331" s="4"/>
      <c r="T331" s="4"/>
      <c r="U331" s="4"/>
    </row>
    <row r="332" spans="3:21" ht="19" x14ac:dyDescent="0.25">
      <c r="C332" s="4"/>
      <c r="D332" s="4"/>
      <c r="E332" s="4"/>
      <c r="F332" s="4"/>
      <c r="G332" s="4"/>
      <c r="H332" s="4"/>
      <c r="I332" s="4"/>
      <c r="J332" s="4"/>
      <c r="K332" s="4"/>
      <c r="L332" s="4"/>
      <c r="M332" s="4"/>
      <c r="N332" s="4"/>
      <c r="O332" s="4"/>
      <c r="P332" s="4"/>
      <c r="Q332" s="4"/>
      <c r="R332" s="4"/>
      <c r="S332" s="4"/>
      <c r="T332" s="4"/>
      <c r="U332" s="4"/>
    </row>
    <row r="333" spans="3:21" ht="19" x14ac:dyDescent="0.25">
      <c r="C333" s="4"/>
      <c r="D333" s="4"/>
      <c r="E333" s="4"/>
      <c r="F333" s="4"/>
      <c r="G333" s="4"/>
      <c r="H333" s="4"/>
      <c r="I333" s="4"/>
      <c r="J333" s="4"/>
      <c r="K333" s="4"/>
      <c r="L333" s="4"/>
      <c r="M333" s="4"/>
      <c r="N333" s="4"/>
      <c r="O333" s="4"/>
      <c r="P333" s="4"/>
      <c r="Q333" s="4"/>
      <c r="R333" s="4"/>
      <c r="S333" s="4"/>
      <c r="T333" s="4"/>
      <c r="U333" s="4"/>
    </row>
    <row r="334" spans="3:21" ht="19" x14ac:dyDescent="0.25">
      <c r="C334" s="4"/>
      <c r="D334" s="4"/>
      <c r="E334" s="4"/>
      <c r="F334" s="4"/>
      <c r="G334" s="4"/>
      <c r="H334" s="4"/>
      <c r="I334" s="4"/>
      <c r="J334" s="4"/>
      <c r="K334" s="4"/>
      <c r="L334" s="4"/>
      <c r="M334" s="4"/>
      <c r="N334" s="4"/>
      <c r="O334" s="4"/>
      <c r="P334" s="4"/>
      <c r="Q334" s="4"/>
      <c r="R334" s="4"/>
      <c r="S334" s="4"/>
      <c r="T334" s="4"/>
      <c r="U334" s="4"/>
    </row>
    <row r="335" spans="3:21" ht="19" x14ac:dyDescent="0.25">
      <c r="C335" s="4"/>
      <c r="D335" s="4"/>
      <c r="E335" s="4"/>
      <c r="F335" s="4"/>
      <c r="G335" s="4"/>
      <c r="H335" s="4"/>
      <c r="I335" s="4"/>
      <c r="J335" s="4"/>
      <c r="K335" s="4"/>
      <c r="L335" s="4"/>
      <c r="M335" s="4"/>
      <c r="N335" s="4"/>
      <c r="O335" s="4"/>
      <c r="P335" s="4"/>
      <c r="Q335" s="4"/>
      <c r="R335" s="4"/>
      <c r="S335" s="4"/>
      <c r="T335" s="4"/>
      <c r="U335" s="4"/>
    </row>
    <row r="336" spans="3:21" ht="19" x14ac:dyDescent="0.25">
      <c r="C336" s="4"/>
      <c r="D336" s="4"/>
      <c r="E336" s="4"/>
      <c r="F336" s="4"/>
      <c r="G336" s="4"/>
      <c r="H336" s="4"/>
      <c r="I336" s="4"/>
      <c r="J336" s="4"/>
      <c r="K336" s="4"/>
      <c r="L336" s="4"/>
      <c r="M336" s="4"/>
      <c r="N336" s="4"/>
      <c r="O336" s="4"/>
      <c r="P336" s="4"/>
      <c r="Q336" s="4"/>
      <c r="R336" s="4"/>
      <c r="S336" s="4"/>
      <c r="T336" s="4"/>
      <c r="U336" s="4"/>
    </row>
    <row r="337" spans="3:21" ht="19" x14ac:dyDescent="0.25">
      <c r="C337" s="4"/>
      <c r="D337" s="4"/>
      <c r="E337" s="4"/>
      <c r="F337" s="4"/>
      <c r="G337" s="4"/>
      <c r="H337" s="4"/>
      <c r="I337" s="4"/>
      <c r="J337" s="4"/>
      <c r="K337" s="4"/>
      <c r="L337" s="4"/>
      <c r="M337" s="4"/>
      <c r="N337" s="4"/>
      <c r="O337" s="4"/>
      <c r="P337" s="4"/>
      <c r="Q337" s="4"/>
      <c r="R337" s="4"/>
      <c r="S337" s="4"/>
      <c r="T337" s="4"/>
      <c r="U337" s="4"/>
    </row>
    <row r="338" spans="3:21" ht="19" x14ac:dyDescent="0.25">
      <c r="C338" s="4"/>
      <c r="D338" s="4"/>
      <c r="E338" s="4"/>
      <c r="F338" s="4"/>
      <c r="G338" s="4"/>
      <c r="H338" s="4"/>
      <c r="I338" s="4"/>
      <c r="J338" s="4"/>
      <c r="K338" s="4"/>
      <c r="L338" s="4"/>
      <c r="M338" s="4"/>
      <c r="N338" s="4"/>
      <c r="O338" s="4"/>
      <c r="P338" s="4"/>
      <c r="Q338" s="4"/>
      <c r="R338" s="4"/>
      <c r="S338" s="4"/>
      <c r="T338" s="4"/>
      <c r="U338" s="4"/>
    </row>
    <row r="339" spans="3:21" ht="19" x14ac:dyDescent="0.25">
      <c r="C339" s="4"/>
      <c r="D339" s="4"/>
      <c r="E339" s="4"/>
      <c r="F339" s="4"/>
      <c r="G339" s="4"/>
      <c r="H339" s="4"/>
      <c r="I339" s="4"/>
      <c r="J339" s="4"/>
      <c r="K339" s="4"/>
      <c r="L339" s="4"/>
      <c r="M339" s="4"/>
      <c r="N339" s="4"/>
      <c r="O339" s="4"/>
      <c r="P339" s="4"/>
      <c r="Q339" s="4"/>
      <c r="R339" s="4"/>
      <c r="S339" s="4"/>
      <c r="T339" s="4"/>
      <c r="U339" s="4"/>
    </row>
    <row r="340" spans="3:21" ht="19" x14ac:dyDescent="0.25">
      <c r="C340" s="4"/>
      <c r="D340" s="4"/>
      <c r="E340" s="4"/>
      <c r="F340" s="4"/>
      <c r="G340" s="4"/>
      <c r="H340" s="4"/>
      <c r="I340" s="4"/>
      <c r="J340" s="4"/>
      <c r="K340" s="4"/>
      <c r="L340" s="4"/>
      <c r="M340" s="4"/>
      <c r="N340" s="4"/>
      <c r="O340" s="4"/>
      <c r="P340" s="4"/>
      <c r="Q340" s="4"/>
      <c r="R340" s="4"/>
      <c r="S340" s="4"/>
      <c r="T340" s="4"/>
      <c r="U340" s="4"/>
    </row>
    <row r="341" spans="3:21" ht="19" x14ac:dyDescent="0.25">
      <c r="C341" s="4"/>
      <c r="D341" s="4"/>
      <c r="E341" s="4"/>
      <c r="F341" s="4"/>
      <c r="G341" s="4"/>
      <c r="H341" s="4"/>
      <c r="I341" s="4"/>
      <c r="J341" s="4"/>
      <c r="K341" s="4"/>
      <c r="L341" s="4"/>
      <c r="M341" s="4"/>
      <c r="N341" s="4"/>
      <c r="O341" s="4"/>
      <c r="P341" s="4"/>
      <c r="Q341" s="4"/>
      <c r="R341" s="4"/>
      <c r="S341" s="4"/>
      <c r="T341" s="4"/>
      <c r="U341" s="4"/>
    </row>
    <row r="342" spans="3:21" ht="19" x14ac:dyDescent="0.25">
      <c r="C342" s="4"/>
      <c r="D342" s="4"/>
      <c r="E342" s="4"/>
      <c r="F342" s="4"/>
      <c r="G342" s="4"/>
      <c r="H342" s="4"/>
      <c r="I342" s="4"/>
      <c r="J342" s="4"/>
      <c r="K342" s="4"/>
      <c r="L342" s="4"/>
      <c r="M342" s="4"/>
      <c r="N342" s="4"/>
      <c r="O342" s="4"/>
      <c r="P342" s="4"/>
      <c r="Q342" s="4"/>
      <c r="R342" s="4"/>
      <c r="S342" s="4"/>
      <c r="T342" s="4"/>
      <c r="U342" s="4"/>
    </row>
    <row r="343" spans="3:21" ht="19" x14ac:dyDescent="0.25">
      <c r="C343" s="4"/>
      <c r="D343" s="4"/>
      <c r="E343" s="4"/>
      <c r="F343" s="4"/>
      <c r="G343" s="4"/>
      <c r="H343" s="4"/>
      <c r="I343" s="4"/>
      <c r="J343" s="4"/>
      <c r="K343" s="4"/>
      <c r="L343" s="4"/>
      <c r="M343" s="4"/>
      <c r="N343" s="4"/>
      <c r="O343" s="4"/>
      <c r="P343" s="4"/>
      <c r="Q343" s="4"/>
      <c r="R343" s="4"/>
      <c r="S343" s="4"/>
      <c r="T343" s="4"/>
      <c r="U343" s="4"/>
    </row>
    <row r="344" spans="3:21" ht="19" x14ac:dyDescent="0.25">
      <c r="C344" s="4"/>
      <c r="D344" s="4"/>
      <c r="E344" s="4"/>
      <c r="F344" s="4"/>
      <c r="G344" s="4"/>
      <c r="H344" s="4"/>
      <c r="I344" s="4"/>
      <c r="J344" s="4"/>
      <c r="K344" s="4"/>
      <c r="L344" s="4"/>
      <c r="M344" s="4"/>
      <c r="N344" s="4"/>
      <c r="O344" s="4"/>
      <c r="P344" s="4"/>
      <c r="Q344" s="4"/>
      <c r="R344" s="4"/>
      <c r="S344" s="4"/>
      <c r="T344" s="4"/>
      <c r="U344" s="4"/>
    </row>
    <row r="345" spans="3:21" ht="19" x14ac:dyDescent="0.25">
      <c r="C345" s="4"/>
      <c r="D345" s="4"/>
      <c r="E345" s="4"/>
      <c r="F345" s="4"/>
      <c r="G345" s="4"/>
      <c r="H345" s="4"/>
      <c r="I345" s="4"/>
      <c r="J345" s="4"/>
      <c r="K345" s="4"/>
      <c r="L345" s="4"/>
      <c r="M345" s="4"/>
      <c r="N345" s="4"/>
      <c r="O345" s="4"/>
      <c r="P345" s="4"/>
      <c r="Q345" s="4"/>
      <c r="R345" s="4"/>
      <c r="S345" s="4"/>
      <c r="T345" s="4"/>
      <c r="U345" s="4"/>
    </row>
    <row r="346" spans="3:21" ht="19" x14ac:dyDescent="0.25">
      <c r="C346" s="4"/>
      <c r="D346" s="4"/>
      <c r="E346" s="4"/>
      <c r="F346" s="4"/>
      <c r="G346" s="4"/>
      <c r="H346" s="4"/>
      <c r="I346" s="4"/>
      <c r="J346" s="4"/>
      <c r="K346" s="4"/>
      <c r="L346" s="4"/>
      <c r="M346" s="4"/>
      <c r="N346" s="4"/>
      <c r="O346" s="4"/>
      <c r="P346" s="4"/>
      <c r="Q346" s="4"/>
      <c r="R346" s="4"/>
      <c r="S346" s="4"/>
      <c r="T346" s="4"/>
      <c r="U346" s="4"/>
    </row>
    <row r="347" spans="3:21" ht="19" x14ac:dyDescent="0.25">
      <c r="C347" s="4"/>
      <c r="D347" s="4"/>
      <c r="E347" s="4"/>
      <c r="F347" s="4"/>
      <c r="G347" s="4"/>
      <c r="H347" s="4"/>
      <c r="I347" s="4"/>
      <c r="J347" s="4"/>
      <c r="K347" s="4"/>
      <c r="L347" s="4"/>
      <c r="M347" s="4"/>
      <c r="N347" s="4"/>
      <c r="O347" s="4"/>
      <c r="P347" s="4"/>
      <c r="Q347" s="4"/>
      <c r="R347" s="4"/>
      <c r="S347" s="4"/>
      <c r="T347" s="4"/>
      <c r="U347" s="4"/>
    </row>
    <row r="348" spans="3:21" ht="19" x14ac:dyDescent="0.25">
      <c r="C348" s="4"/>
      <c r="D348" s="4"/>
      <c r="E348" s="4"/>
      <c r="F348" s="4"/>
      <c r="G348" s="4"/>
      <c r="H348" s="4"/>
      <c r="I348" s="4"/>
      <c r="J348" s="4"/>
      <c r="K348" s="4"/>
      <c r="L348" s="4"/>
      <c r="M348" s="4"/>
      <c r="N348" s="4"/>
      <c r="O348" s="4"/>
      <c r="P348" s="4"/>
      <c r="Q348" s="4"/>
      <c r="R348" s="4"/>
      <c r="S348" s="4"/>
      <c r="T348" s="4"/>
      <c r="U348" s="4"/>
    </row>
    <row r="349" spans="3:21" ht="19" x14ac:dyDescent="0.25">
      <c r="C349" s="4"/>
      <c r="D349" s="4"/>
      <c r="E349" s="4"/>
      <c r="F349" s="4"/>
      <c r="G349" s="4"/>
      <c r="H349" s="4"/>
      <c r="I349" s="4"/>
      <c r="J349" s="4"/>
      <c r="K349" s="4"/>
      <c r="L349" s="4"/>
      <c r="M349" s="4"/>
      <c r="N349" s="4"/>
      <c r="O349" s="4"/>
      <c r="P349" s="4"/>
      <c r="Q349" s="4"/>
      <c r="R349" s="4"/>
      <c r="S349" s="4"/>
      <c r="T349" s="4"/>
      <c r="U349" s="4"/>
    </row>
    <row r="350" spans="3:21" ht="19" x14ac:dyDescent="0.25">
      <c r="C350" s="4"/>
      <c r="D350" s="4"/>
      <c r="E350" s="4"/>
      <c r="F350" s="4"/>
      <c r="G350" s="4"/>
      <c r="H350" s="4"/>
      <c r="I350" s="4"/>
      <c r="J350" s="4"/>
      <c r="K350" s="4"/>
      <c r="L350" s="4"/>
      <c r="M350" s="4"/>
      <c r="N350" s="4"/>
      <c r="O350" s="4"/>
      <c r="P350" s="4"/>
      <c r="Q350" s="4"/>
      <c r="R350" s="4"/>
      <c r="S350" s="4"/>
      <c r="T350" s="4"/>
      <c r="U350" s="4"/>
    </row>
    <row r="351" spans="3:21" ht="19" x14ac:dyDescent="0.25">
      <c r="C351" s="4"/>
      <c r="D351" s="4"/>
      <c r="E351" s="4"/>
      <c r="F351" s="4"/>
      <c r="G351" s="4"/>
      <c r="H351" s="4"/>
      <c r="I351" s="4"/>
      <c r="J351" s="4"/>
      <c r="K351" s="4"/>
      <c r="L351" s="4"/>
      <c r="M351" s="4"/>
      <c r="N351" s="4"/>
      <c r="O351" s="4"/>
      <c r="P351" s="4"/>
      <c r="Q351" s="4"/>
      <c r="R351" s="4"/>
      <c r="S351" s="4"/>
      <c r="T351" s="4"/>
      <c r="U351" s="4"/>
    </row>
    <row r="352" spans="3:21" ht="19" x14ac:dyDescent="0.25">
      <c r="C352" s="4"/>
      <c r="D352" s="4"/>
      <c r="E352" s="4"/>
      <c r="F352" s="4"/>
      <c r="G352" s="4"/>
      <c r="H352" s="4"/>
      <c r="I352" s="4"/>
      <c r="J352" s="4"/>
      <c r="K352" s="4"/>
      <c r="L352" s="4"/>
      <c r="M352" s="4"/>
      <c r="N352" s="4"/>
      <c r="O352" s="4"/>
      <c r="P352" s="4"/>
      <c r="Q352" s="4"/>
      <c r="R352" s="4"/>
      <c r="S352" s="4"/>
      <c r="T352" s="4"/>
      <c r="U352" s="4"/>
    </row>
    <row r="353" spans="3:21" ht="19" x14ac:dyDescent="0.25">
      <c r="C353" s="4"/>
      <c r="D353" s="4"/>
      <c r="E353" s="4"/>
      <c r="F353" s="4"/>
      <c r="G353" s="4"/>
      <c r="H353" s="4"/>
      <c r="I353" s="4"/>
      <c r="J353" s="4"/>
      <c r="K353" s="4"/>
      <c r="L353" s="4"/>
      <c r="M353" s="4"/>
      <c r="N353" s="4"/>
      <c r="O353" s="4"/>
      <c r="P353" s="4"/>
      <c r="Q353" s="4"/>
      <c r="R353" s="4"/>
      <c r="S353" s="4"/>
      <c r="T353" s="4"/>
      <c r="U353" s="4"/>
    </row>
    <row r="354" spans="3:21" ht="19" x14ac:dyDescent="0.25">
      <c r="C354" s="4"/>
      <c r="D354" s="4"/>
      <c r="E354" s="4"/>
      <c r="F354" s="4"/>
      <c r="G354" s="4"/>
      <c r="H354" s="4"/>
      <c r="I354" s="4"/>
      <c r="J354" s="4"/>
      <c r="K354" s="4"/>
      <c r="L354" s="4"/>
      <c r="M354" s="4"/>
      <c r="N354" s="4"/>
      <c r="O354" s="4"/>
      <c r="P354" s="4"/>
      <c r="Q354" s="4"/>
      <c r="R354" s="4"/>
      <c r="S354" s="4"/>
      <c r="T354" s="4"/>
      <c r="U354" s="4"/>
    </row>
    <row r="355" spans="3:21" ht="19" x14ac:dyDescent="0.25">
      <c r="C355" s="4"/>
      <c r="D355" s="4"/>
      <c r="E355" s="4"/>
      <c r="F355" s="4"/>
      <c r="G355" s="4"/>
      <c r="H355" s="4"/>
      <c r="I355" s="4"/>
      <c r="J355" s="4"/>
      <c r="K355" s="4"/>
      <c r="L355" s="4"/>
      <c r="M355" s="4"/>
      <c r="N355" s="4"/>
      <c r="O355" s="4"/>
      <c r="P355" s="4"/>
      <c r="Q355" s="4"/>
      <c r="R355" s="4"/>
      <c r="S355" s="4"/>
      <c r="T355" s="4"/>
      <c r="U355" s="4"/>
    </row>
    <row r="356" spans="3:21" ht="19" x14ac:dyDescent="0.25">
      <c r="C356" s="4"/>
      <c r="D356" s="4"/>
      <c r="E356" s="4"/>
      <c r="F356" s="4"/>
      <c r="G356" s="4"/>
      <c r="H356" s="4"/>
      <c r="I356" s="4"/>
      <c r="J356" s="4"/>
      <c r="K356" s="4"/>
      <c r="L356" s="4"/>
      <c r="M356" s="4"/>
      <c r="N356" s="4"/>
      <c r="O356" s="4"/>
      <c r="P356" s="4"/>
      <c r="Q356" s="4"/>
      <c r="R356" s="4"/>
      <c r="S356" s="4"/>
      <c r="T356" s="4"/>
      <c r="U356" s="4"/>
    </row>
    <row r="357" spans="3:21" ht="19" x14ac:dyDescent="0.25">
      <c r="C357" s="4"/>
      <c r="D357" s="4"/>
      <c r="E357" s="4"/>
      <c r="F357" s="4"/>
      <c r="G357" s="4"/>
      <c r="H357" s="4"/>
      <c r="I357" s="4"/>
      <c r="J357" s="4"/>
      <c r="K357" s="4"/>
      <c r="L357" s="4"/>
      <c r="M357" s="4"/>
      <c r="N357" s="4"/>
      <c r="O357" s="4"/>
      <c r="P357" s="4"/>
      <c r="Q357" s="4"/>
      <c r="R357" s="4"/>
      <c r="S357" s="4"/>
      <c r="T357" s="4"/>
      <c r="U357" s="4"/>
    </row>
    <row r="358" spans="3:21" ht="19" x14ac:dyDescent="0.25">
      <c r="C358" s="4"/>
      <c r="D358" s="4"/>
      <c r="E358" s="4"/>
      <c r="F358" s="4"/>
      <c r="G358" s="4"/>
      <c r="H358" s="4"/>
      <c r="I358" s="4"/>
      <c r="J358" s="4"/>
      <c r="K358" s="4"/>
      <c r="L358" s="4"/>
      <c r="M358" s="4"/>
      <c r="N358" s="4"/>
      <c r="O358" s="4"/>
      <c r="P358" s="4"/>
      <c r="Q358" s="4"/>
      <c r="R358" s="4"/>
      <c r="S358" s="4"/>
      <c r="T358" s="4"/>
      <c r="U358" s="4"/>
    </row>
    <row r="359" spans="3:21" ht="19" x14ac:dyDescent="0.25">
      <c r="C359" s="4"/>
      <c r="D359" s="4"/>
      <c r="E359" s="4"/>
      <c r="F359" s="4"/>
      <c r="G359" s="4"/>
      <c r="H359" s="4"/>
      <c r="I359" s="4"/>
      <c r="J359" s="4"/>
      <c r="K359" s="4"/>
      <c r="L359" s="4"/>
      <c r="M359" s="4"/>
      <c r="N359" s="4"/>
      <c r="O359" s="4"/>
      <c r="P359" s="4"/>
      <c r="Q359" s="4"/>
      <c r="R359" s="4"/>
      <c r="S359" s="4"/>
      <c r="T359" s="4"/>
      <c r="U359" s="4"/>
    </row>
    <row r="360" spans="3:21" ht="19" x14ac:dyDescent="0.25">
      <c r="C360" s="4"/>
      <c r="D360" s="4"/>
      <c r="E360" s="4"/>
      <c r="F360" s="4"/>
      <c r="G360" s="4"/>
      <c r="H360" s="4"/>
      <c r="I360" s="4"/>
      <c r="J360" s="4"/>
      <c r="K360" s="4"/>
      <c r="L360" s="4"/>
      <c r="M360" s="4"/>
      <c r="N360" s="4"/>
      <c r="O360" s="4"/>
      <c r="P360" s="4"/>
      <c r="Q360" s="4"/>
      <c r="R360" s="4"/>
      <c r="S360" s="4"/>
      <c r="T360" s="4"/>
      <c r="U360" s="4"/>
    </row>
    <row r="361" spans="3:21" ht="19" x14ac:dyDescent="0.25">
      <c r="C361" s="4"/>
      <c r="D361" s="4"/>
      <c r="E361" s="4"/>
      <c r="F361" s="4"/>
      <c r="G361" s="4"/>
      <c r="H361" s="4"/>
      <c r="I361" s="4"/>
      <c r="J361" s="4"/>
      <c r="K361" s="4"/>
      <c r="L361" s="4"/>
      <c r="M361" s="4"/>
      <c r="N361" s="4"/>
      <c r="O361" s="4"/>
      <c r="P361" s="4"/>
      <c r="Q361" s="4"/>
      <c r="R361" s="4"/>
      <c r="S361" s="4"/>
      <c r="T361" s="4"/>
      <c r="U361" s="4"/>
    </row>
    <row r="362" spans="3:21" ht="19" x14ac:dyDescent="0.25">
      <c r="C362" s="4"/>
      <c r="D362" s="4"/>
      <c r="E362" s="4"/>
      <c r="F362" s="4"/>
      <c r="G362" s="4"/>
      <c r="H362" s="4"/>
      <c r="I362" s="4"/>
      <c r="J362" s="4"/>
      <c r="K362" s="4"/>
      <c r="L362" s="4"/>
      <c r="M362" s="4"/>
      <c r="N362" s="4"/>
      <c r="O362" s="4"/>
      <c r="P362" s="4"/>
      <c r="Q362" s="4"/>
      <c r="R362" s="4"/>
      <c r="S362" s="4"/>
      <c r="T362" s="4"/>
      <c r="U362" s="4"/>
    </row>
    <row r="363" spans="3:21" ht="19" x14ac:dyDescent="0.25">
      <c r="C363" s="4"/>
      <c r="D363" s="4"/>
      <c r="E363" s="4"/>
      <c r="F363" s="4"/>
      <c r="G363" s="4"/>
      <c r="H363" s="4"/>
      <c r="I363" s="4"/>
      <c r="J363" s="4"/>
      <c r="K363" s="4"/>
      <c r="L363" s="4"/>
      <c r="M363" s="4"/>
      <c r="N363" s="4"/>
      <c r="O363" s="4"/>
      <c r="P363" s="4"/>
      <c r="Q363" s="4"/>
      <c r="R363" s="4"/>
      <c r="S363" s="4"/>
      <c r="T363" s="4"/>
      <c r="U363" s="4"/>
    </row>
    <row r="364" spans="3:21" ht="19" x14ac:dyDescent="0.25">
      <c r="C364" s="4"/>
      <c r="D364" s="4"/>
      <c r="E364" s="4"/>
      <c r="F364" s="4"/>
      <c r="G364" s="4"/>
      <c r="H364" s="4"/>
      <c r="I364" s="4"/>
      <c r="J364" s="4"/>
      <c r="K364" s="4"/>
      <c r="L364" s="4"/>
      <c r="M364" s="4"/>
      <c r="N364" s="4"/>
      <c r="O364" s="4"/>
      <c r="P364" s="4"/>
      <c r="Q364" s="4"/>
      <c r="R364" s="4"/>
      <c r="S364" s="4"/>
      <c r="T364" s="4"/>
      <c r="U364" s="4"/>
    </row>
    <row r="365" spans="3:21" ht="19" x14ac:dyDescent="0.25">
      <c r="C365" s="4"/>
      <c r="D365" s="4"/>
      <c r="E365" s="4"/>
      <c r="F365" s="4"/>
      <c r="G365" s="4"/>
      <c r="H365" s="4"/>
      <c r="I365" s="4"/>
      <c r="J365" s="4"/>
      <c r="K365" s="4"/>
      <c r="L365" s="4"/>
      <c r="M365" s="4"/>
      <c r="N365" s="4"/>
      <c r="O365" s="4"/>
      <c r="P365" s="4"/>
      <c r="Q365" s="4"/>
      <c r="R365" s="4"/>
      <c r="S365" s="4"/>
      <c r="T365" s="4"/>
      <c r="U365" s="4"/>
    </row>
    <row r="366" spans="3:21" ht="19" x14ac:dyDescent="0.25">
      <c r="C366" s="4"/>
      <c r="D366" s="4"/>
      <c r="E366" s="4"/>
      <c r="F366" s="4"/>
      <c r="G366" s="4"/>
      <c r="H366" s="4"/>
      <c r="I366" s="4"/>
      <c r="J366" s="4"/>
      <c r="K366" s="4"/>
      <c r="L366" s="4"/>
      <c r="M366" s="4"/>
      <c r="N366" s="4"/>
      <c r="O366" s="4"/>
      <c r="P366" s="4"/>
      <c r="Q366" s="4"/>
      <c r="R366" s="4"/>
      <c r="S366" s="4"/>
      <c r="T366" s="4"/>
      <c r="U366" s="4"/>
    </row>
    <row r="367" spans="3:21" ht="19" x14ac:dyDescent="0.25">
      <c r="C367" s="4"/>
      <c r="D367" s="4"/>
      <c r="E367" s="4"/>
      <c r="F367" s="4"/>
      <c r="G367" s="4"/>
      <c r="H367" s="4"/>
      <c r="I367" s="4"/>
      <c r="J367" s="4"/>
      <c r="K367" s="4"/>
      <c r="L367" s="4"/>
      <c r="M367" s="4"/>
      <c r="N367" s="4"/>
      <c r="O367" s="4"/>
      <c r="P367" s="4"/>
      <c r="Q367" s="4"/>
      <c r="R367" s="4"/>
      <c r="S367" s="4"/>
      <c r="T367" s="4"/>
      <c r="U367" s="4"/>
    </row>
    <row r="368" spans="3:21" ht="19" x14ac:dyDescent="0.25">
      <c r="C368" s="4"/>
      <c r="D368" s="4"/>
      <c r="E368" s="4"/>
      <c r="F368" s="4"/>
      <c r="G368" s="4"/>
      <c r="H368" s="4"/>
      <c r="I368" s="4"/>
      <c r="J368" s="4"/>
      <c r="K368" s="4"/>
      <c r="L368" s="4"/>
      <c r="M368" s="4"/>
      <c r="N368" s="4"/>
      <c r="O368" s="4"/>
      <c r="P368" s="4"/>
      <c r="Q368" s="4"/>
      <c r="R368" s="4"/>
      <c r="S368" s="4"/>
      <c r="T368" s="4"/>
      <c r="U368" s="4"/>
    </row>
    <row r="369" spans="3:21" ht="19" x14ac:dyDescent="0.25">
      <c r="C369" s="4"/>
      <c r="D369" s="4"/>
      <c r="E369" s="4"/>
      <c r="F369" s="4"/>
      <c r="G369" s="4"/>
      <c r="H369" s="4"/>
      <c r="I369" s="4"/>
      <c r="J369" s="4"/>
      <c r="K369" s="4"/>
      <c r="L369" s="4"/>
      <c r="M369" s="4"/>
      <c r="N369" s="4"/>
      <c r="O369" s="4"/>
      <c r="P369" s="4"/>
      <c r="Q369" s="4"/>
      <c r="R369" s="4"/>
      <c r="S369" s="4"/>
      <c r="T369" s="4"/>
      <c r="U369" s="4"/>
    </row>
    <row r="370" spans="3:21" ht="19" x14ac:dyDescent="0.25">
      <c r="C370" s="4"/>
      <c r="D370" s="4"/>
      <c r="E370" s="4"/>
      <c r="F370" s="4"/>
      <c r="G370" s="4"/>
      <c r="H370" s="4"/>
      <c r="I370" s="4"/>
      <c r="J370" s="4"/>
      <c r="K370" s="4"/>
      <c r="L370" s="4"/>
      <c r="M370" s="4"/>
      <c r="N370" s="4"/>
      <c r="O370" s="4"/>
      <c r="P370" s="4"/>
      <c r="Q370" s="4"/>
      <c r="R370" s="4"/>
      <c r="S370" s="4"/>
      <c r="T370" s="4"/>
      <c r="U370" s="4"/>
    </row>
    <row r="371" spans="3:21" ht="19" x14ac:dyDescent="0.25">
      <c r="C371" s="4"/>
      <c r="D371" s="4"/>
      <c r="E371" s="4"/>
      <c r="F371" s="4"/>
      <c r="G371" s="4"/>
      <c r="H371" s="4"/>
      <c r="I371" s="4"/>
      <c r="J371" s="4"/>
      <c r="K371" s="4"/>
      <c r="L371" s="4"/>
      <c r="M371" s="4"/>
      <c r="N371" s="4"/>
      <c r="O371" s="4"/>
      <c r="P371" s="4"/>
      <c r="Q371" s="4"/>
      <c r="R371" s="4"/>
      <c r="S371" s="4"/>
      <c r="T371" s="4"/>
      <c r="U371" s="4"/>
    </row>
    <row r="372" spans="3:21" ht="19" x14ac:dyDescent="0.25">
      <c r="C372" s="4"/>
      <c r="D372" s="4"/>
      <c r="E372" s="4"/>
      <c r="F372" s="4"/>
      <c r="G372" s="4"/>
      <c r="H372" s="4"/>
      <c r="I372" s="4"/>
      <c r="J372" s="4"/>
      <c r="K372" s="4"/>
      <c r="L372" s="4"/>
      <c r="M372" s="4"/>
      <c r="N372" s="4"/>
      <c r="O372" s="4"/>
      <c r="P372" s="4"/>
      <c r="Q372" s="4"/>
      <c r="R372" s="4"/>
      <c r="S372" s="4"/>
      <c r="T372" s="4"/>
      <c r="U372" s="4"/>
    </row>
    <row r="373" spans="3:21" ht="19" x14ac:dyDescent="0.25">
      <c r="C373" s="4"/>
      <c r="D373" s="4"/>
      <c r="E373" s="4"/>
      <c r="F373" s="4"/>
      <c r="G373" s="4"/>
      <c r="H373" s="4"/>
      <c r="I373" s="4"/>
      <c r="J373" s="4"/>
      <c r="K373" s="4"/>
      <c r="L373" s="4"/>
      <c r="M373" s="4"/>
      <c r="N373" s="4"/>
      <c r="O373" s="4"/>
      <c r="P373" s="4"/>
      <c r="Q373" s="4"/>
      <c r="R373" s="4"/>
      <c r="S373" s="4"/>
      <c r="T373" s="4"/>
      <c r="U373" s="4"/>
    </row>
    <row r="374" spans="3:21" ht="19" x14ac:dyDescent="0.25">
      <c r="C374" s="4"/>
      <c r="D374" s="4"/>
      <c r="E374" s="4"/>
      <c r="F374" s="4"/>
      <c r="G374" s="4"/>
      <c r="H374" s="4"/>
      <c r="I374" s="4"/>
      <c r="J374" s="4"/>
      <c r="K374" s="4"/>
      <c r="L374" s="4"/>
      <c r="M374" s="4"/>
      <c r="N374" s="4"/>
      <c r="O374" s="4"/>
      <c r="P374" s="4"/>
      <c r="Q374" s="4"/>
      <c r="R374" s="4"/>
      <c r="S374" s="4"/>
      <c r="T374" s="4"/>
      <c r="U374" s="4"/>
    </row>
    <row r="375" spans="3:21" ht="19" x14ac:dyDescent="0.25">
      <c r="C375" s="4"/>
      <c r="D375" s="4"/>
      <c r="E375" s="4"/>
      <c r="F375" s="4"/>
      <c r="G375" s="4"/>
      <c r="H375" s="4"/>
      <c r="I375" s="4"/>
      <c r="J375" s="4"/>
      <c r="K375" s="4"/>
      <c r="L375" s="4"/>
      <c r="M375" s="4"/>
      <c r="N375" s="4"/>
      <c r="O375" s="4"/>
      <c r="P375" s="4"/>
      <c r="Q375" s="4"/>
      <c r="R375" s="4"/>
      <c r="S375" s="4"/>
      <c r="T375" s="4"/>
      <c r="U375" s="4"/>
    </row>
    <row r="376" spans="3:21" ht="19" x14ac:dyDescent="0.25">
      <c r="C376" s="4"/>
      <c r="D376" s="4"/>
      <c r="E376" s="4"/>
      <c r="F376" s="4"/>
      <c r="G376" s="4"/>
      <c r="H376" s="4"/>
      <c r="I376" s="4"/>
      <c r="J376" s="4"/>
      <c r="K376" s="4"/>
      <c r="L376" s="4"/>
      <c r="M376" s="4"/>
      <c r="N376" s="4"/>
      <c r="O376" s="4"/>
      <c r="P376" s="4"/>
      <c r="Q376" s="4"/>
      <c r="R376" s="4"/>
      <c r="S376" s="4"/>
      <c r="T376" s="4"/>
      <c r="U376" s="4"/>
    </row>
    <row r="377" spans="3:21" ht="19" x14ac:dyDescent="0.25">
      <c r="C377" s="4"/>
      <c r="D377" s="4"/>
      <c r="E377" s="4"/>
      <c r="F377" s="4"/>
      <c r="G377" s="4"/>
      <c r="H377" s="4"/>
      <c r="I377" s="4"/>
      <c r="J377" s="4"/>
      <c r="K377" s="4"/>
      <c r="L377" s="4"/>
      <c r="M377" s="4"/>
      <c r="N377" s="4"/>
      <c r="O377" s="4"/>
      <c r="P377" s="4"/>
      <c r="Q377" s="4"/>
      <c r="R377" s="4"/>
      <c r="S377" s="4"/>
      <c r="T377" s="4"/>
      <c r="U377" s="4"/>
    </row>
    <row r="378" spans="3:21" ht="19" x14ac:dyDescent="0.25">
      <c r="C378" s="4"/>
      <c r="D378" s="4"/>
      <c r="E378" s="4"/>
      <c r="F378" s="4"/>
      <c r="G378" s="4"/>
      <c r="H378" s="4"/>
      <c r="I378" s="4"/>
      <c r="J378" s="4"/>
      <c r="K378" s="4"/>
      <c r="L378" s="4"/>
      <c r="M378" s="4"/>
      <c r="N378" s="4"/>
      <c r="O378" s="4"/>
      <c r="P378" s="4"/>
      <c r="Q378" s="4"/>
      <c r="R378" s="4"/>
      <c r="S378" s="4"/>
      <c r="T378" s="4"/>
      <c r="U378" s="4"/>
    </row>
    <row r="379" spans="3:21" ht="19" x14ac:dyDescent="0.25">
      <c r="C379" s="4"/>
      <c r="D379" s="4"/>
      <c r="E379" s="4"/>
      <c r="F379" s="4"/>
      <c r="G379" s="4"/>
      <c r="H379" s="4"/>
      <c r="I379" s="4"/>
      <c r="J379" s="4"/>
      <c r="K379" s="4"/>
      <c r="L379" s="4"/>
      <c r="M379" s="4"/>
      <c r="N379" s="4"/>
      <c r="O379" s="4"/>
      <c r="P379" s="4"/>
      <c r="Q379" s="4"/>
      <c r="R379" s="4"/>
      <c r="S379" s="4"/>
      <c r="T379" s="4"/>
      <c r="U379" s="4"/>
    </row>
    <row r="380" spans="3:21" ht="19" x14ac:dyDescent="0.25">
      <c r="C380" s="4"/>
      <c r="D380" s="4"/>
      <c r="E380" s="4"/>
      <c r="F380" s="4"/>
      <c r="G380" s="4"/>
      <c r="H380" s="4"/>
      <c r="I380" s="4"/>
      <c r="J380" s="4"/>
      <c r="K380" s="4"/>
      <c r="L380" s="4"/>
      <c r="M380" s="4"/>
      <c r="N380" s="4"/>
      <c r="O380" s="4"/>
      <c r="P380" s="4"/>
      <c r="Q380" s="4"/>
      <c r="R380" s="4"/>
      <c r="S380" s="4"/>
      <c r="T380" s="4"/>
      <c r="U380" s="4"/>
    </row>
    <row r="381" spans="3:21" ht="19" x14ac:dyDescent="0.25">
      <c r="C381" s="4"/>
      <c r="D381" s="4"/>
      <c r="E381" s="4"/>
      <c r="F381" s="4"/>
      <c r="G381" s="4"/>
      <c r="H381" s="4"/>
      <c r="I381" s="4"/>
      <c r="J381" s="4"/>
      <c r="K381" s="4"/>
      <c r="L381" s="4"/>
      <c r="M381" s="4"/>
      <c r="N381" s="4"/>
      <c r="O381" s="4"/>
      <c r="P381" s="4"/>
      <c r="Q381" s="4"/>
      <c r="R381" s="4"/>
      <c r="S381" s="4"/>
      <c r="T381" s="4"/>
      <c r="U381" s="4"/>
    </row>
    <row r="382" spans="3:21" ht="19" x14ac:dyDescent="0.25">
      <c r="C382" s="4"/>
      <c r="D382" s="4"/>
      <c r="E382" s="4"/>
      <c r="F382" s="4"/>
      <c r="G382" s="4"/>
      <c r="H382" s="4"/>
      <c r="I382" s="4"/>
      <c r="J382" s="4"/>
      <c r="K382" s="4"/>
      <c r="L382" s="4"/>
      <c r="M382" s="4"/>
      <c r="N382" s="4"/>
      <c r="O382" s="4"/>
      <c r="P382" s="4"/>
      <c r="Q382" s="4"/>
      <c r="R382" s="4"/>
      <c r="S382" s="4"/>
      <c r="T382" s="4"/>
      <c r="U382" s="4"/>
    </row>
    <row r="383" spans="3:21" ht="19" x14ac:dyDescent="0.25">
      <c r="C383" s="4"/>
      <c r="D383" s="4"/>
      <c r="E383" s="4"/>
      <c r="F383" s="4"/>
      <c r="G383" s="4"/>
      <c r="H383" s="4"/>
      <c r="I383" s="4"/>
      <c r="J383" s="4"/>
      <c r="K383" s="4"/>
      <c r="L383" s="4"/>
      <c r="M383" s="4"/>
      <c r="N383" s="4"/>
      <c r="O383" s="4"/>
      <c r="P383" s="4"/>
      <c r="Q383" s="4"/>
      <c r="R383" s="4"/>
      <c r="S383" s="4"/>
      <c r="T383" s="4"/>
      <c r="U383" s="4"/>
    </row>
    <row r="384" spans="3:21" ht="19" x14ac:dyDescent="0.25">
      <c r="C384" s="4"/>
      <c r="D384" s="4"/>
      <c r="E384" s="4"/>
      <c r="F384" s="4"/>
      <c r="G384" s="4"/>
      <c r="H384" s="4"/>
      <c r="I384" s="4"/>
      <c r="J384" s="4"/>
      <c r="K384" s="4"/>
      <c r="L384" s="4"/>
      <c r="M384" s="4"/>
      <c r="N384" s="4"/>
      <c r="O384" s="4"/>
      <c r="P384" s="4"/>
      <c r="Q384" s="4"/>
      <c r="R384" s="4"/>
      <c r="S384" s="4"/>
      <c r="T384" s="4"/>
      <c r="U384" s="4"/>
    </row>
    <row r="385" spans="3:21" ht="19" x14ac:dyDescent="0.25">
      <c r="C385" s="4"/>
      <c r="D385" s="4"/>
      <c r="E385" s="4"/>
      <c r="F385" s="4"/>
      <c r="G385" s="4"/>
      <c r="H385" s="4"/>
      <c r="I385" s="4"/>
      <c r="J385" s="4"/>
      <c r="K385" s="4"/>
      <c r="L385" s="4"/>
      <c r="M385" s="4"/>
      <c r="N385" s="4"/>
      <c r="O385" s="4"/>
      <c r="P385" s="4"/>
      <c r="Q385" s="4"/>
      <c r="R385" s="4"/>
      <c r="S385" s="4"/>
      <c r="T385" s="4"/>
      <c r="U385" s="4"/>
    </row>
    <row r="386" spans="3:21" ht="19" x14ac:dyDescent="0.25">
      <c r="C386" s="4"/>
      <c r="D386" s="4"/>
      <c r="E386" s="4"/>
      <c r="F386" s="4"/>
      <c r="G386" s="4"/>
      <c r="H386" s="4"/>
      <c r="I386" s="4"/>
      <c r="J386" s="4"/>
      <c r="K386" s="4"/>
      <c r="L386" s="4"/>
      <c r="M386" s="4"/>
      <c r="N386" s="4"/>
      <c r="O386" s="4"/>
      <c r="P386" s="4"/>
      <c r="Q386" s="4"/>
      <c r="R386" s="4"/>
      <c r="S386" s="4"/>
      <c r="T386" s="4"/>
      <c r="U386" s="4"/>
    </row>
    <row r="387" spans="3:21" ht="19" x14ac:dyDescent="0.25">
      <c r="C387" s="4"/>
      <c r="D387" s="4"/>
      <c r="E387" s="4"/>
      <c r="F387" s="4"/>
      <c r="G387" s="4"/>
      <c r="H387" s="4"/>
      <c r="I387" s="4"/>
      <c r="J387" s="4"/>
      <c r="K387" s="4"/>
      <c r="L387" s="4"/>
      <c r="M387" s="4"/>
      <c r="N387" s="4"/>
      <c r="O387" s="4"/>
      <c r="P387" s="4"/>
      <c r="Q387" s="4"/>
      <c r="R387" s="4"/>
      <c r="S387" s="4"/>
      <c r="T387" s="4"/>
      <c r="U387" s="4"/>
    </row>
    <row r="388" spans="3:21" ht="19" x14ac:dyDescent="0.25">
      <c r="C388" s="4"/>
      <c r="D388" s="4"/>
      <c r="E388" s="4"/>
      <c r="F388" s="4"/>
      <c r="G388" s="4"/>
      <c r="H388" s="4"/>
      <c r="I388" s="4"/>
      <c r="J388" s="4"/>
      <c r="K388" s="4"/>
      <c r="L388" s="4"/>
      <c r="M388" s="4"/>
      <c r="N388" s="4"/>
      <c r="O388" s="4"/>
      <c r="P388" s="4"/>
      <c r="Q388" s="4"/>
      <c r="R388" s="4"/>
      <c r="S388" s="4"/>
      <c r="T388" s="4"/>
      <c r="U388" s="4"/>
    </row>
    <row r="389" spans="3:21" ht="19" x14ac:dyDescent="0.25">
      <c r="C389" s="4"/>
      <c r="D389" s="4"/>
      <c r="E389" s="4"/>
      <c r="F389" s="4"/>
      <c r="G389" s="4"/>
      <c r="H389" s="4"/>
      <c r="I389" s="4"/>
      <c r="J389" s="4"/>
      <c r="K389" s="4"/>
      <c r="L389" s="4"/>
      <c r="M389" s="4"/>
      <c r="N389" s="4"/>
      <c r="O389" s="4"/>
      <c r="P389" s="4"/>
      <c r="Q389" s="4"/>
      <c r="R389" s="4"/>
      <c r="S389" s="4"/>
      <c r="T389" s="4"/>
      <c r="U389" s="4"/>
    </row>
    <row r="390" spans="3:21" ht="19" x14ac:dyDescent="0.25">
      <c r="C390" s="4"/>
      <c r="D390" s="4"/>
      <c r="E390" s="4"/>
      <c r="F390" s="4"/>
      <c r="G390" s="4"/>
      <c r="H390" s="4"/>
      <c r="I390" s="4"/>
      <c r="J390" s="4"/>
      <c r="K390" s="4"/>
      <c r="L390" s="4"/>
      <c r="M390" s="4"/>
      <c r="N390" s="4"/>
      <c r="O390" s="4"/>
      <c r="P390" s="4"/>
      <c r="Q390" s="4"/>
      <c r="R390" s="4"/>
      <c r="S390" s="4"/>
      <c r="T390" s="4"/>
      <c r="U390" s="4"/>
    </row>
    <row r="391" spans="3:21" ht="19" x14ac:dyDescent="0.25">
      <c r="C391" s="4"/>
      <c r="D391" s="4"/>
      <c r="E391" s="4"/>
      <c r="F391" s="4"/>
      <c r="G391" s="4"/>
      <c r="H391" s="4"/>
      <c r="I391" s="4"/>
      <c r="J391" s="4"/>
      <c r="K391" s="4"/>
      <c r="L391" s="4"/>
      <c r="M391" s="4"/>
      <c r="N391" s="4"/>
      <c r="O391" s="4"/>
      <c r="P391" s="4"/>
      <c r="Q391" s="4"/>
      <c r="R391" s="4"/>
      <c r="S391" s="4"/>
      <c r="T391" s="4"/>
      <c r="U391" s="4"/>
    </row>
    <row r="392" spans="3:21" ht="19" x14ac:dyDescent="0.25">
      <c r="C392" s="4"/>
      <c r="D392" s="4"/>
      <c r="E392" s="4"/>
      <c r="F392" s="4"/>
      <c r="G392" s="4"/>
      <c r="H392" s="4"/>
      <c r="I392" s="4"/>
      <c r="J392" s="4"/>
      <c r="K392" s="4"/>
      <c r="L392" s="4"/>
      <c r="M392" s="4"/>
      <c r="N392" s="4"/>
      <c r="O392" s="4"/>
      <c r="P392" s="4"/>
      <c r="Q392" s="4"/>
      <c r="R392" s="4"/>
      <c r="S392" s="4"/>
      <c r="T392" s="4"/>
      <c r="U392" s="4"/>
    </row>
    <row r="393" spans="3:21" ht="19" x14ac:dyDescent="0.25">
      <c r="C393" s="4"/>
      <c r="D393" s="4"/>
      <c r="E393" s="4"/>
      <c r="F393" s="4"/>
      <c r="G393" s="4"/>
      <c r="H393" s="4"/>
      <c r="I393" s="4"/>
      <c r="J393" s="4"/>
      <c r="K393" s="4"/>
      <c r="L393" s="4"/>
      <c r="M393" s="4"/>
      <c r="N393" s="4"/>
      <c r="O393" s="4"/>
      <c r="P393" s="4"/>
      <c r="Q393" s="4"/>
      <c r="R393" s="4"/>
      <c r="S393" s="4"/>
      <c r="T393" s="4"/>
      <c r="U393" s="4"/>
    </row>
    <row r="394" spans="3:21" ht="19" x14ac:dyDescent="0.25">
      <c r="C394" s="4"/>
      <c r="D394" s="4"/>
      <c r="E394" s="4"/>
      <c r="F394" s="4"/>
      <c r="G394" s="4"/>
      <c r="H394" s="4"/>
      <c r="I394" s="4"/>
      <c r="J394" s="4"/>
      <c r="K394" s="4"/>
      <c r="L394" s="4"/>
      <c r="M394" s="4"/>
      <c r="N394" s="4"/>
      <c r="O394" s="4"/>
      <c r="P394" s="4"/>
      <c r="Q394" s="4"/>
      <c r="R394" s="4"/>
      <c r="S394" s="4"/>
      <c r="T394" s="4"/>
      <c r="U394" s="4"/>
    </row>
    <row r="395" spans="3:21" ht="19" x14ac:dyDescent="0.25">
      <c r="C395" s="4"/>
      <c r="D395" s="4"/>
      <c r="E395" s="4"/>
      <c r="F395" s="4"/>
      <c r="G395" s="4"/>
      <c r="H395" s="4"/>
      <c r="I395" s="4"/>
      <c r="J395" s="4"/>
      <c r="K395" s="4"/>
      <c r="L395" s="4"/>
      <c r="M395" s="4"/>
      <c r="N395" s="4"/>
      <c r="O395" s="4"/>
      <c r="P395" s="4"/>
      <c r="Q395" s="4"/>
      <c r="R395" s="4"/>
      <c r="S395" s="4"/>
      <c r="T395" s="4"/>
      <c r="U395" s="4"/>
    </row>
    <row r="396" spans="3:21" ht="19" x14ac:dyDescent="0.25">
      <c r="C396" s="4"/>
      <c r="D396" s="4"/>
      <c r="E396" s="4"/>
      <c r="F396" s="4"/>
      <c r="G396" s="4"/>
      <c r="H396" s="4"/>
      <c r="I396" s="4"/>
      <c r="J396" s="4"/>
      <c r="K396" s="4"/>
      <c r="L396" s="4"/>
      <c r="M396" s="4"/>
      <c r="N396" s="4"/>
      <c r="O396" s="4"/>
      <c r="P396" s="4"/>
      <c r="Q396" s="4"/>
      <c r="R396" s="4"/>
      <c r="S396" s="4"/>
      <c r="T396" s="4"/>
      <c r="U396" s="4"/>
    </row>
    <row r="397" spans="3:21" ht="19" x14ac:dyDescent="0.25">
      <c r="C397" s="4"/>
      <c r="D397" s="4"/>
      <c r="E397" s="4"/>
      <c r="F397" s="4"/>
      <c r="G397" s="4"/>
      <c r="H397" s="4"/>
      <c r="I397" s="4"/>
      <c r="J397" s="4"/>
      <c r="K397" s="4"/>
      <c r="L397" s="4"/>
      <c r="M397" s="4"/>
      <c r="N397" s="4"/>
      <c r="O397" s="4"/>
      <c r="P397" s="4"/>
      <c r="Q397" s="4"/>
      <c r="R397" s="4"/>
      <c r="S397" s="4"/>
      <c r="T397" s="4"/>
      <c r="U397" s="4"/>
    </row>
    <row r="398" spans="3:21" ht="19" x14ac:dyDescent="0.25">
      <c r="C398" s="4"/>
      <c r="D398" s="4"/>
      <c r="E398" s="4"/>
      <c r="F398" s="4"/>
      <c r="G398" s="4"/>
      <c r="H398" s="4"/>
      <c r="I398" s="4"/>
      <c r="J398" s="4"/>
      <c r="K398" s="4"/>
      <c r="L398" s="4"/>
      <c r="M398" s="4"/>
      <c r="N398" s="4"/>
      <c r="O398" s="4"/>
      <c r="P398" s="4"/>
      <c r="Q398" s="4"/>
      <c r="R398" s="4"/>
      <c r="S398" s="4"/>
      <c r="T398" s="4"/>
      <c r="U398" s="4"/>
    </row>
    <row r="399" spans="3:21" ht="19" x14ac:dyDescent="0.25">
      <c r="C399" s="4"/>
      <c r="D399" s="4"/>
      <c r="E399" s="4"/>
      <c r="F399" s="4"/>
      <c r="G399" s="4"/>
      <c r="H399" s="4"/>
      <c r="I399" s="4"/>
      <c r="J399" s="4"/>
      <c r="K399" s="4"/>
      <c r="L399" s="4"/>
      <c r="M399" s="4"/>
      <c r="N399" s="4"/>
      <c r="O399" s="4"/>
      <c r="P399" s="4"/>
      <c r="Q399" s="4"/>
      <c r="R399" s="4"/>
      <c r="S399" s="4"/>
      <c r="T399" s="4"/>
      <c r="U399" s="4"/>
    </row>
    <row r="400" spans="3:21" ht="19" x14ac:dyDescent="0.25">
      <c r="C400" s="4"/>
      <c r="D400" s="4"/>
      <c r="E400" s="4"/>
      <c r="F400" s="4"/>
      <c r="G400" s="4"/>
      <c r="H400" s="4"/>
      <c r="I400" s="4"/>
      <c r="J400" s="4"/>
      <c r="K400" s="4"/>
      <c r="L400" s="4"/>
      <c r="M400" s="4"/>
      <c r="N400" s="4"/>
      <c r="O400" s="4"/>
      <c r="P400" s="4"/>
      <c r="Q400" s="4"/>
      <c r="R400" s="4"/>
      <c r="S400" s="4"/>
      <c r="T400" s="4"/>
      <c r="U400" s="4"/>
    </row>
    <row r="401" spans="3:21" ht="19" x14ac:dyDescent="0.25">
      <c r="C401" s="4"/>
      <c r="D401" s="4"/>
      <c r="E401" s="4"/>
      <c r="F401" s="4"/>
      <c r="G401" s="4"/>
      <c r="H401" s="4"/>
      <c r="I401" s="4"/>
      <c r="J401" s="4"/>
      <c r="K401" s="4"/>
      <c r="L401" s="4"/>
      <c r="M401" s="4"/>
      <c r="N401" s="4"/>
      <c r="O401" s="4"/>
      <c r="P401" s="4"/>
      <c r="Q401" s="4"/>
      <c r="R401" s="4"/>
      <c r="S401" s="4"/>
      <c r="T401" s="4"/>
      <c r="U401" s="4"/>
    </row>
    <row r="402" spans="3:21" ht="19" x14ac:dyDescent="0.25">
      <c r="C402" s="4"/>
      <c r="D402" s="4"/>
      <c r="E402" s="4"/>
      <c r="F402" s="4"/>
      <c r="G402" s="4"/>
      <c r="H402" s="4"/>
      <c r="I402" s="4"/>
      <c r="J402" s="4"/>
      <c r="K402" s="4"/>
      <c r="L402" s="4"/>
      <c r="M402" s="4"/>
      <c r="N402" s="4"/>
      <c r="O402" s="4"/>
      <c r="P402" s="4"/>
      <c r="Q402" s="4"/>
      <c r="R402" s="4"/>
      <c r="S402" s="4"/>
      <c r="T402" s="4"/>
      <c r="U402" s="4"/>
    </row>
    <row r="403" spans="3:21" ht="19" x14ac:dyDescent="0.25">
      <c r="C403" s="4"/>
      <c r="D403" s="4"/>
      <c r="E403" s="4"/>
      <c r="F403" s="4"/>
      <c r="G403" s="4"/>
      <c r="H403" s="4"/>
      <c r="I403" s="4"/>
      <c r="J403" s="4"/>
      <c r="K403" s="4"/>
      <c r="L403" s="4"/>
      <c r="M403" s="4"/>
      <c r="N403" s="4"/>
      <c r="O403" s="4"/>
      <c r="P403" s="4"/>
      <c r="Q403" s="4"/>
      <c r="R403" s="4"/>
      <c r="S403" s="4"/>
      <c r="T403" s="4"/>
      <c r="U403" s="4"/>
    </row>
    <row r="404" spans="3:21" ht="19" x14ac:dyDescent="0.25">
      <c r="C404" s="4"/>
      <c r="D404" s="4"/>
      <c r="E404" s="4"/>
      <c r="F404" s="4"/>
      <c r="G404" s="4"/>
      <c r="H404" s="4"/>
      <c r="I404" s="4"/>
      <c r="J404" s="4"/>
      <c r="K404" s="4"/>
      <c r="L404" s="4"/>
      <c r="M404" s="4"/>
      <c r="N404" s="4"/>
      <c r="O404" s="4"/>
      <c r="P404" s="4"/>
      <c r="Q404" s="4"/>
      <c r="R404" s="4"/>
      <c r="S404" s="4"/>
      <c r="T404" s="4"/>
      <c r="U404" s="4"/>
    </row>
    <row r="405" spans="3:21" ht="19" x14ac:dyDescent="0.25">
      <c r="C405" s="4"/>
      <c r="D405" s="4"/>
      <c r="E405" s="4"/>
      <c r="F405" s="4"/>
      <c r="G405" s="4"/>
      <c r="H405" s="4"/>
      <c r="I405" s="4"/>
      <c r="J405" s="4"/>
      <c r="K405" s="4"/>
      <c r="L405" s="4"/>
      <c r="M405" s="4"/>
      <c r="N405" s="4"/>
      <c r="O405" s="4"/>
      <c r="P405" s="4"/>
      <c r="Q405" s="4"/>
      <c r="R405" s="4"/>
      <c r="S405" s="4"/>
      <c r="T405" s="4"/>
      <c r="U405" s="4"/>
    </row>
    <row r="406" spans="3:21" ht="19" x14ac:dyDescent="0.25">
      <c r="C406" s="4"/>
      <c r="D406" s="4"/>
      <c r="E406" s="4"/>
      <c r="F406" s="4"/>
      <c r="G406" s="4"/>
      <c r="H406" s="4"/>
      <c r="I406" s="4"/>
      <c r="J406" s="4"/>
      <c r="K406" s="4"/>
      <c r="L406" s="4"/>
      <c r="M406" s="4"/>
      <c r="N406" s="4"/>
      <c r="O406" s="4"/>
      <c r="P406" s="4"/>
      <c r="Q406" s="4"/>
      <c r="R406" s="4"/>
      <c r="S406" s="4"/>
      <c r="T406" s="4"/>
      <c r="U406" s="4"/>
    </row>
    <row r="407" spans="3:21" ht="19" x14ac:dyDescent="0.25">
      <c r="C407" s="4"/>
      <c r="D407" s="4"/>
      <c r="E407" s="4"/>
      <c r="F407" s="4"/>
      <c r="G407" s="4"/>
      <c r="H407" s="4"/>
      <c r="I407" s="4"/>
      <c r="J407" s="4"/>
      <c r="K407" s="4"/>
      <c r="L407" s="4"/>
      <c r="M407" s="4"/>
      <c r="N407" s="4"/>
      <c r="O407" s="4"/>
      <c r="P407" s="4"/>
      <c r="Q407" s="4"/>
      <c r="R407" s="4"/>
      <c r="S407" s="4"/>
      <c r="T407" s="4"/>
      <c r="U407" s="4"/>
    </row>
    <row r="408" spans="3:21" ht="19" x14ac:dyDescent="0.25">
      <c r="C408" s="4"/>
      <c r="D408" s="4"/>
      <c r="E408" s="4"/>
      <c r="F408" s="4"/>
      <c r="G408" s="4"/>
      <c r="H408" s="4"/>
      <c r="I408" s="4"/>
      <c r="J408" s="4"/>
      <c r="K408" s="4"/>
      <c r="L408" s="4"/>
      <c r="M408" s="4"/>
      <c r="N408" s="4"/>
      <c r="O408" s="4"/>
      <c r="P408" s="4"/>
      <c r="Q408" s="4"/>
      <c r="R408" s="4"/>
      <c r="S408" s="4"/>
      <c r="T408" s="4"/>
      <c r="U408" s="4"/>
    </row>
    <row r="409" spans="3:21" ht="19" x14ac:dyDescent="0.25">
      <c r="C409" s="4"/>
      <c r="D409" s="4"/>
      <c r="E409" s="4"/>
      <c r="F409" s="4"/>
      <c r="G409" s="4"/>
      <c r="H409" s="4"/>
      <c r="I409" s="4"/>
      <c r="J409" s="4"/>
      <c r="K409" s="4"/>
      <c r="L409" s="4"/>
      <c r="M409" s="4"/>
      <c r="N409" s="4"/>
      <c r="O409" s="4"/>
      <c r="P409" s="4"/>
      <c r="Q409" s="4"/>
      <c r="R409" s="4"/>
      <c r="S409" s="4"/>
      <c r="T409" s="4"/>
      <c r="U409" s="4"/>
    </row>
    <row r="410" spans="3:21" ht="19" x14ac:dyDescent="0.25">
      <c r="C410" s="4"/>
      <c r="D410" s="4"/>
      <c r="E410" s="4"/>
      <c r="F410" s="4"/>
      <c r="G410" s="4"/>
      <c r="H410" s="4"/>
      <c r="I410" s="4"/>
      <c r="J410" s="4"/>
      <c r="K410" s="4"/>
      <c r="L410" s="4"/>
      <c r="M410" s="4"/>
      <c r="N410" s="4"/>
      <c r="O410" s="4"/>
      <c r="P410" s="4"/>
      <c r="Q410" s="4"/>
      <c r="R410" s="4"/>
      <c r="S410" s="4"/>
      <c r="T410" s="4"/>
      <c r="U410" s="4"/>
    </row>
    <row r="411" spans="3:21" ht="19" x14ac:dyDescent="0.25">
      <c r="C411" s="4"/>
      <c r="D411" s="4"/>
      <c r="E411" s="4"/>
      <c r="F411" s="4"/>
      <c r="G411" s="4"/>
      <c r="H411" s="4"/>
      <c r="I411" s="4"/>
      <c r="J411" s="4"/>
      <c r="K411" s="4"/>
      <c r="L411" s="4"/>
      <c r="M411" s="4"/>
      <c r="N411" s="4"/>
      <c r="O411" s="4"/>
      <c r="P411" s="4"/>
      <c r="Q411" s="4"/>
      <c r="R411" s="4"/>
      <c r="S411" s="4"/>
      <c r="T411" s="4"/>
      <c r="U411" s="4"/>
    </row>
    <row r="412" spans="3:21" ht="19" x14ac:dyDescent="0.25">
      <c r="C412" s="4"/>
      <c r="D412" s="4"/>
      <c r="E412" s="4"/>
      <c r="F412" s="4"/>
      <c r="G412" s="4"/>
      <c r="H412" s="4"/>
      <c r="I412" s="4"/>
      <c r="J412" s="4"/>
      <c r="K412" s="4"/>
      <c r="L412" s="4"/>
      <c r="M412" s="4"/>
      <c r="N412" s="4"/>
      <c r="O412" s="4"/>
      <c r="P412" s="4"/>
      <c r="Q412" s="4"/>
      <c r="R412" s="4"/>
      <c r="S412" s="4"/>
      <c r="T412" s="4"/>
      <c r="U412" s="4"/>
    </row>
    <row r="413" spans="3:21" ht="19" x14ac:dyDescent="0.25">
      <c r="C413" s="4"/>
      <c r="D413" s="4"/>
      <c r="E413" s="4"/>
      <c r="F413" s="4"/>
      <c r="G413" s="4"/>
      <c r="H413" s="4"/>
      <c r="I413" s="4"/>
      <c r="J413" s="4"/>
      <c r="K413" s="4"/>
      <c r="L413" s="4"/>
      <c r="M413" s="4"/>
      <c r="N413" s="4"/>
      <c r="O413" s="4"/>
      <c r="P413" s="4"/>
      <c r="Q413" s="4"/>
      <c r="R413" s="4"/>
      <c r="S413" s="4"/>
      <c r="T413" s="4"/>
      <c r="U413" s="4"/>
    </row>
    <row r="414" spans="3:21" ht="19" x14ac:dyDescent="0.25">
      <c r="C414" s="4"/>
      <c r="D414" s="4"/>
      <c r="E414" s="4"/>
      <c r="F414" s="4"/>
      <c r="G414" s="4"/>
      <c r="H414" s="4"/>
      <c r="I414" s="4"/>
      <c r="J414" s="4"/>
      <c r="K414" s="4"/>
      <c r="L414" s="4"/>
      <c r="M414" s="4"/>
      <c r="N414" s="4"/>
      <c r="O414" s="4"/>
      <c r="P414" s="4"/>
      <c r="Q414" s="4"/>
      <c r="R414" s="4"/>
      <c r="S414" s="4"/>
      <c r="T414" s="4"/>
      <c r="U414" s="4"/>
    </row>
    <row r="415" spans="3:21" ht="19" x14ac:dyDescent="0.25">
      <c r="C415" s="4"/>
      <c r="D415" s="4"/>
      <c r="E415" s="4"/>
      <c r="F415" s="4"/>
      <c r="G415" s="4"/>
      <c r="H415" s="4"/>
      <c r="I415" s="4"/>
      <c r="J415" s="4"/>
      <c r="K415" s="4"/>
      <c r="L415" s="4"/>
      <c r="M415" s="4"/>
      <c r="N415" s="4"/>
      <c r="O415" s="4"/>
      <c r="P415" s="4"/>
      <c r="Q415" s="4"/>
      <c r="R415" s="4"/>
      <c r="S415" s="4"/>
      <c r="T415" s="4"/>
      <c r="U415" s="4"/>
    </row>
    <row r="416" spans="3:21" ht="19" x14ac:dyDescent="0.25">
      <c r="C416" s="4"/>
      <c r="D416" s="4"/>
      <c r="E416" s="4"/>
      <c r="F416" s="4"/>
      <c r="G416" s="4"/>
      <c r="H416" s="4"/>
      <c r="I416" s="4"/>
      <c r="J416" s="4"/>
      <c r="K416" s="4"/>
      <c r="L416" s="4"/>
      <c r="M416" s="4"/>
      <c r="N416" s="4"/>
      <c r="O416" s="4"/>
      <c r="P416" s="4"/>
      <c r="Q416" s="4"/>
      <c r="R416" s="4"/>
      <c r="S416" s="4"/>
      <c r="T416" s="4"/>
      <c r="U416" s="4"/>
    </row>
    <row r="417" spans="3:21" ht="19" x14ac:dyDescent="0.25">
      <c r="C417" s="4"/>
      <c r="D417" s="4"/>
      <c r="E417" s="4"/>
      <c r="F417" s="4"/>
      <c r="G417" s="4"/>
      <c r="H417" s="4"/>
      <c r="I417" s="4"/>
      <c r="J417" s="4"/>
      <c r="K417" s="4"/>
      <c r="L417" s="4"/>
      <c r="M417" s="4"/>
      <c r="N417" s="4"/>
      <c r="O417" s="4"/>
      <c r="P417" s="4"/>
      <c r="Q417" s="4"/>
      <c r="R417" s="4"/>
      <c r="S417" s="4"/>
      <c r="T417" s="4"/>
      <c r="U417" s="4"/>
    </row>
    <row r="418" spans="3:21" ht="19" x14ac:dyDescent="0.25">
      <c r="C418" s="4"/>
      <c r="D418" s="4"/>
      <c r="E418" s="4"/>
      <c r="F418" s="4"/>
      <c r="G418" s="4"/>
      <c r="H418" s="4"/>
      <c r="I418" s="4"/>
      <c r="J418" s="4"/>
      <c r="K418" s="4"/>
      <c r="L418" s="4"/>
      <c r="M418" s="4"/>
      <c r="N418" s="4"/>
      <c r="O418" s="4"/>
      <c r="P418" s="4"/>
      <c r="Q418" s="4"/>
      <c r="R418" s="4"/>
      <c r="S418" s="4"/>
      <c r="T418" s="4"/>
      <c r="U418" s="4"/>
    </row>
    <row r="419" spans="3:21" ht="19" x14ac:dyDescent="0.25">
      <c r="C419" s="4"/>
      <c r="D419" s="4"/>
      <c r="E419" s="4"/>
      <c r="F419" s="4"/>
      <c r="G419" s="4"/>
      <c r="H419" s="4"/>
      <c r="I419" s="4"/>
      <c r="J419" s="4"/>
      <c r="K419" s="4"/>
      <c r="L419" s="4"/>
      <c r="M419" s="4"/>
      <c r="N419" s="4"/>
      <c r="O419" s="4"/>
      <c r="P419" s="4"/>
      <c r="Q419" s="4"/>
      <c r="R419" s="4"/>
      <c r="S419" s="4"/>
      <c r="T419" s="4"/>
      <c r="U419" s="4"/>
    </row>
    <row r="420" spans="3:21" ht="19" x14ac:dyDescent="0.25">
      <c r="C420" s="4"/>
      <c r="D420" s="4"/>
      <c r="E420" s="4"/>
      <c r="F420" s="4"/>
      <c r="G420" s="4"/>
      <c r="H420" s="4"/>
      <c r="I420" s="4"/>
      <c r="J420" s="4"/>
      <c r="K420" s="4"/>
      <c r="L420" s="4"/>
      <c r="M420" s="4"/>
      <c r="N420" s="4"/>
      <c r="O420" s="4"/>
      <c r="P420" s="4"/>
      <c r="Q420" s="4"/>
      <c r="R420" s="4"/>
      <c r="S420" s="4"/>
      <c r="T420" s="4"/>
      <c r="U420" s="4"/>
    </row>
    <row r="421" spans="3:21" ht="19" x14ac:dyDescent="0.25">
      <c r="C421" s="4"/>
      <c r="D421" s="4"/>
      <c r="E421" s="4"/>
      <c r="F421" s="4"/>
      <c r="G421" s="4"/>
      <c r="H421" s="4"/>
      <c r="I421" s="4"/>
      <c r="J421" s="4"/>
      <c r="K421" s="4"/>
      <c r="L421" s="4"/>
      <c r="M421" s="4"/>
      <c r="N421" s="4"/>
      <c r="O421" s="4"/>
      <c r="P421" s="4"/>
      <c r="Q421" s="4"/>
      <c r="R421" s="4"/>
      <c r="S421" s="4"/>
      <c r="T421" s="4"/>
      <c r="U421" s="4"/>
    </row>
    <row r="422" spans="3:21" ht="19" x14ac:dyDescent="0.25">
      <c r="C422" s="4"/>
      <c r="D422" s="4"/>
      <c r="E422" s="4"/>
      <c r="F422" s="4"/>
      <c r="G422" s="4"/>
      <c r="H422" s="4"/>
      <c r="I422" s="4"/>
      <c r="J422" s="4"/>
      <c r="K422" s="4"/>
      <c r="L422" s="4"/>
      <c r="M422" s="4"/>
      <c r="N422" s="4"/>
      <c r="O422" s="4"/>
      <c r="P422" s="4"/>
      <c r="Q422" s="4"/>
      <c r="R422" s="4"/>
      <c r="S422" s="4"/>
      <c r="T422" s="4"/>
      <c r="U422" s="4"/>
    </row>
    <row r="423" spans="3:21" ht="19" x14ac:dyDescent="0.25">
      <c r="C423" s="4"/>
      <c r="D423" s="4"/>
      <c r="E423" s="4"/>
      <c r="F423" s="4"/>
      <c r="G423" s="4"/>
      <c r="H423" s="4"/>
      <c r="I423" s="4"/>
      <c r="J423" s="4"/>
      <c r="K423" s="4"/>
      <c r="L423" s="4"/>
      <c r="M423" s="4"/>
      <c r="N423" s="4"/>
      <c r="O423" s="4"/>
      <c r="P423" s="4"/>
      <c r="Q423" s="4"/>
      <c r="R423" s="4"/>
      <c r="S423" s="4"/>
      <c r="T423" s="4"/>
      <c r="U423" s="4"/>
    </row>
    <row r="424" spans="3:21" ht="19" x14ac:dyDescent="0.25">
      <c r="C424" s="4"/>
      <c r="D424" s="4"/>
      <c r="E424" s="4"/>
      <c r="F424" s="4"/>
      <c r="G424" s="4"/>
      <c r="H424" s="4"/>
      <c r="I424" s="4"/>
      <c r="J424" s="4"/>
      <c r="K424" s="4"/>
      <c r="L424" s="4"/>
      <c r="M424" s="4"/>
      <c r="N424" s="4"/>
      <c r="O424" s="4"/>
      <c r="P424" s="4"/>
      <c r="Q424" s="4"/>
      <c r="R424" s="4"/>
      <c r="S424" s="4"/>
      <c r="T424" s="4"/>
      <c r="U424" s="4"/>
    </row>
    <row r="425" spans="3:21" ht="19" x14ac:dyDescent="0.25">
      <c r="C425" s="4"/>
      <c r="D425" s="4"/>
      <c r="E425" s="4"/>
      <c r="F425" s="4"/>
      <c r="G425" s="4"/>
      <c r="H425" s="4"/>
      <c r="I425" s="4"/>
      <c r="J425" s="4"/>
      <c r="K425" s="4"/>
      <c r="L425" s="4"/>
      <c r="M425" s="4"/>
      <c r="N425" s="4"/>
      <c r="O425" s="4"/>
      <c r="P425" s="4"/>
      <c r="Q425" s="4"/>
      <c r="R425" s="4"/>
      <c r="S425" s="4"/>
      <c r="T425" s="4"/>
      <c r="U425" s="4"/>
    </row>
    <row r="426" spans="3:21" ht="19" x14ac:dyDescent="0.25">
      <c r="C426" s="4"/>
      <c r="D426" s="4"/>
      <c r="E426" s="4"/>
      <c r="F426" s="4"/>
      <c r="G426" s="4"/>
      <c r="H426" s="4"/>
      <c r="I426" s="4"/>
      <c r="J426" s="4"/>
      <c r="K426" s="4"/>
      <c r="L426" s="4"/>
      <c r="M426" s="4"/>
      <c r="N426" s="4"/>
      <c r="O426" s="4"/>
      <c r="P426" s="4"/>
      <c r="Q426" s="4"/>
      <c r="R426" s="4"/>
      <c r="S426" s="4"/>
      <c r="T426" s="4"/>
      <c r="U426" s="4"/>
    </row>
    <row r="427" spans="3:21" ht="19" x14ac:dyDescent="0.25">
      <c r="C427" s="4"/>
      <c r="D427" s="4"/>
      <c r="E427" s="4"/>
      <c r="F427" s="4"/>
      <c r="G427" s="4"/>
      <c r="H427" s="4"/>
      <c r="I427" s="4"/>
      <c r="J427" s="4"/>
      <c r="K427" s="4"/>
      <c r="L427" s="4"/>
      <c r="M427" s="4"/>
      <c r="N427" s="4"/>
      <c r="O427" s="4"/>
      <c r="P427" s="4"/>
      <c r="Q427" s="4"/>
      <c r="R427" s="4"/>
      <c r="S427" s="4"/>
      <c r="T427" s="4"/>
      <c r="U427" s="4"/>
    </row>
    <row r="428" spans="3:21" ht="19" x14ac:dyDescent="0.25">
      <c r="C428" s="4"/>
      <c r="D428" s="4"/>
      <c r="E428" s="4"/>
      <c r="F428" s="4"/>
      <c r="G428" s="4"/>
      <c r="H428" s="4"/>
      <c r="I428" s="4"/>
      <c r="J428" s="4"/>
      <c r="K428" s="4"/>
      <c r="L428" s="4"/>
      <c r="M428" s="4"/>
      <c r="N428" s="4"/>
      <c r="O428" s="4"/>
      <c r="P428" s="4"/>
      <c r="Q428" s="4"/>
      <c r="R428" s="4"/>
      <c r="S428" s="4"/>
      <c r="T428" s="4"/>
      <c r="U428" s="4"/>
    </row>
    <row r="429" spans="3:21" ht="19" x14ac:dyDescent="0.25">
      <c r="C429" s="4"/>
      <c r="D429" s="4"/>
      <c r="E429" s="4"/>
      <c r="F429" s="4"/>
      <c r="G429" s="4"/>
      <c r="H429" s="4"/>
      <c r="I429" s="4"/>
      <c r="J429" s="4"/>
      <c r="K429" s="4"/>
      <c r="L429" s="4"/>
      <c r="M429" s="4"/>
      <c r="N429" s="4"/>
      <c r="O429" s="4"/>
      <c r="P429" s="4"/>
      <c r="Q429" s="4"/>
      <c r="R429" s="4"/>
      <c r="S429" s="4"/>
      <c r="T429" s="4"/>
      <c r="U429" s="4"/>
    </row>
    <row r="430" spans="3:21" ht="19" x14ac:dyDescent="0.25">
      <c r="C430" s="4"/>
      <c r="D430" s="4"/>
      <c r="E430" s="4"/>
      <c r="F430" s="4"/>
      <c r="G430" s="4"/>
      <c r="H430" s="4"/>
      <c r="I430" s="4"/>
      <c r="J430" s="4"/>
      <c r="K430" s="4"/>
      <c r="L430" s="4"/>
      <c r="M430" s="4"/>
      <c r="N430" s="4"/>
      <c r="O430" s="4"/>
      <c r="P430" s="4"/>
      <c r="Q430" s="4"/>
      <c r="R430" s="4"/>
      <c r="S430" s="4"/>
      <c r="T430" s="4"/>
      <c r="U430" s="4"/>
    </row>
    <row r="431" spans="3:21" ht="19" x14ac:dyDescent="0.25">
      <c r="C431" s="4"/>
      <c r="D431" s="4"/>
      <c r="E431" s="4"/>
      <c r="F431" s="4"/>
      <c r="G431" s="4"/>
      <c r="H431" s="4"/>
      <c r="I431" s="4"/>
      <c r="J431" s="4"/>
      <c r="K431" s="4"/>
      <c r="L431" s="4"/>
      <c r="M431" s="4"/>
      <c r="N431" s="4"/>
      <c r="O431" s="4"/>
      <c r="P431" s="4"/>
      <c r="Q431" s="4"/>
      <c r="R431" s="4"/>
      <c r="S431" s="4"/>
      <c r="T431" s="4"/>
      <c r="U431" s="4"/>
    </row>
    <row r="432" spans="3:21" ht="19" x14ac:dyDescent="0.25">
      <c r="C432" s="4"/>
      <c r="D432" s="4"/>
      <c r="E432" s="4"/>
      <c r="F432" s="4"/>
      <c r="G432" s="4"/>
      <c r="H432" s="4"/>
      <c r="I432" s="4"/>
      <c r="J432" s="4"/>
      <c r="K432" s="4"/>
      <c r="L432" s="4"/>
      <c r="M432" s="4"/>
      <c r="N432" s="4"/>
      <c r="O432" s="4"/>
      <c r="P432" s="4"/>
      <c r="Q432" s="4"/>
      <c r="R432" s="4"/>
      <c r="S432" s="4"/>
      <c r="T432" s="4"/>
      <c r="U432" s="4"/>
    </row>
    <row r="433" spans="3:21" ht="19" x14ac:dyDescent="0.25">
      <c r="C433" s="4"/>
      <c r="D433" s="4"/>
      <c r="E433" s="4"/>
      <c r="F433" s="4"/>
      <c r="G433" s="4"/>
      <c r="H433" s="4"/>
      <c r="I433" s="4"/>
      <c r="J433" s="4"/>
      <c r="K433" s="4"/>
      <c r="L433" s="4"/>
      <c r="M433" s="4"/>
      <c r="N433" s="4"/>
      <c r="O433" s="4"/>
      <c r="P433" s="4"/>
      <c r="Q433" s="4"/>
      <c r="R433" s="4"/>
      <c r="S433" s="4"/>
      <c r="T433" s="4"/>
      <c r="U433" s="4"/>
    </row>
    <row r="434" spans="3:21" ht="19" x14ac:dyDescent="0.25">
      <c r="C434" s="4"/>
      <c r="D434" s="4"/>
      <c r="E434" s="4"/>
      <c r="F434" s="4"/>
      <c r="G434" s="4"/>
      <c r="H434" s="4"/>
      <c r="I434" s="4"/>
      <c r="J434" s="4"/>
      <c r="K434" s="4"/>
      <c r="L434" s="4"/>
      <c r="M434" s="4"/>
      <c r="N434" s="4"/>
      <c r="O434" s="4"/>
      <c r="P434" s="4"/>
      <c r="Q434" s="4"/>
      <c r="R434" s="4"/>
      <c r="S434" s="4"/>
      <c r="T434" s="4"/>
      <c r="U434" s="4"/>
    </row>
    <row r="435" spans="3:21" ht="19" x14ac:dyDescent="0.25">
      <c r="C435" s="4"/>
      <c r="D435" s="4"/>
      <c r="E435" s="4"/>
      <c r="F435" s="4"/>
      <c r="G435" s="4"/>
      <c r="H435" s="4"/>
      <c r="I435" s="4"/>
      <c r="J435" s="4"/>
      <c r="K435" s="4"/>
      <c r="L435" s="4"/>
      <c r="M435" s="4"/>
      <c r="N435" s="4"/>
      <c r="O435" s="4"/>
      <c r="P435" s="4"/>
      <c r="Q435" s="4"/>
      <c r="R435" s="4"/>
      <c r="S435" s="4"/>
      <c r="T435" s="4"/>
      <c r="U435" s="4"/>
    </row>
    <row r="436" spans="3:21" ht="19" x14ac:dyDescent="0.25">
      <c r="C436" s="4"/>
      <c r="D436" s="4"/>
      <c r="E436" s="4"/>
      <c r="F436" s="4"/>
      <c r="G436" s="4"/>
      <c r="H436" s="4"/>
      <c r="I436" s="4"/>
      <c r="J436" s="4"/>
      <c r="K436" s="4"/>
      <c r="L436" s="4"/>
      <c r="M436" s="4"/>
      <c r="N436" s="4"/>
      <c r="O436" s="4"/>
      <c r="P436" s="4"/>
      <c r="Q436" s="4"/>
      <c r="R436" s="4"/>
      <c r="S436" s="4"/>
      <c r="T436" s="4"/>
      <c r="U436" s="4"/>
    </row>
    <row r="437" spans="3:21" ht="19" x14ac:dyDescent="0.25">
      <c r="C437" s="4"/>
      <c r="D437" s="4"/>
      <c r="E437" s="4"/>
      <c r="F437" s="4"/>
      <c r="G437" s="4"/>
      <c r="H437" s="4"/>
      <c r="I437" s="4"/>
      <c r="J437" s="4"/>
      <c r="K437" s="4"/>
      <c r="L437" s="4"/>
      <c r="M437" s="4"/>
      <c r="N437" s="4"/>
      <c r="O437" s="4"/>
      <c r="P437" s="4"/>
      <c r="Q437" s="4"/>
      <c r="R437" s="4"/>
      <c r="S437" s="4"/>
      <c r="T437" s="4"/>
      <c r="U437" s="4"/>
    </row>
    <row r="438" spans="3:21" ht="19" x14ac:dyDescent="0.25">
      <c r="C438" s="4"/>
      <c r="D438" s="4"/>
      <c r="E438" s="4"/>
      <c r="F438" s="4"/>
      <c r="G438" s="4"/>
      <c r="H438" s="4"/>
      <c r="I438" s="4"/>
      <c r="J438" s="4"/>
      <c r="K438" s="4"/>
      <c r="L438" s="4"/>
      <c r="M438" s="4"/>
      <c r="N438" s="4"/>
      <c r="O438" s="4"/>
      <c r="P438" s="4"/>
      <c r="Q438" s="4"/>
      <c r="R438" s="4"/>
      <c r="S438" s="4"/>
      <c r="T438" s="4"/>
      <c r="U438" s="4"/>
    </row>
    <row r="439" spans="3:21" ht="19" x14ac:dyDescent="0.25">
      <c r="C439" s="4"/>
      <c r="D439" s="4"/>
      <c r="E439" s="4"/>
      <c r="F439" s="4"/>
      <c r="G439" s="4"/>
      <c r="H439" s="4"/>
      <c r="I439" s="4"/>
      <c r="J439" s="4"/>
      <c r="K439" s="4"/>
      <c r="L439" s="4"/>
      <c r="M439" s="4"/>
      <c r="N439" s="4"/>
      <c r="O439" s="4"/>
      <c r="P439" s="4"/>
      <c r="Q439" s="4"/>
      <c r="R439" s="4"/>
      <c r="S439" s="4"/>
      <c r="T439" s="4"/>
      <c r="U439" s="4"/>
    </row>
    <row r="440" spans="3:21" ht="19" x14ac:dyDescent="0.25">
      <c r="C440" s="4"/>
      <c r="D440" s="4"/>
      <c r="E440" s="4"/>
      <c r="F440" s="4"/>
      <c r="G440" s="4"/>
      <c r="H440" s="4"/>
      <c r="I440" s="4"/>
      <c r="J440" s="4"/>
      <c r="K440" s="4"/>
      <c r="L440" s="4"/>
      <c r="M440" s="4"/>
      <c r="N440" s="4"/>
      <c r="O440" s="4"/>
      <c r="P440" s="4"/>
      <c r="Q440" s="4"/>
      <c r="R440" s="4"/>
      <c r="S440" s="4"/>
      <c r="T440" s="4"/>
      <c r="U440" s="4"/>
    </row>
    <row r="441" spans="3:21" ht="19" x14ac:dyDescent="0.25">
      <c r="C441" s="4"/>
      <c r="D441" s="4"/>
      <c r="E441" s="4"/>
      <c r="F441" s="4"/>
      <c r="G441" s="4"/>
      <c r="H441" s="4"/>
      <c r="I441" s="4"/>
      <c r="J441" s="4"/>
      <c r="K441" s="4"/>
      <c r="L441" s="4"/>
      <c r="M441" s="4"/>
      <c r="N441" s="4"/>
      <c r="O441" s="4"/>
      <c r="P441" s="4"/>
      <c r="Q441" s="4"/>
      <c r="R441" s="4"/>
      <c r="S441" s="4"/>
      <c r="T441" s="4"/>
      <c r="U441" s="4"/>
    </row>
    <row r="442" spans="3:21" ht="19" x14ac:dyDescent="0.25">
      <c r="C442" s="4"/>
      <c r="D442" s="4"/>
      <c r="E442" s="4"/>
      <c r="F442" s="4"/>
      <c r="G442" s="4"/>
      <c r="H442" s="4"/>
      <c r="I442" s="4"/>
      <c r="J442" s="4"/>
      <c r="K442" s="4"/>
      <c r="L442" s="4"/>
      <c r="M442" s="4"/>
      <c r="N442" s="4"/>
      <c r="O442" s="4"/>
      <c r="P442" s="4"/>
      <c r="Q442" s="4"/>
      <c r="R442" s="4"/>
      <c r="S442" s="4"/>
      <c r="T442" s="4"/>
      <c r="U442" s="4"/>
    </row>
    <row r="443" spans="3:21" ht="19" x14ac:dyDescent="0.25">
      <c r="C443" s="4"/>
      <c r="D443" s="4"/>
      <c r="E443" s="4"/>
      <c r="F443" s="4"/>
      <c r="G443" s="4"/>
      <c r="H443" s="4"/>
      <c r="I443" s="4"/>
      <c r="J443" s="4"/>
      <c r="K443" s="4"/>
      <c r="L443" s="4"/>
      <c r="M443" s="4"/>
      <c r="N443" s="4"/>
      <c r="O443" s="4"/>
      <c r="P443" s="4"/>
      <c r="Q443" s="4"/>
      <c r="R443" s="4"/>
      <c r="S443" s="4"/>
      <c r="T443" s="4"/>
      <c r="U443" s="4"/>
    </row>
    <row r="444" spans="3:21" ht="19" x14ac:dyDescent="0.25">
      <c r="C444" s="4"/>
      <c r="D444" s="4"/>
      <c r="E444" s="4"/>
      <c r="F444" s="4"/>
      <c r="G444" s="4"/>
      <c r="H444" s="4"/>
      <c r="I444" s="4"/>
      <c r="J444" s="4"/>
      <c r="K444" s="4"/>
      <c r="L444" s="4"/>
      <c r="M444" s="4"/>
      <c r="N444" s="4"/>
      <c r="O444" s="4"/>
      <c r="P444" s="4"/>
      <c r="Q444" s="4"/>
      <c r="R444" s="4"/>
      <c r="S444" s="4"/>
      <c r="T444" s="4"/>
      <c r="U444" s="4"/>
    </row>
    <row r="445" spans="3:21" ht="19" x14ac:dyDescent="0.25">
      <c r="C445" s="4"/>
      <c r="D445" s="4"/>
      <c r="E445" s="4"/>
      <c r="F445" s="4"/>
      <c r="G445" s="4"/>
      <c r="H445" s="4"/>
      <c r="I445" s="4"/>
      <c r="J445" s="4"/>
      <c r="K445" s="4"/>
      <c r="L445" s="4"/>
      <c r="M445" s="4"/>
      <c r="N445" s="4"/>
      <c r="O445" s="4"/>
      <c r="P445" s="4"/>
      <c r="Q445" s="4"/>
      <c r="R445" s="4"/>
      <c r="S445" s="4"/>
      <c r="T445" s="4"/>
      <c r="U445" s="4"/>
    </row>
    <row r="446" spans="3:21" ht="19" x14ac:dyDescent="0.25">
      <c r="C446" s="4"/>
      <c r="D446" s="4"/>
      <c r="E446" s="4"/>
      <c r="F446" s="4"/>
      <c r="G446" s="4"/>
      <c r="H446" s="4"/>
      <c r="I446" s="4"/>
      <c r="J446" s="4"/>
      <c r="K446" s="4"/>
      <c r="L446" s="4"/>
      <c r="M446" s="4"/>
      <c r="N446" s="4"/>
      <c r="O446" s="4"/>
      <c r="P446" s="4"/>
      <c r="Q446" s="4"/>
      <c r="R446" s="4"/>
      <c r="S446" s="4"/>
      <c r="T446" s="4"/>
      <c r="U446" s="4"/>
    </row>
    <row r="447" spans="3:21" ht="19" x14ac:dyDescent="0.25">
      <c r="C447" s="4"/>
      <c r="D447" s="4"/>
      <c r="E447" s="4"/>
      <c r="F447" s="4"/>
      <c r="G447" s="4"/>
      <c r="H447" s="4"/>
      <c r="I447" s="4"/>
      <c r="J447" s="4"/>
      <c r="K447" s="4"/>
      <c r="L447" s="4"/>
      <c r="M447" s="4"/>
      <c r="N447" s="4"/>
      <c r="O447" s="4"/>
      <c r="P447" s="4"/>
      <c r="Q447" s="4"/>
      <c r="R447" s="4"/>
      <c r="S447" s="4"/>
      <c r="T447" s="4"/>
      <c r="U447" s="4"/>
    </row>
    <row r="448" spans="3:21" ht="19" x14ac:dyDescent="0.25">
      <c r="C448" s="4"/>
      <c r="D448" s="4"/>
      <c r="E448" s="4"/>
      <c r="F448" s="4"/>
      <c r="G448" s="4"/>
      <c r="H448" s="4"/>
      <c r="I448" s="4"/>
      <c r="J448" s="4"/>
      <c r="K448" s="4"/>
      <c r="L448" s="4"/>
      <c r="M448" s="4"/>
      <c r="N448" s="4"/>
      <c r="O448" s="4"/>
      <c r="P448" s="4"/>
      <c r="Q448" s="4"/>
      <c r="R448" s="4"/>
      <c r="S448" s="4"/>
      <c r="T448" s="4"/>
      <c r="U448" s="4"/>
    </row>
    <row r="449" spans="3:21" ht="19" x14ac:dyDescent="0.25">
      <c r="C449" s="4"/>
      <c r="D449" s="4"/>
      <c r="E449" s="4"/>
      <c r="F449" s="4"/>
      <c r="G449" s="4"/>
      <c r="H449" s="4"/>
      <c r="I449" s="4"/>
      <c r="J449" s="4"/>
      <c r="K449" s="4"/>
      <c r="L449" s="4"/>
      <c r="M449" s="4"/>
      <c r="N449" s="4"/>
      <c r="O449" s="4"/>
      <c r="P449" s="4"/>
      <c r="Q449" s="4"/>
      <c r="R449" s="4"/>
      <c r="S449" s="4"/>
      <c r="T449" s="4"/>
      <c r="U449" s="4"/>
    </row>
    <row r="450" spans="3:21" ht="19" x14ac:dyDescent="0.25">
      <c r="C450" s="4"/>
      <c r="D450" s="4"/>
      <c r="E450" s="4"/>
      <c r="F450" s="4"/>
      <c r="G450" s="4"/>
      <c r="H450" s="4"/>
      <c r="I450" s="4"/>
      <c r="J450" s="4"/>
      <c r="K450" s="4"/>
      <c r="L450" s="4"/>
      <c r="M450" s="4"/>
      <c r="N450" s="4"/>
      <c r="O450" s="4"/>
      <c r="P450" s="4"/>
      <c r="Q450" s="4"/>
      <c r="R450" s="4"/>
      <c r="S450" s="4"/>
      <c r="T450" s="4"/>
      <c r="U450" s="4"/>
    </row>
    <row r="451" spans="3:21" ht="19" x14ac:dyDescent="0.25">
      <c r="C451" s="4"/>
      <c r="D451" s="4"/>
      <c r="E451" s="4"/>
      <c r="F451" s="4"/>
      <c r="G451" s="4"/>
      <c r="H451" s="4"/>
      <c r="I451" s="4"/>
      <c r="J451" s="4"/>
      <c r="K451" s="4"/>
      <c r="L451" s="4"/>
      <c r="M451" s="4"/>
      <c r="N451" s="4"/>
      <c r="O451" s="4"/>
      <c r="P451" s="4"/>
      <c r="Q451" s="4"/>
      <c r="R451" s="4"/>
      <c r="S451" s="4"/>
      <c r="T451" s="4"/>
      <c r="U451" s="4"/>
    </row>
    <row r="452" spans="3:21" ht="19" x14ac:dyDescent="0.25">
      <c r="C452" s="4"/>
      <c r="D452" s="4"/>
      <c r="E452" s="4"/>
      <c r="F452" s="4"/>
      <c r="G452" s="4"/>
      <c r="H452" s="4"/>
      <c r="I452" s="4"/>
      <c r="J452" s="4"/>
      <c r="K452" s="4"/>
      <c r="L452" s="4"/>
      <c r="M452" s="4"/>
      <c r="N452" s="4"/>
      <c r="O452" s="4"/>
      <c r="P452" s="4"/>
      <c r="Q452" s="4"/>
      <c r="R452" s="4"/>
      <c r="S452" s="4"/>
      <c r="T452" s="4"/>
      <c r="U452" s="4"/>
    </row>
    <row r="453" spans="3:21" ht="19" x14ac:dyDescent="0.25">
      <c r="C453" s="4"/>
      <c r="D453" s="4"/>
      <c r="E453" s="4"/>
      <c r="F453" s="4"/>
      <c r="G453" s="4"/>
      <c r="H453" s="4"/>
      <c r="I453" s="4"/>
      <c r="J453" s="4"/>
      <c r="K453" s="4"/>
      <c r="L453" s="4"/>
      <c r="M453" s="4"/>
      <c r="N453" s="4"/>
      <c r="O453" s="4"/>
      <c r="P453" s="4"/>
      <c r="Q453" s="4"/>
      <c r="R453" s="4"/>
      <c r="S453" s="4"/>
      <c r="T453" s="4"/>
      <c r="U453" s="4"/>
    </row>
    <row r="454" spans="3:21" ht="19" x14ac:dyDescent="0.25">
      <c r="C454" s="4"/>
      <c r="D454" s="4"/>
      <c r="E454" s="4"/>
      <c r="F454" s="4"/>
      <c r="G454" s="4"/>
      <c r="H454" s="4"/>
      <c r="I454" s="4"/>
      <c r="J454" s="4"/>
      <c r="K454" s="4"/>
      <c r="L454" s="4"/>
      <c r="M454" s="4"/>
      <c r="N454" s="4"/>
      <c r="O454" s="4"/>
      <c r="P454" s="4"/>
      <c r="Q454" s="4"/>
      <c r="R454" s="4"/>
      <c r="S454" s="4"/>
      <c r="T454" s="4"/>
      <c r="U454" s="4"/>
    </row>
    <row r="455" spans="3:21" ht="19" x14ac:dyDescent="0.25">
      <c r="C455" s="4"/>
      <c r="D455" s="4"/>
      <c r="E455" s="4"/>
      <c r="F455" s="4"/>
      <c r="G455" s="4"/>
      <c r="H455" s="4"/>
      <c r="I455" s="4"/>
      <c r="J455" s="4"/>
      <c r="K455" s="4"/>
      <c r="L455" s="4"/>
      <c r="M455" s="4"/>
      <c r="N455" s="4"/>
      <c r="O455" s="4"/>
      <c r="P455" s="4"/>
      <c r="Q455" s="4"/>
      <c r="R455" s="4"/>
      <c r="S455" s="4"/>
      <c r="T455" s="4"/>
      <c r="U455" s="4"/>
    </row>
    <row r="456" spans="3:21" ht="19" x14ac:dyDescent="0.25">
      <c r="C456" s="4"/>
      <c r="D456" s="4"/>
      <c r="E456" s="4"/>
      <c r="F456" s="4"/>
      <c r="G456" s="4"/>
      <c r="H456" s="4"/>
      <c r="I456" s="4"/>
      <c r="J456" s="4"/>
      <c r="K456" s="4"/>
      <c r="L456" s="4"/>
      <c r="M456" s="4"/>
      <c r="N456" s="4"/>
      <c r="O456" s="4"/>
      <c r="P456" s="4"/>
      <c r="Q456" s="4"/>
      <c r="R456" s="4"/>
      <c r="S456" s="4"/>
      <c r="T456" s="4"/>
      <c r="U456" s="4"/>
    </row>
    <row r="457" spans="3:21" ht="19" x14ac:dyDescent="0.25">
      <c r="C457" s="4"/>
      <c r="D457" s="4"/>
      <c r="E457" s="4"/>
      <c r="F457" s="4"/>
      <c r="G457" s="4"/>
      <c r="H457" s="4"/>
      <c r="I457" s="4"/>
      <c r="J457" s="4"/>
      <c r="K457" s="4"/>
      <c r="L457" s="4"/>
      <c r="M457" s="4"/>
      <c r="N457" s="4"/>
      <c r="O457" s="4"/>
      <c r="P457" s="4"/>
      <c r="Q457" s="4"/>
      <c r="R457" s="4"/>
      <c r="S457" s="4"/>
      <c r="T457" s="4"/>
      <c r="U457" s="4"/>
    </row>
    <row r="458" spans="3:21" ht="19" x14ac:dyDescent="0.25">
      <c r="C458" s="4"/>
      <c r="D458" s="4"/>
      <c r="E458" s="4"/>
      <c r="F458" s="4"/>
      <c r="G458" s="4"/>
      <c r="H458" s="4"/>
      <c r="I458" s="4"/>
      <c r="J458" s="4"/>
      <c r="K458" s="4"/>
      <c r="L458" s="4"/>
      <c r="M458" s="4"/>
      <c r="N458" s="4"/>
      <c r="O458" s="4"/>
      <c r="P458" s="4"/>
      <c r="Q458" s="4"/>
      <c r="R458" s="4"/>
      <c r="S458" s="4"/>
      <c r="T458" s="4"/>
      <c r="U458" s="4"/>
    </row>
    <row r="459" spans="3:21" ht="19" x14ac:dyDescent="0.25">
      <c r="C459" s="4"/>
      <c r="D459" s="4"/>
      <c r="E459" s="4"/>
      <c r="F459" s="4"/>
      <c r="G459" s="4"/>
      <c r="H459" s="4"/>
      <c r="I459" s="4"/>
      <c r="J459" s="4"/>
      <c r="K459" s="4"/>
      <c r="L459" s="4"/>
      <c r="M459" s="4"/>
      <c r="N459" s="4"/>
      <c r="O459" s="4"/>
      <c r="P459" s="4"/>
      <c r="Q459" s="4"/>
      <c r="R459" s="4"/>
      <c r="S459" s="4"/>
      <c r="T459" s="4"/>
      <c r="U459" s="4"/>
    </row>
    <row r="460" spans="3:21" ht="19" x14ac:dyDescent="0.25">
      <c r="C460" s="4"/>
      <c r="D460" s="4"/>
      <c r="E460" s="4"/>
      <c r="F460" s="4"/>
      <c r="G460" s="4"/>
      <c r="H460" s="4"/>
      <c r="I460" s="4"/>
      <c r="J460" s="4"/>
      <c r="K460" s="4"/>
      <c r="L460" s="4"/>
      <c r="M460" s="4"/>
      <c r="N460" s="4"/>
      <c r="O460" s="4"/>
      <c r="P460" s="4"/>
      <c r="Q460" s="4"/>
      <c r="R460" s="4"/>
      <c r="S460" s="4"/>
      <c r="T460" s="4"/>
      <c r="U460" s="4"/>
    </row>
    <row r="461" spans="3:21" ht="19" x14ac:dyDescent="0.25">
      <c r="C461" s="4"/>
      <c r="D461" s="4"/>
      <c r="E461" s="4"/>
      <c r="F461" s="4"/>
      <c r="G461" s="4"/>
      <c r="H461" s="4"/>
      <c r="I461" s="4"/>
      <c r="J461" s="4"/>
      <c r="K461" s="4"/>
      <c r="L461" s="4"/>
      <c r="M461" s="4"/>
      <c r="N461" s="4"/>
      <c r="O461" s="4"/>
      <c r="P461" s="4"/>
      <c r="Q461" s="4"/>
      <c r="R461" s="4"/>
      <c r="S461" s="4"/>
      <c r="T461" s="4"/>
      <c r="U461" s="4"/>
    </row>
    <row r="462" spans="3:21" ht="19" x14ac:dyDescent="0.25">
      <c r="C462" s="4"/>
      <c r="D462" s="4"/>
      <c r="E462" s="4"/>
      <c r="F462" s="4"/>
      <c r="G462" s="4"/>
      <c r="H462" s="4"/>
      <c r="I462" s="4"/>
      <c r="J462" s="4"/>
      <c r="K462" s="4"/>
      <c r="L462" s="4"/>
      <c r="M462" s="4"/>
      <c r="N462" s="4"/>
      <c r="O462" s="4"/>
      <c r="P462" s="4"/>
      <c r="Q462" s="4"/>
      <c r="R462" s="4"/>
      <c r="S462" s="4"/>
      <c r="T462" s="4"/>
      <c r="U462" s="4"/>
    </row>
    <row r="463" spans="3:21" ht="19" x14ac:dyDescent="0.25">
      <c r="C463" s="4"/>
      <c r="D463" s="4"/>
      <c r="E463" s="4"/>
      <c r="F463" s="4"/>
      <c r="G463" s="4"/>
      <c r="H463" s="4"/>
      <c r="I463" s="4"/>
      <c r="J463" s="4"/>
      <c r="K463" s="4"/>
      <c r="L463" s="4"/>
      <c r="M463" s="4"/>
      <c r="N463" s="4"/>
      <c r="O463" s="4"/>
      <c r="P463" s="4"/>
      <c r="Q463" s="4"/>
      <c r="R463" s="4"/>
      <c r="S463" s="4"/>
      <c r="T463" s="4"/>
      <c r="U463" s="4"/>
    </row>
    <row r="464" spans="3:21" ht="19" x14ac:dyDescent="0.25">
      <c r="C464" s="4"/>
      <c r="D464" s="4"/>
      <c r="E464" s="4"/>
      <c r="F464" s="4"/>
      <c r="G464" s="4"/>
      <c r="H464" s="4"/>
      <c r="I464" s="4"/>
      <c r="J464" s="4"/>
      <c r="K464" s="4"/>
      <c r="L464" s="4"/>
      <c r="M464" s="4"/>
      <c r="N464" s="4"/>
      <c r="O464" s="4"/>
      <c r="P464" s="4"/>
      <c r="Q464" s="4"/>
      <c r="R464" s="4"/>
      <c r="S464" s="4"/>
      <c r="T464" s="4"/>
      <c r="U464" s="4"/>
    </row>
    <row r="465" spans="3:21" ht="19" x14ac:dyDescent="0.25">
      <c r="C465" s="4"/>
      <c r="D465" s="4"/>
      <c r="E465" s="4"/>
      <c r="F465" s="4"/>
      <c r="G465" s="4"/>
      <c r="H465" s="4"/>
      <c r="I465" s="4"/>
      <c r="J465" s="4"/>
      <c r="K465" s="4"/>
      <c r="L465" s="4"/>
      <c r="M465" s="4"/>
      <c r="N465" s="4"/>
      <c r="O465" s="4"/>
      <c r="P465" s="4"/>
      <c r="Q465" s="4"/>
      <c r="R465" s="4"/>
      <c r="S465" s="4"/>
      <c r="T465" s="4"/>
      <c r="U465" s="4"/>
    </row>
    <row r="466" spans="3:21" ht="19" x14ac:dyDescent="0.25">
      <c r="C466" s="4"/>
      <c r="D466" s="4"/>
      <c r="E466" s="4"/>
      <c r="F466" s="4"/>
      <c r="G466" s="4"/>
      <c r="H466" s="4"/>
      <c r="I466" s="4"/>
      <c r="J466" s="4"/>
      <c r="K466" s="4"/>
      <c r="L466" s="4"/>
      <c r="M466" s="4"/>
      <c r="N466" s="4"/>
      <c r="O466" s="4"/>
      <c r="P466" s="4"/>
      <c r="Q466" s="4"/>
      <c r="R466" s="4"/>
      <c r="S466" s="4"/>
      <c r="T466" s="4"/>
      <c r="U466" s="4"/>
    </row>
    <row r="467" spans="3:21" ht="19" x14ac:dyDescent="0.25">
      <c r="C467" s="4"/>
      <c r="D467" s="4"/>
      <c r="E467" s="4"/>
      <c r="F467" s="4"/>
      <c r="G467" s="4"/>
      <c r="H467" s="4"/>
      <c r="I467" s="4"/>
      <c r="J467" s="4"/>
      <c r="K467" s="4"/>
      <c r="L467" s="4"/>
      <c r="M467" s="4"/>
      <c r="N467" s="4"/>
      <c r="O467" s="4"/>
      <c r="P467" s="4"/>
      <c r="Q467" s="4"/>
      <c r="R467" s="4"/>
      <c r="S467" s="4"/>
      <c r="T467" s="4"/>
      <c r="U467" s="4"/>
    </row>
    <row r="468" spans="3:21" ht="19" x14ac:dyDescent="0.25">
      <c r="C468" s="4"/>
      <c r="D468" s="4"/>
      <c r="E468" s="4"/>
      <c r="F468" s="4"/>
      <c r="G468" s="4"/>
      <c r="H468" s="4"/>
      <c r="I468" s="4"/>
      <c r="J468" s="4"/>
      <c r="K468" s="4"/>
      <c r="L468" s="4"/>
      <c r="M468" s="4"/>
      <c r="N468" s="4"/>
      <c r="O468" s="4"/>
      <c r="P468" s="4"/>
      <c r="Q468" s="4"/>
      <c r="R468" s="4"/>
      <c r="S468" s="4"/>
      <c r="T468" s="4"/>
      <c r="U468" s="4"/>
    </row>
    <row r="469" spans="3:21" ht="19" x14ac:dyDescent="0.25">
      <c r="C469" s="4"/>
      <c r="D469" s="4"/>
      <c r="E469" s="4"/>
      <c r="F469" s="4"/>
      <c r="G469" s="4"/>
      <c r="H469" s="4"/>
      <c r="I469" s="4"/>
      <c r="J469" s="4"/>
      <c r="K469" s="4"/>
      <c r="L469" s="4"/>
      <c r="M469" s="4"/>
      <c r="N469" s="4"/>
      <c r="O469" s="4"/>
      <c r="P469" s="4"/>
      <c r="Q469" s="4"/>
      <c r="R469" s="4"/>
      <c r="S469" s="4"/>
      <c r="T469" s="4"/>
      <c r="U469" s="4"/>
    </row>
    <row r="470" spans="3:21" ht="19" x14ac:dyDescent="0.25">
      <c r="C470" s="4"/>
      <c r="D470" s="4"/>
      <c r="E470" s="4"/>
      <c r="F470" s="4"/>
      <c r="G470" s="4"/>
      <c r="H470" s="4"/>
      <c r="I470" s="4"/>
      <c r="J470" s="4"/>
      <c r="K470" s="4"/>
      <c r="L470" s="4"/>
      <c r="M470" s="4"/>
      <c r="N470" s="4"/>
      <c r="O470" s="4"/>
      <c r="P470" s="4"/>
      <c r="Q470" s="4"/>
      <c r="R470" s="4"/>
      <c r="S470" s="4"/>
      <c r="T470" s="4"/>
      <c r="U470" s="4"/>
    </row>
    <row r="471" spans="3:21" ht="19" x14ac:dyDescent="0.25">
      <c r="C471" s="4"/>
      <c r="D471" s="4"/>
      <c r="E471" s="4"/>
      <c r="F471" s="4"/>
      <c r="G471" s="4"/>
      <c r="H471" s="4"/>
      <c r="I471" s="4"/>
      <c r="J471" s="4"/>
      <c r="K471" s="4"/>
      <c r="L471" s="4"/>
      <c r="M471" s="4"/>
      <c r="N471" s="4"/>
      <c r="O471" s="4"/>
      <c r="P471" s="4"/>
      <c r="Q471" s="4"/>
      <c r="R471" s="4"/>
      <c r="S471" s="4"/>
      <c r="T471" s="4"/>
      <c r="U471" s="4"/>
    </row>
    <row r="472" spans="3:21" ht="19" x14ac:dyDescent="0.25">
      <c r="C472" s="4"/>
      <c r="D472" s="4"/>
      <c r="E472" s="4"/>
      <c r="F472" s="4"/>
      <c r="G472" s="4"/>
      <c r="H472" s="4"/>
      <c r="I472" s="4"/>
      <c r="J472" s="4"/>
      <c r="K472" s="4"/>
      <c r="L472" s="4"/>
      <c r="M472" s="4"/>
      <c r="N472" s="4"/>
      <c r="O472" s="4"/>
      <c r="P472" s="4"/>
      <c r="Q472" s="4"/>
      <c r="R472" s="4"/>
      <c r="S472" s="4"/>
      <c r="T472" s="4"/>
      <c r="U472" s="4"/>
    </row>
    <row r="473" spans="3:21" ht="19" x14ac:dyDescent="0.25">
      <c r="C473" s="4"/>
      <c r="D473" s="4"/>
      <c r="E473" s="4"/>
      <c r="F473" s="4"/>
      <c r="G473" s="4"/>
      <c r="H473" s="4"/>
      <c r="I473" s="4"/>
      <c r="J473" s="4"/>
      <c r="K473" s="4"/>
      <c r="L473" s="4"/>
      <c r="M473" s="4"/>
      <c r="N473" s="4"/>
      <c r="O473" s="4"/>
      <c r="P473" s="4"/>
      <c r="Q473" s="4"/>
      <c r="R473" s="4"/>
      <c r="S473" s="4"/>
      <c r="T473" s="4"/>
      <c r="U473" s="4"/>
    </row>
    <row r="474" spans="3:21" ht="19" x14ac:dyDescent="0.25">
      <c r="C474" s="4"/>
      <c r="D474" s="4"/>
      <c r="E474" s="4"/>
      <c r="F474" s="4"/>
      <c r="G474" s="4"/>
      <c r="H474" s="4"/>
      <c r="I474" s="4"/>
      <c r="J474" s="4"/>
      <c r="K474" s="4"/>
      <c r="L474" s="4"/>
      <c r="M474" s="4"/>
      <c r="N474" s="4"/>
      <c r="O474" s="4"/>
      <c r="P474" s="4"/>
      <c r="Q474" s="4"/>
      <c r="R474" s="4"/>
      <c r="S474" s="4"/>
      <c r="T474" s="4"/>
      <c r="U474" s="4"/>
    </row>
    <row r="475" spans="3:21" ht="19" x14ac:dyDescent="0.25">
      <c r="C475" s="4"/>
      <c r="D475" s="4"/>
      <c r="E475" s="4"/>
      <c r="F475" s="4"/>
      <c r="G475" s="4"/>
      <c r="H475" s="4"/>
      <c r="I475" s="4"/>
      <c r="J475" s="4"/>
      <c r="K475" s="4"/>
      <c r="L475" s="4"/>
      <c r="M475" s="4"/>
      <c r="N475" s="4"/>
      <c r="O475" s="4"/>
      <c r="P475" s="4"/>
      <c r="Q475" s="4"/>
      <c r="R475" s="4"/>
      <c r="S475" s="4"/>
      <c r="T475" s="4"/>
      <c r="U475" s="4"/>
    </row>
    <row r="476" spans="3:21" ht="19" x14ac:dyDescent="0.25">
      <c r="C476" s="4"/>
      <c r="D476" s="4"/>
      <c r="E476" s="4"/>
      <c r="F476" s="4"/>
      <c r="G476" s="4"/>
      <c r="H476" s="4"/>
      <c r="I476" s="4"/>
      <c r="J476" s="4"/>
      <c r="K476" s="4"/>
      <c r="L476" s="4"/>
      <c r="M476" s="4"/>
      <c r="N476" s="4"/>
      <c r="O476" s="4"/>
      <c r="P476" s="4"/>
      <c r="Q476" s="4"/>
      <c r="R476" s="4"/>
      <c r="S476" s="4"/>
      <c r="T476" s="4"/>
      <c r="U476" s="4"/>
    </row>
    <row r="477" spans="3:21" ht="19" x14ac:dyDescent="0.25">
      <c r="C477" s="4"/>
      <c r="D477" s="4"/>
      <c r="E477" s="4"/>
      <c r="F477" s="4"/>
      <c r="G477" s="4"/>
      <c r="H477" s="4"/>
      <c r="I477" s="4"/>
      <c r="J477" s="4"/>
      <c r="K477" s="4"/>
      <c r="L477" s="4"/>
      <c r="M477" s="4"/>
      <c r="N477" s="4"/>
      <c r="O477" s="4"/>
      <c r="P477" s="4"/>
      <c r="Q477" s="4"/>
      <c r="R477" s="4"/>
      <c r="S477" s="4"/>
      <c r="T477" s="4"/>
      <c r="U477" s="4"/>
    </row>
    <row r="478" spans="3:21" ht="19" x14ac:dyDescent="0.25">
      <c r="C478" s="4"/>
      <c r="D478" s="4"/>
      <c r="E478" s="4"/>
      <c r="F478" s="4"/>
      <c r="G478" s="4"/>
      <c r="H478" s="4"/>
      <c r="I478" s="4"/>
      <c r="J478" s="4"/>
      <c r="K478" s="4"/>
      <c r="L478" s="4"/>
      <c r="M478" s="4"/>
      <c r="N478" s="4"/>
      <c r="O478" s="4"/>
      <c r="P478" s="4"/>
      <c r="Q478" s="4"/>
      <c r="R478" s="4"/>
      <c r="S478" s="4"/>
      <c r="T478" s="4"/>
      <c r="U478" s="4"/>
    </row>
    <row r="479" spans="3:21" ht="19" x14ac:dyDescent="0.25">
      <c r="C479" s="4"/>
      <c r="D479" s="4"/>
      <c r="E479" s="4"/>
      <c r="F479" s="4"/>
      <c r="G479" s="4"/>
      <c r="H479" s="4"/>
      <c r="I479" s="4"/>
      <c r="J479" s="4"/>
      <c r="K479" s="4"/>
      <c r="L479" s="4"/>
      <c r="M479" s="4"/>
      <c r="N479" s="4"/>
      <c r="O479" s="4"/>
      <c r="P479" s="4"/>
      <c r="Q479" s="4"/>
      <c r="R479" s="4"/>
      <c r="S479" s="4"/>
      <c r="T479" s="4"/>
      <c r="U479" s="4"/>
    </row>
    <row r="480" spans="3:21" ht="19" x14ac:dyDescent="0.25">
      <c r="C480" s="4"/>
      <c r="D480" s="4"/>
      <c r="E480" s="4"/>
      <c r="F480" s="4"/>
      <c r="G480" s="4"/>
      <c r="H480" s="4"/>
      <c r="I480" s="4"/>
      <c r="J480" s="4"/>
      <c r="K480" s="4"/>
      <c r="L480" s="4"/>
      <c r="M480" s="4"/>
      <c r="N480" s="4"/>
      <c r="O480" s="4"/>
      <c r="P480" s="4"/>
      <c r="Q480" s="4"/>
      <c r="R480" s="4"/>
      <c r="S480" s="4"/>
      <c r="T480" s="4"/>
      <c r="U480" s="4"/>
    </row>
    <row r="481" spans="3:21" ht="19" x14ac:dyDescent="0.25">
      <c r="C481" s="4"/>
      <c r="D481" s="4"/>
      <c r="E481" s="4"/>
      <c r="F481" s="4"/>
      <c r="G481" s="4"/>
      <c r="H481" s="4"/>
      <c r="I481" s="4"/>
      <c r="J481" s="4"/>
      <c r="K481" s="4"/>
      <c r="L481" s="4"/>
      <c r="M481" s="4"/>
      <c r="N481" s="4"/>
      <c r="O481" s="4"/>
      <c r="P481" s="4"/>
      <c r="Q481" s="4"/>
      <c r="R481" s="4"/>
      <c r="S481" s="4"/>
      <c r="T481" s="4"/>
      <c r="U481" s="4"/>
    </row>
    <row r="482" spans="3:21" ht="19" x14ac:dyDescent="0.25">
      <c r="C482" s="4"/>
      <c r="D482" s="4"/>
      <c r="E482" s="4"/>
      <c r="F482" s="4"/>
      <c r="G482" s="4"/>
      <c r="H482" s="4"/>
      <c r="I482" s="4"/>
      <c r="J482" s="4"/>
      <c r="K482" s="4"/>
      <c r="L482" s="4"/>
      <c r="M482" s="4"/>
      <c r="N482" s="4"/>
      <c r="O482" s="4"/>
      <c r="P482" s="4"/>
      <c r="Q482" s="4"/>
      <c r="R482" s="4"/>
      <c r="S482" s="4"/>
      <c r="T482" s="4"/>
      <c r="U482" s="4"/>
    </row>
    <row r="483" spans="3:21" ht="19" x14ac:dyDescent="0.25">
      <c r="C483" s="4"/>
      <c r="D483" s="4"/>
      <c r="E483" s="4"/>
      <c r="F483" s="4"/>
      <c r="G483" s="4"/>
      <c r="H483" s="4"/>
      <c r="I483" s="4"/>
      <c r="J483" s="4"/>
      <c r="K483" s="4"/>
      <c r="L483" s="4"/>
      <c r="M483" s="4"/>
      <c r="N483" s="4"/>
      <c r="O483" s="4"/>
      <c r="P483" s="4"/>
      <c r="Q483" s="4"/>
      <c r="R483" s="4"/>
      <c r="S483" s="4"/>
      <c r="T483" s="4"/>
      <c r="U483" s="4"/>
    </row>
    <row r="484" spans="3:21" ht="19" x14ac:dyDescent="0.25">
      <c r="C484" s="4"/>
      <c r="D484" s="4"/>
      <c r="E484" s="4"/>
      <c r="F484" s="4"/>
      <c r="G484" s="4"/>
      <c r="H484" s="4"/>
      <c r="I484" s="4"/>
      <c r="J484" s="4"/>
      <c r="K484" s="4"/>
      <c r="L484" s="4"/>
      <c r="M484" s="4"/>
      <c r="N484" s="4"/>
      <c r="O484" s="4"/>
      <c r="P484" s="4"/>
      <c r="Q484" s="4"/>
      <c r="R484" s="4"/>
      <c r="S484" s="4"/>
      <c r="T484" s="4"/>
      <c r="U484" s="4"/>
    </row>
    <row r="485" spans="3:21" ht="19" x14ac:dyDescent="0.25">
      <c r="C485" s="4"/>
      <c r="D485" s="4"/>
      <c r="E485" s="4"/>
      <c r="F485" s="4"/>
      <c r="G485" s="4"/>
      <c r="H485" s="4"/>
      <c r="I485" s="4"/>
      <c r="J485" s="4"/>
      <c r="K485" s="4"/>
      <c r="L485" s="4"/>
      <c r="M485" s="4"/>
      <c r="N485" s="4"/>
      <c r="O485" s="4"/>
      <c r="P485" s="4"/>
      <c r="Q485" s="4"/>
      <c r="R485" s="4"/>
      <c r="S485" s="4"/>
      <c r="T485" s="4"/>
      <c r="U485" s="4"/>
    </row>
    <row r="486" spans="3:21" ht="19" x14ac:dyDescent="0.25">
      <c r="C486" s="4"/>
      <c r="D486" s="4"/>
      <c r="E486" s="4"/>
      <c r="F486" s="4"/>
      <c r="G486" s="4"/>
      <c r="H486" s="4"/>
      <c r="I486" s="4"/>
      <c r="J486" s="4"/>
      <c r="K486" s="4"/>
      <c r="L486" s="4"/>
      <c r="M486" s="4"/>
      <c r="N486" s="4"/>
      <c r="O486" s="4"/>
      <c r="P486" s="4"/>
      <c r="Q486" s="4"/>
      <c r="R486" s="4"/>
      <c r="S486" s="4"/>
      <c r="T486" s="4"/>
      <c r="U486" s="4"/>
    </row>
    <row r="487" spans="3:21" ht="19" x14ac:dyDescent="0.25">
      <c r="C487" s="4"/>
      <c r="D487" s="4"/>
      <c r="E487" s="4"/>
      <c r="F487" s="4"/>
      <c r="G487" s="4"/>
      <c r="H487" s="4"/>
      <c r="I487" s="4"/>
      <c r="J487" s="4"/>
      <c r="K487" s="4"/>
      <c r="L487" s="4"/>
      <c r="M487" s="4"/>
      <c r="N487" s="4"/>
      <c r="O487" s="4"/>
      <c r="P487" s="4"/>
      <c r="Q487" s="4"/>
      <c r="R487" s="4"/>
      <c r="S487" s="4"/>
      <c r="T487" s="4"/>
      <c r="U487" s="4"/>
    </row>
    <row r="488" spans="3:21" ht="19" x14ac:dyDescent="0.25">
      <c r="C488" s="4"/>
      <c r="D488" s="4"/>
      <c r="E488" s="4"/>
      <c r="F488" s="4"/>
      <c r="G488" s="4"/>
      <c r="H488" s="4"/>
      <c r="I488" s="4"/>
      <c r="J488" s="4"/>
      <c r="K488" s="4"/>
      <c r="L488" s="4"/>
      <c r="M488" s="4"/>
      <c r="N488" s="4"/>
      <c r="O488" s="4"/>
      <c r="P488" s="4"/>
      <c r="Q488" s="4"/>
      <c r="R488" s="4"/>
      <c r="S488" s="4"/>
      <c r="T488" s="4"/>
      <c r="U488" s="4"/>
    </row>
    <row r="489" spans="3:21" ht="19" x14ac:dyDescent="0.25">
      <c r="C489" s="4"/>
      <c r="D489" s="4"/>
      <c r="E489" s="4"/>
      <c r="F489" s="4"/>
      <c r="G489" s="4"/>
      <c r="H489" s="4"/>
      <c r="I489" s="4"/>
      <c r="J489" s="4"/>
      <c r="K489" s="4"/>
      <c r="L489" s="4"/>
      <c r="M489" s="4"/>
      <c r="N489" s="4"/>
      <c r="O489" s="4"/>
      <c r="P489" s="4"/>
      <c r="Q489" s="4"/>
      <c r="R489" s="4"/>
      <c r="S489" s="4"/>
      <c r="T489" s="4"/>
      <c r="U489" s="4"/>
    </row>
    <row r="490" spans="3:21" ht="19" x14ac:dyDescent="0.25">
      <c r="C490" s="4"/>
      <c r="D490" s="4"/>
      <c r="E490" s="4"/>
      <c r="F490" s="4"/>
      <c r="G490" s="4"/>
      <c r="H490" s="4"/>
      <c r="I490" s="4"/>
      <c r="J490" s="4"/>
      <c r="K490" s="4"/>
      <c r="L490" s="4"/>
      <c r="M490" s="4"/>
      <c r="N490" s="4"/>
      <c r="O490" s="4"/>
      <c r="P490" s="4"/>
      <c r="Q490" s="4"/>
      <c r="R490" s="4"/>
      <c r="S490" s="4"/>
      <c r="T490" s="4"/>
      <c r="U490" s="4"/>
    </row>
    <row r="491" spans="3:21" ht="19" x14ac:dyDescent="0.25">
      <c r="C491" s="4"/>
      <c r="D491" s="4"/>
      <c r="E491" s="4"/>
      <c r="F491" s="4"/>
      <c r="G491" s="4"/>
      <c r="H491" s="4"/>
      <c r="I491" s="4"/>
      <c r="J491" s="4"/>
      <c r="K491" s="4"/>
      <c r="L491" s="4"/>
      <c r="M491" s="4"/>
      <c r="N491" s="4"/>
      <c r="O491" s="4"/>
      <c r="P491" s="4"/>
      <c r="Q491" s="4"/>
      <c r="R491" s="4"/>
      <c r="S491" s="4"/>
      <c r="T491" s="4"/>
      <c r="U491" s="4"/>
    </row>
    <row r="492" spans="3:21" ht="19" x14ac:dyDescent="0.25">
      <c r="C492" s="4"/>
      <c r="D492" s="4"/>
      <c r="E492" s="4"/>
      <c r="F492" s="4"/>
      <c r="G492" s="4"/>
      <c r="H492" s="4"/>
      <c r="I492" s="4"/>
      <c r="J492" s="4"/>
      <c r="K492" s="4"/>
      <c r="L492" s="4"/>
      <c r="M492" s="4"/>
      <c r="N492" s="4"/>
      <c r="O492" s="4"/>
      <c r="P492" s="4"/>
      <c r="Q492" s="4"/>
      <c r="R492" s="4"/>
      <c r="S492" s="4"/>
      <c r="T492" s="4"/>
      <c r="U492" s="4"/>
    </row>
    <row r="493" spans="3:21" ht="19" x14ac:dyDescent="0.25">
      <c r="C493" s="4"/>
      <c r="D493" s="4"/>
      <c r="E493" s="4"/>
      <c r="F493" s="4"/>
      <c r="G493" s="4"/>
      <c r="H493" s="4"/>
      <c r="I493" s="4"/>
      <c r="J493" s="4"/>
      <c r="K493" s="4"/>
      <c r="L493" s="4"/>
      <c r="M493" s="4"/>
      <c r="N493" s="4"/>
      <c r="O493" s="4"/>
      <c r="P493" s="4"/>
      <c r="Q493" s="4"/>
      <c r="R493" s="4"/>
      <c r="S493" s="4"/>
      <c r="T493" s="4"/>
      <c r="U493" s="4"/>
    </row>
    <row r="494" spans="3:21" ht="19" x14ac:dyDescent="0.25">
      <c r="C494" s="4"/>
      <c r="D494" s="4"/>
      <c r="E494" s="4"/>
      <c r="F494" s="4"/>
      <c r="G494" s="4"/>
      <c r="H494" s="4"/>
      <c r="I494" s="4"/>
      <c r="J494" s="4"/>
      <c r="K494" s="4"/>
      <c r="L494" s="4"/>
      <c r="M494" s="4"/>
      <c r="N494" s="4"/>
      <c r="O494" s="4"/>
      <c r="P494" s="4"/>
      <c r="Q494" s="4"/>
      <c r="R494" s="4"/>
      <c r="S494" s="4"/>
      <c r="T494" s="4"/>
      <c r="U494" s="4"/>
    </row>
    <row r="495" spans="3:21" ht="19" x14ac:dyDescent="0.25">
      <c r="C495" s="4"/>
      <c r="D495" s="4"/>
      <c r="E495" s="4"/>
      <c r="F495" s="4"/>
      <c r="G495" s="4"/>
      <c r="H495" s="4"/>
      <c r="I495" s="4"/>
      <c r="J495" s="4"/>
      <c r="K495" s="4"/>
      <c r="L495" s="4"/>
      <c r="M495" s="4"/>
      <c r="N495" s="4"/>
      <c r="O495" s="4"/>
      <c r="P495" s="4"/>
      <c r="Q495" s="4"/>
      <c r="R495" s="4"/>
      <c r="S495" s="4"/>
      <c r="T495" s="4"/>
      <c r="U495" s="4"/>
    </row>
    <row r="496" spans="3:21" ht="19" x14ac:dyDescent="0.25">
      <c r="C496" s="4"/>
      <c r="D496" s="4"/>
      <c r="E496" s="4"/>
      <c r="F496" s="4"/>
      <c r="G496" s="4"/>
      <c r="H496" s="4"/>
      <c r="I496" s="4"/>
      <c r="J496" s="4"/>
      <c r="K496" s="4"/>
      <c r="L496" s="4"/>
      <c r="M496" s="4"/>
      <c r="N496" s="4"/>
      <c r="O496" s="4"/>
      <c r="P496" s="4"/>
      <c r="Q496" s="4"/>
      <c r="R496" s="4"/>
      <c r="S496" s="4"/>
      <c r="T496" s="4"/>
      <c r="U496" s="4"/>
    </row>
    <row r="497" spans="3:21" ht="19" x14ac:dyDescent="0.25">
      <c r="C497" s="4"/>
      <c r="D497" s="4"/>
      <c r="E497" s="4"/>
      <c r="F497" s="4"/>
      <c r="G497" s="4"/>
      <c r="H497" s="4"/>
      <c r="I497" s="4"/>
      <c r="J497" s="4"/>
      <c r="K497" s="4"/>
      <c r="L497" s="4"/>
      <c r="M497" s="4"/>
      <c r="N497" s="4"/>
      <c r="O497" s="4"/>
      <c r="P497" s="4"/>
      <c r="Q497" s="4"/>
      <c r="R497" s="4"/>
      <c r="S497" s="4"/>
      <c r="T497" s="4"/>
      <c r="U497" s="4"/>
    </row>
    <row r="498" spans="3:21" ht="19" x14ac:dyDescent="0.25">
      <c r="C498" s="4"/>
      <c r="D498" s="4"/>
      <c r="E498" s="4"/>
      <c r="F498" s="4"/>
      <c r="G498" s="4"/>
      <c r="H498" s="4"/>
      <c r="I498" s="4"/>
      <c r="J498" s="4"/>
      <c r="K498" s="4"/>
      <c r="L498" s="4"/>
      <c r="M498" s="4"/>
      <c r="N498" s="4"/>
      <c r="O498" s="4"/>
      <c r="P498" s="4"/>
      <c r="Q498" s="4"/>
      <c r="R498" s="4"/>
      <c r="S498" s="4"/>
      <c r="T498" s="4"/>
      <c r="U498" s="4"/>
    </row>
    <row r="499" spans="3:21" ht="19" x14ac:dyDescent="0.25">
      <c r="C499" s="4"/>
      <c r="D499" s="4"/>
      <c r="E499" s="4"/>
      <c r="F499" s="4"/>
      <c r="G499" s="4"/>
      <c r="H499" s="4"/>
      <c r="I499" s="4"/>
      <c r="J499" s="4"/>
      <c r="K499" s="4"/>
      <c r="L499" s="4"/>
      <c r="M499" s="4"/>
      <c r="N499" s="4"/>
      <c r="O499" s="4"/>
      <c r="P499" s="4"/>
      <c r="Q499" s="4"/>
      <c r="R499" s="4"/>
      <c r="S499" s="4"/>
      <c r="T499" s="4"/>
      <c r="U499" s="4"/>
    </row>
    <row r="500" spans="3:21" ht="19" x14ac:dyDescent="0.25">
      <c r="C500" s="4"/>
      <c r="D500" s="4"/>
      <c r="E500" s="4"/>
      <c r="F500" s="4"/>
      <c r="G500" s="4"/>
      <c r="H500" s="4"/>
      <c r="I500" s="4"/>
      <c r="J500" s="4"/>
      <c r="K500" s="4"/>
      <c r="L500" s="4"/>
      <c r="M500" s="4"/>
      <c r="N500" s="4"/>
      <c r="O500" s="4"/>
      <c r="P500" s="4"/>
      <c r="Q500" s="4"/>
      <c r="R500" s="4"/>
      <c r="S500" s="4"/>
      <c r="T500" s="4"/>
      <c r="U500" s="4"/>
    </row>
    <row r="501" spans="3:21" ht="19" x14ac:dyDescent="0.25">
      <c r="C501" s="4"/>
      <c r="D501" s="4"/>
      <c r="E501" s="4"/>
      <c r="F501" s="4"/>
      <c r="G501" s="4"/>
      <c r="H501" s="4"/>
      <c r="I501" s="4"/>
      <c r="J501" s="4"/>
      <c r="K501" s="4"/>
      <c r="L501" s="4"/>
      <c r="M501" s="4"/>
      <c r="N501" s="4"/>
      <c r="O501" s="4"/>
      <c r="P501" s="4"/>
      <c r="Q501" s="4"/>
      <c r="R501" s="4"/>
      <c r="S501" s="4"/>
      <c r="T501" s="4"/>
      <c r="U501" s="4"/>
    </row>
    <row r="502" spans="3:21" ht="19" x14ac:dyDescent="0.25">
      <c r="C502" s="4"/>
      <c r="D502" s="4"/>
      <c r="E502" s="4"/>
      <c r="F502" s="4"/>
      <c r="G502" s="4"/>
      <c r="H502" s="4"/>
      <c r="I502" s="4"/>
      <c r="J502" s="4"/>
      <c r="K502" s="4"/>
      <c r="L502" s="4"/>
      <c r="M502" s="4"/>
      <c r="N502" s="4"/>
      <c r="O502" s="4"/>
      <c r="P502" s="4"/>
      <c r="Q502" s="4"/>
      <c r="R502" s="4"/>
      <c r="S502" s="4"/>
      <c r="T502" s="4"/>
      <c r="U502" s="4"/>
    </row>
    <row r="503" spans="3:21" ht="19" x14ac:dyDescent="0.25">
      <c r="C503" s="4"/>
      <c r="D503" s="4"/>
      <c r="E503" s="4"/>
      <c r="F503" s="4"/>
      <c r="G503" s="4"/>
      <c r="H503" s="4"/>
      <c r="I503" s="4"/>
      <c r="J503" s="4"/>
      <c r="K503" s="4"/>
      <c r="L503" s="4"/>
      <c r="M503" s="4"/>
      <c r="N503" s="4"/>
      <c r="O503" s="4"/>
      <c r="P503" s="4"/>
      <c r="Q503" s="4"/>
      <c r="R503" s="4"/>
      <c r="S503" s="4"/>
      <c r="T503" s="4"/>
      <c r="U503" s="4"/>
    </row>
    <row r="504" spans="3:21" ht="19" x14ac:dyDescent="0.25">
      <c r="C504" s="4"/>
      <c r="D504" s="4"/>
      <c r="E504" s="4"/>
      <c r="F504" s="4"/>
      <c r="G504" s="4"/>
      <c r="H504" s="4"/>
      <c r="I504" s="4"/>
      <c r="J504" s="4"/>
      <c r="K504" s="4"/>
      <c r="L504" s="4"/>
      <c r="M504" s="4"/>
      <c r="N504" s="4"/>
      <c r="O504" s="4"/>
      <c r="P504" s="4"/>
      <c r="Q504" s="4"/>
      <c r="R504" s="4"/>
      <c r="S504" s="4"/>
      <c r="T504" s="4"/>
      <c r="U504" s="4"/>
    </row>
    <row r="505" spans="3:21" ht="19" x14ac:dyDescent="0.25">
      <c r="C505" s="4"/>
      <c r="D505" s="4"/>
      <c r="E505" s="4"/>
      <c r="F505" s="4"/>
      <c r="G505" s="4"/>
      <c r="H505" s="4"/>
      <c r="I505" s="4"/>
      <c r="J505" s="4"/>
      <c r="K505" s="4"/>
      <c r="L505" s="4"/>
      <c r="M505" s="4"/>
      <c r="N505" s="4"/>
      <c r="O505" s="4"/>
      <c r="P505" s="4"/>
      <c r="Q505" s="4"/>
      <c r="R505" s="4"/>
      <c r="S505" s="4"/>
      <c r="T505" s="4"/>
      <c r="U505" s="4"/>
    </row>
    <row r="506" spans="3:21" ht="19" x14ac:dyDescent="0.25">
      <c r="C506" s="4"/>
      <c r="D506" s="4"/>
      <c r="E506" s="4"/>
      <c r="F506" s="4"/>
      <c r="G506" s="4"/>
      <c r="H506" s="4"/>
      <c r="I506" s="4"/>
      <c r="J506" s="4"/>
      <c r="K506" s="4"/>
      <c r="L506" s="4"/>
      <c r="M506" s="4"/>
      <c r="N506" s="4"/>
      <c r="O506" s="4"/>
      <c r="P506" s="4"/>
      <c r="Q506" s="4"/>
      <c r="R506" s="4"/>
      <c r="S506" s="4"/>
      <c r="T506" s="4"/>
      <c r="U506" s="4"/>
    </row>
    <row r="507" spans="3:21" ht="19" x14ac:dyDescent="0.25">
      <c r="C507" s="4"/>
      <c r="D507" s="4"/>
      <c r="E507" s="4"/>
      <c r="F507" s="4"/>
      <c r="G507" s="4"/>
      <c r="H507" s="4"/>
      <c r="I507" s="4"/>
      <c r="J507" s="4"/>
      <c r="K507" s="4"/>
      <c r="L507" s="4"/>
      <c r="M507" s="4"/>
      <c r="N507" s="4"/>
      <c r="O507" s="4"/>
      <c r="P507" s="4"/>
      <c r="Q507" s="4"/>
      <c r="R507" s="4"/>
      <c r="S507" s="4"/>
      <c r="T507" s="4"/>
      <c r="U507" s="4"/>
    </row>
    <row r="508" spans="3:21" ht="19" x14ac:dyDescent="0.25">
      <c r="C508" s="4"/>
      <c r="D508" s="4"/>
      <c r="E508" s="4"/>
      <c r="F508" s="4"/>
      <c r="G508" s="4"/>
      <c r="H508" s="4"/>
      <c r="I508" s="4"/>
      <c r="J508" s="4"/>
      <c r="K508" s="4"/>
      <c r="L508" s="4"/>
      <c r="M508" s="4"/>
      <c r="N508" s="4"/>
      <c r="O508" s="4"/>
      <c r="P508" s="4"/>
      <c r="Q508" s="4"/>
      <c r="R508" s="4"/>
      <c r="S508" s="4"/>
      <c r="T508" s="4"/>
      <c r="U508" s="4"/>
    </row>
    <row r="509" spans="3:21" ht="19" x14ac:dyDescent="0.25">
      <c r="C509" s="4"/>
      <c r="D509" s="4"/>
      <c r="E509" s="4"/>
      <c r="F509" s="4"/>
      <c r="G509" s="4"/>
      <c r="H509" s="4"/>
      <c r="I509" s="4"/>
      <c r="J509" s="4"/>
      <c r="K509" s="4"/>
      <c r="L509" s="4"/>
      <c r="M509" s="4"/>
      <c r="N509" s="4"/>
      <c r="O509" s="4"/>
      <c r="P509" s="4"/>
      <c r="Q509" s="4"/>
      <c r="R509" s="4"/>
      <c r="S509" s="4"/>
      <c r="T509" s="4"/>
      <c r="U509" s="4"/>
    </row>
    <row r="510" spans="3:21" ht="19" x14ac:dyDescent="0.25">
      <c r="C510" s="4"/>
      <c r="D510" s="4"/>
      <c r="E510" s="4"/>
      <c r="F510" s="4"/>
      <c r="G510" s="4"/>
      <c r="H510" s="4"/>
      <c r="I510" s="4"/>
      <c r="J510" s="4"/>
      <c r="K510" s="4"/>
      <c r="L510" s="4"/>
      <c r="M510" s="4"/>
      <c r="N510" s="4"/>
      <c r="O510" s="4"/>
      <c r="P510" s="4"/>
      <c r="Q510" s="4"/>
      <c r="R510" s="4"/>
      <c r="S510" s="4"/>
      <c r="T510" s="4"/>
      <c r="U510" s="4"/>
    </row>
    <row r="511" spans="3:21" ht="19" x14ac:dyDescent="0.25">
      <c r="C511" s="4"/>
      <c r="D511" s="4"/>
      <c r="E511" s="4"/>
      <c r="F511" s="4"/>
      <c r="G511" s="4"/>
      <c r="H511" s="4"/>
      <c r="I511" s="4"/>
      <c r="J511" s="4"/>
      <c r="K511" s="4"/>
      <c r="L511" s="4"/>
      <c r="M511" s="4"/>
      <c r="N511" s="4"/>
      <c r="O511" s="4"/>
      <c r="P511" s="4"/>
      <c r="Q511" s="4"/>
      <c r="R511" s="4"/>
      <c r="S511" s="4"/>
      <c r="T511" s="4"/>
      <c r="U511" s="4"/>
    </row>
    <row r="512" spans="3:21" ht="19" x14ac:dyDescent="0.25">
      <c r="C512" s="4"/>
      <c r="D512" s="4"/>
      <c r="E512" s="4"/>
      <c r="F512" s="4"/>
      <c r="G512" s="4"/>
      <c r="H512" s="4"/>
      <c r="I512" s="4"/>
      <c r="J512" s="4"/>
      <c r="K512" s="4"/>
      <c r="L512" s="4"/>
      <c r="M512" s="4"/>
      <c r="N512" s="4"/>
      <c r="O512" s="4"/>
      <c r="P512" s="4"/>
      <c r="Q512" s="4"/>
      <c r="R512" s="4"/>
      <c r="S512" s="4"/>
      <c r="T512" s="4"/>
      <c r="U512" s="4"/>
    </row>
    <row r="513" spans="3:21" ht="19" x14ac:dyDescent="0.25">
      <c r="C513" s="4"/>
      <c r="D513" s="4"/>
      <c r="E513" s="4"/>
      <c r="F513" s="4"/>
      <c r="G513" s="4"/>
      <c r="H513" s="4"/>
      <c r="I513" s="4"/>
      <c r="J513" s="4"/>
      <c r="K513" s="4"/>
      <c r="L513" s="4"/>
      <c r="M513" s="4"/>
      <c r="N513" s="4"/>
      <c r="O513" s="4"/>
      <c r="P513" s="4"/>
      <c r="Q513" s="4"/>
      <c r="R513" s="4"/>
      <c r="S513" s="4"/>
      <c r="T513" s="4"/>
      <c r="U513" s="4"/>
    </row>
    <row r="514" spans="3:21" ht="19" x14ac:dyDescent="0.25">
      <c r="C514" s="4"/>
      <c r="D514" s="4"/>
      <c r="E514" s="4"/>
      <c r="F514" s="4"/>
      <c r="G514" s="4"/>
      <c r="H514" s="4"/>
      <c r="I514" s="4"/>
      <c r="J514" s="4"/>
      <c r="K514" s="4"/>
      <c r="L514" s="4"/>
      <c r="M514" s="4"/>
      <c r="N514" s="4"/>
      <c r="O514" s="4"/>
      <c r="P514" s="4"/>
      <c r="Q514" s="4"/>
      <c r="R514" s="4"/>
      <c r="S514" s="4"/>
      <c r="T514" s="4"/>
      <c r="U514" s="4"/>
    </row>
    <row r="515" spans="3:21" ht="19" x14ac:dyDescent="0.25">
      <c r="C515" s="4"/>
      <c r="D515" s="4"/>
      <c r="E515" s="4"/>
      <c r="F515" s="4"/>
      <c r="G515" s="4"/>
      <c r="H515" s="4"/>
      <c r="I515" s="4"/>
      <c r="J515" s="4"/>
      <c r="K515" s="4"/>
      <c r="L515" s="4"/>
      <c r="M515" s="4"/>
      <c r="N515" s="4"/>
      <c r="O515" s="4"/>
      <c r="P515" s="4"/>
      <c r="Q515" s="4"/>
      <c r="R515" s="4"/>
      <c r="S515" s="4"/>
      <c r="T515" s="4"/>
      <c r="U515" s="4"/>
    </row>
    <row r="516" spans="3:21" ht="19" x14ac:dyDescent="0.25">
      <c r="C516" s="4"/>
      <c r="D516" s="4"/>
      <c r="E516" s="4"/>
      <c r="F516" s="4"/>
      <c r="G516" s="4"/>
      <c r="H516" s="4"/>
      <c r="I516" s="4"/>
      <c r="J516" s="4"/>
      <c r="K516" s="4"/>
      <c r="L516" s="4"/>
      <c r="M516" s="4"/>
      <c r="N516" s="4"/>
      <c r="O516" s="4"/>
      <c r="P516" s="4"/>
      <c r="Q516" s="4"/>
      <c r="R516" s="4"/>
      <c r="S516" s="4"/>
      <c r="T516" s="4"/>
      <c r="U516" s="4"/>
    </row>
    <row r="517" spans="3:21" ht="19" x14ac:dyDescent="0.25">
      <c r="C517" s="4"/>
      <c r="D517" s="4"/>
      <c r="E517" s="4"/>
      <c r="F517" s="4"/>
      <c r="G517" s="4"/>
      <c r="H517" s="4"/>
      <c r="I517" s="4"/>
      <c r="J517" s="4"/>
      <c r="K517" s="4"/>
      <c r="L517" s="4"/>
      <c r="M517" s="4"/>
      <c r="N517" s="4"/>
      <c r="O517" s="4"/>
      <c r="P517" s="4"/>
      <c r="Q517" s="4"/>
      <c r="R517" s="4"/>
      <c r="S517" s="4"/>
      <c r="T517" s="4"/>
      <c r="U517" s="4"/>
    </row>
    <row r="518" spans="3:21" ht="19" x14ac:dyDescent="0.25">
      <c r="C518" s="4"/>
      <c r="D518" s="4"/>
      <c r="E518" s="4"/>
      <c r="F518" s="4"/>
      <c r="G518" s="4"/>
      <c r="H518" s="4"/>
      <c r="I518" s="4"/>
      <c r="J518" s="4"/>
      <c r="K518" s="4"/>
      <c r="L518" s="4"/>
      <c r="M518" s="4"/>
      <c r="N518" s="4"/>
      <c r="O518" s="4"/>
      <c r="P518" s="4"/>
      <c r="Q518" s="4"/>
      <c r="R518" s="4"/>
      <c r="S518" s="4"/>
      <c r="T518" s="4"/>
      <c r="U518" s="4"/>
    </row>
    <row r="519" spans="3:21" ht="19" x14ac:dyDescent="0.25">
      <c r="C519" s="4"/>
      <c r="D519" s="4"/>
      <c r="E519" s="4"/>
      <c r="F519" s="4"/>
      <c r="G519" s="4"/>
      <c r="H519" s="4"/>
      <c r="I519" s="4"/>
      <c r="J519" s="4"/>
      <c r="K519" s="4"/>
      <c r="L519" s="4"/>
      <c r="M519" s="4"/>
      <c r="N519" s="4"/>
      <c r="O519" s="4"/>
      <c r="P519" s="4"/>
      <c r="Q519" s="4"/>
      <c r="R519" s="4"/>
      <c r="S519" s="4"/>
      <c r="T519" s="4"/>
      <c r="U519" s="4"/>
    </row>
    <row r="520" spans="3:21" ht="19" x14ac:dyDescent="0.25">
      <c r="C520" s="4"/>
      <c r="D520" s="4"/>
      <c r="E520" s="4"/>
      <c r="F520" s="4"/>
      <c r="G520" s="4"/>
      <c r="H520" s="4"/>
      <c r="I520" s="4"/>
      <c r="J520" s="4"/>
      <c r="K520" s="4"/>
      <c r="L520" s="4"/>
      <c r="M520" s="4"/>
      <c r="N520" s="4"/>
      <c r="O520" s="4"/>
      <c r="P520" s="4"/>
      <c r="Q520" s="4"/>
      <c r="R520" s="4"/>
      <c r="S520" s="4"/>
      <c r="T520" s="4"/>
      <c r="U520" s="4"/>
    </row>
    <row r="521" spans="3:21" ht="19" x14ac:dyDescent="0.25">
      <c r="C521" s="4"/>
      <c r="D521" s="4"/>
      <c r="E521" s="4"/>
      <c r="F521" s="4"/>
      <c r="G521" s="4"/>
      <c r="H521" s="4"/>
      <c r="I521" s="4"/>
      <c r="J521" s="4"/>
      <c r="K521" s="4"/>
      <c r="L521" s="4"/>
      <c r="M521" s="4"/>
      <c r="N521" s="4"/>
      <c r="O521" s="4"/>
      <c r="P521" s="4"/>
      <c r="Q521" s="4"/>
      <c r="R521" s="4"/>
      <c r="S521" s="4"/>
      <c r="T521" s="4"/>
      <c r="U521" s="4"/>
    </row>
    <row r="522" spans="3:21" ht="19" x14ac:dyDescent="0.25">
      <c r="C522" s="4"/>
      <c r="D522" s="4"/>
      <c r="E522" s="4"/>
      <c r="F522" s="4"/>
      <c r="G522" s="4"/>
      <c r="H522" s="4"/>
      <c r="I522" s="4"/>
      <c r="J522" s="4"/>
      <c r="K522" s="4"/>
      <c r="L522" s="4"/>
      <c r="M522" s="4"/>
      <c r="N522" s="4"/>
      <c r="O522" s="4"/>
      <c r="P522" s="4"/>
      <c r="Q522" s="4"/>
      <c r="R522" s="4"/>
      <c r="S522" s="4"/>
      <c r="T522" s="4"/>
      <c r="U522" s="4"/>
    </row>
    <row r="523" spans="3:21" ht="19" x14ac:dyDescent="0.25">
      <c r="C523" s="4"/>
      <c r="D523" s="4"/>
      <c r="E523" s="4"/>
      <c r="F523" s="4"/>
      <c r="G523" s="4"/>
      <c r="H523" s="4"/>
      <c r="I523" s="4"/>
      <c r="J523" s="4"/>
      <c r="K523" s="4"/>
      <c r="L523" s="4"/>
      <c r="M523" s="4"/>
      <c r="N523" s="4"/>
      <c r="O523" s="4"/>
      <c r="P523" s="4"/>
      <c r="Q523" s="4"/>
      <c r="R523" s="4"/>
      <c r="S523" s="4"/>
      <c r="T523" s="4"/>
      <c r="U523" s="4"/>
    </row>
    <row r="524" spans="3:21" ht="19" x14ac:dyDescent="0.25">
      <c r="C524" s="4"/>
      <c r="D524" s="4"/>
      <c r="E524" s="4"/>
      <c r="F524" s="4"/>
      <c r="G524" s="4"/>
      <c r="H524" s="4"/>
      <c r="I524" s="4"/>
      <c r="J524" s="4"/>
      <c r="K524" s="4"/>
      <c r="L524" s="4"/>
      <c r="M524" s="4"/>
      <c r="N524" s="4"/>
      <c r="O524" s="4"/>
      <c r="P524" s="4"/>
      <c r="Q524" s="4"/>
      <c r="R524" s="4"/>
      <c r="S524" s="4"/>
      <c r="T524" s="4"/>
      <c r="U524" s="4"/>
    </row>
    <row r="525" spans="3:21" ht="19" x14ac:dyDescent="0.25">
      <c r="C525" s="4"/>
      <c r="D525" s="4"/>
      <c r="E525" s="4"/>
      <c r="F525" s="4"/>
      <c r="G525" s="4"/>
      <c r="H525" s="4"/>
      <c r="I525" s="4"/>
      <c r="J525" s="4"/>
      <c r="K525" s="4"/>
      <c r="L525" s="4"/>
      <c r="M525" s="4"/>
      <c r="N525" s="4"/>
      <c r="O525" s="4"/>
      <c r="P525" s="4"/>
      <c r="Q525" s="4"/>
      <c r="R525" s="4"/>
      <c r="S525" s="4"/>
      <c r="T525" s="4"/>
      <c r="U525" s="4"/>
    </row>
    <row r="526" spans="3:21" ht="19" x14ac:dyDescent="0.25">
      <c r="C526" s="4"/>
      <c r="D526" s="4"/>
      <c r="E526" s="4"/>
      <c r="F526" s="4"/>
      <c r="G526" s="4"/>
      <c r="H526" s="4"/>
      <c r="I526" s="4"/>
      <c r="J526" s="4"/>
      <c r="K526" s="4"/>
      <c r="L526" s="4"/>
      <c r="M526" s="4"/>
      <c r="N526" s="4"/>
      <c r="O526" s="4"/>
      <c r="P526" s="4"/>
      <c r="Q526" s="4"/>
      <c r="R526" s="4"/>
      <c r="S526" s="4"/>
      <c r="T526" s="4"/>
      <c r="U526" s="4"/>
    </row>
    <row r="527" spans="3:21" ht="19" x14ac:dyDescent="0.25">
      <c r="C527" s="4"/>
      <c r="D527" s="4"/>
      <c r="E527" s="4"/>
      <c r="F527" s="4"/>
      <c r="G527" s="4"/>
      <c r="H527" s="4"/>
      <c r="I527" s="4"/>
      <c r="J527" s="4"/>
      <c r="K527" s="4"/>
      <c r="L527" s="4"/>
      <c r="M527" s="4"/>
      <c r="N527" s="4"/>
      <c r="O527" s="4"/>
      <c r="P527" s="4"/>
      <c r="Q527" s="4"/>
      <c r="R527" s="4"/>
      <c r="S527" s="4"/>
      <c r="T527" s="4"/>
      <c r="U527" s="4"/>
    </row>
    <row r="528" spans="3:21" ht="19" x14ac:dyDescent="0.25">
      <c r="C528" s="4"/>
      <c r="D528" s="4"/>
      <c r="E528" s="4"/>
      <c r="F528" s="4"/>
      <c r="G528" s="4"/>
      <c r="H528" s="4"/>
      <c r="I528" s="4"/>
      <c r="J528" s="4"/>
      <c r="K528" s="4"/>
      <c r="L528" s="4"/>
      <c r="M528" s="4"/>
      <c r="N528" s="4"/>
      <c r="O528" s="4"/>
      <c r="P528" s="4"/>
      <c r="Q528" s="4"/>
      <c r="R528" s="4"/>
      <c r="S528" s="4"/>
      <c r="T528" s="4"/>
      <c r="U528" s="4"/>
    </row>
    <row r="529" spans="3:21" ht="19" x14ac:dyDescent="0.25">
      <c r="C529" s="4"/>
      <c r="D529" s="4"/>
      <c r="E529" s="4"/>
      <c r="F529" s="4"/>
      <c r="G529" s="4"/>
      <c r="H529" s="4"/>
      <c r="I529" s="4"/>
      <c r="J529" s="4"/>
      <c r="K529" s="4"/>
      <c r="L529" s="4"/>
      <c r="M529" s="4"/>
      <c r="N529" s="4"/>
      <c r="O529" s="4"/>
      <c r="P529" s="4"/>
      <c r="Q529" s="4"/>
      <c r="R529" s="4"/>
      <c r="S529" s="4"/>
      <c r="T529" s="4"/>
      <c r="U529" s="4"/>
    </row>
    <row r="530" spans="3:21" ht="19" x14ac:dyDescent="0.25">
      <c r="C530" s="4"/>
      <c r="D530" s="4"/>
      <c r="E530" s="4"/>
      <c r="F530" s="4"/>
      <c r="G530" s="4"/>
      <c r="H530" s="4"/>
      <c r="I530" s="4"/>
      <c r="J530" s="4"/>
      <c r="K530" s="4"/>
      <c r="L530" s="4"/>
      <c r="M530" s="4"/>
      <c r="N530" s="4"/>
      <c r="O530" s="4"/>
      <c r="P530" s="4"/>
      <c r="Q530" s="4"/>
      <c r="R530" s="4"/>
      <c r="S530" s="4"/>
      <c r="T530" s="4"/>
      <c r="U530" s="4"/>
    </row>
    <row r="531" spans="3:21" ht="19" x14ac:dyDescent="0.25">
      <c r="C531" s="4"/>
      <c r="D531" s="4"/>
      <c r="E531" s="4"/>
      <c r="F531" s="4"/>
      <c r="G531" s="4"/>
      <c r="H531" s="4"/>
      <c r="I531" s="4"/>
      <c r="J531" s="4"/>
      <c r="K531" s="4"/>
      <c r="L531" s="4"/>
      <c r="M531" s="4"/>
      <c r="N531" s="4"/>
      <c r="O531" s="4"/>
      <c r="P531" s="4"/>
      <c r="Q531" s="4"/>
      <c r="R531" s="4"/>
      <c r="S531" s="4"/>
      <c r="T531" s="4"/>
      <c r="U531" s="4"/>
    </row>
    <row r="532" spans="3:21" ht="19" x14ac:dyDescent="0.25">
      <c r="C532" s="4"/>
      <c r="D532" s="4"/>
      <c r="E532" s="4"/>
      <c r="F532" s="4"/>
      <c r="G532" s="4"/>
      <c r="H532" s="4"/>
      <c r="I532" s="4"/>
      <c r="J532" s="4"/>
      <c r="K532" s="4"/>
      <c r="L532" s="4"/>
      <c r="M532" s="4"/>
      <c r="N532" s="4"/>
      <c r="O532" s="4"/>
      <c r="P532" s="4"/>
      <c r="Q532" s="4"/>
      <c r="R532" s="4"/>
      <c r="S532" s="4"/>
      <c r="T532" s="4"/>
      <c r="U532" s="4"/>
    </row>
    <row r="533" spans="3:21" ht="19" x14ac:dyDescent="0.25">
      <c r="C533" s="4"/>
      <c r="D533" s="4"/>
      <c r="E533" s="4"/>
      <c r="F533" s="4"/>
      <c r="G533" s="4"/>
      <c r="H533" s="4"/>
      <c r="I533" s="4"/>
      <c r="J533" s="4"/>
      <c r="K533" s="4"/>
      <c r="L533" s="4"/>
      <c r="M533" s="4"/>
      <c r="N533" s="4"/>
      <c r="O533" s="4"/>
      <c r="P533" s="4"/>
      <c r="Q533" s="4"/>
      <c r="R533" s="4"/>
      <c r="S533" s="4"/>
      <c r="T533" s="4"/>
      <c r="U533" s="4"/>
    </row>
    <row r="534" spans="3:21" ht="19" x14ac:dyDescent="0.25">
      <c r="C534" s="4"/>
      <c r="D534" s="4"/>
      <c r="E534" s="4"/>
      <c r="F534" s="4"/>
      <c r="G534" s="4"/>
      <c r="H534" s="4"/>
      <c r="I534" s="4"/>
      <c r="J534" s="4"/>
      <c r="K534" s="4"/>
      <c r="L534" s="4"/>
      <c r="M534" s="4"/>
      <c r="N534" s="4"/>
      <c r="O534" s="4"/>
      <c r="P534" s="4"/>
      <c r="Q534" s="4"/>
      <c r="R534" s="4"/>
      <c r="S534" s="4"/>
      <c r="T534" s="4"/>
      <c r="U534" s="4"/>
    </row>
    <row r="535" spans="3:21" ht="19" x14ac:dyDescent="0.25">
      <c r="C535" s="4"/>
      <c r="D535" s="4"/>
      <c r="E535" s="4"/>
      <c r="F535" s="4"/>
      <c r="G535" s="4"/>
      <c r="H535" s="4"/>
      <c r="I535" s="4"/>
      <c r="J535" s="4"/>
      <c r="K535" s="4"/>
      <c r="L535" s="4"/>
      <c r="M535" s="4"/>
      <c r="N535" s="4"/>
      <c r="O535" s="4"/>
      <c r="P535" s="4"/>
      <c r="Q535" s="4"/>
      <c r="R535" s="4"/>
      <c r="S535" s="4"/>
      <c r="T535" s="4"/>
      <c r="U535" s="4"/>
    </row>
    <row r="536" spans="3:21" ht="19" x14ac:dyDescent="0.25">
      <c r="C536" s="4"/>
      <c r="D536" s="4"/>
      <c r="E536" s="4"/>
      <c r="F536" s="4"/>
      <c r="G536" s="4"/>
      <c r="H536" s="4"/>
      <c r="I536" s="4"/>
      <c r="J536" s="4"/>
      <c r="K536" s="4"/>
      <c r="L536" s="4"/>
      <c r="M536" s="4"/>
      <c r="N536" s="4"/>
      <c r="O536" s="4"/>
      <c r="P536" s="4"/>
      <c r="Q536" s="4"/>
      <c r="R536" s="4"/>
      <c r="S536" s="4"/>
      <c r="T536" s="4"/>
      <c r="U536" s="4"/>
    </row>
    <row r="537" spans="3:21" ht="19" x14ac:dyDescent="0.25">
      <c r="C537" s="4"/>
      <c r="D537" s="4"/>
      <c r="E537" s="4"/>
      <c r="F537" s="4"/>
      <c r="G537" s="4"/>
      <c r="H537" s="4"/>
      <c r="I537" s="4"/>
      <c r="J537" s="4"/>
      <c r="K537" s="4"/>
      <c r="L537" s="4"/>
      <c r="M537" s="4"/>
      <c r="N537" s="4"/>
      <c r="O537" s="4"/>
      <c r="P537" s="4"/>
      <c r="Q537" s="4"/>
      <c r="R537" s="4"/>
      <c r="S537" s="4"/>
      <c r="T537" s="4"/>
      <c r="U537" s="4"/>
    </row>
    <row r="538" spans="3:21" ht="19" x14ac:dyDescent="0.25">
      <c r="C538" s="4"/>
      <c r="D538" s="4"/>
      <c r="E538" s="4"/>
      <c r="F538" s="4"/>
      <c r="G538" s="4"/>
      <c r="H538" s="4"/>
      <c r="I538" s="4"/>
      <c r="J538" s="4"/>
      <c r="K538" s="4"/>
      <c r="L538" s="4"/>
      <c r="M538" s="4"/>
      <c r="N538" s="4"/>
      <c r="O538" s="4"/>
      <c r="P538" s="4"/>
      <c r="Q538" s="4"/>
      <c r="R538" s="4"/>
      <c r="S538" s="4"/>
      <c r="T538" s="4"/>
      <c r="U538" s="4"/>
    </row>
    <row r="539" spans="3:21" ht="19" x14ac:dyDescent="0.25">
      <c r="C539" s="4"/>
      <c r="D539" s="4"/>
      <c r="E539" s="4"/>
      <c r="F539" s="4"/>
      <c r="G539" s="4"/>
      <c r="H539" s="4"/>
      <c r="I539" s="4"/>
      <c r="J539" s="4"/>
      <c r="K539" s="4"/>
      <c r="L539" s="4"/>
      <c r="M539" s="4"/>
      <c r="N539" s="4"/>
      <c r="O539" s="4"/>
      <c r="P539" s="4"/>
      <c r="Q539" s="4"/>
      <c r="R539" s="4"/>
      <c r="S539" s="4"/>
      <c r="T539" s="4"/>
      <c r="U539" s="4"/>
    </row>
    <row r="540" spans="3:21" ht="19" x14ac:dyDescent="0.25">
      <c r="C540" s="4"/>
      <c r="D540" s="4"/>
      <c r="E540" s="4"/>
      <c r="F540" s="4"/>
      <c r="G540" s="4"/>
      <c r="H540" s="4"/>
      <c r="I540" s="4"/>
      <c r="J540" s="4"/>
      <c r="K540" s="4"/>
      <c r="L540" s="4"/>
      <c r="M540" s="4"/>
      <c r="N540" s="4"/>
      <c r="O540" s="4"/>
      <c r="P540" s="4"/>
      <c r="Q540" s="4"/>
      <c r="R540" s="4"/>
      <c r="S540" s="4"/>
      <c r="T540" s="4"/>
      <c r="U540" s="4"/>
    </row>
    <row r="541" spans="3:21" ht="19" x14ac:dyDescent="0.25">
      <c r="C541" s="4"/>
      <c r="D541" s="4"/>
      <c r="E541" s="4"/>
      <c r="F541" s="4"/>
      <c r="G541" s="4"/>
      <c r="H541" s="4"/>
      <c r="I541" s="4"/>
      <c r="J541" s="4"/>
      <c r="K541" s="4"/>
      <c r="L541" s="4"/>
      <c r="M541" s="4"/>
      <c r="N541" s="4"/>
      <c r="O541" s="4"/>
      <c r="P541" s="4"/>
      <c r="Q541" s="4"/>
      <c r="R541" s="4"/>
      <c r="S541" s="4"/>
      <c r="T541" s="4"/>
      <c r="U541" s="4"/>
    </row>
    <row r="542" spans="3:21" ht="19" x14ac:dyDescent="0.25">
      <c r="C542" s="4"/>
      <c r="D542" s="4"/>
      <c r="E542" s="4"/>
      <c r="F542" s="4"/>
      <c r="G542" s="4"/>
      <c r="H542" s="4"/>
      <c r="I542" s="4"/>
      <c r="J542" s="4"/>
      <c r="K542" s="4"/>
      <c r="L542" s="4"/>
      <c r="M542" s="4"/>
      <c r="N542" s="4"/>
      <c r="O542" s="4"/>
      <c r="P542" s="4"/>
      <c r="Q542" s="4"/>
      <c r="R542" s="4"/>
      <c r="S542" s="4"/>
      <c r="T542" s="4"/>
      <c r="U542" s="4"/>
    </row>
    <row r="543" spans="3:21" ht="19" x14ac:dyDescent="0.25">
      <c r="C543" s="4"/>
      <c r="D543" s="4"/>
      <c r="E543" s="4"/>
      <c r="F543" s="4"/>
      <c r="G543" s="4"/>
      <c r="H543" s="4"/>
      <c r="I543" s="4"/>
      <c r="J543" s="4"/>
      <c r="K543" s="4"/>
      <c r="L543" s="4"/>
      <c r="M543" s="4"/>
      <c r="N543" s="4"/>
      <c r="O543" s="4"/>
      <c r="P543" s="4"/>
      <c r="Q543" s="4"/>
      <c r="R543" s="4"/>
      <c r="S543" s="4"/>
      <c r="T543" s="4"/>
      <c r="U543" s="4"/>
    </row>
    <row r="544" spans="3:21" ht="19" x14ac:dyDescent="0.25">
      <c r="C544" s="4"/>
      <c r="D544" s="4"/>
      <c r="E544" s="4"/>
      <c r="F544" s="4"/>
      <c r="G544" s="4"/>
      <c r="H544" s="4"/>
      <c r="I544" s="4"/>
      <c r="J544" s="4"/>
      <c r="K544" s="4"/>
      <c r="L544" s="4"/>
      <c r="M544" s="4"/>
      <c r="N544" s="4"/>
      <c r="O544" s="4"/>
      <c r="P544" s="4"/>
      <c r="Q544" s="4"/>
      <c r="R544" s="4"/>
      <c r="S544" s="4"/>
      <c r="T544" s="4"/>
      <c r="U544" s="4"/>
    </row>
    <row r="545" spans="3:21" ht="19" x14ac:dyDescent="0.25">
      <c r="C545" s="4"/>
      <c r="D545" s="4"/>
      <c r="E545" s="4"/>
      <c r="F545" s="4"/>
      <c r="G545" s="4"/>
      <c r="H545" s="4"/>
      <c r="I545" s="4"/>
      <c r="J545" s="4"/>
      <c r="K545" s="4"/>
      <c r="L545" s="4"/>
      <c r="M545" s="4"/>
      <c r="N545" s="4"/>
      <c r="O545" s="4"/>
      <c r="P545" s="4"/>
      <c r="Q545" s="4"/>
      <c r="R545" s="4"/>
      <c r="S545" s="4"/>
      <c r="T545" s="4"/>
      <c r="U545" s="4"/>
    </row>
    <row r="546" spans="3:21" ht="19" x14ac:dyDescent="0.25">
      <c r="C546" s="4"/>
      <c r="D546" s="4"/>
      <c r="E546" s="4"/>
      <c r="F546" s="4"/>
      <c r="G546" s="4"/>
      <c r="H546" s="4"/>
      <c r="I546" s="4"/>
      <c r="J546" s="4"/>
      <c r="K546" s="4"/>
      <c r="L546" s="4"/>
      <c r="M546" s="4"/>
      <c r="N546" s="4"/>
      <c r="O546" s="4"/>
      <c r="P546" s="4"/>
      <c r="Q546" s="4"/>
      <c r="R546" s="4"/>
      <c r="S546" s="4"/>
      <c r="T546" s="4"/>
      <c r="U546" s="4"/>
    </row>
    <row r="547" spans="3:21" ht="19" x14ac:dyDescent="0.25">
      <c r="C547" s="4"/>
      <c r="D547" s="4"/>
      <c r="E547" s="4"/>
      <c r="F547" s="4"/>
      <c r="G547" s="4"/>
      <c r="H547" s="4"/>
      <c r="I547" s="4"/>
      <c r="J547" s="4"/>
      <c r="K547" s="4"/>
      <c r="L547" s="4"/>
      <c r="M547" s="4"/>
      <c r="N547" s="4"/>
      <c r="O547" s="4"/>
      <c r="P547" s="4"/>
      <c r="Q547" s="4"/>
      <c r="R547" s="4"/>
      <c r="S547" s="4"/>
      <c r="T547" s="4"/>
      <c r="U547" s="4"/>
    </row>
    <row r="548" spans="3:21" ht="19" x14ac:dyDescent="0.25">
      <c r="C548" s="4"/>
      <c r="D548" s="4"/>
      <c r="E548" s="4"/>
      <c r="F548" s="4"/>
      <c r="G548" s="4"/>
      <c r="H548" s="4"/>
      <c r="I548" s="4"/>
      <c r="J548" s="4"/>
      <c r="K548" s="4"/>
      <c r="L548" s="4"/>
      <c r="M548" s="4"/>
      <c r="N548" s="4"/>
      <c r="O548" s="4"/>
      <c r="P548" s="4"/>
      <c r="Q548" s="4"/>
      <c r="R548" s="4"/>
      <c r="S548" s="4"/>
      <c r="T548" s="4"/>
      <c r="U548" s="4"/>
    </row>
    <row r="549" spans="3:21" ht="19" x14ac:dyDescent="0.25">
      <c r="C549" s="4"/>
      <c r="D549" s="4"/>
      <c r="E549" s="4"/>
      <c r="F549" s="4"/>
      <c r="G549" s="4"/>
      <c r="H549" s="4"/>
      <c r="I549" s="4"/>
      <c r="J549" s="4"/>
      <c r="K549" s="4"/>
      <c r="L549" s="4"/>
      <c r="M549" s="4"/>
      <c r="N549" s="4"/>
      <c r="O549" s="4"/>
      <c r="P549" s="4"/>
      <c r="Q549" s="4"/>
      <c r="R549" s="4"/>
      <c r="S549" s="4"/>
      <c r="T549" s="4"/>
      <c r="U549" s="4"/>
    </row>
    <row r="550" spans="3:21" ht="19" x14ac:dyDescent="0.25">
      <c r="C550" s="4"/>
      <c r="D550" s="4"/>
      <c r="E550" s="4"/>
      <c r="F550" s="4"/>
      <c r="G550" s="4"/>
      <c r="H550" s="4"/>
      <c r="I550" s="4"/>
      <c r="J550" s="4"/>
      <c r="K550" s="4"/>
      <c r="L550" s="4"/>
      <c r="M550" s="4"/>
      <c r="N550" s="4"/>
      <c r="O550" s="4"/>
      <c r="P550" s="4"/>
      <c r="Q550" s="4"/>
      <c r="R550" s="4"/>
      <c r="S550" s="4"/>
      <c r="T550" s="4"/>
      <c r="U550" s="4"/>
    </row>
    <row r="551" spans="3:21" ht="19" x14ac:dyDescent="0.25">
      <c r="C551" s="4"/>
      <c r="D551" s="4"/>
      <c r="E551" s="4"/>
      <c r="F551" s="4"/>
      <c r="G551" s="4"/>
      <c r="H551" s="4"/>
      <c r="I551" s="4"/>
      <c r="J551" s="4"/>
      <c r="K551" s="4"/>
      <c r="L551" s="4"/>
      <c r="M551" s="4"/>
      <c r="N551" s="4"/>
      <c r="O551" s="4"/>
      <c r="P551" s="4"/>
      <c r="Q551" s="4"/>
      <c r="R551" s="4"/>
      <c r="S551" s="4"/>
      <c r="T551" s="4"/>
      <c r="U551" s="4"/>
    </row>
    <row r="552" spans="3:21" ht="19" x14ac:dyDescent="0.25">
      <c r="C552" s="4"/>
      <c r="D552" s="4"/>
      <c r="E552" s="4"/>
      <c r="F552" s="4"/>
      <c r="G552" s="4"/>
      <c r="H552" s="4"/>
      <c r="I552" s="4"/>
      <c r="J552" s="4"/>
      <c r="K552" s="4"/>
      <c r="L552" s="4"/>
      <c r="M552" s="4"/>
      <c r="N552" s="4"/>
      <c r="O552" s="4"/>
      <c r="P552" s="4"/>
      <c r="Q552" s="4"/>
      <c r="R552" s="4"/>
      <c r="S552" s="4"/>
      <c r="T552" s="4"/>
      <c r="U552" s="4"/>
    </row>
    <row r="553" spans="3:21" ht="19" x14ac:dyDescent="0.25">
      <c r="C553" s="4"/>
      <c r="D553" s="4"/>
      <c r="E553" s="4"/>
      <c r="F553" s="4"/>
      <c r="G553" s="4"/>
      <c r="H553" s="4"/>
      <c r="I553" s="4"/>
      <c r="J553" s="4"/>
      <c r="K553" s="4"/>
      <c r="L553" s="4"/>
      <c r="M553" s="4"/>
      <c r="N553" s="4"/>
      <c r="O553" s="4"/>
      <c r="P553" s="4"/>
      <c r="Q553" s="4"/>
      <c r="R553" s="4"/>
      <c r="S553" s="4"/>
      <c r="T553" s="4"/>
      <c r="U553" s="4"/>
    </row>
    <row r="554" spans="3:21" ht="19" x14ac:dyDescent="0.25">
      <c r="C554" s="4"/>
      <c r="D554" s="4"/>
      <c r="E554" s="4"/>
      <c r="F554" s="4"/>
      <c r="G554" s="4"/>
      <c r="H554" s="4"/>
      <c r="I554" s="4"/>
      <c r="J554" s="4"/>
      <c r="K554" s="4"/>
      <c r="L554" s="4"/>
      <c r="M554" s="4"/>
      <c r="N554" s="4"/>
      <c r="O554" s="4"/>
      <c r="P554" s="4"/>
      <c r="Q554" s="4"/>
      <c r="R554" s="4"/>
      <c r="S554" s="4"/>
      <c r="T554" s="4"/>
      <c r="U554" s="4"/>
    </row>
    <row r="555" spans="3:21" ht="19" x14ac:dyDescent="0.25">
      <c r="C555" s="4"/>
      <c r="D555" s="4"/>
      <c r="E555" s="4"/>
      <c r="F555" s="4"/>
      <c r="G555" s="4"/>
      <c r="H555" s="4"/>
      <c r="I555" s="4"/>
      <c r="J555" s="4"/>
      <c r="K555" s="4"/>
      <c r="L555" s="4"/>
      <c r="M555" s="4"/>
      <c r="N555" s="4"/>
      <c r="O555" s="4"/>
      <c r="P555" s="4"/>
      <c r="Q555" s="4"/>
      <c r="R555" s="4"/>
      <c r="S555" s="4"/>
      <c r="T555" s="4"/>
      <c r="U555" s="4"/>
    </row>
    <row r="556" spans="3:21" ht="19" x14ac:dyDescent="0.25">
      <c r="C556" s="4"/>
      <c r="D556" s="4"/>
      <c r="E556" s="4"/>
      <c r="F556" s="4"/>
      <c r="G556" s="4"/>
      <c r="H556" s="4"/>
      <c r="I556" s="4"/>
      <c r="J556" s="4"/>
      <c r="K556" s="4"/>
      <c r="L556" s="4"/>
      <c r="M556" s="4"/>
      <c r="N556" s="4"/>
      <c r="O556" s="4"/>
      <c r="P556" s="4"/>
      <c r="Q556" s="4"/>
      <c r="R556" s="4"/>
      <c r="S556" s="4"/>
      <c r="T556" s="4"/>
      <c r="U556" s="4"/>
    </row>
    <row r="557" spans="3:21" ht="19" x14ac:dyDescent="0.25">
      <c r="C557" s="4"/>
      <c r="D557" s="4"/>
      <c r="E557" s="4"/>
      <c r="F557" s="4"/>
      <c r="G557" s="4"/>
      <c r="H557" s="4"/>
      <c r="I557" s="4"/>
      <c r="J557" s="4"/>
      <c r="K557" s="4"/>
      <c r="L557" s="4"/>
      <c r="M557" s="4"/>
      <c r="N557" s="4"/>
      <c r="O557" s="4"/>
      <c r="P557" s="4"/>
      <c r="Q557" s="4"/>
      <c r="R557" s="4"/>
      <c r="S557" s="4"/>
      <c r="T557" s="4"/>
      <c r="U557" s="4"/>
    </row>
    <row r="558" spans="3:21" ht="19" x14ac:dyDescent="0.25">
      <c r="C558" s="4"/>
      <c r="D558" s="4"/>
      <c r="E558" s="4"/>
      <c r="F558" s="4"/>
      <c r="G558" s="4"/>
      <c r="H558" s="4"/>
      <c r="I558" s="4"/>
      <c r="J558" s="4"/>
      <c r="K558" s="4"/>
      <c r="L558" s="4"/>
      <c r="M558" s="4"/>
      <c r="N558" s="4"/>
      <c r="O558" s="4"/>
      <c r="P558" s="4"/>
      <c r="Q558" s="4"/>
      <c r="R558" s="4"/>
      <c r="S558" s="4"/>
      <c r="T558" s="4"/>
      <c r="U558" s="4"/>
    </row>
    <row r="559" spans="3:21" ht="19" x14ac:dyDescent="0.25">
      <c r="C559" s="4"/>
      <c r="D559" s="4"/>
      <c r="E559" s="4"/>
      <c r="F559" s="4"/>
      <c r="G559" s="4"/>
      <c r="H559" s="4"/>
      <c r="I559" s="4"/>
      <c r="J559" s="4"/>
      <c r="K559" s="4"/>
      <c r="L559" s="4"/>
      <c r="M559" s="4"/>
      <c r="N559" s="4"/>
      <c r="O559" s="4"/>
      <c r="P559" s="4"/>
      <c r="Q559" s="4"/>
      <c r="R559" s="4"/>
      <c r="S559" s="4"/>
      <c r="T559" s="4"/>
      <c r="U559" s="4"/>
    </row>
    <row r="560" spans="3:21" ht="19" x14ac:dyDescent="0.25">
      <c r="C560" s="4"/>
      <c r="D560" s="4"/>
      <c r="E560" s="4"/>
      <c r="F560" s="4"/>
      <c r="G560" s="4"/>
      <c r="H560" s="4"/>
      <c r="I560" s="4"/>
      <c r="J560" s="4"/>
      <c r="K560" s="4"/>
      <c r="L560" s="4"/>
      <c r="M560" s="4"/>
      <c r="N560" s="4"/>
      <c r="O560" s="4"/>
      <c r="P560" s="4"/>
      <c r="Q560" s="4"/>
      <c r="R560" s="4"/>
      <c r="S560" s="4"/>
      <c r="T560" s="4"/>
      <c r="U560" s="4"/>
    </row>
    <row r="561" spans="3:21" ht="19" x14ac:dyDescent="0.25">
      <c r="C561" s="4"/>
      <c r="D561" s="4"/>
      <c r="E561" s="4"/>
      <c r="F561" s="4"/>
      <c r="G561" s="4"/>
      <c r="H561" s="4"/>
      <c r="I561" s="4"/>
      <c r="J561" s="4"/>
      <c r="K561" s="4"/>
      <c r="L561" s="4"/>
      <c r="M561" s="4"/>
      <c r="N561" s="4"/>
      <c r="O561" s="4"/>
      <c r="P561" s="4"/>
      <c r="Q561" s="4"/>
      <c r="R561" s="4"/>
      <c r="S561" s="4"/>
      <c r="T561" s="4"/>
      <c r="U561" s="4"/>
    </row>
    <row r="562" spans="3:21" ht="19" x14ac:dyDescent="0.25">
      <c r="C562" s="4"/>
      <c r="D562" s="4"/>
      <c r="E562" s="4"/>
      <c r="F562" s="4"/>
      <c r="G562" s="4"/>
      <c r="H562" s="4"/>
      <c r="I562" s="4"/>
      <c r="J562" s="4"/>
      <c r="K562" s="4"/>
      <c r="L562" s="4"/>
      <c r="M562" s="4"/>
      <c r="N562" s="4"/>
      <c r="O562" s="4"/>
      <c r="P562" s="4"/>
      <c r="Q562" s="4"/>
      <c r="R562" s="4"/>
      <c r="S562" s="4"/>
      <c r="T562" s="4"/>
      <c r="U562" s="4"/>
    </row>
    <row r="563" spans="3:21" ht="19" x14ac:dyDescent="0.25">
      <c r="C563" s="4"/>
      <c r="D563" s="4"/>
      <c r="E563" s="4"/>
      <c r="F563" s="4"/>
      <c r="G563" s="4"/>
      <c r="H563" s="4"/>
      <c r="I563" s="4"/>
      <c r="J563" s="4"/>
      <c r="K563" s="4"/>
      <c r="L563" s="4"/>
      <c r="M563" s="4"/>
      <c r="N563" s="4"/>
      <c r="O563" s="4"/>
      <c r="P563" s="4"/>
      <c r="Q563" s="4"/>
      <c r="R563" s="4"/>
      <c r="S563" s="4"/>
      <c r="T563" s="4"/>
      <c r="U563" s="4"/>
    </row>
    <row r="564" spans="3:21" ht="19" x14ac:dyDescent="0.25">
      <c r="C564" s="4"/>
      <c r="D564" s="4"/>
      <c r="E564" s="4"/>
      <c r="F564" s="4"/>
      <c r="G564" s="4"/>
      <c r="H564" s="4"/>
      <c r="I564" s="4"/>
      <c r="J564" s="4"/>
      <c r="K564" s="4"/>
      <c r="L564" s="4"/>
      <c r="M564" s="4"/>
      <c r="N564" s="4"/>
      <c r="O564" s="4"/>
      <c r="P564" s="4"/>
      <c r="Q564" s="4"/>
      <c r="R564" s="4"/>
      <c r="S564" s="4"/>
      <c r="T564" s="4"/>
      <c r="U564" s="4"/>
    </row>
    <row r="565" spans="3:21" ht="19" x14ac:dyDescent="0.25">
      <c r="C565" s="4"/>
      <c r="D565" s="4"/>
      <c r="E565" s="4"/>
      <c r="F565" s="4"/>
      <c r="G565" s="4"/>
      <c r="H565" s="4"/>
      <c r="I565" s="4"/>
      <c r="J565" s="4"/>
      <c r="K565" s="4"/>
      <c r="L565" s="4"/>
      <c r="M565" s="4"/>
      <c r="N565" s="4"/>
      <c r="O565" s="4"/>
      <c r="P565" s="4"/>
      <c r="Q565" s="4"/>
      <c r="R565" s="4"/>
      <c r="S565" s="4"/>
      <c r="T565" s="4"/>
      <c r="U565" s="4"/>
    </row>
    <row r="566" spans="3:21" ht="19" x14ac:dyDescent="0.25">
      <c r="C566" s="4"/>
      <c r="D566" s="4"/>
      <c r="E566" s="4"/>
      <c r="F566" s="4"/>
      <c r="G566" s="4"/>
      <c r="H566" s="4"/>
      <c r="I566" s="4"/>
      <c r="J566" s="4"/>
      <c r="K566" s="4"/>
      <c r="L566" s="4"/>
      <c r="M566" s="4"/>
      <c r="N566" s="4"/>
      <c r="O566" s="4"/>
      <c r="P566" s="4"/>
      <c r="Q566" s="4"/>
      <c r="R566" s="4"/>
      <c r="S566" s="4"/>
      <c r="T566" s="4"/>
      <c r="U566" s="4"/>
    </row>
    <row r="567" spans="3:21" ht="19" x14ac:dyDescent="0.25">
      <c r="C567" s="4"/>
      <c r="D567" s="4"/>
      <c r="E567" s="4"/>
      <c r="F567" s="4"/>
      <c r="G567" s="4"/>
      <c r="H567" s="4"/>
      <c r="I567" s="4"/>
      <c r="J567" s="4"/>
      <c r="K567" s="4"/>
      <c r="L567" s="4"/>
      <c r="M567" s="4"/>
      <c r="N567" s="4"/>
      <c r="O567" s="4"/>
      <c r="P567" s="4"/>
      <c r="Q567" s="4"/>
      <c r="R567" s="4"/>
      <c r="S567" s="4"/>
      <c r="T567" s="4"/>
      <c r="U567" s="4"/>
    </row>
    <row r="568" spans="3:21" ht="19" x14ac:dyDescent="0.25">
      <c r="C568" s="4"/>
      <c r="D568" s="4"/>
      <c r="E568" s="4"/>
      <c r="F568" s="4"/>
      <c r="G568" s="4"/>
      <c r="H568" s="4"/>
      <c r="I568" s="4"/>
      <c r="J568" s="4"/>
      <c r="K568" s="4"/>
      <c r="L568" s="4"/>
      <c r="M568" s="4"/>
      <c r="N568" s="4"/>
      <c r="O568" s="4"/>
      <c r="P568" s="4"/>
      <c r="Q568" s="4"/>
      <c r="R568" s="4"/>
      <c r="S568" s="4"/>
      <c r="T568" s="4"/>
      <c r="U568" s="4"/>
    </row>
    <row r="569" spans="3:21" ht="19" x14ac:dyDescent="0.25">
      <c r="C569" s="4"/>
      <c r="D569" s="4"/>
      <c r="E569" s="4"/>
      <c r="F569" s="4"/>
      <c r="G569" s="4"/>
      <c r="H569" s="4"/>
      <c r="I569" s="4"/>
      <c r="J569" s="4"/>
      <c r="K569" s="4"/>
      <c r="L569" s="4"/>
      <c r="M569" s="4"/>
      <c r="N569" s="4"/>
      <c r="O569" s="4"/>
      <c r="P569" s="4"/>
      <c r="Q569" s="4"/>
      <c r="R569" s="4"/>
      <c r="S569" s="4"/>
      <c r="T569" s="4"/>
      <c r="U569" s="4"/>
    </row>
    <row r="570" spans="3:21" ht="19" x14ac:dyDescent="0.25">
      <c r="C570" s="4"/>
      <c r="D570" s="4"/>
      <c r="E570" s="4"/>
      <c r="F570" s="4"/>
      <c r="G570" s="4"/>
      <c r="H570" s="4"/>
      <c r="I570" s="4"/>
      <c r="J570" s="4"/>
      <c r="K570" s="4"/>
      <c r="L570" s="4"/>
      <c r="M570" s="4"/>
      <c r="N570" s="4"/>
      <c r="O570" s="4"/>
      <c r="P570" s="4"/>
      <c r="Q570" s="4"/>
      <c r="R570" s="4"/>
      <c r="S570" s="4"/>
      <c r="T570" s="4"/>
      <c r="U570" s="4"/>
    </row>
    <row r="571" spans="3:21" ht="19" x14ac:dyDescent="0.25">
      <c r="C571" s="4"/>
      <c r="D571" s="4"/>
      <c r="E571" s="4"/>
      <c r="F571" s="4"/>
      <c r="G571" s="4"/>
      <c r="H571" s="4"/>
      <c r="I571" s="4"/>
      <c r="J571" s="4"/>
      <c r="K571" s="4"/>
      <c r="L571" s="4"/>
      <c r="M571" s="4"/>
      <c r="N571" s="4"/>
      <c r="O571" s="4"/>
      <c r="P571" s="4"/>
      <c r="Q571" s="4"/>
      <c r="R571" s="4"/>
      <c r="S571" s="4"/>
      <c r="T571" s="4"/>
      <c r="U571" s="4"/>
    </row>
    <row r="572" spans="3:21" ht="19" x14ac:dyDescent="0.25">
      <c r="C572" s="4"/>
      <c r="D572" s="4"/>
      <c r="E572" s="4"/>
      <c r="F572" s="4"/>
      <c r="G572" s="4"/>
      <c r="H572" s="4"/>
      <c r="I572" s="4"/>
      <c r="J572" s="4"/>
      <c r="K572" s="4"/>
      <c r="L572" s="4"/>
      <c r="M572" s="4"/>
      <c r="N572" s="4"/>
      <c r="O572" s="4"/>
      <c r="P572" s="4"/>
      <c r="Q572" s="4"/>
      <c r="R572" s="4"/>
      <c r="S572" s="4"/>
      <c r="T572" s="4"/>
      <c r="U572" s="4"/>
    </row>
    <row r="573" spans="3:21" ht="19" x14ac:dyDescent="0.25">
      <c r="C573" s="4"/>
      <c r="D573" s="4"/>
      <c r="E573" s="4"/>
      <c r="F573" s="4"/>
      <c r="G573" s="4"/>
      <c r="H573" s="4"/>
      <c r="I573" s="4"/>
      <c r="J573" s="4"/>
      <c r="K573" s="4"/>
      <c r="L573" s="4"/>
      <c r="M573" s="4"/>
      <c r="N573" s="4"/>
      <c r="O573" s="4"/>
      <c r="P573" s="4"/>
      <c r="Q573" s="4"/>
      <c r="R573" s="4"/>
      <c r="S573" s="4"/>
      <c r="T573" s="4"/>
      <c r="U573" s="4"/>
    </row>
    <row r="574" spans="3:21" ht="19" x14ac:dyDescent="0.25">
      <c r="C574" s="4"/>
      <c r="D574" s="4"/>
      <c r="E574" s="4"/>
      <c r="F574" s="4"/>
      <c r="G574" s="4"/>
      <c r="H574" s="4"/>
      <c r="I574" s="4"/>
      <c r="J574" s="4"/>
      <c r="K574" s="4"/>
      <c r="L574" s="4"/>
      <c r="M574" s="4"/>
      <c r="N574" s="4"/>
      <c r="O574" s="4"/>
      <c r="P574" s="4"/>
      <c r="Q574" s="4"/>
      <c r="R574" s="4"/>
      <c r="S574" s="4"/>
      <c r="T574" s="4"/>
      <c r="U574" s="4"/>
    </row>
    <row r="575" spans="3:21" ht="19" x14ac:dyDescent="0.25">
      <c r="C575" s="4"/>
      <c r="D575" s="4"/>
      <c r="E575" s="4"/>
      <c r="F575" s="4"/>
      <c r="G575" s="4"/>
      <c r="H575" s="4"/>
      <c r="I575" s="4"/>
      <c r="J575" s="4"/>
      <c r="K575" s="4"/>
      <c r="L575" s="4"/>
      <c r="M575" s="4"/>
      <c r="N575" s="4"/>
      <c r="O575" s="4"/>
      <c r="P575" s="4"/>
      <c r="Q575" s="4"/>
      <c r="R575" s="4"/>
      <c r="S575" s="4"/>
      <c r="T575" s="4"/>
      <c r="U575" s="4"/>
    </row>
    <row r="576" spans="3:21" ht="19" x14ac:dyDescent="0.25">
      <c r="C576" s="4"/>
      <c r="D576" s="4"/>
      <c r="E576" s="4"/>
      <c r="F576" s="4"/>
      <c r="G576" s="4"/>
      <c r="H576" s="4"/>
      <c r="I576" s="4"/>
      <c r="J576" s="4"/>
      <c r="K576" s="4"/>
      <c r="L576" s="4"/>
      <c r="M576" s="4"/>
      <c r="N576" s="4"/>
      <c r="O576" s="4"/>
      <c r="P576" s="4"/>
      <c r="Q576" s="4"/>
      <c r="R576" s="4"/>
      <c r="S576" s="4"/>
      <c r="T576" s="4"/>
      <c r="U576" s="4"/>
    </row>
    <row r="577" spans="3:21" ht="19" x14ac:dyDescent="0.25">
      <c r="C577" s="4"/>
      <c r="D577" s="4"/>
      <c r="E577" s="4"/>
      <c r="F577" s="4"/>
      <c r="G577" s="4"/>
      <c r="H577" s="4"/>
      <c r="I577" s="4"/>
      <c r="J577" s="4"/>
      <c r="K577" s="4"/>
      <c r="L577" s="4"/>
      <c r="M577" s="4"/>
      <c r="N577" s="4"/>
      <c r="O577" s="4"/>
      <c r="P577" s="4"/>
      <c r="Q577" s="4"/>
      <c r="R577" s="4"/>
      <c r="S577" s="4"/>
      <c r="T577" s="4"/>
      <c r="U577" s="4"/>
    </row>
    <row r="578" spans="3:21" ht="19" x14ac:dyDescent="0.25">
      <c r="C578" s="4"/>
      <c r="D578" s="4"/>
      <c r="E578" s="4"/>
      <c r="F578" s="4"/>
      <c r="G578" s="4"/>
      <c r="H578" s="4"/>
      <c r="I578" s="4"/>
      <c r="J578" s="4"/>
      <c r="K578" s="4"/>
      <c r="L578" s="4"/>
      <c r="M578" s="4"/>
      <c r="N578" s="4"/>
      <c r="O578" s="4"/>
      <c r="P578" s="4"/>
      <c r="Q578" s="4"/>
      <c r="R578" s="4"/>
      <c r="S578" s="4"/>
      <c r="T578" s="4"/>
      <c r="U578" s="4"/>
    </row>
    <row r="579" spans="3:21" ht="19" x14ac:dyDescent="0.25">
      <c r="C579" s="4"/>
      <c r="D579" s="4"/>
      <c r="E579" s="4"/>
      <c r="F579" s="4"/>
      <c r="G579" s="4"/>
      <c r="H579" s="4"/>
      <c r="I579" s="4"/>
      <c r="J579" s="4"/>
      <c r="K579" s="4"/>
      <c r="L579" s="4"/>
      <c r="M579" s="4"/>
      <c r="N579" s="4"/>
      <c r="O579" s="4"/>
      <c r="P579" s="4"/>
      <c r="Q579" s="4"/>
      <c r="R579" s="4"/>
      <c r="S579" s="4"/>
      <c r="T579" s="4"/>
      <c r="U579" s="4"/>
    </row>
    <row r="580" spans="3:21" ht="19" x14ac:dyDescent="0.25">
      <c r="C580" s="4"/>
      <c r="D580" s="4"/>
      <c r="E580" s="4"/>
      <c r="F580" s="4"/>
      <c r="G580" s="4"/>
      <c r="H580" s="4"/>
      <c r="I580" s="4"/>
      <c r="J580" s="4"/>
      <c r="K580" s="4"/>
      <c r="L580" s="4"/>
      <c r="M580" s="4"/>
      <c r="N580" s="4"/>
      <c r="O580" s="4"/>
      <c r="P580" s="4"/>
      <c r="Q580" s="4"/>
      <c r="R580" s="4"/>
      <c r="S580" s="4"/>
      <c r="T580" s="4"/>
      <c r="U580" s="4"/>
    </row>
    <row r="581" spans="3:21" ht="19" x14ac:dyDescent="0.25">
      <c r="C581" s="4"/>
      <c r="D581" s="4"/>
      <c r="E581" s="4"/>
      <c r="F581" s="4"/>
      <c r="G581" s="4"/>
      <c r="H581" s="4"/>
      <c r="I581" s="4"/>
      <c r="J581" s="4"/>
      <c r="K581" s="4"/>
      <c r="L581" s="4"/>
      <c r="M581" s="4"/>
      <c r="N581" s="4"/>
      <c r="O581" s="4"/>
      <c r="P581" s="4"/>
      <c r="Q581" s="4"/>
      <c r="R581" s="4"/>
      <c r="S581" s="4"/>
      <c r="T581" s="4"/>
      <c r="U581" s="4"/>
    </row>
    <row r="582" spans="3:21" ht="19" x14ac:dyDescent="0.25">
      <c r="C582" s="4"/>
      <c r="D582" s="4"/>
      <c r="E582" s="4"/>
      <c r="F582" s="4"/>
      <c r="G582" s="4"/>
      <c r="H582" s="4"/>
      <c r="I582" s="4"/>
      <c r="J582" s="4"/>
      <c r="K582" s="4"/>
      <c r="L582" s="4"/>
      <c r="M582" s="4"/>
      <c r="N582" s="4"/>
      <c r="O582" s="4"/>
      <c r="P582" s="4"/>
      <c r="Q582" s="4"/>
      <c r="R582" s="4"/>
      <c r="S582" s="4"/>
      <c r="T582" s="4"/>
      <c r="U582" s="4"/>
    </row>
    <row r="583" spans="3:21" ht="19" x14ac:dyDescent="0.25">
      <c r="C583" s="4"/>
      <c r="D583" s="4"/>
      <c r="E583" s="4"/>
      <c r="F583" s="4"/>
      <c r="G583" s="4"/>
      <c r="H583" s="4"/>
      <c r="I583" s="4"/>
      <c r="J583" s="4"/>
      <c r="K583" s="4"/>
      <c r="L583" s="4"/>
      <c r="M583" s="4"/>
      <c r="N583" s="4"/>
      <c r="O583" s="4"/>
      <c r="P583" s="4"/>
      <c r="Q583" s="4"/>
      <c r="R583" s="4"/>
      <c r="S583" s="4"/>
      <c r="T583" s="4"/>
      <c r="U583" s="4"/>
    </row>
    <row r="584" spans="3:21" ht="19" x14ac:dyDescent="0.25">
      <c r="C584" s="4"/>
      <c r="D584" s="4"/>
      <c r="E584" s="4"/>
      <c r="F584" s="4"/>
      <c r="G584" s="4"/>
      <c r="H584" s="4"/>
      <c r="I584" s="4"/>
      <c r="J584" s="4"/>
      <c r="K584" s="4"/>
      <c r="L584" s="4"/>
      <c r="M584" s="4"/>
      <c r="N584" s="4"/>
      <c r="O584" s="4"/>
      <c r="P584" s="4"/>
      <c r="Q584" s="4"/>
      <c r="R584" s="4"/>
      <c r="S584" s="4"/>
      <c r="T584" s="4"/>
      <c r="U584" s="4"/>
    </row>
    <row r="585" spans="3:21" ht="19" x14ac:dyDescent="0.25">
      <c r="C585" s="4"/>
      <c r="D585" s="4"/>
      <c r="E585" s="4"/>
      <c r="F585" s="4"/>
      <c r="G585" s="4"/>
      <c r="H585" s="4"/>
      <c r="I585" s="4"/>
      <c r="J585" s="4"/>
      <c r="K585" s="4"/>
      <c r="L585" s="4"/>
      <c r="M585" s="4"/>
      <c r="N585" s="4"/>
      <c r="O585" s="4"/>
      <c r="P585" s="4"/>
      <c r="Q585" s="4"/>
      <c r="R585" s="4"/>
      <c r="S585" s="4"/>
      <c r="T585" s="4"/>
      <c r="U585" s="4"/>
    </row>
    <row r="586" spans="3:21" ht="19" x14ac:dyDescent="0.25">
      <c r="C586" s="4"/>
      <c r="D586" s="4"/>
      <c r="E586" s="4"/>
      <c r="F586" s="4"/>
      <c r="G586" s="4"/>
      <c r="H586" s="4"/>
      <c r="I586" s="4"/>
      <c r="J586" s="4"/>
      <c r="K586" s="4"/>
      <c r="L586" s="4"/>
      <c r="M586" s="4"/>
      <c r="N586" s="4"/>
      <c r="O586" s="4"/>
      <c r="P586" s="4"/>
      <c r="Q586" s="4"/>
      <c r="R586" s="4"/>
      <c r="S586" s="4"/>
      <c r="T586" s="4"/>
      <c r="U586" s="4"/>
    </row>
    <row r="587" spans="3:21" ht="19" x14ac:dyDescent="0.25">
      <c r="C587" s="4"/>
      <c r="D587" s="4"/>
      <c r="E587" s="4"/>
      <c r="F587" s="4"/>
      <c r="G587" s="4"/>
      <c r="H587" s="4"/>
      <c r="I587" s="4"/>
      <c r="J587" s="4"/>
      <c r="K587" s="4"/>
      <c r="L587" s="4"/>
      <c r="M587" s="4"/>
      <c r="N587" s="4"/>
      <c r="O587" s="4"/>
      <c r="P587" s="4"/>
      <c r="Q587" s="4"/>
      <c r="R587" s="4"/>
      <c r="S587" s="4"/>
      <c r="T587" s="4"/>
      <c r="U587" s="4"/>
    </row>
    <row r="588" spans="3:21" ht="19" x14ac:dyDescent="0.25">
      <c r="C588" s="4"/>
      <c r="D588" s="4"/>
      <c r="E588" s="4"/>
      <c r="F588" s="4"/>
      <c r="G588" s="4"/>
      <c r="H588" s="4"/>
      <c r="I588" s="4"/>
      <c r="J588" s="4"/>
      <c r="K588" s="4"/>
      <c r="L588" s="4"/>
      <c r="M588" s="4"/>
      <c r="N588" s="4"/>
      <c r="O588" s="4"/>
      <c r="P588" s="4"/>
      <c r="Q588" s="4"/>
      <c r="R588" s="4"/>
      <c r="S588" s="4"/>
      <c r="T588" s="4"/>
      <c r="U588" s="4"/>
    </row>
    <row r="589" spans="3:21" ht="19" x14ac:dyDescent="0.25">
      <c r="C589" s="4"/>
      <c r="D589" s="4"/>
      <c r="E589" s="4"/>
      <c r="F589" s="4"/>
      <c r="G589" s="4"/>
      <c r="H589" s="4"/>
      <c r="I589" s="4"/>
      <c r="J589" s="4"/>
      <c r="K589" s="4"/>
      <c r="L589" s="4"/>
      <c r="M589" s="4"/>
      <c r="N589" s="4"/>
      <c r="O589" s="4"/>
      <c r="P589" s="4"/>
      <c r="Q589" s="4"/>
      <c r="R589" s="4"/>
      <c r="S589" s="4"/>
      <c r="T589" s="4"/>
      <c r="U589" s="4"/>
    </row>
    <row r="590" spans="3:21" ht="19" x14ac:dyDescent="0.25">
      <c r="C590" s="4"/>
      <c r="D590" s="4"/>
      <c r="E590" s="4"/>
      <c r="F590" s="4"/>
      <c r="G590" s="4"/>
      <c r="H590" s="4"/>
      <c r="I590" s="4"/>
      <c r="J590" s="4"/>
      <c r="K590" s="4"/>
      <c r="L590" s="4"/>
      <c r="M590" s="4"/>
      <c r="N590" s="4"/>
      <c r="O590" s="4"/>
      <c r="P590" s="4"/>
      <c r="Q590" s="4"/>
      <c r="R590" s="4"/>
      <c r="S590" s="4"/>
      <c r="T590" s="4"/>
      <c r="U590" s="4"/>
    </row>
    <row r="591" spans="3:21" ht="19" x14ac:dyDescent="0.25">
      <c r="C591" s="4"/>
      <c r="D591" s="4"/>
      <c r="E591" s="4"/>
      <c r="F591" s="4"/>
      <c r="G591" s="4"/>
      <c r="H591" s="4"/>
      <c r="I591" s="4"/>
      <c r="J591" s="4"/>
      <c r="K591" s="4"/>
      <c r="L591" s="4"/>
      <c r="M591" s="4"/>
      <c r="N591" s="4"/>
      <c r="O591" s="4"/>
      <c r="P591" s="4"/>
      <c r="Q591" s="4"/>
      <c r="R591" s="4"/>
      <c r="S591" s="4"/>
      <c r="T591" s="4"/>
      <c r="U591" s="4"/>
    </row>
    <row r="592" spans="3:21" ht="19" x14ac:dyDescent="0.25">
      <c r="C592" s="4"/>
      <c r="D592" s="4"/>
      <c r="E592" s="4"/>
      <c r="F592" s="4"/>
      <c r="G592" s="4"/>
      <c r="H592" s="4"/>
      <c r="I592" s="4"/>
      <c r="J592" s="4"/>
      <c r="K592" s="4"/>
      <c r="L592" s="4"/>
      <c r="M592" s="4"/>
      <c r="N592" s="4"/>
      <c r="O592" s="4"/>
      <c r="P592" s="4"/>
      <c r="Q592" s="4"/>
      <c r="R592" s="4"/>
      <c r="S592" s="4"/>
      <c r="T592" s="4"/>
      <c r="U592" s="4"/>
    </row>
    <row r="593" spans="3:21" ht="19" x14ac:dyDescent="0.25">
      <c r="C593" s="4"/>
      <c r="D593" s="4"/>
      <c r="E593" s="4"/>
      <c r="F593" s="4"/>
      <c r="G593" s="4"/>
      <c r="H593" s="4"/>
      <c r="I593" s="4"/>
      <c r="J593" s="4"/>
      <c r="K593" s="4"/>
      <c r="L593" s="4"/>
      <c r="M593" s="4"/>
      <c r="N593" s="4"/>
      <c r="O593" s="4"/>
      <c r="P593" s="4"/>
      <c r="Q593" s="4"/>
      <c r="R593" s="4"/>
      <c r="S593" s="4"/>
      <c r="T593" s="4"/>
      <c r="U593" s="4"/>
    </row>
    <row r="594" spans="3:21" ht="19" x14ac:dyDescent="0.25">
      <c r="C594" s="4"/>
      <c r="D594" s="4"/>
      <c r="E594" s="4"/>
      <c r="F594" s="4"/>
      <c r="G594" s="4"/>
      <c r="H594" s="4"/>
      <c r="I594" s="4"/>
      <c r="J594" s="4"/>
      <c r="K594" s="4"/>
      <c r="L594" s="4"/>
      <c r="M594" s="4"/>
      <c r="N594" s="4"/>
      <c r="O594" s="4"/>
      <c r="P594" s="4"/>
      <c r="Q594" s="4"/>
      <c r="R594" s="4"/>
      <c r="S594" s="4"/>
      <c r="T594" s="4"/>
      <c r="U594" s="4"/>
    </row>
    <row r="595" spans="3:21" ht="19" x14ac:dyDescent="0.25">
      <c r="C595" s="4"/>
      <c r="D595" s="4"/>
      <c r="E595" s="4"/>
      <c r="F595" s="4"/>
      <c r="G595" s="4"/>
      <c r="H595" s="4"/>
      <c r="I595" s="4"/>
      <c r="J595" s="4"/>
      <c r="K595" s="4"/>
      <c r="L595" s="4"/>
      <c r="M595" s="4"/>
      <c r="N595" s="4"/>
      <c r="O595" s="4"/>
      <c r="P595" s="4"/>
      <c r="Q595" s="4"/>
      <c r="R595" s="4"/>
      <c r="S595" s="4"/>
      <c r="T595" s="4"/>
      <c r="U595" s="4"/>
    </row>
    <row r="596" spans="3:21" ht="19" x14ac:dyDescent="0.25">
      <c r="C596" s="4"/>
      <c r="D596" s="4"/>
      <c r="E596" s="4"/>
      <c r="F596" s="4"/>
      <c r="G596" s="4"/>
      <c r="H596" s="4"/>
      <c r="I596" s="4"/>
      <c r="J596" s="4"/>
      <c r="K596" s="4"/>
      <c r="L596" s="4"/>
      <c r="M596" s="4"/>
      <c r="N596" s="4"/>
      <c r="O596" s="4"/>
      <c r="P596" s="4"/>
      <c r="Q596" s="4"/>
      <c r="R596" s="4"/>
      <c r="S596" s="4"/>
      <c r="T596" s="4"/>
      <c r="U596" s="4"/>
    </row>
    <row r="597" spans="3:21" ht="19" x14ac:dyDescent="0.25">
      <c r="C597" s="4"/>
      <c r="D597" s="4"/>
      <c r="E597" s="4"/>
      <c r="F597" s="4"/>
      <c r="G597" s="4"/>
      <c r="H597" s="4"/>
      <c r="I597" s="4"/>
      <c r="J597" s="4"/>
      <c r="K597" s="4"/>
      <c r="L597" s="4"/>
      <c r="M597" s="4"/>
      <c r="N597" s="4"/>
      <c r="O597" s="4"/>
      <c r="P597" s="4"/>
      <c r="Q597" s="4"/>
      <c r="R597" s="4"/>
      <c r="S597" s="4"/>
      <c r="T597" s="4"/>
      <c r="U597" s="4"/>
    </row>
    <row r="598" spans="3:21" ht="19" x14ac:dyDescent="0.25">
      <c r="C598" s="4"/>
      <c r="D598" s="4"/>
      <c r="E598" s="4"/>
      <c r="F598" s="4"/>
      <c r="G598" s="4"/>
      <c r="H598" s="4"/>
      <c r="I598" s="4"/>
      <c r="J598" s="4"/>
      <c r="K598" s="4"/>
      <c r="L598" s="4"/>
      <c r="M598" s="4"/>
      <c r="N598" s="4"/>
      <c r="O598" s="4"/>
      <c r="P598" s="4"/>
      <c r="Q598" s="4"/>
      <c r="R598" s="4"/>
      <c r="S598" s="4"/>
      <c r="T598" s="4"/>
      <c r="U598" s="4"/>
    </row>
    <row r="599" spans="3:21" ht="19" x14ac:dyDescent="0.25">
      <c r="C599" s="4"/>
      <c r="D599" s="4"/>
      <c r="E599" s="4"/>
      <c r="F599" s="4"/>
      <c r="G599" s="4"/>
      <c r="H599" s="4"/>
      <c r="I599" s="4"/>
      <c r="J599" s="4"/>
      <c r="K599" s="4"/>
      <c r="L599" s="4"/>
      <c r="M599" s="4"/>
      <c r="N599" s="4"/>
      <c r="O599" s="4"/>
      <c r="P599" s="4"/>
      <c r="Q599" s="4"/>
      <c r="R599" s="4"/>
      <c r="S599" s="4"/>
      <c r="T599" s="4"/>
      <c r="U599" s="4"/>
    </row>
    <row r="600" spans="3:21" ht="19" x14ac:dyDescent="0.25">
      <c r="C600" s="4"/>
      <c r="D600" s="4"/>
      <c r="E600" s="4"/>
      <c r="F600" s="4"/>
      <c r="G600" s="4"/>
      <c r="H600" s="4"/>
      <c r="I600" s="4"/>
      <c r="J600" s="4"/>
      <c r="K600" s="4"/>
      <c r="L600" s="4"/>
      <c r="M600" s="4"/>
      <c r="N600" s="4"/>
      <c r="O600" s="4"/>
      <c r="P600" s="4"/>
      <c r="Q600" s="4"/>
      <c r="R600" s="4"/>
      <c r="S600" s="4"/>
      <c r="T600" s="4"/>
      <c r="U600" s="4"/>
    </row>
    <row r="601" spans="3:21" ht="19" x14ac:dyDescent="0.25">
      <c r="C601" s="4"/>
      <c r="D601" s="4"/>
      <c r="E601" s="4"/>
      <c r="F601" s="4"/>
      <c r="G601" s="4"/>
      <c r="H601" s="4"/>
      <c r="I601" s="4"/>
      <c r="J601" s="4"/>
      <c r="K601" s="4"/>
      <c r="L601" s="4"/>
      <c r="M601" s="4"/>
      <c r="N601" s="4"/>
      <c r="O601" s="4"/>
      <c r="P601" s="4"/>
      <c r="Q601" s="4"/>
      <c r="R601" s="4"/>
      <c r="S601" s="4"/>
      <c r="T601" s="4"/>
      <c r="U601" s="4"/>
    </row>
    <row r="602" spans="3:21" ht="19" x14ac:dyDescent="0.25">
      <c r="C602" s="4"/>
      <c r="D602" s="4"/>
      <c r="E602" s="4"/>
      <c r="F602" s="4"/>
      <c r="G602" s="4"/>
      <c r="H602" s="4"/>
      <c r="I602" s="4"/>
      <c r="J602" s="4"/>
      <c r="K602" s="4"/>
      <c r="L602" s="4"/>
      <c r="M602" s="4"/>
      <c r="N602" s="4"/>
      <c r="O602" s="4"/>
      <c r="P602" s="4"/>
      <c r="Q602" s="4"/>
      <c r="R602" s="4"/>
      <c r="S602" s="4"/>
      <c r="T602" s="4"/>
      <c r="U602" s="4"/>
    </row>
    <row r="603" spans="3:21" ht="19" x14ac:dyDescent="0.25">
      <c r="C603" s="4"/>
      <c r="D603" s="4"/>
      <c r="E603" s="4"/>
      <c r="F603" s="4"/>
      <c r="G603" s="4"/>
      <c r="H603" s="4"/>
      <c r="I603" s="4"/>
      <c r="J603" s="4"/>
      <c r="K603" s="4"/>
      <c r="L603" s="4"/>
      <c r="M603" s="4"/>
      <c r="N603" s="4"/>
      <c r="O603" s="4"/>
      <c r="P603" s="4"/>
      <c r="Q603" s="4"/>
      <c r="R603" s="4"/>
      <c r="S603" s="4"/>
      <c r="T603" s="4"/>
      <c r="U603" s="4"/>
    </row>
    <row r="604" spans="3:21" ht="19" x14ac:dyDescent="0.25">
      <c r="C604" s="4"/>
      <c r="D604" s="4"/>
      <c r="E604" s="4"/>
      <c r="F604" s="4"/>
      <c r="G604" s="4"/>
      <c r="H604" s="4"/>
      <c r="I604" s="4"/>
      <c r="J604" s="4"/>
      <c r="K604" s="4"/>
      <c r="L604" s="4"/>
      <c r="M604" s="4"/>
      <c r="N604" s="4"/>
      <c r="O604" s="4"/>
      <c r="P604" s="4"/>
      <c r="Q604" s="4"/>
      <c r="R604" s="4"/>
      <c r="S604" s="4"/>
      <c r="T604" s="4"/>
      <c r="U604" s="4"/>
    </row>
    <row r="605" spans="3:21" ht="19" x14ac:dyDescent="0.25">
      <c r="C605" s="4"/>
      <c r="D605" s="4"/>
      <c r="E605" s="4"/>
      <c r="F605" s="4"/>
      <c r="G605" s="4"/>
      <c r="H605" s="4"/>
      <c r="I605" s="4"/>
      <c r="J605" s="4"/>
      <c r="K605" s="4"/>
      <c r="L605" s="4"/>
      <c r="M605" s="4"/>
      <c r="N605" s="4"/>
      <c r="O605" s="4"/>
      <c r="P605" s="4"/>
      <c r="Q605" s="4"/>
      <c r="R605" s="4"/>
      <c r="S605" s="4"/>
      <c r="T605" s="4"/>
      <c r="U605" s="4"/>
    </row>
    <row r="606" spans="3:21" ht="19" x14ac:dyDescent="0.25">
      <c r="C606" s="4"/>
      <c r="D606" s="4"/>
      <c r="E606" s="4"/>
      <c r="F606" s="4"/>
      <c r="G606" s="4"/>
      <c r="H606" s="4"/>
      <c r="I606" s="4"/>
      <c r="J606" s="4"/>
      <c r="K606" s="4"/>
      <c r="L606" s="4"/>
      <c r="M606" s="4"/>
      <c r="N606" s="4"/>
      <c r="O606" s="4"/>
      <c r="P606" s="4"/>
      <c r="Q606" s="4"/>
      <c r="R606" s="4"/>
      <c r="S606" s="4"/>
      <c r="T606" s="4"/>
      <c r="U606" s="4"/>
    </row>
    <row r="607" spans="3:21" ht="19" x14ac:dyDescent="0.25">
      <c r="C607" s="4"/>
      <c r="D607" s="4"/>
      <c r="E607" s="4"/>
      <c r="F607" s="4"/>
      <c r="G607" s="4"/>
      <c r="H607" s="4"/>
      <c r="I607" s="4"/>
      <c r="J607" s="4"/>
      <c r="K607" s="4"/>
      <c r="L607" s="4"/>
      <c r="M607" s="4"/>
      <c r="N607" s="4"/>
      <c r="O607" s="4"/>
      <c r="P607" s="4"/>
      <c r="Q607" s="4"/>
      <c r="R607" s="4"/>
      <c r="S607" s="4"/>
      <c r="T607" s="4"/>
      <c r="U607" s="4"/>
    </row>
    <row r="608" spans="3:21" ht="19" x14ac:dyDescent="0.25">
      <c r="C608" s="4"/>
      <c r="D608" s="4"/>
      <c r="E608" s="4"/>
      <c r="F608" s="4"/>
      <c r="G608" s="4"/>
      <c r="H608" s="4"/>
      <c r="I608" s="4"/>
      <c r="J608" s="4"/>
      <c r="K608" s="4"/>
      <c r="L608" s="4"/>
      <c r="M608" s="4"/>
      <c r="N608" s="4"/>
      <c r="O608" s="4"/>
      <c r="P608" s="4"/>
      <c r="Q608" s="4"/>
      <c r="R608" s="4"/>
      <c r="S608" s="4"/>
      <c r="T608" s="4"/>
      <c r="U608" s="4"/>
    </row>
    <row r="609" spans="3:21" ht="19" x14ac:dyDescent="0.25">
      <c r="C609" s="4"/>
      <c r="D609" s="4"/>
      <c r="E609" s="4"/>
      <c r="F609" s="4"/>
      <c r="G609" s="4"/>
      <c r="H609" s="4"/>
      <c r="I609" s="4"/>
      <c r="J609" s="4"/>
      <c r="K609" s="4"/>
      <c r="L609" s="4"/>
      <c r="M609" s="4"/>
      <c r="N609" s="4"/>
      <c r="O609" s="4"/>
      <c r="P609" s="4"/>
      <c r="Q609" s="4"/>
      <c r="R609" s="4"/>
      <c r="S609" s="4"/>
      <c r="T609" s="4"/>
      <c r="U609" s="4"/>
    </row>
    <row r="610" spans="3:21" ht="19" x14ac:dyDescent="0.25">
      <c r="C610" s="4"/>
      <c r="D610" s="4"/>
      <c r="E610" s="4"/>
      <c r="F610" s="4"/>
      <c r="G610" s="4"/>
      <c r="H610" s="4"/>
      <c r="I610" s="4"/>
      <c r="J610" s="4"/>
      <c r="K610" s="4"/>
      <c r="L610" s="4"/>
      <c r="M610" s="4"/>
      <c r="N610" s="4"/>
      <c r="O610" s="4"/>
      <c r="P610" s="4"/>
      <c r="Q610" s="4"/>
      <c r="R610" s="4"/>
      <c r="S610" s="4"/>
      <c r="T610" s="4"/>
      <c r="U610" s="4"/>
    </row>
    <row r="611" spans="3:21" ht="19" x14ac:dyDescent="0.25">
      <c r="C611" s="4"/>
      <c r="D611" s="4"/>
      <c r="E611" s="4"/>
      <c r="F611" s="4"/>
      <c r="G611" s="4"/>
      <c r="H611" s="4"/>
      <c r="I611" s="4"/>
      <c r="J611" s="4"/>
      <c r="K611" s="4"/>
      <c r="L611" s="4"/>
      <c r="M611" s="4"/>
      <c r="N611" s="4"/>
      <c r="O611" s="4"/>
      <c r="P611" s="4"/>
      <c r="Q611" s="4"/>
      <c r="R611" s="4"/>
      <c r="S611" s="4"/>
      <c r="T611" s="4"/>
      <c r="U611" s="4"/>
    </row>
    <row r="612" spans="3:21" ht="19" x14ac:dyDescent="0.25">
      <c r="C612" s="4"/>
      <c r="D612" s="4"/>
      <c r="E612" s="4"/>
      <c r="F612" s="4"/>
      <c r="G612" s="4"/>
      <c r="H612" s="4"/>
      <c r="I612" s="4"/>
      <c r="J612" s="4"/>
      <c r="K612" s="4"/>
      <c r="L612" s="4"/>
      <c r="M612" s="4"/>
      <c r="N612" s="4"/>
      <c r="O612" s="4"/>
      <c r="P612" s="4"/>
      <c r="Q612" s="4"/>
      <c r="R612" s="4"/>
      <c r="S612" s="4"/>
      <c r="T612" s="4"/>
      <c r="U612" s="4"/>
    </row>
    <row r="613" spans="3:21" ht="19" x14ac:dyDescent="0.25">
      <c r="C613" s="4"/>
      <c r="D613" s="4"/>
      <c r="E613" s="4"/>
      <c r="F613" s="4"/>
      <c r="G613" s="4"/>
      <c r="H613" s="4"/>
      <c r="I613" s="4"/>
      <c r="J613" s="4"/>
      <c r="K613" s="4"/>
      <c r="L613" s="4"/>
      <c r="M613" s="4"/>
      <c r="N613" s="4"/>
      <c r="O613" s="4"/>
      <c r="P613" s="4"/>
      <c r="Q613" s="4"/>
      <c r="R613" s="4"/>
      <c r="S613" s="4"/>
      <c r="T613" s="4"/>
      <c r="U613" s="4"/>
    </row>
    <row r="614" spans="3:21" ht="19" x14ac:dyDescent="0.25">
      <c r="C614" s="4"/>
      <c r="D614" s="4"/>
      <c r="E614" s="4"/>
      <c r="F614" s="4"/>
      <c r="G614" s="4"/>
      <c r="H614" s="4"/>
      <c r="I614" s="4"/>
      <c r="J614" s="4"/>
      <c r="K614" s="4"/>
      <c r="L614" s="4"/>
      <c r="M614" s="4"/>
      <c r="N614" s="4"/>
      <c r="O614" s="4"/>
      <c r="P614" s="4"/>
      <c r="Q614" s="4"/>
      <c r="R614" s="4"/>
      <c r="S614" s="4"/>
      <c r="T614" s="4"/>
      <c r="U614" s="4"/>
    </row>
    <row r="615" spans="3:21" ht="19" x14ac:dyDescent="0.25">
      <c r="C615" s="4"/>
      <c r="D615" s="4"/>
      <c r="E615" s="4"/>
      <c r="F615" s="4"/>
      <c r="G615" s="4"/>
      <c r="H615" s="4"/>
      <c r="I615" s="4"/>
      <c r="J615" s="4"/>
      <c r="K615" s="4"/>
      <c r="L615" s="4"/>
      <c r="M615" s="4"/>
      <c r="N615" s="4"/>
      <c r="O615" s="4"/>
      <c r="P615" s="4"/>
      <c r="Q615" s="4"/>
      <c r="R615" s="4"/>
      <c r="S615" s="4"/>
      <c r="T615" s="4"/>
      <c r="U615" s="4"/>
    </row>
    <row r="616" spans="3:21" ht="19" x14ac:dyDescent="0.25">
      <c r="C616" s="4"/>
      <c r="D616" s="4"/>
      <c r="E616" s="4"/>
      <c r="F616" s="4"/>
      <c r="G616" s="4"/>
      <c r="H616" s="4"/>
      <c r="I616" s="4"/>
      <c r="J616" s="4"/>
      <c r="K616" s="4"/>
      <c r="L616" s="4"/>
      <c r="M616" s="4"/>
      <c r="N616" s="4"/>
      <c r="O616" s="4"/>
      <c r="P616" s="4"/>
      <c r="Q616" s="4"/>
      <c r="R616" s="4"/>
      <c r="S616" s="4"/>
      <c r="T616" s="4"/>
      <c r="U616" s="4"/>
    </row>
    <row r="617" spans="3:21" ht="19" x14ac:dyDescent="0.25">
      <c r="C617" s="4"/>
      <c r="D617" s="4"/>
      <c r="E617" s="4"/>
      <c r="F617" s="4"/>
      <c r="G617" s="4"/>
      <c r="H617" s="4"/>
      <c r="I617" s="4"/>
      <c r="J617" s="4"/>
      <c r="K617" s="4"/>
      <c r="L617" s="4"/>
      <c r="M617" s="4"/>
      <c r="N617" s="4"/>
      <c r="O617" s="4"/>
      <c r="P617" s="4"/>
      <c r="Q617" s="4"/>
      <c r="R617" s="4"/>
      <c r="S617" s="4"/>
      <c r="T617" s="4"/>
      <c r="U617" s="4"/>
    </row>
    <row r="618" spans="3:21" ht="19" x14ac:dyDescent="0.25">
      <c r="C618" s="4"/>
      <c r="D618" s="4"/>
      <c r="E618" s="4"/>
      <c r="F618" s="4"/>
      <c r="G618" s="4"/>
      <c r="H618" s="4"/>
      <c r="I618" s="4"/>
      <c r="J618" s="4"/>
      <c r="K618" s="4"/>
      <c r="L618" s="4"/>
      <c r="M618" s="4"/>
      <c r="N618" s="4"/>
      <c r="O618" s="4"/>
      <c r="P618" s="4"/>
      <c r="Q618" s="4"/>
      <c r="R618" s="4"/>
      <c r="S618" s="4"/>
      <c r="T618" s="4"/>
      <c r="U618" s="4"/>
    </row>
    <row r="619" spans="3:21" ht="19" x14ac:dyDescent="0.25">
      <c r="C619" s="4"/>
      <c r="D619" s="4"/>
      <c r="E619" s="4"/>
      <c r="F619" s="4"/>
      <c r="G619" s="4"/>
      <c r="H619" s="4"/>
      <c r="I619" s="4"/>
      <c r="J619" s="4"/>
      <c r="K619" s="4"/>
      <c r="L619" s="4"/>
      <c r="M619" s="4"/>
      <c r="N619" s="4"/>
      <c r="O619" s="4"/>
      <c r="P619" s="4"/>
      <c r="Q619" s="4"/>
      <c r="R619" s="4"/>
      <c r="S619" s="4"/>
      <c r="T619" s="4"/>
      <c r="U619" s="4"/>
    </row>
    <row r="620" spans="3:21" ht="19" x14ac:dyDescent="0.25">
      <c r="C620" s="4"/>
      <c r="D620" s="4"/>
      <c r="E620" s="4"/>
      <c r="F620" s="4"/>
      <c r="G620" s="4"/>
      <c r="H620" s="4"/>
      <c r="I620" s="4"/>
      <c r="J620" s="4"/>
      <c r="K620" s="4"/>
      <c r="L620" s="4"/>
      <c r="M620" s="4"/>
      <c r="N620" s="4"/>
      <c r="O620" s="4"/>
      <c r="P620" s="4"/>
      <c r="Q620" s="4"/>
      <c r="R620" s="4"/>
      <c r="S620" s="4"/>
      <c r="T620" s="4"/>
      <c r="U620" s="4"/>
    </row>
    <row r="621" spans="3:21" ht="19" x14ac:dyDescent="0.25">
      <c r="C621" s="4"/>
      <c r="D621" s="4"/>
      <c r="E621" s="4"/>
      <c r="F621" s="4"/>
      <c r="G621" s="4"/>
      <c r="H621" s="4"/>
      <c r="I621" s="4"/>
      <c r="J621" s="4"/>
      <c r="K621" s="4"/>
      <c r="L621" s="4"/>
      <c r="M621" s="4"/>
      <c r="N621" s="4"/>
      <c r="O621" s="4"/>
      <c r="P621" s="4"/>
      <c r="Q621" s="4"/>
      <c r="R621" s="4"/>
      <c r="S621" s="4"/>
      <c r="T621" s="4"/>
      <c r="U621" s="4"/>
    </row>
    <row r="622" spans="3:21" ht="19" x14ac:dyDescent="0.25">
      <c r="C622" s="4"/>
      <c r="D622" s="4"/>
      <c r="E622" s="4"/>
      <c r="F622" s="4"/>
      <c r="G622" s="4"/>
      <c r="H622" s="4"/>
      <c r="I622" s="4"/>
      <c r="J622" s="4"/>
      <c r="K622" s="4"/>
      <c r="L622" s="4"/>
      <c r="M622" s="4"/>
      <c r="N622" s="4"/>
      <c r="O622" s="4"/>
      <c r="P622" s="4"/>
      <c r="Q622" s="4"/>
      <c r="R622" s="4"/>
      <c r="S622" s="4"/>
      <c r="T622" s="4"/>
      <c r="U622" s="4"/>
    </row>
    <row r="623" spans="3:21" ht="19" x14ac:dyDescent="0.25">
      <c r="C623" s="4"/>
      <c r="D623" s="4"/>
      <c r="E623" s="4"/>
      <c r="F623" s="4"/>
      <c r="G623" s="4"/>
      <c r="H623" s="4"/>
      <c r="I623" s="4"/>
      <c r="J623" s="4"/>
      <c r="K623" s="4"/>
      <c r="L623" s="4"/>
      <c r="M623" s="4"/>
      <c r="N623" s="4"/>
      <c r="O623" s="4"/>
      <c r="P623" s="4"/>
      <c r="Q623" s="4"/>
      <c r="R623" s="4"/>
      <c r="S623" s="4"/>
      <c r="T623" s="4"/>
      <c r="U623" s="4"/>
    </row>
    <row r="624" spans="3:21" ht="19" x14ac:dyDescent="0.25">
      <c r="C624" s="4"/>
      <c r="D624" s="4"/>
      <c r="E624" s="4"/>
      <c r="F624" s="4"/>
      <c r="G624" s="4"/>
      <c r="H624" s="4"/>
      <c r="I624" s="4"/>
      <c r="J624" s="4"/>
      <c r="K624" s="4"/>
      <c r="L624" s="4"/>
      <c r="M624" s="4"/>
      <c r="N624" s="4"/>
      <c r="O624" s="4"/>
      <c r="P624" s="4"/>
      <c r="Q624" s="4"/>
      <c r="R624" s="4"/>
      <c r="S624" s="4"/>
      <c r="T624" s="4"/>
      <c r="U624" s="4"/>
    </row>
    <row r="625" spans="3:21" ht="19" x14ac:dyDescent="0.25">
      <c r="C625" s="4"/>
      <c r="D625" s="4"/>
      <c r="E625" s="4"/>
      <c r="F625" s="4"/>
      <c r="G625" s="4"/>
      <c r="H625" s="4"/>
      <c r="I625" s="4"/>
      <c r="J625" s="4"/>
      <c r="K625" s="4"/>
      <c r="L625" s="4"/>
      <c r="M625" s="4"/>
      <c r="N625" s="4"/>
      <c r="O625" s="4"/>
      <c r="P625" s="4"/>
      <c r="Q625" s="4"/>
      <c r="R625" s="4"/>
      <c r="S625" s="4"/>
      <c r="T625" s="4"/>
      <c r="U625" s="4"/>
    </row>
    <row r="626" spans="3:21" ht="19" x14ac:dyDescent="0.25">
      <c r="C626" s="4"/>
      <c r="D626" s="4"/>
      <c r="E626" s="4"/>
      <c r="F626" s="4"/>
      <c r="G626" s="4"/>
      <c r="H626" s="4"/>
      <c r="I626" s="4"/>
      <c r="J626" s="4"/>
      <c r="K626" s="4"/>
      <c r="L626" s="4"/>
      <c r="M626" s="4"/>
      <c r="N626" s="4"/>
      <c r="O626" s="4"/>
      <c r="P626" s="4"/>
      <c r="Q626" s="4"/>
      <c r="R626" s="4"/>
      <c r="S626" s="4"/>
      <c r="T626" s="4"/>
      <c r="U626" s="4"/>
    </row>
    <row r="627" spans="3:21" ht="19" x14ac:dyDescent="0.25">
      <c r="C627" s="4"/>
      <c r="D627" s="4"/>
      <c r="E627" s="4"/>
      <c r="F627" s="4"/>
      <c r="G627" s="4"/>
      <c r="H627" s="4"/>
      <c r="I627" s="4"/>
      <c r="J627" s="4"/>
      <c r="K627" s="4"/>
      <c r="L627" s="4"/>
      <c r="M627" s="4"/>
      <c r="N627" s="4"/>
      <c r="O627" s="4"/>
      <c r="P627" s="4"/>
      <c r="Q627" s="4"/>
      <c r="R627" s="4"/>
      <c r="S627" s="4"/>
      <c r="T627" s="4"/>
      <c r="U627" s="4"/>
    </row>
    <row r="628" spans="3:21" ht="19" x14ac:dyDescent="0.25">
      <c r="C628" s="4"/>
      <c r="D628" s="4"/>
      <c r="E628" s="4"/>
      <c r="F628" s="4"/>
      <c r="G628" s="4"/>
      <c r="H628" s="4"/>
      <c r="I628" s="4"/>
      <c r="J628" s="4"/>
      <c r="K628" s="4"/>
      <c r="L628" s="4"/>
      <c r="M628" s="4"/>
      <c r="N628" s="4"/>
      <c r="O628" s="4"/>
      <c r="P628" s="4"/>
      <c r="Q628" s="4"/>
      <c r="R628" s="4"/>
      <c r="S628" s="4"/>
      <c r="T628" s="4"/>
      <c r="U628" s="4"/>
    </row>
    <row r="629" spans="3:21" ht="19" x14ac:dyDescent="0.25">
      <c r="C629" s="4"/>
      <c r="D629" s="4"/>
      <c r="E629" s="4"/>
      <c r="F629" s="4"/>
      <c r="G629" s="4"/>
      <c r="H629" s="4"/>
      <c r="I629" s="4"/>
      <c r="J629" s="4"/>
      <c r="K629" s="4"/>
      <c r="L629" s="4"/>
      <c r="M629" s="4"/>
      <c r="N629" s="4"/>
      <c r="O629" s="4"/>
      <c r="P629" s="4"/>
      <c r="Q629" s="4"/>
      <c r="R629" s="4"/>
      <c r="S629" s="4"/>
      <c r="T629" s="4"/>
      <c r="U629" s="4"/>
    </row>
    <row r="630" spans="3:21" ht="19" x14ac:dyDescent="0.25">
      <c r="C630" s="4"/>
      <c r="D630" s="4"/>
      <c r="E630" s="4"/>
      <c r="F630" s="4"/>
      <c r="G630" s="4"/>
      <c r="H630" s="4"/>
      <c r="I630" s="4"/>
      <c r="J630" s="4"/>
      <c r="K630" s="4"/>
      <c r="L630" s="4"/>
      <c r="M630" s="4"/>
      <c r="N630" s="4"/>
      <c r="O630" s="4"/>
      <c r="P630" s="4"/>
      <c r="Q630" s="4"/>
      <c r="R630" s="4"/>
      <c r="S630" s="4"/>
      <c r="T630" s="4"/>
      <c r="U630" s="4"/>
    </row>
    <row r="631" spans="3:21" ht="19" x14ac:dyDescent="0.25">
      <c r="C631" s="4"/>
      <c r="D631" s="4"/>
      <c r="E631" s="4"/>
      <c r="F631" s="4"/>
      <c r="G631" s="4"/>
      <c r="H631" s="4"/>
      <c r="I631" s="4"/>
      <c r="J631" s="4"/>
      <c r="K631" s="4"/>
      <c r="L631" s="4"/>
      <c r="M631" s="4"/>
      <c r="N631" s="4"/>
      <c r="O631" s="4"/>
      <c r="P631" s="4"/>
      <c r="Q631" s="4"/>
      <c r="R631" s="4"/>
      <c r="S631" s="4"/>
      <c r="T631" s="4"/>
      <c r="U631" s="4"/>
    </row>
    <row r="632" spans="3:21" ht="19" x14ac:dyDescent="0.25">
      <c r="C632" s="4"/>
      <c r="D632" s="4"/>
      <c r="E632" s="4"/>
      <c r="F632" s="4"/>
      <c r="G632" s="4"/>
      <c r="H632" s="4"/>
      <c r="I632" s="4"/>
      <c r="J632" s="4"/>
      <c r="K632" s="4"/>
      <c r="L632" s="4"/>
      <c r="M632" s="4"/>
      <c r="N632" s="4"/>
      <c r="O632" s="4"/>
      <c r="P632" s="4"/>
      <c r="Q632" s="4"/>
      <c r="R632" s="4"/>
      <c r="S632" s="4"/>
      <c r="T632" s="4"/>
      <c r="U632" s="4"/>
    </row>
    <row r="633" spans="3:21" ht="19" x14ac:dyDescent="0.25">
      <c r="C633" s="4"/>
      <c r="D633" s="4"/>
      <c r="E633" s="4"/>
      <c r="F633" s="4"/>
      <c r="G633" s="4"/>
      <c r="H633" s="4"/>
      <c r="I633" s="4"/>
      <c r="J633" s="4"/>
      <c r="K633" s="4"/>
      <c r="L633" s="4"/>
      <c r="M633" s="4"/>
      <c r="N633" s="4"/>
      <c r="O633" s="4"/>
      <c r="P633" s="4"/>
      <c r="Q633" s="4"/>
      <c r="R633" s="4"/>
      <c r="S633" s="4"/>
      <c r="T633" s="4"/>
      <c r="U633" s="4"/>
    </row>
    <row r="634" spans="3:21" ht="19" x14ac:dyDescent="0.25">
      <c r="C634" s="4"/>
      <c r="D634" s="4"/>
      <c r="E634" s="4"/>
      <c r="F634" s="4"/>
      <c r="G634" s="4"/>
      <c r="H634" s="4"/>
      <c r="I634" s="4"/>
      <c r="J634" s="4"/>
      <c r="K634" s="4"/>
      <c r="L634" s="4"/>
      <c r="M634" s="4"/>
      <c r="N634" s="4"/>
      <c r="O634" s="4"/>
      <c r="P634" s="4"/>
      <c r="Q634" s="4"/>
      <c r="R634" s="4"/>
      <c r="S634" s="4"/>
      <c r="T634" s="4"/>
      <c r="U634" s="4"/>
    </row>
    <row r="635" spans="3:21" ht="19" x14ac:dyDescent="0.25">
      <c r="C635" s="4"/>
      <c r="D635" s="4"/>
      <c r="E635" s="4"/>
      <c r="F635" s="4"/>
      <c r="G635" s="4"/>
      <c r="H635" s="4"/>
      <c r="I635" s="4"/>
      <c r="J635" s="4"/>
      <c r="K635" s="4"/>
      <c r="L635" s="4"/>
      <c r="M635" s="4"/>
      <c r="N635" s="4"/>
      <c r="O635" s="4"/>
      <c r="P635" s="4"/>
      <c r="Q635" s="4"/>
      <c r="R635" s="4"/>
      <c r="S635" s="4"/>
      <c r="T635" s="4"/>
      <c r="U635" s="4"/>
    </row>
    <row r="636" spans="3:21" ht="19" x14ac:dyDescent="0.25">
      <c r="C636" s="4"/>
      <c r="D636" s="4"/>
      <c r="E636" s="4"/>
      <c r="F636" s="4"/>
      <c r="G636" s="4"/>
      <c r="H636" s="4"/>
      <c r="I636" s="4"/>
      <c r="J636" s="4"/>
      <c r="K636" s="4"/>
      <c r="L636" s="4"/>
      <c r="M636" s="4"/>
      <c r="N636" s="4"/>
      <c r="O636" s="4"/>
      <c r="P636" s="4"/>
      <c r="Q636" s="4"/>
      <c r="R636" s="4"/>
      <c r="S636" s="4"/>
      <c r="T636" s="4"/>
      <c r="U636" s="4"/>
    </row>
    <row r="637" spans="3:21" ht="19" x14ac:dyDescent="0.25">
      <c r="C637" s="4"/>
      <c r="D637" s="4"/>
      <c r="E637" s="4"/>
      <c r="F637" s="4"/>
      <c r="G637" s="4"/>
      <c r="H637" s="4"/>
      <c r="I637" s="4"/>
      <c r="J637" s="4"/>
      <c r="K637" s="4"/>
      <c r="L637" s="4"/>
      <c r="M637" s="4"/>
      <c r="N637" s="4"/>
      <c r="O637" s="4"/>
      <c r="P637" s="4"/>
      <c r="Q637" s="4"/>
      <c r="R637" s="4"/>
      <c r="S637" s="4"/>
      <c r="T637" s="4"/>
      <c r="U637" s="4"/>
    </row>
    <row r="638" spans="3:21" ht="19" x14ac:dyDescent="0.25">
      <c r="C638" s="4"/>
      <c r="D638" s="4"/>
      <c r="E638" s="4"/>
      <c r="F638" s="4"/>
      <c r="G638" s="4"/>
      <c r="H638" s="4"/>
      <c r="I638" s="4"/>
      <c r="J638" s="4"/>
      <c r="K638" s="4"/>
      <c r="L638" s="4"/>
      <c r="M638" s="4"/>
      <c r="N638" s="4"/>
      <c r="O638" s="4"/>
      <c r="P638" s="4"/>
      <c r="Q638" s="4"/>
      <c r="R638" s="4"/>
      <c r="S638" s="4"/>
      <c r="T638" s="4"/>
      <c r="U638" s="4"/>
    </row>
    <row r="639" spans="3:21" ht="19" x14ac:dyDescent="0.25">
      <c r="C639" s="4"/>
      <c r="D639" s="4"/>
      <c r="E639" s="4"/>
      <c r="F639" s="4"/>
      <c r="G639" s="4"/>
      <c r="H639" s="4"/>
      <c r="I639" s="4"/>
      <c r="J639" s="4"/>
      <c r="K639" s="4"/>
      <c r="L639" s="4"/>
      <c r="M639" s="4"/>
      <c r="N639" s="4"/>
      <c r="O639" s="4"/>
      <c r="P639" s="4"/>
      <c r="Q639" s="4"/>
      <c r="R639" s="4"/>
      <c r="S639" s="4"/>
      <c r="T639" s="4"/>
      <c r="U639" s="4"/>
    </row>
    <row r="640" spans="3:21" ht="19" x14ac:dyDescent="0.25">
      <c r="C640" s="4"/>
      <c r="D640" s="4"/>
      <c r="E640" s="4"/>
      <c r="F640" s="4"/>
      <c r="G640" s="4"/>
      <c r="H640" s="4"/>
      <c r="I640" s="4"/>
      <c r="J640" s="4"/>
      <c r="K640" s="4"/>
      <c r="L640" s="4"/>
      <c r="M640" s="4"/>
      <c r="N640" s="4"/>
      <c r="O640" s="4"/>
      <c r="P640" s="4"/>
      <c r="Q640" s="4"/>
      <c r="R640" s="4"/>
      <c r="S640" s="4"/>
      <c r="T640" s="4"/>
      <c r="U640" s="4"/>
    </row>
    <row r="641" spans="3:21" ht="19" x14ac:dyDescent="0.25">
      <c r="C641" s="4"/>
      <c r="D641" s="4"/>
      <c r="E641" s="4"/>
      <c r="F641" s="4"/>
      <c r="G641" s="4"/>
      <c r="H641" s="4"/>
      <c r="I641" s="4"/>
      <c r="J641" s="4"/>
      <c r="K641" s="4"/>
      <c r="L641" s="4"/>
      <c r="M641" s="4"/>
      <c r="N641" s="4"/>
      <c r="O641" s="4"/>
      <c r="P641" s="4"/>
      <c r="Q641" s="4"/>
      <c r="R641" s="4"/>
      <c r="S641" s="4"/>
      <c r="T641" s="4"/>
      <c r="U641" s="4"/>
    </row>
    <row r="642" spans="3:21" ht="19" x14ac:dyDescent="0.25">
      <c r="C642" s="4"/>
      <c r="D642" s="4"/>
      <c r="E642" s="4"/>
      <c r="F642" s="4"/>
      <c r="G642" s="4"/>
      <c r="H642" s="4"/>
      <c r="I642" s="4"/>
      <c r="J642" s="4"/>
      <c r="K642" s="4"/>
      <c r="L642" s="4"/>
      <c r="M642" s="4"/>
      <c r="N642" s="4"/>
      <c r="O642" s="4"/>
      <c r="P642" s="4"/>
      <c r="Q642" s="4"/>
      <c r="R642" s="4"/>
      <c r="S642" s="4"/>
      <c r="T642" s="4"/>
      <c r="U642" s="4"/>
    </row>
    <row r="643" spans="3:21" ht="19" x14ac:dyDescent="0.25">
      <c r="C643" s="4"/>
      <c r="D643" s="4"/>
      <c r="E643" s="4"/>
      <c r="F643" s="4"/>
      <c r="G643" s="4"/>
      <c r="H643" s="4"/>
      <c r="I643" s="4"/>
      <c r="J643" s="4"/>
      <c r="K643" s="4"/>
      <c r="L643" s="4"/>
      <c r="M643" s="4"/>
      <c r="N643" s="4"/>
      <c r="O643" s="4"/>
      <c r="P643" s="4"/>
      <c r="Q643" s="4"/>
      <c r="R643" s="4"/>
      <c r="S643" s="4"/>
      <c r="T643" s="4"/>
      <c r="U643" s="4"/>
    </row>
    <row r="644" spans="3:21" ht="19" x14ac:dyDescent="0.25">
      <c r="C644" s="4"/>
      <c r="D644" s="4"/>
      <c r="E644" s="4"/>
      <c r="F644" s="4"/>
      <c r="G644" s="4"/>
      <c r="H644" s="4"/>
      <c r="I644" s="4"/>
      <c r="J644" s="4"/>
      <c r="K644" s="4"/>
      <c r="L644" s="4"/>
      <c r="M644" s="4"/>
      <c r="N644" s="4"/>
      <c r="O644" s="4"/>
      <c r="P644" s="4"/>
      <c r="Q644" s="4"/>
      <c r="R644" s="4"/>
      <c r="S644" s="4"/>
      <c r="T644" s="4"/>
      <c r="U644" s="4"/>
    </row>
    <row r="645" spans="3:21" ht="19" x14ac:dyDescent="0.25">
      <c r="C645" s="4"/>
      <c r="D645" s="4"/>
      <c r="E645" s="4"/>
      <c r="F645" s="4"/>
      <c r="G645" s="4"/>
      <c r="H645" s="4"/>
      <c r="I645" s="4"/>
      <c r="J645" s="4"/>
      <c r="K645" s="4"/>
      <c r="L645" s="4"/>
      <c r="M645" s="4"/>
      <c r="N645" s="4"/>
      <c r="O645" s="4"/>
      <c r="P645" s="4"/>
      <c r="Q645" s="4"/>
      <c r="R645" s="4"/>
      <c r="S645" s="4"/>
      <c r="T645" s="4"/>
      <c r="U645" s="4"/>
    </row>
    <row r="646" spans="3:21" ht="19" x14ac:dyDescent="0.25">
      <c r="C646" s="4"/>
      <c r="D646" s="4"/>
      <c r="E646" s="4"/>
      <c r="F646" s="4"/>
      <c r="G646" s="4"/>
      <c r="H646" s="4"/>
      <c r="I646" s="4"/>
      <c r="J646" s="4"/>
      <c r="K646" s="4"/>
      <c r="L646" s="4"/>
      <c r="M646" s="4"/>
      <c r="N646" s="4"/>
      <c r="O646" s="4"/>
      <c r="P646" s="4"/>
      <c r="Q646" s="4"/>
      <c r="R646" s="4"/>
      <c r="S646" s="4"/>
      <c r="T646" s="4"/>
      <c r="U646" s="4"/>
    </row>
    <row r="647" spans="3:21" ht="19" x14ac:dyDescent="0.25">
      <c r="C647" s="4"/>
      <c r="D647" s="4"/>
      <c r="E647" s="4"/>
      <c r="F647" s="4"/>
      <c r="G647" s="4"/>
      <c r="H647" s="4"/>
      <c r="I647" s="4"/>
      <c r="J647" s="4"/>
      <c r="K647" s="4"/>
      <c r="L647" s="4"/>
      <c r="M647" s="4"/>
      <c r="N647" s="4"/>
      <c r="O647" s="4"/>
      <c r="P647" s="4"/>
      <c r="Q647" s="4"/>
      <c r="R647" s="4"/>
      <c r="S647" s="4"/>
      <c r="T647" s="4"/>
      <c r="U647" s="4"/>
    </row>
    <row r="648" spans="3:21" ht="19" x14ac:dyDescent="0.25">
      <c r="C648" s="4"/>
      <c r="D648" s="4"/>
      <c r="E648" s="4"/>
      <c r="F648" s="4"/>
      <c r="G648" s="4"/>
      <c r="H648" s="4"/>
      <c r="I648" s="4"/>
      <c r="J648" s="4"/>
      <c r="K648" s="4"/>
      <c r="L648" s="4"/>
      <c r="M648" s="4"/>
      <c r="N648" s="4"/>
      <c r="O648" s="4"/>
      <c r="P648" s="4"/>
      <c r="Q648" s="4"/>
      <c r="R648" s="4"/>
      <c r="S648" s="4"/>
      <c r="T648" s="4"/>
      <c r="U648" s="4"/>
    </row>
    <row r="649" spans="3:21" ht="19" x14ac:dyDescent="0.25">
      <c r="C649" s="4"/>
      <c r="D649" s="4"/>
      <c r="E649" s="4"/>
      <c r="F649" s="4"/>
      <c r="G649" s="4"/>
      <c r="H649" s="4"/>
      <c r="I649" s="4"/>
      <c r="J649" s="4"/>
      <c r="K649" s="4"/>
      <c r="L649" s="4"/>
      <c r="M649" s="4"/>
      <c r="N649" s="4"/>
      <c r="O649" s="4"/>
      <c r="P649" s="4"/>
      <c r="Q649" s="4"/>
      <c r="R649" s="4"/>
      <c r="S649" s="4"/>
      <c r="T649" s="4"/>
      <c r="U649" s="4"/>
    </row>
    <row r="650" spans="3:21" ht="19" x14ac:dyDescent="0.25">
      <c r="C650" s="4"/>
      <c r="D650" s="4"/>
      <c r="E650" s="4"/>
      <c r="F650" s="4"/>
      <c r="G650" s="4"/>
      <c r="H650" s="4"/>
      <c r="I650" s="4"/>
      <c r="J650" s="4"/>
      <c r="K650" s="4"/>
      <c r="L650" s="4"/>
      <c r="M650" s="4"/>
      <c r="N650" s="4"/>
      <c r="O650" s="4"/>
      <c r="P650" s="4"/>
      <c r="Q650" s="4"/>
      <c r="R650" s="4"/>
      <c r="S650" s="4"/>
      <c r="T650" s="4"/>
      <c r="U650" s="4"/>
    </row>
    <row r="651" spans="3:21" ht="19" x14ac:dyDescent="0.25">
      <c r="C651" s="4"/>
      <c r="D651" s="4"/>
      <c r="E651" s="4"/>
      <c r="F651" s="4"/>
      <c r="G651" s="4"/>
      <c r="H651" s="4"/>
      <c r="I651" s="4"/>
      <c r="J651" s="4"/>
      <c r="K651" s="4"/>
      <c r="L651" s="4"/>
      <c r="M651" s="4"/>
      <c r="N651" s="4"/>
      <c r="O651" s="4"/>
      <c r="P651" s="4"/>
      <c r="Q651" s="4"/>
      <c r="R651" s="4"/>
      <c r="S651" s="4"/>
      <c r="T651" s="4"/>
      <c r="U651" s="4"/>
    </row>
    <row r="652" spans="3:21" ht="19" x14ac:dyDescent="0.25">
      <c r="C652" s="4"/>
      <c r="D652" s="4"/>
      <c r="E652" s="4"/>
      <c r="F652" s="4"/>
      <c r="G652" s="4"/>
      <c r="H652" s="4"/>
      <c r="I652" s="4"/>
      <c r="J652" s="4"/>
      <c r="K652" s="4"/>
      <c r="L652" s="4"/>
      <c r="M652" s="4"/>
      <c r="N652" s="4"/>
      <c r="O652" s="4"/>
      <c r="P652" s="4"/>
      <c r="Q652" s="4"/>
      <c r="R652" s="4"/>
      <c r="S652" s="4"/>
      <c r="T652" s="4"/>
      <c r="U652" s="4"/>
    </row>
    <row r="653" spans="3:21" ht="19" x14ac:dyDescent="0.25">
      <c r="C653" s="4"/>
      <c r="D653" s="4"/>
      <c r="E653" s="4"/>
      <c r="F653" s="4"/>
      <c r="G653" s="4"/>
      <c r="H653" s="4"/>
      <c r="I653" s="4"/>
      <c r="J653" s="4"/>
      <c r="K653" s="4"/>
      <c r="L653" s="4"/>
      <c r="M653" s="4"/>
      <c r="N653" s="4"/>
      <c r="O653" s="4"/>
      <c r="P653" s="4"/>
      <c r="Q653" s="4"/>
      <c r="R653" s="4"/>
      <c r="S653" s="4"/>
      <c r="T653" s="4"/>
      <c r="U653" s="4"/>
    </row>
    <row r="654" spans="3:21" ht="19" x14ac:dyDescent="0.25">
      <c r="C654" s="4"/>
      <c r="D654" s="4"/>
      <c r="E654" s="4"/>
      <c r="F654" s="4"/>
      <c r="G654" s="4"/>
      <c r="H654" s="4"/>
      <c r="I654" s="4"/>
      <c r="J654" s="4"/>
      <c r="K654" s="4"/>
      <c r="L654" s="4"/>
      <c r="M654" s="4"/>
      <c r="N654" s="4"/>
      <c r="O654" s="4"/>
      <c r="P654" s="4"/>
      <c r="Q654" s="4"/>
      <c r="R654" s="4"/>
      <c r="S654" s="4"/>
      <c r="T654" s="4"/>
      <c r="U654" s="4"/>
    </row>
    <row r="655" spans="3:21" ht="19" x14ac:dyDescent="0.25">
      <c r="C655" s="4"/>
      <c r="D655" s="4"/>
      <c r="E655" s="4"/>
      <c r="F655" s="4"/>
      <c r="G655" s="4"/>
      <c r="H655" s="4"/>
      <c r="I655" s="4"/>
      <c r="J655" s="4"/>
      <c r="K655" s="4"/>
      <c r="L655" s="4"/>
      <c r="M655" s="4"/>
      <c r="N655" s="4"/>
      <c r="O655" s="4"/>
      <c r="P655" s="4"/>
      <c r="Q655" s="4"/>
      <c r="R655" s="4"/>
      <c r="S655" s="4"/>
      <c r="T655" s="4"/>
      <c r="U655" s="4"/>
    </row>
    <row r="656" spans="3:21" ht="19" x14ac:dyDescent="0.25">
      <c r="C656" s="4"/>
      <c r="D656" s="4"/>
      <c r="E656" s="4"/>
      <c r="F656" s="4"/>
      <c r="G656" s="4"/>
      <c r="H656" s="4"/>
      <c r="I656" s="4"/>
      <c r="J656" s="4"/>
      <c r="K656" s="4"/>
      <c r="L656" s="4"/>
      <c r="M656" s="4"/>
      <c r="N656" s="4"/>
      <c r="O656" s="4"/>
      <c r="P656" s="4"/>
      <c r="Q656" s="4"/>
      <c r="R656" s="4"/>
      <c r="S656" s="4"/>
      <c r="T656" s="4"/>
      <c r="U656" s="4"/>
    </row>
    <row r="657" spans="3:21" ht="19" x14ac:dyDescent="0.25">
      <c r="C657" s="4"/>
      <c r="D657" s="4"/>
      <c r="E657" s="4"/>
      <c r="F657" s="4"/>
      <c r="G657" s="4"/>
      <c r="H657" s="4"/>
      <c r="I657" s="4"/>
      <c r="J657" s="4"/>
      <c r="K657" s="4"/>
      <c r="L657" s="4"/>
      <c r="M657" s="4"/>
      <c r="N657" s="4"/>
      <c r="O657" s="4"/>
      <c r="P657" s="4"/>
      <c r="Q657" s="4"/>
      <c r="R657" s="4"/>
      <c r="S657" s="4"/>
      <c r="T657" s="4"/>
      <c r="U657" s="4"/>
    </row>
    <row r="658" spans="3:21" ht="19" x14ac:dyDescent="0.25">
      <c r="C658" s="4"/>
      <c r="D658" s="4"/>
      <c r="E658" s="4"/>
      <c r="F658" s="4"/>
      <c r="G658" s="4"/>
      <c r="H658" s="4"/>
      <c r="I658" s="4"/>
      <c r="J658" s="4"/>
      <c r="K658" s="4"/>
      <c r="L658" s="4"/>
      <c r="M658" s="4"/>
      <c r="N658" s="4"/>
      <c r="O658" s="4"/>
      <c r="P658" s="4"/>
      <c r="Q658" s="4"/>
      <c r="R658" s="4"/>
      <c r="S658" s="4"/>
      <c r="T658" s="4"/>
      <c r="U658" s="4"/>
    </row>
    <row r="659" spans="3:21" ht="19" x14ac:dyDescent="0.25">
      <c r="C659" s="4"/>
      <c r="D659" s="4"/>
      <c r="E659" s="4"/>
      <c r="F659" s="4"/>
      <c r="G659" s="4"/>
      <c r="H659" s="4"/>
      <c r="I659" s="4"/>
      <c r="J659" s="4"/>
      <c r="K659" s="4"/>
      <c r="L659" s="4"/>
      <c r="M659" s="4"/>
      <c r="N659" s="4"/>
      <c r="O659" s="4"/>
      <c r="P659" s="4"/>
      <c r="Q659" s="4"/>
      <c r="R659" s="4"/>
      <c r="S659" s="4"/>
      <c r="T659" s="4"/>
      <c r="U659" s="4"/>
    </row>
    <row r="660" spans="3:21" ht="19" x14ac:dyDescent="0.25">
      <c r="C660" s="4"/>
      <c r="D660" s="4"/>
      <c r="E660" s="4"/>
      <c r="F660" s="4"/>
      <c r="G660" s="4"/>
      <c r="H660" s="4"/>
      <c r="I660" s="4"/>
      <c r="J660" s="4"/>
      <c r="K660" s="4"/>
      <c r="L660" s="4"/>
      <c r="M660" s="4"/>
      <c r="N660" s="4"/>
      <c r="O660" s="4"/>
      <c r="P660" s="4"/>
      <c r="Q660" s="4"/>
      <c r="R660" s="4"/>
      <c r="S660" s="4"/>
      <c r="T660" s="4"/>
      <c r="U660" s="4"/>
    </row>
    <row r="661" spans="3:21" ht="19" x14ac:dyDescent="0.25">
      <c r="C661" s="4"/>
      <c r="D661" s="4"/>
      <c r="E661" s="4"/>
      <c r="F661" s="4"/>
      <c r="G661" s="4"/>
      <c r="H661" s="4"/>
      <c r="I661" s="4"/>
      <c r="J661" s="4"/>
      <c r="K661" s="4"/>
      <c r="L661" s="4"/>
      <c r="M661" s="4"/>
      <c r="N661" s="4"/>
      <c r="O661" s="4"/>
      <c r="P661" s="4"/>
      <c r="Q661" s="4"/>
      <c r="R661" s="4"/>
      <c r="S661" s="4"/>
      <c r="T661" s="4"/>
      <c r="U661" s="4"/>
    </row>
    <row r="662" spans="3:21" ht="19" x14ac:dyDescent="0.25">
      <c r="C662" s="4"/>
      <c r="D662" s="4"/>
      <c r="E662" s="4"/>
      <c r="F662" s="4"/>
      <c r="G662" s="4"/>
      <c r="H662" s="4"/>
      <c r="I662" s="4"/>
      <c r="J662" s="4"/>
      <c r="K662" s="4"/>
      <c r="L662" s="4"/>
      <c r="M662" s="4"/>
      <c r="N662" s="4"/>
      <c r="O662" s="4"/>
      <c r="P662" s="4"/>
      <c r="Q662" s="4"/>
      <c r="R662" s="4"/>
      <c r="S662" s="4"/>
      <c r="T662" s="4"/>
      <c r="U662" s="4"/>
    </row>
    <row r="663" spans="3:21" ht="19" x14ac:dyDescent="0.25">
      <c r="C663" s="4"/>
      <c r="D663" s="4"/>
      <c r="E663" s="4"/>
      <c r="F663" s="4"/>
      <c r="G663" s="4"/>
      <c r="H663" s="4"/>
      <c r="I663" s="4"/>
      <c r="J663" s="4"/>
      <c r="K663" s="4"/>
      <c r="L663" s="4"/>
      <c r="M663" s="4"/>
      <c r="N663" s="4"/>
      <c r="O663" s="4"/>
      <c r="P663" s="4"/>
      <c r="Q663" s="4"/>
      <c r="R663" s="4"/>
      <c r="S663" s="4"/>
      <c r="T663" s="4"/>
      <c r="U663" s="4"/>
    </row>
    <row r="664" spans="3:21" ht="19" x14ac:dyDescent="0.25">
      <c r="C664" s="4"/>
      <c r="D664" s="4"/>
      <c r="E664" s="4"/>
      <c r="F664" s="4"/>
      <c r="G664" s="4"/>
      <c r="H664" s="4"/>
      <c r="I664" s="4"/>
      <c r="J664" s="4"/>
      <c r="K664" s="4"/>
      <c r="L664" s="4"/>
      <c r="M664" s="4"/>
      <c r="N664" s="4"/>
      <c r="O664" s="4"/>
      <c r="P664" s="4"/>
      <c r="Q664" s="4"/>
      <c r="R664" s="4"/>
      <c r="S664" s="4"/>
      <c r="T664" s="4"/>
      <c r="U664" s="4"/>
    </row>
    <row r="665" spans="3:21" ht="19" x14ac:dyDescent="0.25">
      <c r="C665" s="4"/>
      <c r="D665" s="4"/>
      <c r="E665" s="4"/>
      <c r="F665" s="4"/>
      <c r="G665" s="4"/>
      <c r="H665" s="4"/>
      <c r="I665" s="4"/>
      <c r="J665" s="4"/>
      <c r="K665" s="4"/>
      <c r="L665" s="4"/>
      <c r="M665" s="4"/>
      <c r="N665" s="4"/>
      <c r="O665" s="4"/>
      <c r="P665" s="4"/>
      <c r="Q665" s="4"/>
      <c r="R665" s="4"/>
      <c r="S665" s="4"/>
      <c r="T665" s="4"/>
      <c r="U665" s="4"/>
    </row>
    <row r="666" spans="3:21" ht="19" x14ac:dyDescent="0.25">
      <c r="C666" s="4"/>
      <c r="D666" s="4"/>
      <c r="E666" s="4"/>
      <c r="F666" s="4"/>
      <c r="G666" s="4"/>
      <c r="H666" s="4"/>
      <c r="I666" s="4"/>
      <c r="J666" s="4"/>
      <c r="K666" s="4"/>
      <c r="L666" s="4"/>
      <c r="M666" s="4"/>
      <c r="N666" s="4"/>
      <c r="O666" s="4"/>
      <c r="P666" s="4"/>
      <c r="Q666" s="4"/>
      <c r="R666" s="4"/>
      <c r="S666" s="4"/>
      <c r="T666" s="4"/>
      <c r="U666" s="4"/>
    </row>
    <row r="667" spans="3:21" ht="19" x14ac:dyDescent="0.25">
      <c r="C667" s="4"/>
      <c r="D667" s="4"/>
      <c r="E667" s="4"/>
      <c r="F667" s="4"/>
      <c r="G667" s="4"/>
      <c r="H667" s="4"/>
      <c r="I667" s="4"/>
      <c r="J667" s="4"/>
      <c r="K667" s="4"/>
      <c r="L667" s="4"/>
      <c r="M667" s="4"/>
      <c r="N667" s="4"/>
      <c r="O667" s="4"/>
      <c r="P667" s="4"/>
      <c r="Q667" s="4"/>
      <c r="R667" s="4"/>
      <c r="S667" s="4"/>
      <c r="T667" s="4"/>
      <c r="U667" s="4"/>
    </row>
    <row r="668" spans="3:21" ht="19" x14ac:dyDescent="0.25">
      <c r="C668" s="4"/>
      <c r="D668" s="4"/>
      <c r="E668" s="4"/>
      <c r="F668" s="4"/>
      <c r="G668" s="4"/>
      <c r="H668" s="4"/>
      <c r="I668" s="4"/>
      <c r="J668" s="4"/>
      <c r="K668" s="4"/>
      <c r="L668" s="4"/>
      <c r="M668" s="4"/>
      <c r="N668" s="4"/>
      <c r="O668" s="4"/>
      <c r="P668" s="4"/>
      <c r="Q668" s="4"/>
      <c r="R668" s="4"/>
      <c r="S668" s="4"/>
      <c r="T668" s="4"/>
      <c r="U668" s="4"/>
    </row>
    <row r="669" spans="3:21" ht="19" x14ac:dyDescent="0.25">
      <c r="C669" s="4"/>
      <c r="D669" s="4"/>
      <c r="E669" s="4"/>
      <c r="F669" s="4"/>
      <c r="G669" s="4"/>
      <c r="H669" s="4"/>
      <c r="I669" s="4"/>
      <c r="J669" s="4"/>
      <c r="K669" s="4"/>
      <c r="L669" s="4"/>
      <c r="M669" s="4"/>
      <c r="N669" s="4"/>
      <c r="O669" s="4"/>
      <c r="P669" s="4"/>
      <c r="Q669" s="4"/>
      <c r="R669" s="4"/>
      <c r="S669" s="4"/>
      <c r="T669" s="4"/>
      <c r="U669" s="4"/>
    </row>
    <row r="670" spans="3:21" ht="19" x14ac:dyDescent="0.25">
      <c r="C670" s="4"/>
      <c r="D670" s="4"/>
      <c r="E670" s="4"/>
      <c r="F670" s="4"/>
      <c r="G670" s="4"/>
      <c r="H670" s="4"/>
      <c r="I670" s="4"/>
      <c r="J670" s="4"/>
      <c r="K670" s="4"/>
      <c r="L670" s="4"/>
      <c r="M670" s="4"/>
      <c r="N670" s="4"/>
      <c r="O670" s="4"/>
      <c r="P670" s="4"/>
      <c r="Q670" s="4"/>
      <c r="R670" s="4"/>
      <c r="S670" s="4"/>
      <c r="T670" s="4"/>
      <c r="U670" s="4"/>
    </row>
    <row r="671" spans="3:21" ht="19" x14ac:dyDescent="0.25">
      <c r="C671" s="4"/>
      <c r="D671" s="4"/>
      <c r="E671" s="4"/>
      <c r="F671" s="4"/>
      <c r="G671" s="4"/>
      <c r="H671" s="4"/>
      <c r="I671" s="4"/>
      <c r="J671" s="4"/>
      <c r="K671" s="4"/>
      <c r="L671" s="4"/>
      <c r="M671" s="4"/>
      <c r="N671" s="4"/>
      <c r="O671" s="4"/>
      <c r="P671" s="4"/>
      <c r="Q671" s="4"/>
      <c r="R671" s="4"/>
      <c r="S671" s="4"/>
      <c r="T671" s="4"/>
      <c r="U671" s="4"/>
    </row>
    <row r="672" spans="3:21" ht="19" x14ac:dyDescent="0.25">
      <c r="C672" s="4"/>
      <c r="D672" s="4"/>
      <c r="E672" s="4"/>
      <c r="F672" s="4"/>
      <c r="G672" s="4"/>
      <c r="H672" s="4"/>
      <c r="I672" s="4"/>
      <c r="J672" s="4"/>
      <c r="K672" s="4"/>
      <c r="L672" s="4"/>
      <c r="M672" s="4"/>
      <c r="N672" s="4"/>
      <c r="O672" s="4"/>
      <c r="P672" s="4"/>
      <c r="Q672" s="4"/>
      <c r="R672" s="4"/>
      <c r="S672" s="4"/>
      <c r="T672" s="4"/>
      <c r="U672" s="4"/>
    </row>
    <row r="673" spans="3:21" ht="19" x14ac:dyDescent="0.25">
      <c r="C673" s="4"/>
      <c r="D673" s="4"/>
      <c r="E673" s="4"/>
      <c r="F673" s="4"/>
      <c r="G673" s="4"/>
      <c r="H673" s="4"/>
      <c r="I673" s="4"/>
      <c r="J673" s="4"/>
      <c r="K673" s="4"/>
      <c r="L673" s="4"/>
      <c r="M673" s="4"/>
      <c r="N673" s="4"/>
      <c r="O673" s="4"/>
      <c r="P673" s="4"/>
      <c r="Q673" s="4"/>
      <c r="R673" s="4"/>
      <c r="S673" s="4"/>
      <c r="T673" s="4"/>
      <c r="U673" s="4"/>
    </row>
    <row r="674" spans="3:21" ht="19" x14ac:dyDescent="0.25">
      <c r="C674" s="4"/>
      <c r="D674" s="4"/>
      <c r="E674" s="4"/>
      <c r="F674" s="4"/>
      <c r="G674" s="4"/>
      <c r="H674" s="4"/>
      <c r="I674" s="4"/>
      <c r="J674" s="4"/>
      <c r="K674" s="4"/>
      <c r="L674" s="4"/>
      <c r="M674" s="4"/>
      <c r="N674" s="4"/>
      <c r="O674" s="4"/>
      <c r="P674" s="4"/>
      <c r="Q674" s="4"/>
      <c r="R674" s="4"/>
      <c r="S674" s="4"/>
      <c r="T674" s="4"/>
      <c r="U674" s="4"/>
    </row>
    <row r="675" spans="3:21" ht="19" x14ac:dyDescent="0.25">
      <c r="C675" s="4"/>
      <c r="D675" s="4"/>
      <c r="E675" s="4"/>
      <c r="F675" s="4"/>
      <c r="G675" s="4"/>
      <c r="H675" s="4"/>
      <c r="I675" s="4"/>
      <c r="J675" s="4"/>
      <c r="K675" s="4"/>
      <c r="L675" s="4"/>
      <c r="M675" s="4"/>
      <c r="N675" s="4"/>
      <c r="O675" s="4"/>
      <c r="P675" s="4"/>
      <c r="Q675" s="4"/>
      <c r="R675" s="4"/>
      <c r="S675" s="4"/>
      <c r="T675" s="4"/>
      <c r="U675" s="4"/>
    </row>
    <row r="676" spans="3:21" ht="19" x14ac:dyDescent="0.25">
      <c r="C676" s="4"/>
      <c r="D676" s="4"/>
      <c r="E676" s="4"/>
      <c r="F676" s="4"/>
      <c r="G676" s="4"/>
      <c r="H676" s="4"/>
      <c r="I676" s="4"/>
      <c r="J676" s="4"/>
      <c r="K676" s="4"/>
      <c r="L676" s="4"/>
      <c r="M676" s="4"/>
      <c r="N676" s="4"/>
      <c r="O676" s="4"/>
      <c r="P676" s="4"/>
      <c r="Q676" s="4"/>
      <c r="R676" s="4"/>
      <c r="S676" s="4"/>
      <c r="T676" s="4"/>
      <c r="U676" s="4"/>
    </row>
    <row r="677" spans="3:21" ht="19" x14ac:dyDescent="0.25">
      <c r="C677" s="4"/>
      <c r="D677" s="4"/>
      <c r="E677" s="4"/>
      <c r="F677" s="4"/>
      <c r="G677" s="4"/>
      <c r="H677" s="4"/>
      <c r="I677" s="4"/>
      <c r="J677" s="4"/>
      <c r="K677" s="4"/>
      <c r="L677" s="4"/>
      <c r="M677" s="4"/>
      <c r="N677" s="4"/>
      <c r="O677" s="4"/>
      <c r="P677" s="4"/>
      <c r="Q677" s="4"/>
      <c r="R677" s="4"/>
      <c r="S677" s="4"/>
      <c r="T677" s="4"/>
      <c r="U677" s="4"/>
    </row>
    <row r="678" spans="3:21" ht="19" x14ac:dyDescent="0.25">
      <c r="C678" s="4"/>
      <c r="D678" s="4"/>
      <c r="E678" s="4"/>
      <c r="F678" s="4"/>
      <c r="G678" s="4"/>
      <c r="H678" s="4"/>
      <c r="I678" s="4"/>
      <c r="J678" s="4"/>
      <c r="K678" s="4"/>
      <c r="L678" s="4"/>
      <c r="M678" s="4"/>
      <c r="N678" s="4"/>
      <c r="O678" s="4"/>
      <c r="P678" s="4"/>
      <c r="Q678" s="4"/>
      <c r="R678" s="4"/>
      <c r="S678" s="4"/>
      <c r="T678" s="4"/>
      <c r="U678" s="4"/>
    </row>
    <row r="679" spans="3:21" ht="19" x14ac:dyDescent="0.25">
      <c r="C679" s="4"/>
      <c r="D679" s="4"/>
      <c r="E679" s="4"/>
      <c r="F679" s="4"/>
      <c r="G679" s="4"/>
      <c r="H679" s="4"/>
      <c r="I679" s="4"/>
      <c r="J679" s="4"/>
      <c r="K679" s="4"/>
      <c r="L679" s="4"/>
      <c r="M679" s="4"/>
      <c r="N679" s="4"/>
      <c r="O679" s="4"/>
      <c r="P679" s="4"/>
      <c r="Q679" s="4"/>
      <c r="R679" s="4"/>
      <c r="S679" s="4"/>
      <c r="T679" s="4"/>
      <c r="U679" s="4"/>
    </row>
    <row r="680" spans="3:21" ht="19" x14ac:dyDescent="0.25">
      <c r="C680" s="4"/>
      <c r="D680" s="4"/>
      <c r="E680" s="4"/>
      <c r="F680" s="4"/>
      <c r="G680" s="4"/>
      <c r="H680" s="4"/>
      <c r="I680" s="4"/>
      <c r="J680" s="4"/>
      <c r="K680" s="4"/>
      <c r="L680" s="4"/>
      <c r="M680" s="4"/>
      <c r="N680" s="4"/>
      <c r="O680" s="4"/>
      <c r="P680" s="4"/>
      <c r="Q680" s="4"/>
      <c r="R680" s="4"/>
      <c r="S680" s="4"/>
      <c r="T680" s="4"/>
      <c r="U680" s="4"/>
    </row>
    <row r="681" spans="3:21" ht="19" x14ac:dyDescent="0.25">
      <c r="C681" s="4"/>
      <c r="D681" s="4"/>
      <c r="E681" s="4"/>
      <c r="F681" s="4"/>
      <c r="G681" s="4"/>
      <c r="H681" s="4"/>
      <c r="I681" s="4"/>
      <c r="J681" s="4"/>
      <c r="K681" s="4"/>
      <c r="L681" s="4"/>
      <c r="M681" s="4"/>
      <c r="N681" s="4"/>
      <c r="O681" s="4"/>
      <c r="P681" s="4"/>
      <c r="Q681" s="4"/>
      <c r="R681" s="4"/>
      <c r="S681" s="4"/>
      <c r="T681" s="4"/>
      <c r="U681" s="4"/>
    </row>
    <row r="682" spans="3:21" ht="19" x14ac:dyDescent="0.25">
      <c r="C682" s="4"/>
      <c r="D682" s="4"/>
      <c r="E682" s="4"/>
      <c r="F682" s="4"/>
      <c r="G682" s="4"/>
      <c r="H682" s="4"/>
      <c r="I682" s="4"/>
      <c r="J682" s="4"/>
      <c r="K682" s="4"/>
      <c r="L682" s="4"/>
      <c r="M682" s="4"/>
      <c r="N682" s="4"/>
      <c r="O682" s="4"/>
      <c r="P682" s="4"/>
      <c r="Q682" s="4"/>
      <c r="R682" s="4"/>
      <c r="S682" s="4"/>
      <c r="T682" s="4"/>
      <c r="U682" s="4"/>
    </row>
    <row r="683" spans="3:21" ht="19" x14ac:dyDescent="0.25">
      <c r="C683" s="4"/>
      <c r="D683" s="4"/>
      <c r="E683" s="4"/>
      <c r="F683" s="4"/>
      <c r="G683" s="4"/>
      <c r="H683" s="4"/>
      <c r="I683" s="4"/>
      <c r="J683" s="4"/>
      <c r="K683" s="4"/>
      <c r="L683" s="4"/>
      <c r="M683" s="4"/>
      <c r="N683" s="4"/>
      <c r="O683" s="4"/>
      <c r="P683" s="4"/>
      <c r="Q683" s="4"/>
      <c r="R683" s="4"/>
      <c r="S683" s="4"/>
      <c r="T683" s="4"/>
      <c r="U683" s="4"/>
    </row>
    <row r="684" spans="3:21" ht="19" x14ac:dyDescent="0.25">
      <c r="C684" s="4"/>
      <c r="D684" s="4"/>
      <c r="E684" s="4"/>
      <c r="F684" s="4"/>
      <c r="G684" s="4"/>
      <c r="H684" s="4"/>
      <c r="I684" s="4"/>
      <c r="J684" s="4"/>
      <c r="K684" s="4"/>
      <c r="L684" s="4"/>
      <c r="M684" s="4"/>
      <c r="N684" s="4"/>
      <c r="O684" s="4"/>
      <c r="P684" s="4"/>
      <c r="Q684" s="4"/>
      <c r="R684" s="4"/>
      <c r="S684" s="4"/>
      <c r="T684" s="4"/>
      <c r="U684" s="4"/>
    </row>
    <row r="685" spans="3:21" ht="19" x14ac:dyDescent="0.25">
      <c r="C685" s="4"/>
      <c r="D685" s="4"/>
      <c r="E685" s="4"/>
      <c r="F685" s="4"/>
      <c r="G685" s="4"/>
      <c r="H685" s="4"/>
      <c r="I685" s="4"/>
      <c r="J685" s="4"/>
      <c r="K685" s="4"/>
      <c r="L685" s="4"/>
      <c r="M685" s="4"/>
      <c r="N685" s="4"/>
      <c r="O685" s="4"/>
      <c r="P685" s="4"/>
      <c r="Q685" s="4"/>
      <c r="R685" s="4"/>
      <c r="S685" s="4"/>
      <c r="T685" s="4"/>
      <c r="U685" s="4"/>
    </row>
    <row r="686" spans="3:21" ht="19" x14ac:dyDescent="0.25">
      <c r="C686" s="4"/>
      <c r="D686" s="4"/>
      <c r="E686" s="4"/>
      <c r="F686" s="4"/>
      <c r="G686" s="4"/>
      <c r="H686" s="4"/>
      <c r="I686" s="4"/>
      <c r="J686" s="4"/>
      <c r="K686" s="4"/>
      <c r="L686" s="4"/>
      <c r="M686" s="4"/>
      <c r="N686" s="4"/>
      <c r="O686" s="4"/>
      <c r="P686" s="4"/>
      <c r="Q686" s="4"/>
      <c r="R686" s="4"/>
      <c r="S686" s="4"/>
      <c r="T686" s="4"/>
      <c r="U686" s="4"/>
    </row>
    <row r="687" spans="3:21" ht="19" x14ac:dyDescent="0.25">
      <c r="C687" s="4"/>
      <c r="D687" s="4"/>
      <c r="E687" s="4"/>
      <c r="F687" s="4"/>
      <c r="G687" s="4"/>
      <c r="H687" s="4"/>
      <c r="I687" s="4"/>
      <c r="J687" s="4"/>
      <c r="K687" s="4"/>
      <c r="L687" s="4"/>
      <c r="M687" s="4"/>
      <c r="N687" s="4"/>
      <c r="O687" s="4"/>
      <c r="P687" s="4"/>
      <c r="Q687" s="4"/>
      <c r="R687" s="4"/>
      <c r="S687" s="4"/>
      <c r="T687" s="4"/>
      <c r="U687" s="4"/>
    </row>
    <row r="688" spans="3:21" ht="19" x14ac:dyDescent="0.25">
      <c r="C688" s="4"/>
      <c r="D688" s="4"/>
      <c r="E688" s="4"/>
      <c r="F688" s="4"/>
      <c r="G688" s="4"/>
      <c r="H688" s="4"/>
      <c r="I688" s="4"/>
      <c r="J688" s="4"/>
      <c r="K688" s="4"/>
      <c r="L688" s="4"/>
      <c r="M688" s="4"/>
      <c r="N688" s="4"/>
      <c r="O688" s="4"/>
      <c r="P688" s="4"/>
      <c r="Q688" s="4"/>
      <c r="R688" s="4"/>
      <c r="S688" s="4"/>
      <c r="T688" s="4"/>
      <c r="U688" s="4"/>
    </row>
    <row r="689" spans="3:21" ht="19" x14ac:dyDescent="0.25">
      <c r="C689" s="4"/>
      <c r="D689" s="4"/>
      <c r="E689" s="4"/>
      <c r="F689" s="4"/>
      <c r="G689" s="4"/>
      <c r="H689" s="4"/>
      <c r="I689" s="4"/>
      <c r="J689" s="4"/>
      <c r="K689" s="4"/>
      <c r="L689" s="4"/>
      <c r="M689" s="4"/>
      <c r="N689" s="4"/>
      <c r="O689" s="4"/>
      <c r="P689" s="4"/>
      <c r="Q689" s="4"/>
      <c r="R689" s="4"/>
      <c r="S689" s="4"/>
      <c r="T689" s="4"/>
      <c r="U689" s="4"/>
    </row>
    <row r="690" spans="3:21" ht="19" x14ac:dyDescent="0.25">
      <c r="C690" s="4"/>
      <c r="D690" s="4"/>
      <c r="E690" s="4"/>
      <c r="F690" s="4"/>
      <c r="G690" s="4"/>
      <c r="H690" s="4"/>
      <c r="I690" s="4"/>
      <c r="J690" s="4"/>
      <c r="K690" s="4"/>
      <c r="L690" s="4"/>
      <c r="M690" s="4"/>
      <c r="N690" s="4"/>
      <c r="O690" s="4"/>
      <c r="P690" s="4"/>
      <c r="Q690" s="4"/>
      <c r="R690" s="4"/>
      <c r="S690" s="4"/>
      <c r="T690" s="4"/>
      <c r="U690" s="4"/>
    </row>
    <row r="691" spans="3:21" ht="19" x14ac:dyDescent="0.25">
      <c r="C691" s="4"/>
      <c r="D691" s="4"/>
      <c r="E691" s="4"/>
      <c r="F691" s="4"/>
      <c r="G691" s="4"/>
      <c r="H691" s="4"/>
      <c r="I691" s="4"/>
      <c r="J691" s="4"/>
      <c r="K691" s="4"/>
      <c r="L691" s="4"/>
      <c r="M691" s="4"/>
      <c r="N691" s="4"/>
      <c r="O691" s="4"/>
      <c r="P691" s="4"/>
      <c r="Q691" s="4"/>
      <c r="R691" s="4"/>
      <c r="S691" s="4"/>
      <c r="T691" s="4"/>
      <c r="U691" s="4"/>
    </row>
    <row r="692" spans="3:21" ht="19" x14ac:dyDescent="0.25">
      <c r="C692" s="4"/>
      <c r="D692" s="4"/>
      <c r="E692" s="4"/>
      <c r="F692" s="4"/>
      <c r="G692" s="4"/>
      <c r="H692" s="4"/>
      <c r="I692" s="4"/>
      <c r="J692" s="4"/>
      <c r="K692" s="4"/>
      <c r="L692" s="4"/>
      <c r="M692" s="4"/>
      <c r="N692" s="4"/>
      <c r="O692" s="4"/>
      <c r="P692" s="4"/>
      <c r="Q692" s="4"/>
      <c r="R692" s="4"/>
      <c r="S692" s="4"/>
      <c r="T692" s="4"/>
      <c r="U692" s="4"/>
    </row>
    <row r="693" spans="3:21" ht="19" x14ac:dyDescent="0.25">
      <c r="C693" s="4"/>
      <c r="D693" s="4"/>
      <c r="E693" s="4"/>
      <c r="F693" s="4"/>
      <c r="G693" s="4"/>
      <c r="H693" s="4"/>
      <c r="I693" s="4"/>
      <c r="J693" s="4"/>
      <c r="K693" s="4"/>
      <c r="L693" s="4"/>
      <c r="M693" s="4"/>
      <c r="N693" s="4"/>
      <c r="O693" s="4"/>
      <c r="P693" s="4"/>
      <c r="Q693" s="4"/>
      <c r="R693" s="4"/>
      <c r="S693" s="4"/>
      <c r="T693" s="4"/>
      <c r="U693" s="4"/>
    </row>
    <row r="694" spans="3:21" ht="19" x14ac:dyDescent="0.25">
      <c r="C694" s="4"/>
      <c r="D694" s="4"/>
      <c r="E694" s="4"/>
      <c r="F694" s="4"/>
      <c r="G694" s="4"/>
      <c r="H694" s="4"/>
      <c r="I694" s="4"/>
      <c r="J694" s="4"/>
      <c r="K694" s="4"/>
      <c r="L694" s="4"/>
      <c r="M694" s="4"/>
      <c r="N694" s="4"/>
      <c r="O694" s="4"/>
      <c r="P694" s="4"/>
      <c r="Q694" s="4"/>
      <c r="R694" s="4"/>
      <c r="S694" s="4"/>
      <c r="T694" s="4"/>
      <c r="U694" s="4"/>
    </row>
    <row r="695" spans="3:21" ht="19" x14ac:dyDescent="0.25">
      <c r="C695" s="4"/>
      <c r="D695" s="4"/>
      <c r="E695" s="4"/>
      <c r="F695" s="4"/>
      <c r="G695" s="4"/>
      <c r="H695" s="4"/>
      <c r="I695" s="4"/>
      <c r="J695" s="4"/>
      <c r="K695" s="4"/>
      <c r="L695" s="4"/>
      <c r="M695" s="4"/>
      <c r="N695" s="4"/>
      <c r="O695" s="4"/>
      <c r="P695" s="4"/>
      <c r="Q695" s="4"/>
      <c r="R695" s="4"/>
      <c r="S695" s="4"/>
      <c r="T695" s="4"/>
      <c r="U695" s="4"/>
    </row>
    <row r="696" spans="3:21" ht="19" x14ac:dyDescent="0.25">
      <c r="C696" s="4"/>
      <c r="D696" s="4"/>
      <c r="E696" s="4"/>
      <c r="F696" s="4"/>
      <c r="G696" s="4"/>
      <c r="H696" s="4"/>
      <c r="I696" s="4"/>
      <c r="J696" s="4"/>
      <c r="K696" s="4"/>
      <c r="L696" s="4"/>
      <c r="M696" s="4"/>
      <c r="N696" s="4"/>
      <c r="O696" s="4"/>
      <c r="P696" s="4"/>
      <c r="Q696" s="4"/>
      <c r="R696" s="4"/>
      <c r="S696" s="4"/>
      <c r="T696" s="4"/>
      <c r="U696" s="4"/>
    </row>
    <row r="697" spans="3:21" ht="19" x14ac:dyDescent="0.25">
      <c r="C697" s="4"/>
      <c r="D697" s="4"/>
      <c r="E697" s="4"/>
      <c r="F697" s="4"/>
      <c r="G697" s="4"/>
      <c r="H697" s="4"/>
      <c r="I697" s="4"/>
      <c r="J697" s="4"/>
      <c r="K697" s="4"/>
      <c r="L697" s="4"/>
      <c r="M697" s="4"/>
      <c r="N697" s="4"/>
      <c r="O697" s="4"/>
      <c r="P697" s="4"/>
      <c r="Q697" s="4"/>
      <c r="R697" s="4"/>
      <c r="S697" s="4"/>
      <c r="T697" s="4"/>
      <c r="U697" s="4"/>
    </row>
    <row r="698" spans="3:21" ht="19" x14ac:dyDescent="0.25">
      <c r="C698" s="4"/>
      <c r="D698" s="4"/>
      <c r="E698" s="4"/>
      <c r="F698" s="4"/>
      <c r="G698" s="4"/>
      <c r="H698" s="4"/>
      <c r="I698" s="4"/>
      <c r="J698" s="4"/>
      <c r="K698" s="4"/>
      <c r="L698" s="4"/>
      <c r="M698" s="4"/>
      <c r="N698" s="4"/>
      <c r="O698" s="4"/>
      <c r="P698" s="4"/>
      <c r="Q698" s="4"/>
      <c r="R698" s="4"/>
      <c r="S698" s="4"/>
      <c r="T698" s="4"/>
      <c r="U698" s="4"/>
    </row>
    <row r="699" spans="3:21" ht="19" x14ac:dyDescent="0.25">
      <c r="C699" s="4"/>
      <c r="D699" s="4"/>
      <c r="E699" s="4"/>
      <c r="F699" s="4"/>
      <c r="G699" s="4"/>
      <c r="H699" s="4"/>
      <c r="I699" s="4"/>
      <c r="J699" s="4"/>
      <c r="K699" s="4"/>
      <c r="L699" s="4"/>
      <c r="M699" s="4"/>
      <c r="N699" s="4"/>
      <c r="O699" s="4"/>
      <c r="P699" s="4"/>
      <c r="Q699" s="4"/>
      <c r="R699" s="4"/>
      <c r="S699" s="4"/>
      <c r="T699" s="4"/>
      <c r="U699" s="4"/>
    </row>
    <row r="700" spans="3:21" ht="19" x14ac:dyDescent="0.25">
      <c r="C700" s="4"/>
      <c r="D700" s="4"/>
      <c r="E700" s="4"/>
      <c r="F700" s="4"/>
      <c r="G700" s="4"/>
      <c r="H700" s="4"/>
      <c r="I700" s="4"/>
      <c r="J700" s="4"/>
      <c r="K700" s="4"/>
      <c r="L700" s="4"/>
      <c r="M700" s="4"/>
      <c r="N700" s="4"/>
      <c r="O700" s="4"/>
      <c r="P700" s="4"/>
      <c r="Q700" s="4"/>
      <c r="R700" s="4"/>
      <c r="S700" s="4"/>
      <c r="T700" s="4"/>
      <c r="U700" s="4"/>
    </row>
    <row r="701" spans="3:21" ht="19" x14ac:dyDescent="0.25">
      <c r="C701" s="4"/>
      <c r="D701" s="4"/>
      <c r="E701" s="4"/>
      <c r="F701" s="4"/>
      <c r="G701" s="4"/>
      <c r="H701" s="4"/>
      <c r="I701" s="4"/>
      <c r="J701" s="4"/>
      <c r="K701" s="4"/>
      <c r="L701" s="4"/>
      <c r="M701" s="4"/>
      <c r="N701" s="4"/>
      <c r="O701" s="4"/>
      <c r="P701" s="4"/>
      <c r="Q701" s="4"/>
      <c r="R701" s="4"/>
      <c r="S701" s="4"/>
      <c r="T701" s="4"/>
      <c r="U701" s="4"/>
    </row>
    <row r="702" spans="3:21" ht="19" x14ac:dyDescent="0.25">
      <c r="C702" s="4"/>
      <c r="D702" s="4"/>
      <c r="E702" s="4"/>
      <c r="F702" s="4"/>
      <c r="G702" s="4"/>
      <c r="H702" s="4"/>
      <c r="I702" s="4"/>
      <c r="J702" s="4"/>
      <c r="K702" s="4"/>
      <c r="L702" s="4"/>
      <c r="M702" s="4"/>
      <c r="N702" s="4"/>
      <c r="O702" s="4"/>
      <c r="P702" s="4"/>
      <c r="Q702" s="4"/>
      <c r="R702" s="4"/>
      <c r="S702" s="4"/>
      <c r="T702" s="4"/>
      <c r="U702" s="4"/>
    </row>
    <row r="703" spans="3:21" ht="19" x14ac:dyDescent="0.25">
      <c r="C703" s="4"/>
      <c r="D703" s="4"/>
      <c r="E703" s="4"/>
      <c r="F703" s="4"/>
      <c r="G703" s="4"/>
      <c r="H703" s="4"/>
      <c r="I703" s="4"/>
      <c r="J703" s="4"/>
      <c r="K703" s="4"/>
      <c r="L703" s="4"/>
      <c r="M703" s="4"/>
      <c r="N703" s="4"/>
      <c r="O703" s="4"/>
      <c r="P703" s="4"/>
      <c r="Q703" s="4"/>
      <c r="R703" s="4"/>
      <c r="S703" s="4"/>
      <c r="T703" s="4"/>
      <c r="U703" s="4"/>
    </row>
    <row r="704" spans="3:21" ht="19" x14ac:dyDescent="0.25">
      <c r="C704" s="4"/>
      <c r="D704" s="4"/>
      <c r="E704" s="4"/>
      <c r="F704" s="4"/>
      <c r="G704" s="4"/>
      <c r="H704" s="4"/>
      <c r="I704" s="4"/>
      <c r="J704" s="4"/>
      <c r="K704" s="4"/>
      <c r="L704" s="4"/>
      <c r="M704" s="4"/>
      <c r="N704" s="4"/>
      <c r="O704" s="4"/>
      <c r="P704" s="4"/>
      <c r="Q704" s="4"/>
      <c r="R704" s="4"/>
      <c r="S704" s="4"/>
      <c r="T704" s="4"/>
      <c r="U704" s="4"/>
    </row>
    <row r="705" spans="3:21" ht="19" x14ac:dyDescent="0.25">
      <c r="C705" s="4"/>
      <c r="D705" s="4"/>
      <c r="E705" s="4"/>
      <c r="F705" s="4"/>
      <c r="G705" s="4"/>
      <c r="H705" s="4"/>
      <c r="I705" s="4"/>
      <c r="J705" s="4"/>
      <c r="K705" s="4"/>
      <c r="L705" s="4"/>
      <c r="M705" s="4"/>
      <c r="N705" s="4"/>
      <c r="O705" s="4"/>
      <c r="P705" s="4"/>
      <c r="Q705" s="4"/>
      <c r="R705" s="4"/>
      <c r="S705" s="4"/>
      <c r="T705" s="4"/>
      <c r="U705" s="4"/>
    </row>
    <row r="706" spans="3:21" ht="19" x14ac:dyDescent="0.25">
      <c r="C706" s="4"/>
      <c r="D706" s="4"/>
      <c r="E706" s="4"/>
      <c r="F706" s="4"/>
      <c r="G706" s="4"/>
      <c r="H706" s="4"/>
      <c r="I706" s="4"/>
      <c r="J706" s="4"/>
      <c r="K706" s="4"/>
      <c r="L706" s="4"/>
      <c r="M706" s="4"/>
      <c r="N706" s="4"/>
      <c r="O706" s="4"/>
      <c r="P706" s="4"/>
      <c r="Q706" s="4"/>
      <c r="R706" s="4"/>
      <c r="S706" s="4"/>
      <c r="T706" s="4"/>
      <c r="U706" s="4"/>
    </row>
    <row r="707" spans="3:21" ht="19" x14ac:dyDescent="0.25">
      <c r="C707" s="4"/>
      <c r="D707" s="4"/>
      <c r="E707" s="4"/>
      <c r="F707" s="4"/>
      <c r="G707" s="4"/>
      <c r="H707" s="4"/>
      <c r="I707" s="4"/>
      <c r="J707" s="4"/>
      <c r="K707" s="4"/>
      <c r="L707" s="4"/>
      <c r="M707" s="4"/>
      <c r="N707" s="4"/>
      <c r="O707" s="4"/>
      <c r="P707" s="4"/>
      <c r="Q707" s="4"/>
      <c r="R707" s="4"/>
      <c r="S707" s="4"/>
      <c r="T707" s="4"/>
      <c r="U707" s="4"/>
    </row>
    <row r="708" spans="3:21" ht="19" x14ac:dyDescent="0.25">
      <c r="C708" s="4"/>
      <c r="D708" s="4"/>
      <c r="E708" s="4"/>
      <c r="F708" s="4"/>
      <c r="G708" s="4"/>
      <c r="H708" s="4"/>
      <c r="I708" s="4"/>
      <c r="J708" s="4"/>
      <c r="K708" s="4"/>
      <c r="L708" s="4"/>
      <c r="M708" s="4"/>
      <c r="N708" s="4"/>
      <c r="O708" s="4"/>
      <c r="P708" s="4"/>
      <c r="Q708" s="4"/>
      <c r="R708" s="4"/>
      <c r="S708" s="4"/>
      <c r="T708" s="4"/>
      <c r="U708" s="4"/>
    </row>
    <row r="709" spans="3:21" ht="19" x14ac:dyDescent="0.25">
      <c r="C709" s="4"/>
      <c r="D709" s="4"/>
      <c r="E709" s="4"/>
      <c r="F709" s="4"/>
      <c r="G709" s="4"/>
      <c r="H709" s="4"/>
      <c r="I709" s="4"/>
      <c r="J709" s="4"/>
      <c r="K709" s="4"/>
      <c r="L709" s="4"/>
      <c r="M709" s="4"/>
      <c r="N709" s="4"/>
      <c r="O709" s="4"/>
      <c r="P709" s="4"/>
      <c r="Q709" s="4"/>
      <c r="R709" s="4"/>
      <c r="S709" s="4"/>
      <c r="T709" s="4"/>
      <c r="U709" s="4"/>
    </row>
    <row r="710" spans="3:21" ht="19" x14ac:dyDescent="0.25">
      <c r="C710" s="4"/>
      <c r="D710" s="4"/>
      <c r="E710" s="4"/>
      <c r="F710" s="4"/>
      <c r="G710" s="4"/>
      <c r="H710" s="4"/>
      <c r="I710" s="4"/>
      <c r="J710" s="4"/>
      <c r="K710" s="4"/>
      <c r="L710" s="4"/>
      <c r="M710" s="4"/>
      <c r="N710" s="4"/>
      <c r="O710" s="4"/>
      <c r="P710" s="4"/>
      <c r="Q710" s="4"/>
      <c r="R710" s="4"/>
      <c r="S710" s="4"/>
      <c r="T710" s="4"/>
      <c r="U710" s="4"/>
    </row>
    <row r="711" spans="3:21" ht="19" x14ac:dyDescent="0.25">
      <c r="C711" s="4"/>
      <c r="D711" s="4"/>
      <c r="E711" s="4"/>
      <c r="F711" s="4"/>
      <c r="G711" s="4"/>
      <c r="H711" s="4"/>
      <c r="I711" s="4"/>
      <c r="J711" s="4"/>
      <c r="K711" s="4"/>
      <c r="L711" s="4"/>
      <c r="M711" s="4"/>
      <c r="N711" s="4"/>
      <c r="O711" s="4"/>
      <c r="P711" s="4"/>
      <c r="Q711" s="4"/>
      <c r="R711" s="4"/>
      <c r="S711" s="4"/>
      <c r="T711" s="4"/>
      <c r="U711" s="4"/>
    </row>
    <row r="712" spans="3:21" ht="19" x14ac:dyDescent="0.25">
      <c r="C712" s="4"/>
      <c r="D712" s="4"/>
      <c r="E712" s="4"/>
      <c r="F712" s="4"/>
      <c r="G712" s="4"/>
      <c r="H712" s="4"/>
      <c r="I712" s="4"/>
      <c r="J712" s="4"/>
      <c r="K712" s="4"/>
      <c r="L712" s="4"/>
      <c r="M712" s="4"/>
      <c r="N712" s="4"/>
      <c r="O712" s="4"/>
      <c r="P712" s="4"/>
      <c r="Q712" s="4"/>
      <c r="R712" s="4"/>
      <c r="S712" s="4"/>
      <c r="T712" s="4"/>
      <c r="U712" s="4"/>
    </row>
    <row r="713" spans="3:21" ht="19" x14ac:dyDescent="0.25">
      <c r="C713" s="4"/>
      <c r="D713" s="4"/>
      <c r="E713" s="4"/>
      <c r="F713" s="4"/>
      <c r="G713" s="4"/>
      <c r="H713" s="4"/>
      <c r="I713" s="4"/>
      <c r="J713" s="4"/>
      <c r="K713" s="4"/>
      <c r="L713" s="4"/>
      <c r="M713" s="4"/>
      <c r="N713" s="4"/>
      <c r="O713" s="4"/>
      <c r="P713" s="4"/>
      <c r="Q713" s="4"/>
      <c r="R713" s="4"/>
      <c r="S713" s="4"/>
      <c r="T713" s="4"/>
      <c r="U713" s="4"/>
    </row>
    <row r="714" spans="3:21" ht="19" x14ac:dyDescent="0.25">
      <c r="C714" s="4"/>
      <c r="D714" s="4"/>
      <c r="E714" s="4"/>
      <c r="F714" s="4"/>
      <c r="G714" s="4"/>
      <c r="H714" s="4"/>
      <c r="I714" s="4"/>
      <c r="J714" s="4"/>
      <c r="K714" s="4"/>
      <c r="L714" s="4"/>
      <c r="M714" s="4"/>
      <c r="N714" s="4"/>
      <c r="O714" s="4"/>
      <c r="P714" s="4"/>
      <c r="Q714" s="4"/>
      <c r="R714" s="4"/>
      <c r="S714" s="4"/>
      <c r="T714" s="4"/>
      <c r="U714" s="4"/>
    </row>
    <row r="715" spans="3:21" ht="19" x14ac:dyDescent="0.25">
      <c r="C715" s="4"/>
      <c r="D715" s="4"/>
      <c r="E715" s="4"/>
      <c r="F715" s="4"/>
      <c r="G715" s="4"/>
      <c r="H715" s="4"/>
      <c r="I715" s="4"/>
      <c r="J715" s="4"/>
      <c r="K715" s="4"/>
      <c r="L715" s="4"/>
      <c r="M715" s="4"/>
      <c r="N715" s="4"/>
      <c r="O715" s="4"/>
      <c r="P715" s="4"/>
      <c r="Q715" s="4"/>
      <c r="R715" s="4"/>
      <c r="S715" s="4"/>
      <c r="T715" s="4"/>
      <c r="U715" s="4"/>
    </row>
    <row r="716" spans="3:21" ht="19" x14ac:dyDescent="0.25">
      <c r="C716" s="4"/>
      <c r="D716" s="4"/>
      <c r="E716" s="4"/>
      <c r="F716" s="4"/>
      <c r="G716" s="4"/>
      <c r="H716" s="4"/>
      <c r="I716" s="4"/>
      <c r="J716" s="4"/>
      <c r="K716" s="4"/>
      <c r="L716" s="4"/>
      <c r="M716" s="4"/>
      <c r="N716" s="4"/>
      <c r="O716" s="4"/>
      <c r="P716" s="4"/>
      <c r="Q716" s="4"/>
      <c r="R716" s="4"/>
      <c r="S716" s="4"/>
      <c r="T716" s="4"/>
      <c r="U716" s="4"/>
    </row>
    <row r="717" spans="3:21" ht="19" x14ac:dyDescent="0.25">
      <c r="C717" s="4"/>
      <c r="D717" s="4"/>
      <c r="E717" s="4"/>
      <c r="F717" s="4"/>
      <c r="G717" s="4"/>
      <c r="H717" s="4"/>
      <c r="I717" s="4"/>
      <c r="J717" s="4"/>
      <c r="K717" s="4"/>
      <c r="L717" s="4"/>
      <c r="M717" s="4"/>
      <c r="N717" s="4"/>
      <c r="O717" s="4"/>
      <c r="P717" s="4"/>
      <c r="Q717" s="4"/>
      <c r="R717" s="4"/>
      <c r="S717" s="4"/>
      <c r="T717" s="4"/>
      <c r="U717" s="4"/>
    </row>
    <row r="718" spans="3:21" ht="19" x14ac:dyDescent="0.25">
      <c r="C718" s="4"/>
      <c r="D718" s="4"/>
      <c r="E718" s="4"/>
      <c r="F718" s="4"/>
      <c r="G718" s="4"/>
      <c r="H718" s="4"/>
      <c r="I718" s="4"/>
      <c r="J718" s="4"/>
      <c r="K718" s="4"/>
      <c r="L718" s="4"/>
      <c r="M718" s="4"/>
      <c r="N718" s="4"/>
      <c r="O718" s="4"/>
      <c r="P718" s="4"/>
      <c r="Q718" s="4"/>
      <c r="R718" s="4"/>
      <c r="S718" s="4"/>
      <c r="T718" s="4"/>
      <c r="U718" s="4"/>
    </row>
    <row r="719" spans="3:21" ht="19" x14ac:dyDescent="0.25">
      <c r="C719" s="4"/>
      <c r="D719" s="4"/>
      <c r="E719" s="4"/>
      <c r="F719" s="4"/>
      <c r="G719" s="4"/>
      <c r="H719" s="4"/>
      <c r="I719" s="4"/>
      <c r="J719" s="4"/>
      <c r="K719" s="4"/>
      <c r="L719" s="4"/>
      <c r="M719" s="4"/>
      <c r="N719" s="4"/>
      <c r="O719" s="4"/>
      <c r="P719" s="4"/>
      <c r="Q719" s="4"/>
      <c r="R719" s="4"/>
      <c r="S719" s="4"/>
      <c r="T719" s="4"/>
      <c r="U719" s="4"/>
    </row>
    <row r="720" spans="3:21" ht="19" x14ac:dyDescent="0.25">
      <c r="C720" s="4"/>
      <c r="D720" s="4"/>
      <c r="E720" s="4"/>
      <c r="F720" s="4"/>
      <c r="G720" s="4"/>
      <c r="H720" s="4"/>
      <c r="I720" s="4"/>
      <c r="J720" s="4"/>
      <c r="K720" s="4"/>
      <c r="L720" s="4"/>
      <c r="M720" s="4"/>
      <c r="N720" s="4"/>
      <c r="O720" s="4"/>
      <c r="P720" s="4"/>
      <c r="Q720" s="4"/>
      <c r="R720" s="4"/>
      <c r="S720" s="4"/>
      <c r="T720" s="4"/>
      <c r="U720" s="4"/>
    </row>
    <row r="721" spans="3:21" ht="19" x14ac:dyDescent="0.25">
      <c r="C721" s="4"/>
      <c r="D721" s="4"/>
      <c r="E721" s="4"/>
      <c r="F721" s="4"/>
      <c r="G721" s="4"/>
      <c r="H721" s="4"/>
      <c r="I721" s="4"/>
      <c r="J721" s="4"/>
      <c r="K721" s="4"/>
      <c r="L721" s="4"/>
      <c r="M721" s="4"/>
      <c r="N721" s="4"/>
      <c r="O721" s="4"/>
      <c r="P721" s="4"/>
      <c r="Q721" s="4"/>
      <c r="R721" s="4"/>
      <c r="S721" s="4"/>
      <c r="T721" s="4"/>
      <c r="U721" s="4"/>
    </row>
    <row r="722" spans="3:21" ht="19" x14ac:dyDescent="0.25">
      <c r="C722" s="4"/>
      <c r="D722" s="4"/>
      <c r="E722" s="4"/>
      <c r="F722" s="4"/>
      <c r="G722" s="4"/>
      <c r="H722" s="4"/>
      <c r="I722" s="4"/>
      <c r="J722" s="4"/>
      <c r="K722" s="4"/>
      <c r="L722" s="4"/>
      <c r="M722" s="4"/>
      <c r="N722" s="4"/>
      <c r="O722" s="4"/>
      <c r="P722" s="4"/>
      <c r="Q722" s="4"/>
      <c r="R722" s="4"/>
      <c r="S722" s="4"/>
      <c r="T722" s="4"/>
      <c r="U722" s="4"/>
    </row>
    <row r="723" spans="3:21" ht="19" x14ac:dyDescent="0.25">
      <c r="C723" s="4"/>
      <c r="D723" s="4"/>
      <c r="E723" s="4"/>
      <c r="F723" s="4"/>
      <c r="G723" s="4"/>
      <c r="H723" s="4"/>
      <c r="I723" s="4"/>
      <c r="J723" s="4"/>
      <c r="K723" s="4"/>
      <c r="L723" s="4"/>
      <c r="M723" s="4"/>
      <c r="N723" s="4"/>
      <c r="O723" s="4"/>
      <c r="P723" s="4"/>
      <c r="Q723" s="4"/>
      <c r="R723" s="4"/>
      <c r="S723" s="4"/>
      <c r="T723" s="4"/>
      <c r="U723" s="4"/>
    </row>
    <row r="724" spans="3:21" ht="19" x14ac:dyDescent="0.25">
      <c r="C724" s="4"/>
      <c r="D724" s="4"/>
      <c r="E724" s="4"/>
      <c r="F724" s="4"/>
      <c r="G724" s="4"/>
      <c r="H724" s="4"/>
      <c r="I724" s="4"/>
      <c r="J724" s="4"/>
      <c r="K724" s="4"/>
      <c r="L724" s="4"/>
      <c r="M724" s="4"/>
      <c r="N724" s="4"/>
      <c r="O724" s="4"/>
      <c r="P724" s="4"/>
      <c r="Q724" s="4"/>
      <c r="R724" s="4"/>
      <c r="S724" s="4"/>
      <c r="T724" s="4"/>
      <c r="U724" s="4"/>
    </row>
    <row r="725" spans="3:21" ht="19" x14ac:dyDescent="0.25">
      <c r="C725" s="4"/>
      <c r="D725" s="4"/>
      <c r="E725" s="4"/>
      <c r="F725" s="4"/>
      <c r="G725" s="4"/>
      <c r="H725" s="4"/>
      <c r="I725" s="4"/>
      <c r="J725" s="4"/>
      <c r="K725" s="4"/>
      <c r="L725" s="4"/>
      <c r="M725" s="4"/>
      <c r="N725" s="4"/>
      <c r="O725" s="4"/>
      <c r="P725" s="4"/>
      <c r="Q725" s="4"/>
      <c r="R725" s="4"/>
      <c r="S725" s="4"/>
      <c r="T725" s="4"/>
      <c r="U725" s="4"/>
    </row>
    <row r="726" spans="3:21" ht="19" x14ac:dyDescent="0.25">
      <c r="C726" s="4"/>
      <c r="D726" s="4"/>
      <c r="E726" s="4"/>
      <c r="F726" s="4"/>
      <c r="G726" s="4"/>
      <c r="H726" s="4"/>
      <c r="I726" s="4"/>
      <c r="J726" s="4"/>
      <c r="K726" s="4"/>
      <c r="L726" s="4"/>
      <c r="M726" s="4"/>
      <c r="N726" s="4"/>
      <c r="O726" s="4"/>
      <c r="P726" s="4"/>
      <c r="Q726" s="4"/>
      <c r="R726" s="4"/>
      <c r="S726" s="4"/>
      <c r="T726" s="4"/>
      <c r="U726" s="4"/>
    </row>
    <row r="727" spans="3:21" ht="19" x14ac:dyDescent="0.25">
      <c r="C727" s="4"/>
      <c r="D727" s="4"/>
      <c r="E727" s="4"/>
      <c r="F727" s="4"/>
      <c r="G727" s="4"/>
      <c r="H727" s="4"/>
      <c r="I727" s="4"/>
      <c r="J727" s="4"/>
      <c r="K727" s="4"/>
      <c r="L727" s="4"/>
      <c r="M727" s="4"/>
      <c r="N727" s="4"/>
      <c r="O727" s="4"/>
      <c r="P727" s="4"/>
      <c r="Q727" s="4"/>
      <c r="R727" s="4"/>
      <c r="S727" s="4"/>
      <c r="T727" s="4"/>
      <c r="U727" s="4"/>
    </row>
    <row r="728" spans="3:21" ht="19" x14ac:dyDescent="0.25">
      <c r="C728" s="4"/>
      <c r="D728" s="4"/>
      <c r="E728" s="4"/>
      <c r="F728" s="4"/>
      <c r="G728" s="4"/>
      <c r="H728" s="4"/>
      <c r="I728" s="4"/>
      <c r="J728" s="4"/>
      <c r="K728" s="4"/>
      <c r="L728" s="4"/>
      <c r="M728" s="4"/>
      <c r="N728" s="4"/>
      <c r="O728" s="4"/>
      <c r="P728" s="4"/>
      <c r="Q728" s="4"/>
      <c r="R728" s="4"/>
      <c r="S728" s="4"/>
      <c r="T728" s="4"/>
      <c r="U728" s="4"/>
    </row>
    <row r="729" spans="3:21" ht="19" x14ac:dyDescent="0.25">
      <c r="C729" s="4"/>
      <c r="D729" s="4"/>
      <c r="E729" s="4"/>
      <c r="F729" s="4"/>
      <c r="G729" s="4"/>
      <c r="H729" s="4"/>
      <c r="I729" s="4"/>
      <c r="J729" s="4"/>
      <c r="K729" s="4"/>
      <c r="L729" s="4"/>
      <c r="M729" s="4"/>
      <c r="N729" s="4"/>
      <c r="O729" s="4"/>
      <c r="P729" s="4"/>
      <c r="Q729" s="4"/>
      <c r="R729" s="4"/>
      <c r="S729" s="4"/>
      <c r="T729" s="4"/>
      <c r="U729" s="4"/>
    </row>
    <row r="730" spans="3:21" ht="19" x14ac:dyDescent="0.25">
      <c r="C730" s="4"/>
      <c r="D730" s="4"/>
      <c r="E730" s="4"/>
      <c r="F730" s="4"/>
      <c r="G730" s="4"/>
      <c r="H730" s="4"/>
      <c r="I730" s="4"/>
      <c r="J730" s="4"/>
      <c r="K730" s="4"/>
      <c r="L730" s="4"/>
      <c r="M730" s="4"/>
      <c r="N730" s="4"/>
      <c r="O730" s="4"/>
      <c r="P730" s="4"/>
      <c r="Q730" s="4"/>
      <c r="R730" s="4"/>
      <c r="S730" s="4"/>
      <c r="T730" s="4"/>
      <c r="U730" s="4"/>
    </row>
    <row r="731" spans="3:21" ht="19" x14ac:dyDescent="0.25">
      <c r="C731" s="4"/>
      <c r="D731" s="4"/>
      <c r="E731" s="4"/>
      <c r="F731" s="4"/>
      <c r="G731" s="4"/>
      <c r="H731" s="4"/>
      <c r="I731" s="4"/>
      <c r="J731" s="4"/>
      <c r="K731" s="4"/>
      <c r="L731" s="4"/>
      <c r="M731" s="4"/>
      <c r="N731" s="4"/>
      <c r="O731" s="4"/>
      <c r="P731" s="4"/>
      <c r="Q731" s="4"/>
      <c r="R731" s="4"/>
      <c r="S731" s="4"/>
      <c r="T731" s="4"/>
      <c r="U731" s="4"/>
    </row>
    <row r="732" spans="3:21" ht="19" x14ac:dyDescent="0.25">
      <c r="C732" s="4"/>
      <c r="D732" s="4"/>
      <c r="E732" s="4"/>
      <c r="F732" s="4"/>
      <c r="G732" s="4"/>
      <c r="H732" s="4"/>
      <c r="I732" s="4"/>
      <c r="J732" s="4"/>
      <c r="K732" s="4"/>
      <c r="L732" s="4"/>
      <c r="M732" s="4"/>
      <c r="N732" s="4"/>
      <c r="O732" s="4"/>
      <c r="P732" s="4"/>
      <c r="Q732" s="4"/>
      <c r="R732" s="4"/>
      <c r="S732" s="4"/>
      <c r="T732" s="4"/>
      <c r="U732" s="4"/>
    </row>
    <row r="733" spans="3:21" ht="19" x14ac:dyDescent="0.25">
      <c r="C733" s="4"/>
      <c r="D733" s="4"/>
      <c r="E733" s="4"/>
      <c r="F733" s="4"/>
      <c r="G733" s="4"/>
      <c r="H733" s="4"/>
      <c r="I733" s="4"/>
      <c r="J733" s="4"/>
      <c r="K733" s="4"/>
      <c r="L733" s="4"/>
      <c r="M733" s="4"/>
      <c r="N733" s="4"/>
      <c r="O733" s="4"/>
      <c r="P733" s="4"/>
      <c r="Q733" s="4"/>
      <c r="R733" s="4"/>
      <c r="S733" s="4"/>
      <c r="T733" s="4"/>
      <c r="U733" s="4"/>
    </row>
    <row r="734" spans="3:21" ht="19" x14ac:dyDescent="0.25">
      <c r="C734" s="4"/>
      <c r="D734" s="4"/>
      <c r="E734" s="4"/>
      <c r="F734" s="4"/>
      <c r="G734" s="4"/>
      <c r="H734" s="4"/>
      <c r="I734" s="4"/>
      <c r="J734" s="4"/>
      <c r="K734" s="4"/>
      <c r="L734" s="4"/>
      <c r="M734" s="4"/>
      <c r="N734" s="4"/>
      <c r="O734" s="4"/>
      <c r="P734" s="4"/>
      <c r="Q734" s="4"/>
      <c r="R734" s="4"/>
      <c r="S734" s="4"/>
      <c r="T734" s="4"/>
      <c r="U734" s="4"/>
    </row>
    <row r="735" spans="3:21" ht="19" x14ac:dyDescent="0.25">
      <c r="C735" s="4"/>
      <c r="D735" s="4"/>
      <c r="E735" s="4"/>
      <c r="F735" s="4"/>
      <c r="G735" s="4"/>
      <c r="H735" s="4"/>
      <c r="I735" s="4"/>
      <c r="J735" s="4"/>
      <c r="K735" s="4"/>
      <c r="L735" s="4"/>
      <c r="M735" s="4"/>
      <c r="N735" s="4"/>
      <c r="O735" s="4"/>
      <c r="P735" s="4"/>
      <c r="Q735" s="4"/>
      <c r="R735" s="4"/>
      <c r="S735" s="4"/>
      <c r="T735" s="4"/>
      <c r="U735" s="4"/>
    </row>
    <row r="736" spans="3:21" ht="19" x14ac:dyDescent="0.25">
      <c r="C736" s="4"/>
      <c r="D736" s="4"/>
      <c r="E736" s="4"/>
      <c r="F736" s="4"/>
      <c r="G736" s="4"/>
      <c r="H736" s="4"/>
      <c r="I736" s="4"/>
      <c r="J736" s="4"/>
      <c r="K736" s="4"/>
      <c r="L736" s="4"/>
      <c r="M736" s="4"/>
      <c r="N736" s="4"/>
      <c r="O736" s="4"/>
      <c r="P736" s="4"/>
      <c r="Q736" s="4"/>
      <c r="R736" s="4"/>
      <c r="S736" s="4"/>
      <c r="T736" s="4"/>
      <c r="U736" s="4"/>
    </row>
    <row r="737" spans="3:21" ht="19" x14ac:dyDescent="0.25">
      <c r="C737" s="4"/>
      <c r="D737" s="4"/>
      <c r="E737" s="4"/>
      <c r="F737" s="4"/>
      <c r="G737" s="4"/>
      <c r="H737" s="4"/>
      <c r="I737" s="4"/>
      <c r="J737" s="4"/>
      <c r="K737" s="4"/>
      <c r="L737" s="4"/>
      <c r="M737" s="4"/>
      <c r="N737" s="4"/>
      <c r="O737" s="4"/>
      <c r="P737" s="4"/>
      <c r="Q737" s="4"/>
      <c r="R737" s="4"/>
      <c r="S737" s="4"/>
      <c r="T737" s="4"/>
      <c r="U737" s="4"/>
    </row>
    <row r="738" spans="3:21" ht="19" x14ac:dyDescent="0.25">
      <c r="C738" s="4"/>
      <c r="D738" s="4"/>
      <c r="E738" s="4"/>
      <c r="F738" s="4"/>
      <c r="G738" s="4"/>
      <c r="H738" s="4"/>
      <c r="I738" s="4"/>
      <c r="J738" s="4"/>
      <c r="K738" s="4"/>
      <c r="L738" s="4"/>
      <c r="M738" s="4"/>
      <c r="N738" s="4"/>
      <c r="O738" s="4"/>
      <c r="P738" s="4"/>
      <c r="Q738" s="4"/>
      <c r="R738" s="4"/>
      <c r="S738" s="4"/>
      <c r="T738" s="4"/>
      <c r="U738" s="4"/>
    </row>
    <row r="739" spans="3:21" ht="19" x14ac:dyDescent="0.25">
      <c r="C739" s="4"/>
      <c r="D739" s="4"/>
      <c r="E739" s="4"/>
      <c r="F739" s="4"/>
      <c r="G739" s="4"/>
      <c r="H739" s="4"/>
      <c r="I739" s="4"/>
      <c r="J739" s="4"/>
      <c r="K739" s="4"/>
      <c r="L739" s="4"/>
      <c r="M739" s="4"/>
      <c r="N739" s="4"/>
      <c r="O739" s="4"/>
      <c r="P739" s="4"/>
      <c r="Q739" s="4"/>
      <c r="R739" s="4"/>
      <c r="S739" s="4"/>
      <c r="T739" s="4"/>
      <c r="U739" s="4"/>
    </row>
    <row r="740" spans="3:21" ht="19" x14ac:dyDescent="0.25">
      <c r="C740" s="4"/>
      <c r="D740" s="4"/>
      <c r="E740" s="4"/>
      <c r="F740" s="4"/>
      <c r="G740" s="4"/>
      <c r="H740" s="4"/>
      <c r="I740" s="4"/>
      <c r="J740" s="4"/>
      <c r="K740" s="4"/>
      <c r="L740" s="4"/>
      <c r="M740" s="4"/>
      <c r="N740" s="4"/>
      <c r="O740" s="4"/>
      <c r="P740" s="4"/>
      <c r="Q740" s="4"/>
      <c r="R740" s="4"/>
      <c r="S740" s="4"/>
      <c r="T740" s="4"/>
      <c r="U740" s="4"/>
    </row>
    <row r="741" spans="3:21" ht="19" x14ac:dyDescent="0.25">
      <c r="C741" s="4"/>
      <c r="D741" s="4"/>
      <c r="E741" s="4"/>
      <c r="F741" s="4"/>
      <c r="G741" s="4"/>
      <c r="H741" s="4"/>
      <c r="I741" s="4"/>
      <c r="J741" s="4"/>
      <c r="K741" s="4"/>
      <c r="L741" s="4"/>
      <c r="M741" s="4"/>
      <c r="N741" s="4"/>
      <c r="O741" s="4"/>
      <c r="P741" s="4"/>
      <c r="Q741" s="4"/>
      <c r="R741" s="4"/>
      <c r="S741" s="4"/>
      <c r="T741" s="4"/>
      <c r="U741" s="4"/>
    </row>
    <row r="742" spans="3:21" ht="19" x14ac:dyDescent="0.25">
      <c r="C742" s="4"/>
      <c r="D742" s="4"/>
      <c r="E742" s="4"/>
      <c r="F742" s="4"/>
      <c r="G742" s="4"/>
      <c r="H742" s="4"/>
      <c r="I742" s="4"/>
      <c r="J742" s="4"/>
      <c r="K742" s="4"/>
      <c r="L742" s="4"/>
      <c r="M742" s="4"/>
      <c r="N742" s="4"/>
      <c r="O742" s="4"/>
      <c r="P742" s="4"/>
      <c r="Q742" s="4"/>
      <c r="R742" s="4"/>
      <c r="S742" s="4"/>
      <c r="T742" s="4"/>
      <c r="U742" s="4"/>
    </row>
    <row r="743" spans="3:21" ht="19" x14ac:dyDescent="0.25">
      <c r="C743" s="4"/>
      <c r="D743" s="4"/>
      <c r="E743" s="4"/>
      <c r="F743" s="4"/>
      <c r="G743" s="4"/>
      <c r="H743" s="4"/>
      <c r="I743" s="4"/>
      <c r="J743" s="4"/>
      <c r="K743" s="4"/>
      <c r="L743" s="4"/>
      <c r="M743" s="4"/>
      <c r="N743" s="4"/>
      <c r="O743" s="4"/>
      <c r="P743" s="4"/>
      <c r="Q743" s="4"/>
      <c r="R743" s="4"/>
      <c r="S743" s="4"/>
      <c r="T743" s="4"/>
      <c r="U743" s="4"/>
    </row>
    <row r="744" spans="3:21" ht="19" x14ac:dyDescent="0.25">
      <c r="C744" s="4"/>
      <c r="D744" s="4"/>
      <c r="E744" s="4"/>
      <c r="F744" s="4"/>
      <c r="G744" s="4"/>
      <c r="H744" s="4"/>
      <c r="I744" s="4"/>
      <c r="J744" s="4"/>
      <c r="K744" s="4"/>
      <c r="L744" s="4"/>
      <c r="M744" s="4"/>
      <c r="N744" s="4"/>
      <c r="O744" s="4"/>
      <c r="P744" s="4"/>
      <c r="Q744" s="4"/>
      <c r="R744" s="4"/>
      <c r="S744" s="4"/>
      <c r="T744" s="4"/>
      <c r="U744" s="4"/>
    </row>
    <row r="745" spans="3:21" ht="19" x14ac:dyDescent="0.25">
      <c r="C745" s="4"/>
      <c r="D745" s="4"/>
      <c r="E745" s="4"/>
      <c r="F745" s="4"/>
      <c r="G745" s="4"/>
      <c r="H745" s="4"/>
      <c r="I745" s="4"/>
      <c r="J745" s="4"/>
      <c r="K745" s="4"/>
      <c r="L745" s="4"/>
      <c r="M745" s="4"/>
      <c r="N745" s="4"/>
      <c r="O745" s="4"/>
      <c r="P745" s="4"/>
      <c r="Q745" s="4"/>
      <c r="R745" s="4"/>
      <c r="S745" s="4"/>
      <c r="T745" s="4"/>
      <c r="U745" s="4"/>
    </row>
    <row r="746" spans="3:21" ht="19" x14ac:dyDescent="0.25">
      <c r="C746" s="4"/>
      <c r="D746" s="4"/>
      <c r="E746" s="4"/>
      <c r="F746" s="4"/>
      <c r="G746" s="4"/>
      <c r="H746" s="4"/>
      <c r="I746" s="4"/>
      <c r="J746" s="4"/>
      <c r="K746" s="4"/>
      <c r="L746" s="4"/>
      <c r="M746" s="4"/>
      <c r="N746" s="4"/>
      <c r="O746" s="4"/>
      <c r="P746" s="4"/>
      <c r="Q746" s="4"/>
      <c r="R746" s="4"/>
      <c r="S746" s="4"/>
      <c r="T746" s="4"/>
      <c r="U746" s="4"/>
    </row>
    <row r="747" spans="3:21" ht="19" x14ac:dyDescent="0.25">
      <c r="C747" s="4"/>
      <c r="D747" s="4"/>
      <c r="E747" s="4"/>
      <c r="F747" s="4"/>
      <c r="G747" s="4"/>
      <c r="H747" s="4"/>
      <c r="I747" s="4"/>
      <c r="J747" s="4"/>
      <c r="K747" s="4"/>
      <c r="L747" s="4"/>
      <c r="M747" s="4"/>
      <c r="N747" s="4"/>
      <c r="O747" s="4"/>
      <c r="P747" s="4"/>
      <c r="Q747" s="4"/>
      <c r="R747" s="4"/>
      <c r="S747" s="4"/>
      <c r="T747" s="4"/>
      <c r="U747" s="4"/>
    </row>
    <row r="748" spans="3:21" ht="19" x14ac:dyDescent="0.25">
      <c r="C748" s="4"/>
      <c r="D748" s="4"/>
      <c r="E748" s="4"/>
      <c r="F748" s="4"/>
      <c r="G748" s="4"/>
      <c r="H748" s="4"/>
      <c r="I748" s="4"/>
      <c r="J748" s="4"/>
      <c r="K748" s="4"/>
      <c r="L748" s="4"/>
      <c r="M748" s="4"/>
      <c r="N748" s="4"/>
      <c r="O748" s="4"/>
      <c r="P748" s="4"/>
      <c r="Q748" s="4"/>
      <c r="R748" s="4"/>
      <c r="S748" s="4"/>
      <c r="T748" s="4"/>
      <c r="U748" s="4"/>
    </row>
    <row r="749" spans="3:21" ht="19" x14ac:dyDescent="0.25">
      <c r="C749" s="4"/>
      <c r="D749" s="4"/>
      <c r="E749" s="4"/>
      <c r="F749" s="4"/>
      <c r="G749" s="4"/>
      <c r="H749" s="4"/>
      <c r="I749" s="4"/>
      <c r="J749" s="4"/>
      <c r="K749" s="4"/>
      <c r="L749" s="4"/>
      <c r="M749" s="4"/>
      <c r="N749" s="4"/>
      <c r="O749" s="4"/>
      <c r="P749" s="4"/>
      <c r="Q749" s="4"/>
      <c r="R749" s="4"/>
      <c r="S749" s="4"/>
      <c r="T749" s="4"/>
      <c r="U749" s="4"/>
    </row>
    <row r="750" spans="3:21" ht="19" x14ac:dyDescent="0.25">
      <c r="C750" s="4"/>
      <c r="D750" s="4"/>
      <c r="E750" s="4"/>
      <c r="F750" s="4"/>
      <c r="G750" s="4"/>
      <c r="H750" s="4"/>
      <c r="I750" s="4"/>
      <c r="J750" s="4"/>
      <c r="K750" s="4"/>
      <c r="L750" s="4"/>
      <c r="M750" s="4"/>
      <c r="N750" s="4"/>
      <c r="O750" s="4"/>
      <c r="P750" s="4"/>
      <c r="Q750" s="4"/>
      <c r="R750" s="4"/>
      <c r="S750" s="4"/>
      <c r="T750" s="4"/>
      <c r="U750" s="4"/>
    </row>
    <row r="751" spans="3:21" ht="19" x14ac:dyDescent="0.25">
      <c r="C751" s="4"/>
      <c r="D751" s="4"/>
      <c r="E751" s="4"/>
      <c r="F751" s="4"/>
      <c r="G751" s="4"/>
      <c r="H751" s="4"/>
      <c r="I751" s="4"/>
      <c r="J751" s="4"/>
      <c r="K751" s="4"/>
      <c r="L751" s="4"/>
      <c r="M751" s="4"/>
      <c r="N751" s="4"/>
      <c r="O751" s="4"/>
      <c r="P751" s="4"/>
      <c r="Q751" s="4"/>
      <c r="R751" s="4"/>
      <c r="S751" s="4"/>
      <c r="T751" s="4"/>
      <c r="U751" s="4"/>
    </row>
    <row r="752" spans="3:21" ht="19" x14ac:dyDescent="0.25">
      <c r="C752" s="4"/>
      <c r="D752" s="4"/>
      <c r="E752" s="4"/>
      <c r="F752" s="4"/>
      <c r="G752" s="4"/>
      <c r="H752" s="4"/>
      <c r="I752" s="4"/>
      <c r="J752" s="4"/>
      <c r="K752" s="4"/>
      <c r="L752" s="4"/>
      <c r="M752" s="4"/>
      <c r="N752" s="4"/>
      <c r="O752" s="4"/>
      <c r="P752" s="4"/>
      <c r="Q752" s="4"/>
      <c r="R752" s="4"/>
      <c r="S752" s="4"/>
      <c r="T752" s="4"/>
      <c r="U752" s="4"/>
    </row>
    <row r="753" spans="3:21" ht="19" x14ac:dyDescent="0.25">
      <c r="C753" s="4"/>
      <c r="D753" s="4"/>
      <c r="E753" s="4"/>
      <c r="F753" s="4"/>
      <c r="G753" s="4"/>
      <c r="H753" s="4"/>
      <c r="I753" s="4"/>
      <c r="J753" s="4"/>
      <c r="K753" s="4"/>
      <c r="L753" s="4"/>
      <c r="M753" s="4"/>
      <c r="N753" s="4"/>
      <c r="O753" s="4"/>
      <c r="P753" s="4"/>
      <c r="Q753" s="4"/>
      <c r="R753" s="4"/>
      <c r="S753" s="4"/>
      <c r="T753" s="4"/>
      <c r="U753" s="4"/>
    </row>
    <row r="754" spans="3:21" ht="19" x14ac:dyDescent="0.25">
      <c r="C754" s="4"/>
      <c r="D754" s="4"/>
      <c r="E754" s="4"/>
      <c r="F754" s="4"/>
      <c r="G754" s="4"/>
      <c r="H754" s="4"/>
      <c r="I754" s="4"/>
      <c r="J754" s="4"/>
      <c r="K754" s="4"/>
      <c r="L754" s="4"/>
      <c r="M754" s="4"/>
      <c r="N754" s="4"/>
      <c r="O754" s="4"/>
      <c r="P754" s="4"/>
      <c r="Q754" s="4"/>
      <c r="R754" s="4"/>
      <c r="S754" s="4"/>
      <c r="T754" s="4"/>
      <c r="U754" s="4"/>
    </row>
    <row r="755" spans="3:21" ht="19" x14ac:dyDescent="0.25">
      <c r="C755" s="4"/>
      <c r="D755" s="4"/>
      <c r="E755" s="4"/>
      <c r="F755" s="4"/>
      <c r="G755" s="4"/>
      <c r="H755" s="4"/>
      <c r="I755" s="4"/>
      <c r="J755" s="4"/>
      <c r="K755" s="4"/>
      <c r="L755" s="4"/>
      <c r="M755" s="4"/>
      <c r="N755" s="4"/>
      <c r="O755" s="4"/>
      <c r="P755" s="4"/>
      <c r="Q755" s="4"/>
      <c r="R755" s="4"/>
      <c r="S755" s="4"/>
      <c r="T755" s="4"/>
      <c r="U755" s="4"/>
    </row>
    <row r="756" spans="3:21" ht="19" x14ac:dyDescent="0.25">
      <c r="C756" s="4"/>
      <c r="D756" s="4"/>
      <c r="E756" s="4"/>
      <c r="F756" s="4"/>
      <c r="G756" s="4"/>
      <c r="H756" s="4"/>
      <c r="I756" s="4"/>
      <c r="J756" s="4"/>
      <c r="K756" s="4"/>
      <c r="L756" s="4"/>
      <c r="M756" s="4"/>
      <c r="N756" s="4"/>
      <c r="O756" s="4"/>
      <c r="P756" s="4"/>
      <c r="Q756" s="4"/>
      <c r="R756" s="4"/>
      <c r="S756" s="4"/>
      <c r="T756" s="4"/>
      <c r="U756" s="4"/>
    </row>
    <row r="757" spans="3:21" ht="19" x14ac:dyDescent="0.25">
      <c r="C757" s="4"/>
      <c r="D757" s="4"/>
      <c r="E757" s="4"/>
      <c r="F757" s="4"/>
      <c r="G757" s="4"/>
      <c r="H757" s="4"/>
      <c r="I757" s="4"/>
      <c r="J757" s="4"/>
      <c r="K757" s="4"/>
      <c r="L757" s="4"/>
      <c r="M757" s="4"/>
      <c r="N757" s="4"/>
      <c r="O757" s="4"/>
      <c r="P757" s="4"/>
      <c r="Q757" s="4"/>
      <c r="R757" s="4"/>
      <c r="S757" s="4"/>
      <c r="T757" s="4"/>
      <c r="U757" s="4"/>
    </row>
    <row r="758" spans="3:21" ht="19" x14ac:dyDescent="0.25">
      <c r="C758" s="4"/>
      <c r="D758" s="4"/>
      <c r="E758" s="4"/>
      <c r="F758" s="4"/>
      <c r="G758" s="4"/>
      <c r="H758" s="4"/>
      <c r="I758" s="4"/>
      <c r="J758" s="4"/>
      <c r="K758" s="4"/>
      <c r="L758" s="4"/>
      <c r="M758" s="4"/>
      <c r="N758" s="4"/>
      <c r="O758" s="4"/>
      <c r="P758" s="4"/>
      <c r="Q758" s="4"/>
      <c r="R758" s="4"/>
      <c r="S758" s="4"/>
      <c r="T758" s="4"/>
      <c r="U758" s="4"/>
    </row>
    <row r="759" spans="3:21" ht="19" x14ac:dyDescent="0.25">
      <c r="C759" s="4"/>
      <c r="D759" s="4"/>
      <c r="E759" s="4"/>
      <c r="F759" s="4"/>
      <c r="G759" s="4"/>
      <c r="H759" s="4"/>
      <c r="I759" s="4"/>
      <c r="J759" s="4"/>
      <c r="K759" s="4"/>
      <c r="L759" s="4"/>
      <c r="M759" s="4"/>
      <c r="N759" s="4"/>
      <c r="O759" s="4"/>
      <c r="P759" s="4"/>
      <c r="Q759" s="4"/>
      <c r="R759" s="4"/>
      <c r="S759" s="4"/>
      <c r="T759" s="4"/>
      <c r="U759" s="4"/>
    </row>
    <row r="760" spans="3:21" ht="19" x14ac:dyDescent="0.25">
      <c r="C760" s="4"/>
      <c r="D760" s="4"/>
      <c r="E760" s="4"/>
      <c r="F760" s="4"/>
      <c r="G760" s="4"/>
      <c r="H760" s="4"/>
      <c r="I760" s="4"/>
      <c r="J760" s="4"/>
      <c r="K760" s="4"/>
      <c r="L760" s="4"/>
      <c r="M760" s="4"/>
      <c r="N760" s="4"/>
      <c r="O760" s="4"/>
      <c r="P760" s="4"/>
      <c r="Q760" s="4"/>
      <c r="R760" s="4"/>
      <c r="S760" s="4"/>
      <c r="T760" s="4"/>
      <c r="U760" s="4"/>
    </row>
    <row r="761" spans="3:21" ht="19" x14ac:dyDescent="0.25">
      <c r="C761" s="4"/>
      <c r="D761" s="4"/>
      <c r="E761" s="4"/>
      <c r="F761" s="4"/>
      <c r="G761" s="4"/>
      <c r="H761" s="4"/>
      <c r="I761" s="4"/>
      <c r="J761" s="4"/>
      <c r="K761" s="4"/>
      <c r="L761" s="4"/>
      <c r="M761" s="4"/>
      <c r="N761" s="4"/>
      <c r="O761" s="4"/>
      <c r="P761" s="4"/>
      <c r="Q761" s="4"/>
      <c r="R761" s="4"/>
      <c r="S761" s="4"/>
      <c r="T761" s="4"/>
      <c r="U761" s="4"/>
    </row>
    <row r="762" spans="3:21" ht="19" x14ac:dyDescent="0.25">
      <c r="C762" s="4"/>
      <c r="D762" s="4"/>
      <c r="E762" s="4"/>
      <c r="F762" s="4"/>
      <c r="G762" s="4"/>
      <c r="H762" s="4"/>
      <c r="I762" s="4"/>
      <c r="J762" s="4"/>
      <c r="K762" s="4"/>
      <c r="L762" s="4"/>
      <c r="M762" s="4"/>
      <c r="N762" s="4"/>
      <c r="O762" s="4"/>
      <c r="P762" s="4"/>
      <c r="Q762" s="4"/>
      <c r="R762" s="4"/>
      <c r="S762" s="4"/>
      <c r="T762" s="4"/>
      <c r="U762" s="4"/>
    </row>
    <row r="763" spans="3:21" ht="19" x14ac:dyDescent="0.25">
      <c r="C763" s="4"/>
      <c r="D763" s="4"/>
      <c r="E763" s="4"/>
      <c r="F763" s="4"/>
      <c r="G763" s="4"/>
      <c r="H763" s="4"/>
      <c r="I763" s="4"/>
      <c r="J763" s="4"/>
      <c r="K763" s="4"/>
      <c r="L763" s="4"/>
      <c r="M763" s="4"/>
      <c r="N763" s="4"/>
      <c r="O763" s="4"/>
      <c r="P763" s="4"/>
      <c r="Q763" s="4"/>
      <c r="R763" s="4"/>
      <c r="S763" s="4"/>
      <c r="T763" s="4"/>
      <c r="U763" s="4"/>
    </row>
    <row r="764" spans="3:21" ht="19" x14ac:dyDescent="0.25">
      <c r="C764" s="4"/>
      <c r="D764" s="4"/>
      <c r="E764" s="4"/>
      <c r="F764" s="4"/>
      <c r="G764" s="4"/>
      <c r="H764" s="4"/>
      <c r="I764" s="4"/>
      <c r="J764" s="4"/>
      <c r="K764" s="4"/>
      <c r="L764" s="4"/>
      <c r="M764" s="4"/>
      <c r="N764" s="4"/>
      <c r="O764" s="4"/>
      <c r="P764" s="4"/>
      <c r="Q764" s="4"/>
      <c r="R764" s="4"/>
      <c r="S764" s="4"/>
      <c r="T764" s="4"/>
      <c r="U764" s="4"/>
    </row>
    <row r="765" spans="3:21" ht="19" x14ac:dyDescent="0.25">
      <c r="C765" s="4"/>
      <c r="D765" s="4"/>
      <c r="E765" s="4"/>
      <c r="F765" s="4"/>
      <c r="G765" s="4"/>
      <c r="H765" s="4"/>
      <c r="I765" s="4"/>
      <c r="J765" s="4"/>
      <c r="K765" s="4"/>
      <c r="L765" s="4"/>
      <c r="M765" s="4"/>
      <c r="N765" s="4"/>
      <c r="O765" s="4"/>
      <c r="P765" s="4"/>
      <c r="Q765" s="4"/>
      <c r="R765" s="4"/>
      <c r="S765" s="4"/>
      <c r="T765" s="4"/>
      <c r="U765" s="4"/>
    </row>
    <row r="766" spans="3:21" ht="19" x14ac:dyDescent="0.25">
      <c r="C766" s="4"/>
      <c r="D766" s="4"/>
      <c r="E766" s="4"/>
      <c r="F766" s="4"/>
      <c r="G766" s="4"/>
      <c r="H766" s="4"/>
      <c r="I766" s="4"/>
      <c r="J766" s="4"/>
      <c r="K766" s="4"/>
      <c r="L766" s="4"/>
      <c r="M766" s="4"/>
      <c r="N766" s="4"/>
      <c r="O766" s="4"/>
      <c r="P766" s="4"/>
      <c r="Q766" s="4"/>
      <c r="R766" s="4"/>
      <c r="S766" s="4"/>
      <c r="T766" s="4"/>
      <c r="U766" s="4"/>
    </row>
    <row r="767" spans="3:21" ht="19" x14ac:dyDescent="0.25">
      <c r="C767" s="4"/>
      <c r="D767" s="4"/>
      <c r="E767" s="4"/>
      <c r="F767" s="4"/>
      <c r="G767" s="4"/>
      <c r="H767" s="4"/>
      <c r="I767" s="4"/>
      <c r="J767" s="4"/>
      <c r="K767" s="4"/>
      <c r="L767" s="4"/>
      <c r="M767" s="4"/>
      <c r="N767" s="4"/>
      <c r="O767" s="4"/>
      <c r="P767" s="4"/>
      <c r="Q767" s="4"/>
      <c r="R767" s="4"/>
      <c r="S767" s="4"/>
      <c r="T767" s="4"/>
      <c r="U767" s="4"/>
    </row>
    <row r="768" spans="3:21" ht="19" x14ac:dyDescent="0.25">
      <c r="C768" s="4"/>
      <c r="D768" s="4"/>
      <c r="E768" s="4"/>
      <c r="F768" s="4"/>
      <c r="G768" s="4"/>
      <c r="H768" s="4"/>
      <c r="I768" s="4"/>
      <c r="J768" s="4"/>
      <c r="K768" s="4"/>
      <c r="L768" s="4"/>
      <c r="M768" s="4"/>
      <c r="N768" s="4"/>
      <c r="O768" s="4"/>
      <c r="P768" s="4"/>
      <c r="Q768" s="4"/>
      <c r="R768" s="4"/>
      <c r="S768" s="4"/>
      <c r="T768" s="4"/>
      <c r="U768" s="4"/>
    </row>
    <row r="769" spans="3:21" ht="19" x14ac:dyDescent="0.25">
      <c r="C769" s="4"/>
      <c r="D769" s="4"/>
      <c r="E769" s="4"/>
      <c r="F769" s="4"/>
      <c r="G769" s="4"/>
      <c r="H769" s="4"/>
      <c r="I769" s="4"/>
      <c r="J769" s="4"/>
      <c r="K769" s="4"/>
      <c r="L769" s="4"/>
      <c r="M769" s="4"/>
      <c r="N769" s="4"/>
      <c r="O769" s="4"/>
      <c r="P769" s="4"/>
      <c r="Q769" s="4"/>
      <c r="R769" s="4"/>
      <c r="S769" s="4"/>
      <c r="T769" s="4"/>
      <c r="U769" s="4"/>
    </row>
    <row r="770" spans="3:21" ht="19" x14ac:dyDescent="0.25">
      <c r="C770" s="4"/>
      <c r="D770" s="4"/>
      <c r="E770" s="4"/>
      <c r="F770" s="4"/>
      <c r="G770" s="4"/>
      <c r="H770" s="4"/>
      <c r="I770" s="4"/>
      <c r="J770" s="4"/>
      <c r="K770" s="4"/>
      <c r="L770" s="4"/>
      <c r="M770" s="4"/>
      <c r="N770" s="4"/>
      <c r="O770" s="4"/>
      <c r="P770" s="4"/>
      <c r="Q770" s="4"/>
      <c r="R770" s="4"/>
      <c r="S770" s="4"/>
      <c r="T770" s="4"/>
      <c r="U770" s="4"/>
    </row>
    <row r="771" spans="3:21" ht="19" x14ac:dyDescent="0.25">
      <c r="C771" s="4"/>
      <c r="D771" s="4"/>
      <c r="E771" s="4"/>
      <c r="F771" s="4"/>
      <c r="G771" s="4"/>
      <c r="H771" s="4"/>
      <c r="I771" s="4"/>
      <c r="J771" s="4"/>
      <c r="K771" s="4"/>
      <c r="L771" s="4"/>
      <c r="M771" s="4"/>
      <c r="N771" s="4"/>
      <c r="O771" s="4"/>
      <c r="P771" s="4"/>
      <c r="Q771" s="4"/>
      <c r="R771" s="4"/>
      <c r="S771" s="4"/>
      <c r="T771" s="4"/>
      <c r="U771" s="4"/>
    </row>
    <row r="772" spans="3:21" ht="19" x14ac:dyDescent="0.25">
      <c r="C772" s="4"/>
      <c r="D772" s="4"/>
      <c r="E772" s="4"/>
      <c r="F772" s="4"/>
      <c r="G772" s="4"/>
      <c r="H772" s="4"/>
      <c r="I772" s="4"/>
      <c r="J772" s="4"/>
      <c r="K772" s="4"/>
      <c r="L772" s="4"/>
      <c r="M772" s="4"/>
      <c r="N772" s="4"/>
      <c r="O772" s="4"/>
      <c r="P772" s="4"/>
      <c r="Q772" s="4"/>
      <c r="R772" s="4"/>
      <c r="S772" s="4"/>
      <c r="T772" s="4"/>
      <c r="U772" s="4"/>
    </row>
    <row r="773" spans="3:21" ht="19" x14ac:dyDescent="0.25">
      <c r="C773" s="4"/>
      <c r="D773" s="4"/>
      <c r="E773" s="4"/>
      <c r="F773" s="4"/>
      <c r="G773" s="4"/>
      <c r="H773" s="4"/>
      <c r="I773" s="4"/>
      <c r="J773" s="4"/>
      <c r="K773" s="4"/>
      <c r="L773" s="4"/>
      <c r="M773" s="4"/>
      <c r="N773" s="4"/>
      <c r="O773" s="4"/>
      <c r="P773" s="4"/>
      <c r="Q773" s="4"/>
      <c r="R773" s="4"/>
      <c r="S773" s="4"/>
      <c r="T773" s="4"/>
      <c r="U773" s="4"/>
    </row>
    <row r="774" spans="3:21" ht="19" x14ac:dyDescent="0.25">
      <c r="C774" s="4"/>
      <c r="D774" s="4"/>
      <c r="E774" s="4"/>
      <c r="F774" s="4"/>
      <c r="G774" s="4"/>
      <c r="H774" s="4"/>
      <c r="I774" s="4"/>
      <c r="J774" s="4"/>
      <c r="K774" s="4"/>
      <c r="L774" s="4"/>
      <c r="M774" s="4"/>
      <c r="N774" s="4"/>
      <c r="O774" s="4"/>
      <c r="P774" s="4"/>
      <c r="Q774" s="4"/>
      <c r="R774" s="4"/>
      <c r="S774" s="4"/>
      <c r="T774" s="4"/>
      <c r="U774" s="4"/>
    </row>
    <row r="775" spans="3:21" ht="19" x14ac:dyDescent="0.25">
      <c r="C775" s="4"/>
      <c r="D775" s="4"/>
      <c r="E775" s="4"/>
      <c r="F775" s="4"/>
      <c r="G775" s="4"/>
      <c r="H775" s="4"/>
      <c r="I775" s="4"/>
      <c r="J775" s="4"/>
      <c r="K775" s="4"/>
      <c r="L775" s="4"/>
      <c r="M775" s="4"/>
      <c r="N775" s="4"/>
      <c r="O775" s="4"/>
      <c r="P775" s="4"/>
      <c r="Q775" s="4"/>
      <c r="R775" s="4"/>
      <c r="S775" s="4"/>
      <c r="T775" s="4"/>
      <c r="U775" s="4"/>
    </row>
    <row r="776" spans="3:21" ht="19" x14ac:dyDescent="0.25">
      <c r="C776" s="4"/>
      <c r="D776" s="4"/>
      <c r="E776" s="4"/>
      <c r="F776" s="4"/>
      <c r="G776" s="4"/>
      <c r="H776" s="4"/>
      <c r="I776" s="4"/>
      <c r="J776" s="4"/>
      <c r="K776" s="4"/>
      <c r="L776" s="4"/>
      <c r="M776" s="4"/>
      <c r="N776" s="4"/>
      <c r="O776" s="4"/>
      <c r="P776" s="4"/>
      <c r="Q776" s="4"/>
      <c r="R776" s="4"/>
      <c r="S776" s="4"/>
      <c r="T776" s="4"/>
      <c r="U776" s="4"/>
    </row>
    <row r="777" spans="3:21" ht="19" x14ac:dyDescent="0.25">
      <c r="C777" s="4"/>
      <c r="D777" s="4"/>
      <c r="E777" s="4"/>
      <c r="F777" s="4"/>
      <c r="G777" s="4"/>
      <c r="H777" s="4"/>
      <c r="I777" s="4"/>
      <c r="J777" s="4"/>
      <c r="K777" s="4"/>
      <c r="L777" s="4"/>
      <c r="M777" s="4"/>
      <c r="N777" s="4"/>
      <c r="O777" s="4"/>
      <c r="P777" s="4"/>
      <c r="Q777" s="4"/>
      <c r="R777" s="4"/>
      <c r="S777" s="4"/>
      <c r="T777" s="4"/>
      <c r="U777" s="4"/>
    </row>
    <row r="778" spans="3:21" ht="19" x14ac:dyDescent="0.25">
      <c r="C778" s="4"/>
      <c r="D778" s="4"/>
      <c r="E778" s="4"/>
      <c r="F778" s="4"/>
      <c r="G778" s="4"/>
      <c r="H778" s="4"/>
      <c r="I778" s="4"/>
      <c r="J778" s="4"/>
      <c r="K778" s="4"/>
      <c r="L778" s="4"/>
      <c r="M778" s="4"/>
      <c r="N778" s="4"/>
      <c r="O778" s="4"/>
      <c r="P778" s="4"/>
      <c r="Q778" s="4"/>
      <c r="R778" s="4"/>
      <c r="S778" s="4"/>
      <c r="T778" s="4"/>
      <c r="U778" s="4"/>
    </row>
    <row r="779" spans="3:21" ht="19" x14ac:dyDescent="0.25">
      <c r="C779" s="4"/>
      <c r="D779" s="4"/>
      <c r="E779" s="4"/>
      <c r="F779" s="4"/>
      <c r="G779" s="4"/>
      <c r="H779" s="4"/>
      <c r="I779" s="4"/>
      <c r="J779" s="4"/>
      <c r="K779" s="4"/>
      <c r="L779" s="4"/>
      <c r="M779" s="4"/>
      <c r="N779" s="4"/>
      <c r="O779" s="4"/>
      <c r="P779" s="4"/>
      <c r="Q779" s="4"/>
      <c r="R779" s="4"/>
      <c r="S779" s="4"/>
      <c r="T779" s="4"/>
      <c r="U779" s="4"/>
    </row>
    <row r="780" spans="3:21" ht="19" x14ac:dyDescent="0.25">
      <c r="C780" s="4"/>
      <c r="D780" s="4"/>
      <c r="E780" s="4"/>
      <c r="F780" s="4"/>
      <c r="G780" s="4"/>
      <c r="H780" s="4"/>
      <c r="I780" s="4"/>
      <c r="J780" s="4"/>
      <c r="K780" s="4"/>
      <c r="L780" s="4"/>
      <c r="M780" s="4"/>
      <c r="N780" s="4"/>
      <c r="O780" s="4"/>
      <c r="P780" s="4"/>
      <c r="Q780" s="4"/>
      <c r="R780" s="4"/>
      <c r="S780" s="4"/>
      <c r="T780" s="4"/>
      <c r="U780" s="4"/>
    </row>
    <row r="781" spans="3:21" ht="19" x14ac:dyDescent="0.25">
      <c r="C781" s="4"/>
      <c r="D781" s="4"/>
      <c r="E781" s="4"/>
      <c r="F781" s="4"/>
      <c r="G781" s="4"/>
      <c r="H781" s="4"/>
      <c r="I781" s="4"/>
      <c r="J781" s="4"/>
      <c r="K781" s="4"/>
      <c r="L781" s="4"/>
      <c r="M781" s="4"/>
      <c r="N781" s="4"/>
      <c r="O781" s="4"/>
      <c r="P781" s="4"/>
      <c r="Q781" s="4"/>
      <c r="R781" s="4"/>
      <c r="S781" s="4"/>
      <c r="T781" s="4"/>
      <c r="U781" s="4"/>
    </row>
    <row r="782" spans="3:21" ht="19" x14ac:dyDescent="0.25">
      <c r="C782" s="4"/>
      <c r="D782" s="4"/>
      <c r="E782" s="4"/>
      <c r="F782" s="4"/>
      <c r="G782" s="4"/>
      <c r="H782" s="4"/>
      <c r="I782" s="4"/>
      <c r="J782" s="4"/>
      <c r="K782" s="4"/>
      <c r="L782" s="4"/>
      <c r="M782" s="4"/>
      <c r="N782" s="4"/>
      <c r="O782" s="4"/>
      <c r="P782" s="4"/>
      <c r="Q782" s="4"/>
      <c r="R782" s="4"/>
      <c r="S782" s="4"/>
      <c r="T782" s="4"/>
      <c r="U782" s="4"/>
    </row>
    <row r="783" spans="3:21" ht="19" x14ac:dyDescent="0.25">
      <c r="C783" s="4"/>
      <c r="D783" s="4"/>
      <c r="E783" s="4"/>
      <c r="F783" s="4"/>
      <c r="G783" s="4"/>
      <c r="H783" s="4"/>
      <c r="I783" s="4"/>
      <c r="J783" s="4"/>
      <c r="K783" s="4"/>
      <c r="L783" s="4"/>
      <c r="M783" s="4"/>
      <c r="N783" s="4"/>
      <c r="O783" s="4"/>
      <c r="P783" s="4"/>
      <c r="Q783" s="4"/>
      <c r="R783" s="4"/>
      <c r="S783" s="4"/>
      <c r="T783" s="4"/>
      <c r="U783" s="4"/>
    </row>
    <row r="784" spans="3:21" ht="19" x14ac:dyDescent="0.25">
      <c r="C784" s="4"/>
      <c r="D784" s="4"/>
      <c r="E784" s="4"/>
      <c r="F784" s="4"/>
      <c r="G784" s="4"/>
      <c r="H784" s="4"/>
      <c r="I784" s="4"/>
      <c r="J784" s="4"/>
      <c r="K784" s="4"/>
      <c r="L784" s="4"/>
      <c r="M784" s="4"/>
      <c r="N784" s="4"/>
      <c r="O784" s="4"/>
      <c r="P784" s="4"/>
      <c r="Q784" s="4"/>
      <c r="R784" s="4"/>
      <c r="S784" s="4"/>
      <c r="T784" s="4"/>
      <c r="U784" s="4"/>
    </row>
    <row r="785" spans="3:21" ht="19" x14ac:dyDescent="0.25">
      <c r="C785" s="4"/>
      <c r="D785" s="4"/>
      <c r="E785" s="4"/>
      <c r="F785" s="4"/>
      <c r="G785" s="4"/>
      <c r="H785" s="4"/>
      <c r="I785" s="4"/>
      <c r="J785" s="4"/>
      <c r="K785" s="4"/>
      <c r="L785" s="4"/>
      <c r="M785" s="4"/>
      <c r="N785" s="4"/>
      <c r="O785" s="4"/>
      <c r="P785" s="4"/>
      <c r="Q785" s="4"/>
      <c r="R785" s="4"/>
      <c r="S785" s="4"/>
      <c r="T785" s="4"/>
      <c r="U785" s="4"/>
    </row>
    <row r="786" spans="3:21" ht="19" x14ac:dyDescent="0.25">
      <c r="C786" s="4"/>
      <c r="D786" s="4"/>
      <c r="E786" s="4"/>
      <c r="F786" s="4"/>
      <c r="G786" s="4"/>
      <c r="H786" s="4"/>
      <c r="I786" s="4"/>
      <c r="J786" s="4"/>
      <c r="K786" s="4"/>
      <c r="L786" s="4"/>
      <c r="M786" s="4"/>
      <c r="N786" s="4"/>
      <c r="O786" s="4"/>
      <c r="P786" s="4"/>
      <c r="Q786" s="4"/>
      <c r="R786" s="4"/>
      <c r="S786" s="4"/>
      <c r="T786" s="4"/>
      <c r="U786" s="4"/>
    </row>
    <row r="787" spans="3:21" ht="19" x14ac:dyDescent="0.25">
      <c r="C787" s="4"/>
      <c r="D787" s="4"/>
      <c r="E787" s="4"/>
      <c r="F787" s="4"/>
      <c r="G787" s="4"/>
      <c r="H787" s="4"/>
      <c r="I787" s="4"/>
      <c r="J787" s="4"/>
      <c r="K787" s="4"/>
      <c r="L787" s="4"/>
      <c r="M787" s="4"/>
      <c r="N787" s="4"/>
      <c r="O787" s="4"/>
      <c r="P787" s="4"/>
      <c r="Q787" s="4"/>
      <c r="R787" s="4"/>
      <c r="S787" s="4"/>
      <c r="T787" s="4"/>
      <c r="U787" s="4"/>
    </row>
    <row r="788" spans="3:21" ht="19" x14ac:dyDescent="0.25">
      <c r="C788" s="4"/>
      <c r="D788" s="4"/>
      <c r="E788" s="4"/>
      <c r="F788" s="4"/>
      <c r="G788" s="4"/>
      <c r="H788" s="4"/>
      <c r="I788" s="4"/>
      <c r="J788" s="4"/>
      <c r="K788" s="4"/>
      <c r="L788" s="4"/>
      <c r="M788" s="4"/>
      <c r="N788" s="4"/>
      <c r="O788" s="4"/>
      <c r="P788" s="4"/>
      <c r="Q788" s="4"/>
      <c r="R788" s="4"/>
      <c r="S788" s="4"/>
      <c r="T788" s="4"/>
      <c r="U788" s="4"/>
    </row>
    <row r="789" spans="3:21" ht="19" x14ac:dyDescent="0.25">
      <c r="C789" s="4"/>
      <c r="D789" s="4"/>
      <c r="E789" s="4"/>
      <c r="F789" s="4"/>
      <c r="G789" s="4"/>
      <c r="H789" s="4"/>
      <c r="I789" s="4"/>
      <c r="J789" s="4"/>
      <c r="K789" s="4"/>
      <c r="L789" s="4"/>
      <c r="M789" s="4"/>
      <c r="N789" s="4"/>
      <c r="O789" s="4"/>
      <c r="P789" s="4"/>
      <c r="Q789" s="4"/>
      <c r="R789" s="4"/>
      <c r="S789" s="4"/>
      <c r="T789" s="4"/>
      <c r="U789" s="4"/>
    </row>
    <row r="790" spans="3:21" ht="19" x14ac:dyDescent="0.25">
      <c r="C790" s="4"/>
      <c r="D790" s="4"/>
      <c r="E790" s="4"/>
      <c r="F790" s="4"/>
      <c r="G790" s="4"/>
      <c r="H790" s="4"/>
      <c r="I790" s="4"/>
      <c r="J790" s="4"/>
      <c r="K790" s="4"/>
      <c r="L790" s="4"/>
      <c r="M790" s="4"/>
      <c r="N790" s="4"/>
      <c r="O790" s="4"/>
      <c r="P790" s="4"/>
      <c r="Q790" s="4"/>
      <c r="R790" s="4"/>
      <c r="S790" s="4"/>
      <c r="T790" s="4"/>
      <c r="U790" s="4"/>
    </row>
    <row r="791" spans="3:21" ht="19" x14ac:dyDescent="0.25">
      <c r="C791" s="4"/>
      <c r="D791" s="4"/>
      <c r="E791" s="4"/>
      <c r="F791" s="4"/>
      <c r="G791" s="4"/>
      <c r="H791" s="4"/>
      <c r="I791" s="4"/>
      <c r="J791" s="4"/>
      <c r="K791" s="4"/>
      <c r="L791" s="4"/>
      <c r="M791" s="4"/>
      <c r="N791" s="4"/>
      <c r="O791" s="4"/>
      <c r="P791" s="4"/>
      <c r="Q791" s="4"/>
      <c r="R791" s="4"/>
      <c r="S791" s="4"/>
      <c r="T791" s="4"/>
      <c r="U791" s="4"/>
    </row>
    <row r="792" spans="3:21" ht="19" x14ac:dyDescent="0.25">
      <c r="C792" s="4"/>
      <c r="D792" s="4"/>
      <c r="E792" s="4"/>
      <c r="F792" s="4"/>
      <c r="G792" s="4"/>
      <c r="H792" s="4"/>
      <c r="I792" s="4"/>
      <c r="J792" s="4"/>
      <c r="K792" s="4"/>
      <c r="L792" s="4"/>
      <c r="M792" s="4"/>
      <c r="N792" s="4"/>
      <c r="O792" s="4"/>
      <c r="P792" s="4"/>
      <c r="Q792" s="4"/>
      <c r="R792" s="4"/>
      <c r="S792" s="4"/>
      <c r="T792" s="4"/>
      <c r="U792" s="4"/>
    </row>
    <row r="793" spans="3:21" ht="19" x14ac:dyDescent="0.25">
      <c r="C793" s="4"/>
      <c r="D793" s="4"/>
      <c r="E793" s="4"/>
      <c r="F793" s="4"/>
      <c r="G793" s="4"/>
      <c r="H793" s="4"/>
      <c r="I793" s="4"/>
      <c r="J793" s="4"/>
      <c r="K793" s="4"/>
      <c r="L793" s="4"/>
      <c r="M793" s="4"/>
      <c r="N793" s="4"/>
      <c r="O793" s="4"/>
      <c r="P793" s="4"/>
      <c r="Q793" s="4"/>
      <c r="R793" s="4"/>
      <c r="S793" s="4"/>
      <c r="T793" s="4"/>
      <c r="U793" s="4"/>
    </row>
    <row r="794" spans="3:21" ht="19" x14ac:dyDescent="0.25">
      <c r="C794" s="4"/>
      <c r="D794" s="4"/>
      <c r="E794" s="4"/>
      <c r="F794" s="4"/>
      <c r="G794" s="4"/>
      <c r="H794" s="4"/>
      <c r="I794" s="4"/>
      <c r="J794" s="4"/>
      <c r="K794" s="4"/>
      <c r="L794" s="4"/>
      <c r="M794" s="4"/>
      <c r="N794" s="4"/>
      <c r="O794" s="4"/>
      <c r="P794" s="4"/>
      <c r="Q794" s="4"/>
      <c r="R794" s="4"/>
      <c r="S794" s="4"/>
      <c r="T794" s="4"/>
      <c r="U794" s="4"/>
    </row>
    <row r="795" spans="3:21" ht="19" x14ac:dyDescent="0.25">
      <c r="C795" s="4"/>
      <c r="D795" s="4"/>
      <c r="E795" s="4"/>
      <c r="F795" s="4"/>
      <c r="G795" s="4"/>
      <c r="H795" s="4"/>
      <c r="I795" s="4"/>
      <c r="J795" s="4"/>
      <c r="K795" s="4"/>
      <c r="L795" s="4"/>
      <c r="M795" s="4"/>
      <c r="N795" s="4"/>
      <c r="O795" s="4"/>
      <c r="P795" s="4"/>
      <c r="Q795" s="4"/>
      <c r="R795" s="4"/>
      <c r="S795" s="4"/>
      <c r="T795" s="4"/>
      <c r="U795" s="4"/>
    </row>
    <row r="796" spans="3:21" ht="19" x14ac:dyDescent="0.25">
      <c r="C796" s="4"/>
      <c r="D796" s="4"/>
      <c r="E796" s="4"/>
      <c r="F796" s="4"/>
      <c r="G796" s="4"/>
      <c r="H796" s="4"/>
      <c r="I796" s="4"/>
      <c r="J796" s="4"/>
      <c r="K796" s="4"/>
      <c r="L796" s="4"/>
      <c r="M796" s="4"/>
      <c r="N796" s="4"/>
      <c r="O796" s="4"/>
      <c r="P796" s="4"/>
      <c r="Q796" s="4"/>
      <c r="R796" s="4"/>
      <c r="S796" s="4"/>
      <c r="T796" s="4"/>
      <c r="U796" s="4"/>
    </row>
    <row r="797" spans="3:21" ht="19" x14ac:dyDescent="0.25">
      <c r="C797" s="4"/>
      <c r="D797" s="4"/>
      <c r="E797" s="4"/>
      <c r="F797" s="4"/>
      <c r="G797" s="4"/>
      <c r="H797" s="4"/>
      <c r="I797" s="4"/>
      <c r="J797" s="4"/>
      <c r="K797" s="4"/>
      <c r="L797" s="4"/>
      <c r="M797" s="4"/>
      <c r="N797" s="4"/>
      <c r="O797" s="4"/>
      <c r="P797" s="4"/>
      <c r="Q797" s="4"/>
      <c r="R797" s="4"/>
      <c r="S797" s="4"/>
      <c r="T797" s="4"/>
      <c r="U797" s="4"/>
    </row>
    <row r="798" spans="3:21" ht="19" x14ac:dyDescent="0.25">
      <c r="C798" s="4"/>
      <c r="D798" s="4"/>
      <c r="E798" s="4"/>
      <c r="F798" s="4"/>
      <c r="G798" s="4"/>
      <c r="H798" s="4"/>
      <c r="I798" s="4"/>
      <c r="J798" s="4"/>
      <c r="K798" s="4"/>
      <c r="L798" s="4"/>
      <c r="M798" s="4"/>
      <c r="N798" s="4"/>
      <c r="O798" s="4"/>
      <c r="P798" s="4"/>
      <c r="Q798" s="4"/>
      <c r="R798" s="4"/>
      <c r="S798" s="4"/>
      <c r="T798" s="4"/>
      <c r="U798" s="4"/>
    </row>
    <row r="799" spans="3:21" ht="19" x14ac:dyDescent="0.25">
      <c r="C799" s="4"/>
      <c r="D799" s="4"/>
      <c r="E799" s="4"/>
      <c r="F799" s="4"/>
      <c r="G799" s="4"/>
      <c r="H799" s="4"/>
      <c r="I799" s="4"/>
      <c r="J799" s="4"/>
      <c r="K799" s="4"/>
      <c r="L799" s="4"/>
      <c r="M799" s="4"/>
      <c r="N799" s="4"/>
      <c r="O799" s="4"/>
      <c r="P799" s="4"/>
      <c r="Q799" s="4"/>
      <c r="R799" s="4"/>
      <c r="S799" s="4"/>
      <c r="T799" s="4"/>
      <c r="U799" s="4"/>
    </row>
    <row r="800" spans="3:21" ht="19" x14ac:dyDescent="0.25">
      <c r="C800" s="4"/>
      <c r="D800" s="4"/>
      <c r="E800" s="4"/>
      <c r="F800" s="4"/>
      <c r="G800" s="4"/>
      <c r="H800" s="4"/>
      <c r="I800" s="4"/>
      <c r="J800" s="4"/>
      <c r="K800" s="4"/>
      <c r="L800" s="4"/>
      <c r="M800" s="4"/>
      <c r="N800" s="4"/>
      <c r="O800" s="4"/>
      <c r="P800" s="4"/>
      <c r="Q800" s="4"/>
      <c r="R800" s="4"/>
      <c r="S800" s="4"/>
      <c r="T800" s="4"/>
      <c r="U800" s="4"/>
    </row>
    <row r="801" spans="3:21" ht="19" x14ac:dyDescent="0.25">
      <c r="C801" s="4"/>
      <c r="D801" s="4"/>
      <c r="E801" s="4"/>
      <c r="F801" s="4"/>
      <c r="G801" s="4"/>
      <c r="H801" s="4"/>
      <c r="I801" s="4"/>
      <c r="J801" s="4"/>
      <c r="K801" s="4"/>
      <c r="L801" s="4"/>
      <c r="M801" s="4"/>
      <c r="N801" s="4"/>
      <c r="O801" s="4"/>
      <c r="P801" s="4"/>
      <c r="Q801" s="4"/>
      <c r="R801" s="4"/>
      <c r="S801" s="4"/>
      <c r="T801" s="4"/>
      <c r="U801" s="4"/>
    </row>
    <row r="802" spans="3:21" ht="19" x14ac:dyDescent="0.25">
      <c r="C802" s="4"/>
      <c r="D802" s="4"/>
      <c r="E802" s="4"/>
      <c r="F802" s="4"/>
      <c r="G802" s="4"/>
      <c r="H802" s="4"/>
      <c r="I802" s="4"/>
      <c r="J802" s="4"/>
      <c r="K802" s="4"/>
      <c r="L802" s="4"/>
      <c r="M802" s="4"/>
      <c r="N802" s="4"/>
      <c r="O802" s="4"/>
      <c r="P802" s="4"/>
      <c r="Q802" s="4"/>
      <c r="R802" s="4"/>
      <c r="S802" s="4"/>
      <c r="T802" s="4"/>
      <c r="U802" s="4"/>
    </row>
    <row r="803" spans="3:21" ht="19" x14ac:dyDescent="0.25">
      <c r="C803" s="4"/>
      <c r="D803" s="4"/>
      <c r="E803" s="4"/>
      <c r="F803" s="4"/>
      <c r="G803" s="4"/>
      <c r="H803" s="4"/>
      <c r="I803" s="4"/>
      <c r="J803" s="4"/>
      <c r="K803" s="4"/>
      <c r="L803" s="4"/>
      <c r="M803" s="4"/>
      <c r="N803" s="4"/>
      <c r="O803" s="4"/>
      <c r="P803" s="4"/>
      <c r="Q803" s="4"/>
      <c r="R803" s="4"/>
      <c r="S803" s="4"/>
      <c r="T803" s="4"/>
      <c r="U803" s="4"/>
    </row>
    <row r="804" spans="3:21" ht="19" x14ac:dyDescent="0.25">
      <c r="C804" s="4"/>
      <c r="D804" s="4"/>
      <c r="E804" s="4"/>
      <c r="F804" s="4"/>
      <c r="G804" s="4"/>
      <c r="H804" s="4"/>
      <c r="I804" s="4"/>
      <c r="J804" s="4"/>
      <c r="K804" s="4"/>
      <c r="L804" s="4"/>
      <c r="M804" s="4"/>
      <c r="N804" s="4"/>
      <c r="O804" s="4"/>
      <c r="P804" s="4"/>
      <c r="Q804" s="4"/>
      <c r="R804" s="4"/>
      <c r="S804" s="4"/>
      <c r="T804" s="4"/>
      <c r="U804" s="4"/>
    </row>
    <row r="805" spans="3:21" ht="19" x14ac:dyDescent="0.25">
      <c r="C805" s="4"/>
      <c r="D805" s="4"/>
      <c r="E805" s="4"/>
      <c r="F805" s="4"/>
      <c r="G805" s="4"/>
      <c r="H805" s="4"/>
      <c r="I805" s="4"/>
      <c r="J805" s="4"/>
      <c r="K805" s="4"/>
      <c r="L805" s="4"/>
      <c r="M805" s="4"/>
      <c r="N805" s="4"/>
      <c r="O805" s="4"/>
      <c r="P805" s="4"/>
      <c r="Q805" s="4"/>
      <c r="R805" s="4"/>
      <c r="S805" s="4"/>
      <c r="T805" s="4"/>
      <c r="U805" s="4"/>
    </row>
    <row r="806" spans="3:21" ht="19" x14ac:dyDescent="0.25">
      <c r="C806" s="4"/>
      <c r="D806" s="4"/>
      <c r="E806" s="4"/>
      <c r="F806" s="4"/>
      <c r="G806" s="4"/>
      <c r="H806" s="4"/>
      <c r="I806" s="4"/>
      <c r="J806" s="4"/>
      <c r="K806" s="4"/>
      <c r="L806" s="4"/>
      <c r="M806" s="4"/>
      <c r="N806" s="4"/>
      <c r="O806" s="4"/>
      <c r="P806" s="4"/>
      <c r="Q806" s="4"/>
      <c r="R806" s="4"/>
      <c r="S806" s="4"/>
      <c r="T806" s="4"/>
      <c r="U806" s="4"/>
    </row>
    <row r="807" spans="3:21" ht="19" x14ac:dyDescent="0.25">
      <c r="C807" s="4"/>
      <c r="D807" s="4"/>
      <c r="E807" s="4"/>
      <c r="F807" s="4"/>
      <c r="G807" s="4"/>
      <c r="H807" s="4"/>
      <c r="I807" s="4"/>
      <c r="J807" s="4"/>
      <c r="K807" s="4"/>
      <c r="L807" s="4"/>
      <c r="M807" s="4"/>
      <c r="N807" s="4"/>
      <c r="O807" s="4"/>
      <c r="P807" s="4"/>
      <c r="Q807" s="4"/>
      <c r="R807" s="4"/>
      <c r="S807" s="4"/>
      <c r="T807" s="4"/>
      <c r="U807" s="4"/>
    </row>
    <row r="808" spans="3:21" ht="19" x14ac:dyDescent="0.25">
      <c r="C808" s="4"/>
      <c r="D808" s="4"/>
      <c r="E808" s="4"/>
      <c r="F808" s="4"/>
      <c r="G808" s="4"/>
      <c r="H808" s="4"/>
      <c r="I808" s="4"/>
      <c r="J808" s="4"/>
      <c r="K808" s="4"/>
      <c r="L808" s="4"/>
      <c r="M808" s="4"/>
      <c r="N808" s="4"/>
      <c r="O808" s="4"/>
      <c r="P808" s="4"/>
      <c r="Q808" s="4"/>
      <c r="R808" s="4"/>
      <c r="S808" s="4"/>
      <c r="T808" s="4"/>
      <c r="U808" s="4"/>
    </row>
    <row r="809" spans="3:21" ht="19" x14ac:dyDescent="0.25">
      <c r="C809" s="4"/>
      <c r="D809" s="4"/>
      <c r="E809" s="4"/>
      <c r="F809" s="4"/>
      <c r="G809" s="4"/>
      <c r="H809" s="4"/>
      <c r="I809" s="4"/>
      <c r="J809" s="4"/>
      <c r="K809" s="4"/>
      <c r="L809" s="4"/>
      <c r="M809" s="4"/>
      <c r="N809" s="4"/>
      <c r="O809" s="4"/>
      <c r="P809" s="4"/>
      <c r="Q809" s="4"/>
      <c r="R809" s="4"/>
      <c r="S809" s="4"/>
      <c r="T809" s="4"/>
      <c r="U809" s="4"/>
    </row>
    <row r="810" spans="3:21" ht="19" x14ac:dyDescent="0.25">
      <c r="C810" s="4"/>
      <c r="D810" s="4"/>
      <c r="E810" s="4"/>
      <c r="F810" s="4"/>
      <c r="G810" s="4"/>
      <c r="H810" s="4"/>
      <c r="I810" s="4"/>
      <c r="J810" s="4"/>
      <c r="K810" s="4"/>
      <c r="L810" s="4"/>
      <c r="M810" s="4"/>
      <c r="N810" s="4"/>
      <c r="O810" s="4"/>
      <c r="P810" s="4"/>
      <c r="Q810" s="4"/>
      <c r="R810" s="4"/>
      <c r="S810" s="4"/>
      <c r="T810" s="4"/>
      <c r="U810" s="4"/>
    </row>
    <row r="811" spans="3:21" ht="19" x14ac:dyDescent="0.25">
      <c r="C811" s="4"/>
      <c r="D811" s="4"/>
      <c r="E811" s="4"/>
      <c r="F811" s="4"/>
      <c r="G811" s="4"/>
      <c r="H811" s="4"/>
      <c r="I811" s="4"/>
      <c r="J811" s="4"/>
      <c r="K811" s="4"/>
      <c r="L811" s="4"/>
      <c r="M811" s="4"/>
      <c r="N811" s="4"/>
      <c r="O811" s="4"/>
      <c r="P811" s="4"/>
      <c r="Q811" s="4"/>
      <c r="R811" s="4"/>
      <c r="S811" s="4"/>
      <c r="T811" s="4"/>
      <c r="U811" s="4"/>
    </row>
    <row r="812" spans="3:21" ht="19" x14ac:dyDescent="0.25">
      <c r="C812" s="4"/>
      <c r="D812" s="4"/>
      <c r="E812" s="4"/>
      <c r="F812" s="4"/>
      <c r="G812" s="4"/>
      <c r="H812" s="4"/>
      <c r="I812" s="4"/>
      <c r="J812" s="4"/>
      <c r="K812" s="4"/>
      <c r="L812" s="4"/>
      <c r="M812" s="4"/>
      <c r="N812" s="4"/>
      <c r="O812" s="4"/>
      <c r="P812" s="4"/>
      <c r="Q812" s="4"/>
      <c r="R812" s="4"/>
      <c r="S812" s="4"/>
      <c r="T812" s="4"/>
      <c r="U812" s="4"/>
    </row>
    <row r="813" spans="3:21" ht="19" x14ac:dyDescent="0.25">
      <c r="C813" s="4"/>
      <c r="D813" s="4"/>
      <c r="E813" s="4"/>
      <c r="F813" s="4"/>
      <c r="G813" s="4"/>
      <c r="H813" s="4"/>
      <c r="I813" s="4"/>
      <c r="J813" s="4"/>
      <c r="K813" s="4"/>
      <c r="L813" s="4"/>
      <c r="M813" s="4"/>
      <c r="N813" s="4"/>
      <c r="O813" s="4"/>
      <c r="P813" s="4"/>
      <c r="Q813" s="4"/>
      <c r="R813" s="4"/>
      <c r="S813" s="4"/>
      <c r="T813" s="4"/>
      <c r="U813" s="4"/>
    </row>
    <row r="814" spans="3:21" ht="19" x14ac:dyDescent="0.25">
      <c r="C814" s="4"/>
      <c r="D814" s="4"/>
      <c r="E814" s="4"/>
      <c r="F814" s="4"/>
      <c r="G814" s="4"/>
      <c r="H814" s="4"/>
      <c r="I814" s="4"/>
      <c r="J814" s="4"/>
      <c r="K814" s="4"/>
      <c r="L814" s="4"/>
      <c r="M814" s="4"/>
      <c r="N814" s="4"/>
      <c r="O814" s="4"/>
      <c r="P814" s="4"/>
      <c r="Q814" s="4"/>
      <c r="R814" s="4"/>
      <c r="S814" s="4"/>
      <c r="T814" s="4"/>
      <c r="U814" s="4"/>
    </row>
    <row r="815" spans="3:21" ht="19" x14ac:dyDescent="0.25">
      <c r="C815" s="4"/>
      <c r="D815" s="4"/>
      <c r="E815" s="4"/>
      <c r="F815" s="4"/>
      <c r="G815" s="4"/>
      <c r="H815" s="4"/>
      <c r="I815" s="4"/>
      <c r="J815" s="4"/>
      <c r="K815" s="4"/>
      <c r="L815" s="4"/>
      <c r="M815" s="4"/>
      <c r="N815" s="4"/>
      <c r="O815" s="4"/>
      <c r="P815" s="4"/>
      <c r="Q815" s="4"/>
      <c r="R815" s="4"/>
      <c r="S815" s="4"/>
      <c r="T815" s="4"/>
      <c r="U815" s="4"/>
    </row>
    <row r="816" spans="3:21" ht="19" x14ac:dyDescent="0.25">
      <c r="C816" s="4"/>
      <c r="D816" s="4"/>
      <c r="E816" s="4"/>
      <c r="F816" s="4"/>
      <c r="G816" s="4"/>
      <c r="H816" s="4"/>
      <c r="I816" s="4"/>
      <c r="J816" s="4"/>
      <c r="K816" s="4"/>
      <c r="L816" s="4"/>
      <c r="M816" s="4"/>
      <c r="N816" s="4"/>
      <c r="O816" s="4"/>
      <c r="P816" s="4"/>
      <c r="Q816" s="4"/>
      <c r="R816" s="4"/>
      <c r="S816" s="4"/>
      <c r="T816" s="4"/>
      <c r="U816" s="4"/>
    </row>
    <row r="817" spans="3:21" ht="19" x14ac:dyDescent="0.25">
      <c r="C817" s="4"/>
      <c r="D817" s="4"/>
      <c r="E817" s="4"/>
      <c r="F817" s="4"/>
      <c r="G817" s="4"/>
      <c r="H817" s="4"/>
      <c r="I817" s="4"/>
      <c r="J817" s="4"/>
      <c r="K817" s="4"/>
      <c r="L817" s="4"/>
      <c r="M817" s="4"/>
      <c r="N817" s="4"/>
      <c r="O817" s="4"/>
      <c r="P817" s="4"/>
      <c r="Q817" s="4"/>
      <c r="R817" s="4"/>
      <c r="S817" s="4"/>
      <c r="T817" s="4"/>
      <c r="U817" s="4"/>
    </row>
    <row r="818" spans="3:21" ht="19" x14ac:dyDescent="0.25">
      <c r="C818" s="4"/>
      <c r="D818" s="4"/>
      <c r="E818" s="4"/>
      <c r="F818" s="4"/>
      <c r="G818" s="4"/>
      <c r="H818" s="4"/>
      <c r="I818" s="4"/>
      <c r="J818" s="4"/>
      <c r="K818" s="4"/>
      <c r="L818" s="4"/>
      <c r="M818" s="4"/>
      <c r="N818" s="4"/>
      <c r="O818" s="4"/>
      <c r="P818" s="4"/>
      <c r="Q818" s="4"/>
      <c r="R818" s="4"/>
      <c r="S818" s="4"/>
      <c r="T818" s="4"/>
      <c r="U818" s="4"/>
    </row>
    <row r="819" spans="3:21" ht="19" x14ac:dyDescent="0.25">
      <c r="C819" s="4"/>
      <c r="D819" s="4"/>
      <c r="E819" s="4"/>
      <c r="F819" s="4"/>
      <c r="G819" s="4"/>
      <c r="H819" s="4"/>
      <c r="I819" s="4"/>
      <c r="J819" s="4"/>
      <c r="K819" s="4"/>
      <c r="L819" s="4"/>
      <c r="M819" s="4"/>
      <c r="N819" s="4"/>
      <c r="O819" s="4"/>
      <c r="P819" s="4"/>
      <c r="Q819" s="4"/>
      <c r="R819" s="4"/>
      <c r="S819" s="4"/>
      <c r="T819" s="4"/>
      <c r="U819" s="4"/>
    </row>
    <row r="820" spans="3:21" ht="19" x14ac:dyDescent="0.25">
      <c r="C820" s="4"/>
      <c r="D820" s="4"/>
      <c r="E820" s="4"/>
      <c r="F820" s="4"/>
      <c r="G820" s="4"/>
      <c r="H820" s="4"/>
      <c r="I820" s="4"/>
      <c r="J820" s="4"/>
      <c r="K820" s="4"/>
      <c r="L820" s="4"/>
      <c r="M820" s="4"/>
      <c r="N820" s="4"/>
      <c r="O820" s="4"/>
      <c r="P820" s="4"/>
      <c r="Q820" s="4"/>
      <c r="R820" s="4"/>
      <c r="S820" s="4"/>
      <c r="T820" s="4"/>
      <c r="U820" s="4"/>
    </row>
    <row r="821" spans="3:21" ht="19" x14ac:dyDescent="0.25">
      <c r="C821" s="4"/>
      <c r="D821" s="4"/>
      <c r="E821" s="4"/>
      <c r="F821" s="4"/>
      <c r="G821" s="4"/>
      <c r="H821" s="4"/>
      <c r="I821" s="4"/>
      <c r="J821" s="4"/>
      <c r="K821" s="4"/>
      <c r="L821" s="4"/>
      <c r="M821" s="4"/>
      <c r="N821" s="4"/>
      <c r="O821" s="4"/>
      <c r="P821" s="4"/>
      <c r="Q821" s="4"/>
      <c r="R821" s="4"/>
      <c r="S821" s="4"/>
      <c r="T821" s="4"/>
      <c r="U821" s="4"/>
    </row>
    <row r="822" spans="3:21" ht="19" x14ac:dyDescent="0.25">
      <c r="C822" s="4"/>
      <c r="D822" s="4"/>
      <c r="E822" s="4"/>
      <c r="F822" s="4"/>
      <c r="G822" s="4"/>
      <c r="H822" s="4"/>
      <c r="I822" s="4"/>
      <c r="J822" s="4"/>
      <c r="K822" s="4"/>
      <c r="L822" s="4"/>
      <c r="M822" s="4"/>
      <c r="N822" s="4"/>
      <c r="O822" s="4"/>
      <c r="P822" s="4"/>
      <c r="Q822" s="4"/>
      <c r="R822" s="4"/>
      <c r="S822" s="4"/>
      <c r="T822" s="4"/>
      <c r="U822" s="4"/>
    </row>
    <row r="823" spans="3:21" ht="19" x14ac:dyDescent="0.25">
      <c r="C823" s="4"/>
      <c r="D823" s="4"/>
      <c r="E823" s="4"/>
      <c r="F823" s="4"/>
      <c r="G823" s="4"/>
      <c r="H823" s="4"/>
      <c r="I823" s="4"/>
      <c r="J823" s="4"/>
      <c r="K823" s="4"/>
      <c r="L823" s="4"/>
      <c r="M823" s="4"/>
      <c r="N823" s="4"/>
      <c r="O823" s="4"/>
      <c r="P823" s="4"/>
      <c r="Q823" s="4"/>
      <c r="R823" s="4"/>
      <c r="S823" s="4"/>
      <c r="T823" s="4"/>
      <c r="U823" s="4"/>
    </row>
    <row r="824" spans="3:21" ht="19" x14ac:dyDescent="0.25">
      <c r="C824" s="4"/>
      <c r="D824" s="4"/>
      <c r="E824" s="4"/>
      <c r="F824" s="4"/>
      <c r="G824" s="4"/>
      <c r="H824" s="4"/>
      <c r="I824" s="4"/>
      <c r="J824" s="4"/>
      <c r="K824" s="4"/>
      <c r="L824" s="4"/>
      <c r="M824" s="4"/>
      <c r="N824" s="4"/>
      <c r="O824" s="4"/>
      <c r="P824" s="4"/>
      <c r="Q824" s="4"/>
      <c r="R824" s="4"/>
      <c r="S824" s="4"/>
      <c r="T824" s="4"/>
      <c r="U824" s="4"/>
    </row>
    <row r="825" spans="3:21" ht="19" x14ac:dyDescent="0.25">
      <c r="C825" s="4"/>
      <c r="D825" s="4"/>
      <c r="E825" s="4"/>
      <c r="F825" s="4"/>
      <c r="G825" s="4"/>
      <c r="H825" s="4"/>
      <c r="I825" s="4"/>
      <c r="J825" s="4"/>
      <c r="K825" s="4"/>
      <c r="L825" s="4"/>
      <c r="M825" s="4"/>
      <c r="N825" s="4"/>
      <c r="O825" s="4"/>
      <c r="P825" s="4"/>
      <c r="Q825" s="4"/>
      <c r="R825" s="4"/>
      <c r="S825" s="4"/>
      <c r="T825" s="4"/>
      <c r="U825" s="4"/>
    </row>
    <row r="826" spans="3:21" ht="19" x14ac:dyDescent="0.25">
      <c r="C826" s="4"/>
      <c r="D826" s="4"/>
      <c r="E826" s="4"/>
      <c r="F826" s="4"/>
      <c r="G826" s="4"/>
      <c r="H826" s="4"/>
      <c r="I826" s="4"/>
      <c r="J826" s="4"/>
      <c r="K826" s="4"/>
      <c r="L826" s="4"/>
      <c r="M826" s="4"/>
      <c r="N826" s="4"/>
      <c r="O826" s="4"/>
      <c r="P826" s="4"/>
      <c r="Q826" s="4"/>
      <c r="R826" s="4"/>
      <c r="S826" s="4"/>
      <c r="T826" s="4"/>
      <c r="U826" s="4"/>
    </row>
    <row r="827" spans="3:21" ht="19" x14ac:dyDescent="0.25">
      <c r="C827" s="4"/>
      <c r="D827" s="4"/>
      <c r="E827" s="4"/>
      <c r="F827" s="4"/>
      <c r="G827" s="4"/>
      <c r="H827" s="4"/>
      <c r="I827" s="4"/>
      <c r="J827" s="4"/>
      <c r="K827" s="4"/>
      <c r="L827" s="4"/>
      <c r="M827" s="4"/>
      <c r="N827" s="4"/>
      <c r="O827" s="4"/>
      <c r="P827" s="4"/>
      <c r="Q827" s="4"/>
      <c r="R827" s="4"/>
      <c r="S827" s="4"/>
      <c r="T827" s="4"/>
      <c r="U827" s="4"/>
    </row>
    <row r="828" spans="3:21" ht="19" x14ac:dyDescent="0.25">
      <c r="C828" s="4"/>
      <c r="D828" s="4"/>
      <c r="E828" s="4"/>
      <c r="F828" s="4"/>
      <c r="G828" s="4"/>
      <c r="H828" s="4"/>
      <c r="I828" s="4"/>
      <c r="J828" s="4"/>
      <c r="K828" s="4"/>
      <c r="L828" s="4"/>
      <c r="M828" s="4"/>
      <c r="N828" s="4"/>
      <c r="O828" s="4"/>
      <c r="P828" s="4"/>
      <c r="Q828" s="4"/>
      <c r="R828" s="4"/>
      <c r="S828" s="4"/>
      <c r="T828" s="4"/>
      <c r="U828" s="4"/>
    </row>
    <row r="829" spans="3:21" ht="19" x14ac:dyDescent="0.25">
      <c r="C829" s="4"/>
      <c r="D829" s="4"/>
      <c r="E829" s="4"/>
      <c r="F829" s="4"/>
      <c r="G829" s="4"/>
      <c r="H829" s="4"/>
      <c r="I829" s="4"/>
      <c r="J829" s="4"/>
      <c r="K829" s="4"/>
      <c r="L829" s="4"/>
      <c r="M829" s="4"/>
      <c r="N829" s="4"/>
      <c r="O829" s="4"/>
      <c r="P829" s="4"/>
      <c r="Q829" s="4"/>
      <c r="R829" s="4"/>
      <c r="S829" s="4"/>
      <c r="T829" s="4"/>
      <c r="U829" s="4"/>
    </row>
    <row r="830" spans="3:21" ht="19" x14ac:dyDescent="0.25">
      <c r="C830" s="4"/>
      <c r="D830" s="4"/>
      <c r="E830" s="4"/>
      <c r="F830" s="4"/>
      <c r="G830" s="4"/>
      <c r="H830" s="4"/>
      <c r="I830" s="4"/>
      <c r="J830" s="4"/>
      <c r="K830" s="4"/>
      <c r="L830" s="4"/>
      <c r="M830" s="4"/>
      <c r="N830" s="4"/>
      <c r="O830" s="4"/>
      <c r="P830" s="4"/>
      <c r="Q830" s="4"/>
      <c r="R830" s="4"/>
      <c r="S830" s="4"/>
      <c r="T830" s="4"/>
      <c r="U830" s="4"/>
    </row>
    <row r="831" spans="3:21" ht="19" x14ac:dyDescent="0.25">
      <c r="C831" s="4"/>
      <c r="D831" s="4"/>
      <c r="E831" s="4"/>
      <c r="F831" s="4"/>
      <c r="G831" s="4"/>
      <c r="H831" s="4"/>
      <c r="I831" s="4"/>
      <c r="J831" s="4"/>
      <c r="K831" s="4"/>
      <c r="L831" s="4"/>
      <c r="M831" s="4"/>
      <c r="N831" s="4"/>
      <c r="O831" s="4"/>
      <c r="P831" s="4"/>
      <c r="Q831" s="4"/>
      <c r="R831" s="4"/>
      <c r="S831" s="4"/>
      <c r="T831" s="4"/>
      <c r="U831" s="4"/>
    </row>
    <row r="832" spans="3:21" ht="19" x14ac:dyDescent="0.25">
      <c r="C832" s="4"/>
      <c r="D832" s="4"/>
      <c r="E832" s="4"/>
      <c r="F832" s="4"/>
      <c r="G832" s="4"/>
      <c r="H832" s="4"/>
      <c r="I832" s="4"/>
      <c r="J832" s="4"/>
      <c r="K832" s="4"/>
      <c r="L832" s="4"/>
      <c r="M832" s="4"/>
      <c r="N832" s="4"/>
      <c r="O832" s="4"/>
      <c r="P832" s="4"/>
      <c r="Q832" s="4"/>
      <c r="R832" s="4"/>
      <c r="S832" s="4"/>
      <c r="T832" s="4"/>
      <c r="U832" s="4"/>
    </row>
    <row r="833" spans="3:21" ht="19" x14ac:dyDescent="0.25">
      <c r="C833" s="4"/>
      <c r="D833" s="4"/>
      <c r="E833" s="4"/>
      <c r="F833" s="4"/>
      <c r="G833" s="4"/>
      <c r="H833" s="4"/>
      <c r="I833" s="4"/>
      <c r="J833" s="4"/>
      <c r="K833" s="4"/>
      <c r="L833" s="4"/>
      <c r="M833" s="4"/>
      <c r="N833" s="4"/>
      <c r="O833" s="4"/>
      <c r="P833" s="4"/>
      <c r="Q833" s="4"/>
      <c r="R833" s="4"/>
      <c r="S833" s="4"/>
      <c r="T833" s="4"/>
      <c r="U833" s="4"/>
    </row>
    <row r="834" spans="3:21" ht="19" x14ac:dyDescent="0.25">
      <c r="C834" s="4"/>
      <c r="D834" s="4"/>
      <c r="E834" s="4"/>
      <c r="F834" s="4"/>
      <c r="G834" s="4"/>
      <c r="H834" s="4"/>
      <c r="I834" s="4"/>
      <c r="J834" s="4"/>
      <c r="K834" s="4"/>
      <c r="L834" s="4"/>
      <c r="M834" s="4"/>
      <c r="N834" s="4"/>
      <c r="O834" s="4"/>
      <c r="P834" s="4"/>
      <c r="Q834" s="4"/>
      <c r="R834" s="4"/>
      <c r="S834" s="4"/>
      <c r="T834" s="4"/>
      <c r="U834" s="4"/>
    </row>
    <row r="835" spans="3:21" ht="19" x14ac:dyDescent="0.25">
      <c r="C835" s="4"/>
      <c r="D835" s="4"/>
      <c r="E835" s="4"/>
      <c r="F835" s="4"/>
      <c r="G835" s="4"/>
      <c r="H835" s="4"/>
      <c r="I835" s="4"/>
      <c r="J835" s="4"/>
      <c r="K835" s="4"/>
      <c r="L835" s="4"/>
      <c r="M835" s="4"/>
      <c r="N835" s="4"/>
      <c r="O835" s="4"/>
      <c r="P835" s="4"/>
      <c r="Q835" s="4"/>
      <c r="R835" s="4"/>
      <c r="S835" s="4"/>
      <c r="T835" s="4"/>
      <c r="U835" s="4"/>
    </row>
    <row r="836" spans="3:21" ht="19" x14ac:dyDescent="0.25">
      <c r="C836" s="4"/>
      <c r="D836" s="4"/>
      <c r="E836" s="4"/>
      <c r="F836" s="4"/>
      <c r="G836" s="4"/>
      <c r="H836" s="4"/>
      <c r="I836" s="4"/>
      <c r="J836" s="4"/>
      <c r="K836" s="4"/>
      <c r="L836" s="4"/>
      <c r="M836" s="4"/>
      <c r="N836" s="4"/>
      <c r="O836" s="4"/>
      <c r="P836" s="4"/>
      <c r="Q836" s="4"/>
      <c r="R836" s="4"/>
      <c r="S836" s="4"/>
      <c r="T836" s="4"/>
      <c r="U836" s="4"/>
    </row>
    <row r="837" spans="3:21" ht="19" x14ac:dyDescent="0.25">
      <c r="C837" s="4"/>
      <c r="D837" s="4"/>
      <c r="E837" s="4"/>
      <c r="F837" s="4"/>
      <c r="G837" s="4"/>
      <c r="H837" s="4"/>
      <c r="I837" s="4"/>
      <c r="J837" s="4"/>
      <c r="K837" s="4"/>
      <c r="L837" s="4"/>
      <c r="M837" s="4"/>
      <c r="N837" s="4"/>
      <c r="O837" s="4"/>
      <c r="P837" s="4"/>
      <c r="Q837" s="4"/>
      <c r="R837" s="4"/>
      <c r="S837" s="4"/>
      <c r="T837" s="4"/>
      <c r="U837" s="4"/>
    </row>
    <row r="838" spans="3:21" ht="19" x14ac:dyDescent="0.25">
      <c r="C838" s="4"/>
      <c r="D838" s="4"/>
      <c r="E838" s="4"/>
      <c r="F838" s="4"/>
      <c r="G838" s="4"/>
      <c r="H838" s="4"/>
      <c r="I838" s="4"/>
      <c r="J838" s="4"/>
      <c r="K838" s="4"/>
      <c r="L838" s="4"/>
      <c r="M838" s="4"/>
      <c r="N838" s="4"/>
      <c r="O838" s="4"/>
      <c r="P838" s="4"/>
      <c r="Q838" s="4"/>
      <c r="R838" s="4"/>
      <c r="S838" s="4"/>
      <c r="T838" s="4"/>
      <c r="U838" s="4"/>
    </row>
    <row r="839" spans="3:21" ht="19" x14ac:dyDescent="0.25">
      <c r="C839" s="4"/>
      <c r="D839" s="4"/>
      <c r="E839" s="4"/>
      <c r="F839" s="4"/>
      <c r="G839" s="4"/>
      <c r="H839" s="4"/>
      <c r="I839" s="4"/>
      <c r="J839" s="4"/>
      <c r="K839" s="4"/>
      <c r="L839" s="4"/>
      <c r="M839" s="4"/>
      <c r="N839" s="4"/>
      <c r="O839" s="4"/>
      <c r="P839" s="4"/>
      <c r="Q839" s="4"/>
      <c r="R839" s="4"/>
      <c r="S839" s="4"/>
      <c r="T839" s="4"/>
      <c r="U839" s="4"/>
    </row>
    <row r="840" spans="3:21" ht="19" x14ac:dyDescent="0.25">
      <c r="C840" s="4"/>
      <c r="D840" s="4"/>
      <c r="E840" s="4"/>
      <c r="F840" s="4"/>
      <c r="G840" s="4"/>
      <c r="H840" s="4"/>
      <c r="I840" s="4"/>
      <c r="J840" s="4"/>
      <c r="K840" s="4"/>
      <c r="L840" s="4"/>
      <c r="M840" s="4"/>
      <c r="N840" s="4"/>
      <c r="O840" s="4"/>
      <c r="P840" s="4"/>
      <c r="Q840" s="4"/>
      <c r="R840" s="4"/>
      <c r="S840" s="4"/>
      <c r="T840" s="4"/>
      <c r="U840" s="4"/>
    </row>
    <row r="841" spans="3:21" ht="19" x14ac:dyDescent="0.25">
      <c r="C841" s="4"/>
      <c r="D841" s="4"/>
      <c r="E841" s="4"/>
      <c r="F841" s="4"/>
      <c r="G841" s="4"/>
      <c r="H841" s="4"/>
      <c r="I841" s="4"/>
      <c r="J841" s="4"/>
      <c r="K841" s="4"/>
      <c r="L841" s="4"/>
      <c r="M841" s="4"/>
      <c r="N841" s="4"/>
      <c r="O841" s="4"/>
      <c r="P841" s="4"/>
      <c r="Q841" s="4"/>
      <c r="R841" s="4"/>
      <c r="S841" s="4"/>
      <c r="T841" s="4"/>
      <c r="U841" s="4"/>
    </row>
    <row r="842" spans="3:21" ht="19" x14ac:dyDescent="0.25">
      <c r="C842" s="4"/>
      <c r="D842" s="4"/>
      <c r="E842" s="4"/>
      <c r="F842" s="4"/>
      <c r="G842" s="4"/>
      <c r="H842" s="4"/>
      <c r="I842" s="4"/>
      <c r="J842" s="4"/>
      <c r="K842" s="4"/>
      <c r="L842" s="4"/>
      <c r="M842" s="4"/>
      <c r="N842" s="4"/>
      <c r="O842" s="4"/>
      <c r="P842" s="4"/>
      <c r="Q842" s="4"/>
      <c r="R842" s="4"/>
      <c r="S842" s="4"/>
      <c r="T842" s="4"/>
      <c r="U842" s="4"/>
    </row>
    <row r="843" spans="3:21" ht="19" x14ac:dyDescent="0.25">
      <c r="C843" s="4"/>
      <c r="D843" s="4"/>
      <c r="E843" s="4"/>
      <c r="F843" s="4"/>
      <c r="G843" s="4"/>
      <c r="H843" s="4"/>
      <c r="I843" s="4"/>
      <c r="J843" s="4"/>
      <c r="K843" s="4"/>
      <c r="L843" s="4"/>
      <c r="M843" s="4"/>
      <c r="N843" s="4"/>
      <c r="O843" s="4"/>
      <c r="P843" s="4"/>
      <c r="Q843" s="4"/>
      <c r="R843" s="4"/>
      <c r="S843" s="4"/>
      <c r="T843" s="4"/>
      <c r="U843" s="4"/>
    </row>
    <row r="844" spans="3:21" ht="19" x14ac:dyDescent="0.25">
      <c r="C844" s="4"/>
      <c r="D844" s="4"/>
      <c r="E844" s="4"/>
      <c r="F844" s="4"/>
      <c r="G844" s="4"/>
      <c r="H844" s="4"/>
      <c r="I844" s="4"/>
      <c r="J844" s="4"/>
      <c r="K844" s="4"/>
      <c r="L844" s="4"/>
      <c r="M844" s="4"/>
      <c r="N844" s="4"/>
      <c r="O844" s="4"/>
      <c r="P844" s="4"/>
      <c r="Q844" s="4"/>
      <c r="R844" s="4"/>
      <c r="S844" s="4"/>
      <c r="T844" s="4"/>
      <c r="U844" s="4"/>
    </row>
    <row r="845" spans="3:21" ht="19" x14ac:dyDescent="0.25">
      <c r="C845" s="4"/>
      <c r="D845" s="4"/>
      <c r="E845" s="4"/>
      <c r="F845" s="4"/>
      <c r="G845" s="4"/>
      <c r="H845" s="4"/>
      <c r="I845" s="4"/>
      <c r="J845" s="4"/>
      <c r="K845" s="4"/>
      <c r="L845" s="4"/>
      <c r="M845" s="4"/>
      <c r="N845" s="4"/>
      <c r="O845" s="4"/>
      <c r="P845" s="4"/>
      <c r="Q845" s="4"/>
      <c r="R845" s="4"/>
      <c r="S845" s="4"/>
      <c r="T845" s="4"/>
      <c r="U845" s="4"/>
    </row>
    <row r="846" spans="3:21" ht="19" x14ac:dyDescent="0.25">
      <c r="C846" s="4"/>
      <c r="D846" s="4"/>
      <c r="E846" s="4"/>
      <c r="F846" s="4"/>
      <c r="G846" s="4"/>
      <c r="H846" s="4"/>
      <c r="I846" s="4"/>
      <c r="J846" s="4"/>
      <c r="K846" s="4"/>
      <c r="L846" s="4"/>
      <c r="M846" s="4"/>
      <c r="N846" s="4"/>
      <c r="O846" s="4"/>
      <c r="P846" s="4"/>
      <c r="Q846" s="4"/>
      <c r="R846" s="4"/>
      <c r="S846" s="4"/>
      <c r="T846" s="4"/>
      <c r="U846" s="4"/>
    </row>
    <row r="847" spans="3:21" ht="19" x14ac:dyDescent="0.25">
      <c r="C847" s="4"/>
      <c r="D847" s="4"/>
      <c r="E847" s="4"/>
      <c r="F847" s="4"/>
      <c r="G847" s="4"/>
      <c r="H847" s="4"/>
      <c r="I847" s="4"/>
      <c r="J847" s="4"/>
      <c r="K847" s="4"/>
      <c r="L847" s="4"/>
      <c r="M847" s="4"/>
      <c r="N847" s="4"/>
      <c r="O847" s="4"/>
      <c r="P847" s="4"/>
      <c r="Q847" s="4"/>
      <c r="R847" s="4"/>
      <c r="S847" s="4"/>
      <c r="T847" s="4"/>
      <c r="U847" s="4"/>
    </row>
    <row r="848" spans="3:21" ht="19" x14ac:dyDescent="0.25">
      <c r="C848" s="4"/>
      <c r="D848" s="4"/>
      <c r="E848" s="4"/>
      <c r="F848" s="4"/>
      <c r="G848" s="4"/>
      <c r="H848" s="4"/>
      <c r="I848" s="4"/>
      <c r="J848" s="4"/>
      <c r="K848" s="4"/>
      <c r="L848" s="4"/>
      <c r="M848" s="4"/>
      <c r="N848" s="4"/>
      <c r="O848" s="4"/>
      <c r="P848" s="4"/>
      <c r="Q848" s="4"/>
      <c r="R848" s="4"/>
      <c r="S848" s="4"/>
      <c r="T848" s="4"/>
      <c r="U848" s="4"/>
    </row>
    <row r="849" spans="3:21" ht="19" x14ac:dyDescent="0.25">
      <c r="C849" s="4"/>
      <c r="D849" s="4"/>
      <c r="E849" s="4"/>
      <c r="F849" s="4"/>
      <c r="G849" s="4"/>
      <c r="H849" s="4"/>
      <c r="I849" s="4"/>
      <c r="J849" s="4"/>
      <c r="K849" s="4"/>
      <c r="L849" s="4"/>
      <c r="M849" s="4"/>
      <c r="N849" s="4"/>
      <c r="O849" s="4"/>
      <c r="P849" s="4"/>
      <c r="Q849" s="4"/>
      <c r="R849" s="4"/>
      <c r="S849" s="4"/>
      <c r="T849" s="4"/>
      <c r="U849" s="4"/>
    </row>
    <row r="850" spans="3:21" ht="19" x14ac:dyDescent="0.25">
      <c r="C850" s="4"/>
      <c r="D850" s="4"/>
      <c r="E850" s="4"/>
      <c r="F850" s="4"/>
      <c r="G850" s="4"/>
      <c r="H850" s="4"/>
      <c r="I850" s="4"/>
      <c r="J850" s="4"/>
      <c r="K850" s="4"/>
      <c r="L850" s="4"/>
      <c r="M850" s="4"/>
      <c r="N850" s="4"/>
      <c r="O850" s="4"/>
      <c r="P850" s="4"/>
      <c r="Q850" s="4"/>
      <c r="R850" s="4"/>
      <c r="S850" s="4"/>
      <c r="T850" s="4"/>
      <c r="U850" s="4"/>
    </row>
    <row r="851" spans="3:21" ht="19" x14ac:dyDescent="0.25">
      <c r="C851" s="4"/>
      <c r="D851" s="4"/>
      <c r="E851" s="4"/>
      <c r="F851" s="4"/>
      <c r="G851" s="4"/>
      <c r="H851" s="4"/>
      <c r="I851" s="4"/>
      <c r="J851" s="4"/>
      <c r="K851" s="4"/>
      <c r="L851" s="4"/>
      <c r="M851" s="4"/>
      <c r="N851" s="4"/>
      <c r="O851" s="4"/>
      <c r="P851" s="4"/>
      <c r="Q851" s="4"/>
      <c r="R851" s="4"/>
      <c r="S851" s="4"/>
      <c r="T851" s="4"/>
      <c r="U851" s="4"/>
    </row>
    <row r="852" spans="3:21" ht="19" x14ac:dyDescent="0.25">
      <c r="C852" s="4"/>
      <c r="D852" s="4"/>
      <c r="E852" s="4"/>
      <c r="F852" s="4"/>
      <c r="G852" s="4"/>
      <c r="H852" s="4"/>
      <c r="I852" s="4"/>
      <c r="J852" s="4"/>
      <c r="K852" s="4"/>
      <c r="L852" s="4"/>
      <c r="M852" s="4"/>
      <c r="N852" s="4"/>
      <c r="O852" s="4"/>
      <c r="P852" s="4"/>
      <c r="Q852" s="4"/>
      <c r="R852" s="4"/>
      <c r="S852" s="4"/>
      <c r="T852" s="4"/>
      <c r="U852" s="4"/>
    </row>
    <row r="853" spans="3:21" ht="19" x14ac:dyDescent="0.25">
      <c r="C853" s="4"/>
      <c r="D853" s="4"/>
      <c r="E853" s="4"/>
      <c r="F853" s="4"/>
      <c r="G853" s="4"/>
      <c r="H853" s="4"/>
      <c r="I853" s="4"/>
      <c r="J853" s="4"/>
      <c r="K853" s="4"/>
      <c r="L853" s="4"/>
      <c r="M853" s="4"/>
      <c r="N853" s="4"/>
      <c r="O853" s="4"/>
      <c r="P853" s="4"/>
      <c r="Q853" s="4"/>
      <c r="R853" s="4"/>
      <c r="S853" s="4"/>
      <c r="T853" s="4"/>
      <c r="U853" s="4"/>
    </row>
    <row r="854" spans="3:21" ht="19" x14ac:dyDescent="0.25">
      <c r="C854" s="4"/>
      <c r="D854" s="4"/>
      <c r="E854" s="4"/>
      <c r="F854" s="4"/>
      <c r="G854" s="4"/>
      <c r="H854" s="4"/>
      <c r="I854" s="4"/>
      <c r="J854" s="4"/>
      <c r="K854" s="4"/>
      <c r="L854" s="4"/>
      <c r="M854" s="4"/>
      <c r="N854" s="4"/>
      <c r="O854" s="4"/>
      <c r="P854" s="4"/>
      <c r="Q854" s="4"/>
      <c r="R854" s="4"/>
      <c r="S854" s="4"/>
      <c r="T854" s="4"/>
      <c r="U854" s="4"/>
    </row>
    <row r="855" spans="3:21" ht="19" x14ac:dyDescent="0.25">
      <c r="C855" s="4"/>
      <c r="D855" s="4"/>
      <c r="E855" s="4"/>
      <c r="F855" s="4"/>
      <c r="G855" s="4"/>
      <c r="H855" s="4"/>
      <c r="I855" s="4"/>
      <c r="J855" s="4"/>
      <c r="K855" s="4"/>
      <c r="L855" s="4"/>
      <c r="M855" s="4"/>
      <c r="N855" s="4"/>
      <c r="O855" s="4"/>
      <c r="P855" s="4"/>
      <c r="Q855" s="4"/>
      <c r="R855" s="4"/>
      <c r="S855" s="4"/>
      <c r="T855" s="4"/>
      <c r="U855" s="4"/>
    </row>
    <row r="856" spans="3:21" ht="19" x14ac:dyDescent="0.25">
      <c r="C856" s="4"/>
      <c r="D856" s="4"/>
      <c r="E856" s="4"/>
      <c r="F856" s="4"/>
      <c r="G856" s="4"/>
      <c r="H856" s="4"/>
      <c r="I856" s="4"/>
      <c r="J856" s="4"/>
      <c r="K856" s="4"/>
      <c r="L856" s="4"/>
      <c r="M856" s="4"/>
      <c r="N856" s="4"/>
      <c r="O856" s="4"/>
      <c r="P856" s="4"/>
      <c r="Q856" s="4"/>
      <c r="R856" s="4"/>
      <c r="S856" s="4"/>
      <c r="T856" s="4"/>
      <c r="U856" s="4"/>
    </row>
    <row r="857" spans="3:21" ht="19" x14ac:dyDescent="0.25">
      <c r="C857" s="4"/>
      <c r="D857" s="4"/>
      <c r="E857" s="4"/>
      <c r="F857" s="4"/>
      <c r="G857" s="4"/>
      <c r="H857" s="4"/>
      <c r="I857" s="4"/>
      <c r="J857" s="4"/>
      <c r="K857" s="4"/>
      <c r="L857" s="4"/>
      <c r="M857" s="4"/>
      <c r="N857" s="4"/>
      <c r="O857" s="4"/>
      <c r="P857" s="4"/>
      <c r="Q857" s="4"/>
      <c r="R857" s="4"/>
      <c r="S857" s="4"/>
      <c r="T857" s="4"/>
      <c r="U857" s="4"/>
    </row>
    <row r="858" spans="3:21" ht="19" x14ac:dyDescent="0.25">
      <c r="C858" s="4"/>
      <c r="D858" s="4"/>
      <c r="E858" s="4"/>
      <c r="F858" s="4"/>
      <c r="G858" s="4"/>
      <c r="H858" s="4"/>
      <c r="I858" s="4"/>
      <c r="J858" s="4"/>
      <c r="K858" s="4"/>
      <c r="L858" s="4"/>
      <c r="M858" s="4"/>
      <c r="N858" s="4"/>
      <c r="O858" s="4"/>
      <c r="P858" s="4"/>
      <c r="Q858" s="4"/>
      <c r="R858" s="4"/>
      <c r="S858" s="4"/>
      <c r="T858" s="4"/>
      <c r="U858" s="4"/>
    </row>
    <row r="859" spans="3:21" ht="19" x14ac:dyDescent="0.25">
      <c r="C859" s="4"/>
      <c r="D859" s="4"/>
      <c r="E859" s="4"/>
      <c r="F859" s="4"/>
      <c r="G859" s="4"/>
      <c r="H859" s="4"/>
      <c r="I859" s="4"/>
      <c r="J859" s="4"/>
      <c r="K859" s="4"/>
      <c r="L859" s="4"/>
      <c r="M859" s="4"/>
      <c r="N859" s="4"/>
      <c r="O859" s="4"/>
      <c r="P859" s="4"/>
      <c r="Q859" s="4"/>
      <c r="R859" s="4"/>
      <c r="S859" s="4"/>
      <c r="T859" s="4"/>
      <c r="U859" s="4"/>
    </row>
    <row r="860" spans="3:21" ht="19" x14ac:dyDescent="0.25">
      <c r="C860" s="4"/>
      <c r="D860" s="4"/>
      <c r="E860" s="4"/>
      <c r="F860" s="4"/>
      <c r="G860" s="4"/>
      <c r="H860" s="4"/>
      <c r="I860" s="4"/>
      <c r="J860" s="4"/>
      <c r="K860" s="4"/>
      <c r="L860" s="4"/>
      <c r="M860" s="4"/>
      <c r="N860" s="4"/>
      <c r="O860" s="4"/>
      <c r="P860" s="4"/>
      <c r="Q860" s="4"/>
      <c r="R860" s="4"/>
      <c r="S860" s="4"/>
      <c r="T860" s="4"/>
      <c r="U860" s="4"/>
    </row>
    <row r="861" spans="3:21" ht="19" x14ac:dyDescent="0.25">
      <c r="C861" s="4"/>
      <c r="D861" s="4"/>
      <c r="E861" s="4"/>
      <c r="F861" s="4"/>
      <c r="G861" s="4"/>
      <c r="H861" s="4"/>
      <c r="I861" s="4"/>
      <c r="J861" s="4"/>
      <c r="K861" s="4"/>
      <c r="L861" s="4"/>
      <c r="M861" s="4"/>
      <c r="N861" s="4"/>
      <c r="O861" s="4"/>
      <c r="P861" s="4"/>
      <c r="Q861" s="4"/>
      <c r="R861" s="4"/>
      <c r="S861" s="4"/>
      <c r="T861" s="4"/>
      <c r="U861" s="4"/>
    </row>
    <row r="862" spans="3:21" ht="19" x14ac:dyDescent="0.25">
      <c r="C862" s="4"/>
      <c r="D862" s="4"/>
      <c r="E862" s="4"/>
      <c r="F862" s="4"/>
      <c r="G862" s="4"/>
      <c r="H862" s="4"/>
      <c r="I862" s="4"/>
      <c r="J862" s="4"/>
      <c r="K862" s="4"/>
      <c r="L862" s="4"/>
      <c r="M862" s="4"/>
      <c r="N862" s="4"/>
      <c r="O862" s="4"/>
      <c r="P862" s="4"/>
      <c r="Q862" s="4"/>
      <c r="R862" s="4"/>
      <c r="S862" s="4"/>
      <c r="T862" s="4"/>
      <c r="U862" s="4"/>
    </row>
    <row r="863" spans="3:21" ht="19" x14ac:dyDescent="0.25">
      <c r="C863" s="4"/>
      <c r="D863" s="4"/>
      <c r="E863" s="4"/>
      <c r="F863" s="4"/>
      <c r="G863" s="4"/>
      <c r="H863" s="4"/>
      <c r="I863" s="4"/>
      <c r="J863" s="4"/>
      <c r="K863" s="4"/>
      <c r="L863" s="4"/>
      <c r="M863" s="4"/>
      <c r="N863" s="4"/>
      <c r="O863" s="4"/>
      <c r="P863" s="4"/>
      <c r="Q863" s="4"/>
      <c r="R863" s="4"/>
      <c r="S863" s="4"/>
      <c r="T863" s="4"/>
      <c r="U863" s="4"/>
    </row>
    <row r="864" spans="3:21" ht="19" x14ac:dyDescent="0.25">
      <c r="C864" s="4"/>
      <c r="D864" s="4"/>
      <c r="E864" s="4"/>
      <c r="F864" s="4"/>
      <c r="G864" s="4"/>
      <c r="H864" s="4"/>
      <c r="I864" s="4"/>
      <c r="J864" s="4"/>
      <c r="K864" s="4"/>
      <c r="L864" s="4"/>
      <c r="M864" s="4"/>
      <c r="N864" s="4"/>
      <c r="O864" s="4"/>
      <c r="P864" s="4"/>
      <c r="Q864" s="4"/>
      <c r="R864" s="4"/>
      <c r="S864" s="4"/>
      <c r="T864" s="4"/>
      <c r="U864" s="4"/>
    </row>
    <row r="865" spans="3:21" ht="19" x14ac:dyDescent="0.25">
      <c r="C865" s="4"/>
      <c r="D865" s="4"/>
      <c r="E865" s="4"/>
      <c r="F865" s="4"/>
      <c r="G865" s="4"/>
      <c r="H865" s="4"/>
      <c r="I865" s="4"/>
      <c r="J865" s="4"/>
      <c r="K865" s="4"/>
      <c r="L865" s="4"/>
      <c r="M865" s="4"/>
      <c r="N865" s="4"/>
      <c r="O865" s="4"/>
      <c r="P865" s="4"/>
      <c r="Q865" s="4"/>
      <c r="R865" s="4"/>
      <c r="S865" s="4"/>
      <c r="T865" s="4"/>
      <c r="U865" s="4"/>
    </row>
    <row r="866" spans="3:21" ht="19" x14ac:dyDescent="0.25">
      <c r="C866" s="4"/>
      <c r="D866" s="4"/>
      <c r="E866" s="4"/>
      <c r="F866" s="4"/>
      <c r="G866" s="4"/>
      <c r="H866" s="4"/>
      <c r="I866" s="4"/>
      <c r="J866" s="4"/>
      <c r="K866" s="4"/>
      <c r="L866" s="4"/>
      <c r="M866" s="4"/>
      <c r="N866" s="4"/>
      <c r="O866" s="4"/>
      <c r="P866" s="4"/>
      <c r="Q866" s="4"/>
      <c r="R866" s="4"/>
      <c r="S866" s="4"/>
      <c r="T866" s="4"/>
      <c r="U866" s="4"/>
    </row>
    <row r="867" spans="3:21" ht="19" x14ac:dyDescent="0.25">
      <c r="C867" s="4"/>
      <c r="D867" s="4"/>
      <c r="E867" s="4"/>
      <c r="F867" s="4"/>
      <c r="G867" s="4"/>
      <c r="H867" s="4"/>
      <c r="I867" s="4"/>
      <c r="J867" s="4"/>
      <c r="K867" s="4"/>
      <c r="L867" s="4"/>
      <c r="M867" s="4"/>
      <c r="N867" s="4"/>
      <c r="O867" s="4"/>
      <c r="P867" s="4"/>
      <c r="Q867" s="4"/>
      <c r="R867" s="4"/>
      <c r="S867" s="4"/>
      <c r="T867" s="4"/>
      <c r="U867" s="4"/>
    </row>
    <row r="868" spans="3:21" ht="19" x14ac:dyDescent="0.25">
      <c r="C868" s="4"/>
      <c r="D868" s="4"/>
      <c r="E868" s="4"/>
      <c r="F868" s="4"/>
      <c r="G868" s="4"/>
      <c r="H868" s="4"/>
      <c r="I868" s="4"/>
      <c r="J868" s="4"/>
      <c r="K868" s="4"/>
      <c r="L868" s="4"/>
      <c r="M868" s="4"/>
      <c r="N868" s="4"/>
      <c r="O868" s="4"/>
      <c r="P868" s="4"/>
      <c r="Q868" s="4"/>
      <c r="R868" s="4"/>
      <c r="S868" s="4"/>
      <c r="T868" s="4"/>
      <c r="U868" s="4"/>
    </row>
    <row r="869" spans="3:21" ht="19" x14ac:dyDescent="0.25">
      <c r="C869" s="4"/>
      <c r="D869" s="4"/>
      <c r="E869" s="4"/>
      <c r="F869" s="4"/>
      <c r="G869" s="4"/>
      <c r="H869" s="4"/>
      <c r="I869" s="4"/>
      <c r="J869" s="4"/>
      <c r="K869" s="4"/>
      <c r="L869" s="4"/>
      <c r="M869" s="4"/>
      <c r="N869" s="4"/>
      <c r="O869" s="4"/>
      <c r="P869" s="4"/>
      <c r="Q869" s="4"/>
      <c r="R869" s="4"/>
      <c r="S869" s="4"/>
      <c r="T869" s="4"/>
      <c r="U869" s="4"/>
    </row>
    <row r="870" spans="3:21" ht="19" x14ac:dyDescent="0.25">
      <c r="C870" s="4"/>
      <c r="D870" s="4"/>
      <c r="E870" s="4"/>
      <c r="F870" s="4"/>
      <c r="G870" s="4"/>
      <c r="H870" s="4"/>
      <c r="I870" s="4"/>
      <c r="J870" s="4"/>
      <c r="K870" s="4"/>
      <c r="L870" s="4"/>
      <c r="M870" s="4"/>
      <c r="N870" s="4"/>
      <c r="O870" s="4"/>
      <c r="P870" s="4"/>
      <c r="Q870" s="4"/>
      <c r="R870" s="4"/>
      <c r="S870" s="4"/>
      <c r="T870" s="4"/>
      <c r="U870" s="4"/>
    </row>
    <row r="871" spans="3:21" ht="19" x14ac:dyDescent="0.25">
      <c r="C871" s="4"/>
      <c r="D871" s="4"/>
      <c r="E871" s="4"/>
      <c r="F871" s="4"/>
      <c r="G871" s="4"/>
      <c r="H871" s="4"/>
      <c r="I871" s="4"/>
      <c r="J871" s="4"/>
      <c r="K871" s="4"/>
      <c r="L871" s="4"/>
      <c r="M871" s="4"/>
      <c r="N871" s="4"/>
      <c r="O871" s="4"/>
      <c r="P871" s="4"/>
      <c r="Q871" s="4"/>
      <c r="R871" s="4"/>
      <c r="S871" s="4"/>
      <c r="T871" s="4"/>
      <c r="U871" s="4"/>
    </row>
    <row r="872" spans="3:21" ht="19" x14ac:dyDescent="0.25">
      <c r="C872" s="4"/>
      <c r="D872" s="4"/>
      <c r="E872" s="4"/>
      <c r="F872" s="4"/>
      <c r="G872" s="4"/>
      <c r="H872" s="4"/>
      <c r="I872" s="4"/>
      <c r="J872" s="4"/>
      <c r="K872" s="4"/>
      <c r="L872" s="4"/>
      <c r="M872" s="4"/>
      <c r="N872" s="4"/>
      <c r="O872" s="4"/>
      <c r="P872" s="4"/>
      <c r="Q872" s="4"/>
      <c r="R872" s="4"/>
      <c r="S872" s="4"/>
      <c r="T872" s="4"/>
      <c r="U872" s="4"/>
    </row>
    <row r="873" spans="3:21" ht="19" x14ac:dyDescent="0.25">
      <c r="C873" s="4"/>
      <c r="D873" s="4"/>
      <c r="E873" s="4"/>
      <c r="F873" s="4"/>
      <c r="G873" s="4"/>
      <c r="H873" s="4"/>
      <c r="I873" s="4"/>
      <c r="J873" s="4"/>
      <c r="K873" s="4"/>
      <c r="L873" s="4"/>
      <c r="M873" s="4"/>
      <c r="N873" s="4"/>
      <c r="O873" s="4"/>
      <c r="P873" s="4"/>
      <c r="Q873" s="4"/>
      <c r="R873" s="4"/>
      <c r="S873" s="4"/>
      <c r="T873" s="4"/>
      <c r="U873" s="4"/>
    </row>
    <row r="874" spans="3:21" ht="19" x14ac:dyDescent="0.25">
      <c r="C874" s="4"/>
      <c r="D874" s="4"/>
      <c r="E874" s="4"/>
      <c r="F874" s="4"/>
      <c r="G874" s="4"/>
      <c r="H874" s="4"/>
      <c r="I874" s="4"/>
      <c r="J874" s="4"/>
      <c r="K874" s="4"/>
      <c r="L874" s="4"/>
      <c r="M874" s="4"/>
      <c r="N874" s="4"/>
      <c r="O874" s="4"/>
      <c r="P874" s="4"/>
      <c r="Q874" s="4"/>
      <c r="R874" s="4"/>
      <c r="S874" s="4"/>
      <c r="T874" s="4"/>
      <c r="U874" s="4"/>
    </row>
    <row r="875" spans="3:21" ht="19" x14ac:dyDescent="0.25">
      <c r="C875" s="4"/>
      <c r="D875" s="4"/>
      <c r="E875" s="4"/>
      <c r="F875" s="4"/>
      <c r="G875" s="4"/>
      <c r="H875" s="4"/>
      <c r="I875" s="4"/>
      <c r="J875" s="4"/>
      <c r="K875" s="4"/>
      <c r="L875" s="4"/>
      <c r="M875" s="4"/>
      <c r="N875" s="4"/>
      <c r="O875" s="4"/>
      <c r="P875" s="4"/>
      <c r="Q875" s="4"/>
      <c r="R875" s="4"/>
      <c r="S875" s="4"/>
      <c r="T875" s="4"/>
      <c r="U875" s="4"/>
    </row>
    <row r="876" spans="3:21" ht="19" x14ac:dyDescent="0.25">
      <c r="C876" s="4"/>
      <c r="D876" s="4"/>
      <c r="E876" s="4"/>
      <c r="F876" s="4"/>
      <c r="G876" s="4"/>
      <c r="H876" s="4"/>
      <c r="I876" s="4"/>
      <c r="J876" s="4"/>
      <c r="K876" s="4"/>
      <c r="L876" s="4"/>
      <c r="M876" s="4"/>
      <c r="N876" s="4"/>
      <c r="O876" s="4"/>
      <c r="P876" s="4"/>
      <c r="Q876" s="4"/>
      <c r="R876" s="4"/>
      <c r="S876" s="4"/>
      <c r="T876" s="4"/>
      <c r="U876" s="4"/>
    </row>
    <row r="877" spans="3:21" ht="19" x14ac:dyDescent="0.25">
      <c r="C877" s="4"/>
      <c r="D877" s="4"/>
      <c r="E877" s="4"/>
      <c r="F877" s="4"/>
      <c r="G877" s="4"/>
      <c r="H877" s="4"/>
      <c r="I877" s="4"/>
      <c r="J877" s="4"/>
      <c r="K877" s="4"/>
      <c r="L877" s="4"/>
      <c r="M877" s="4"/>
      <c r="N877" s="4"/>
      <c r="O877" s="4"/>
      <c r="P877" s="4"/>
      <c r="Q877" s="4"/>
      <c r="R877" s="4"/>
      <c r="S877" s="4"/>
      <c r="T877" s="4"/>
      <c r="U877" s="4"/>
    </row>
    <row r="878" spans="3:21" ht="19" x14ac:dyDescent="0.25">
      <c r="C878" s="4"/>
      <c r="D878" s="4"/>
      <c r="E878" s="4"/>
      <c r="F878" s="4"/>
      <c r="G878" s="4"/>
      <c r="H878" s="4"/>
      <c r="I878" s="4"/>
      <c r="J878" s="4"/>
      <c r="K878" s="4"/>
      <c r="L878" s="4"/>
      <c r="M878" s="4"/>
      <c r="N878" s="4"/>
      <c r="O878" s="4"/>
      <c r="P878" s="4"/>
      <c r="Q878" s="4"/>
      <c r="R878" s="4"/>
      <c r="S878" s="4"/>
      <c r="T878" s="4"/>
      <c r="U878" s="4"/>
    </row>
    <row r="879" spans="3:21" ht="19" x14ac:dyDescent="0.25">
      <c r="C879" s="4"/>
      <c r="D879" s="4"/>
      <c r="E879" s="4"/>
      <c r="F879" s="4"/>
      <c r="G879" s="4"/>
      <c r="H879" s="4"/>
      <c r="I879" s="4"/>
      <c r="J879" s="4"/>
      <c r="K879" s="4"/>
      <c r="L879" s="4"/>
      <c r="M879" s="4"/>
      <c r="N879" s="4"/>
      <c r="O879" s="4"/>
      <c r="P879" s="4"/>
      <c r="Q879" s="4"/>
      <c r="R879" s="4"/>
      <c r="S879" s="4"/>
      <c r="T879" s="4"/>
      <c r="U879" s="4"/>
    </row>
    <row r="880" spans="3:21" ht="19" x14ac:dyDescent="0.25">
      <c r="C880" s="4"/>
      <c r="D880" s="4"/>
      <c r="E880" s="4"/>
      <c r="F880" s="4"/>
      <c r="G880" s="4"/>
      <c r="H880" s="4"/>
      <c r="I880" s="4"/>
      <c r="J880" s="4"/>
      <c r="K880" s="4"/>
      <c r="L880" s="4"/>
      <c r="M880" s="4"/>
      <c r="N880" s="4"/>
      <c r="O880" s="4"/>
      <c r="P880" s="4"/>
      <c r="Q880" s="4"/>
      <c r="R880" s="4"/>
      <c r="S880" s="4"/>
      <c r="T880" s="4"/>
      <c r="U880" s="4"/>
    </row>
    <row r="881" spans="3:21" ht="19" x14ac:dyDescent="0.25">
      <c r="C881" s="4"/>
      <c r="D881" s="4"/>
      <c r="E881" s="4"/>
      <c r="F881" s="4"/>
      <c r="G881" s="4"/>
      <c r="H881" s="4"/>
      <c r="I881" s="4"/>
      <c r="J881" s="4"/>
      <c r="K881" s="4"/>
      <c r="L881" s="4"/>
      <c r="M881" s="4"/>
      <c r="N881" s="4"/>
      <c r="O881" s="4"/>
      <c r="P881" s="4"/>
      <c r="Q881" s="4"/>
      <c r="R881" s="4"/>
      <c r="S881" s="4"/>
      <c r="T881" s="4"/>
      <c r="U881" s="4"/>
    </row>
    <row r="882" spans="3:21" ht="19" x14ac:dyDescent="0.25">
      <c r="C882" s="4"/>
      <c r="D882" s="4"/>
      <c r="E882" s="4"/>
      <c r="F882" s="4"/>
      <c r="G882" s="4"/>
      <c r="H882" s="4"/>
      <c r="I882" s="4"/>
      <c r="J882" s="4"/>
      <c r="K882" s="4"/>
      <c r="L882" s="4"/>
      <c r="M882" s="4"/>
      <c r="N882" s="4"/>
      <c r="O882" s="4"/>
      <c r="P882" s="4"/>
      <c r="Q882" s="4"/>
      <c r="R882" s="4"/>
      <c r="S882" s="4"/>
      <c r="T882" s="4"/>
      <c r="U882" s="4"/>
    </row>
    <row r="883" spans="3:21" ht="19" x14ac:dyDescent="0.25">
      <c r="C883" s="4"/>
      <c r="D883" s="4"/>
      <c r="E883" s="4"/>
      <c r="F883" s="4"/>
      <c r="G883" s="4"/>
      <c r="H883" s="4"/>
      <c r="I883" s="4"/>
      <c r="J883" s="4"/>
      <c r="K883" s="4"/>
      <c r="L883" s="4"/>
      <c r="M883" s="4"/>
      <c r="N883" s="4"/>
      <c r="O883" s="4"/>
      <c r="P883" s="4"/>
      <c r="Q883" s="4"/>
      <c r="R883" s="4"/>
      <c r="S883" s="4"/>
      <c r="T883" s="4"/>
      <c r="U883" s="4"/>
    </row>
    <row r="884" spans="3:21" ht="19" x14ac:dyDescent="0.25">
      <c r="C884" s="4"/>
      <c r="D884" s="4"/>
      <c r="E884" s="4"/>
      <c r="F884" s="4"/>
      <c r="G884" s="4"/>
      <c r="H884" s="4"/>
      <c r="I884" s="4"/>
      <c r="J884" s="4"/>
      <c r="K884" s="4"/>
      <c r="L884" s="4"/>
      <c r="M884" s="4"/>
      <c r="N884" s="4"/>
      <c r="O884" s="4"/>
      <c r="P884" s="4"/>
      <c r="Q884" s="4"/>
      <c r="R884" s="4"/>
      <c r="S884" s="4"/>
      <c r="T884" s="4"/>
      <c r="U884" s="4"/>
    </row>
    <row r="885" spans="3:21" ht="19" x14ac:dyDescent="0.25">
      <c r="C885" s="4"/>
      <c r="D885" s="4"/>
      <c r="E885" s="4"/>
      <c r="F885" s="4"/>
      <c r="G885" s="4"/>
      <c r="H885" s="4"/>
      <c r="I885" s="4"/>
      <c r="J885" s="4"/>
      <c r="K885" s="4"/>
      <c r="L885" s="4"/>
      <c r="M885" s="4"/>
      <c r="N885" s="4"/>
      <c r="O885" s="4"/>
      <c r="P885" s="4"/>
      <c r="Q885" s="4"/>
      <c r="R885" s="4"/>
      <c r="S885" s="4"/>
      <c r="T885" s="4"/>
      <c r="U885" s="4"/>
    </row>
    <row r="886" spans="3:21" ht="19" x14ac:dyDescent="0.25">
      <c r="C886" s="4"/>
      <c r="D886" s="4"/>
      <c r="E886" s="4"/>
      <c r="F886" s="4"/>
      <c r="G886" s="4"/>
      <c r="H886" s="4"/>
      <c r="I886" s="4"/>
      <c r="J886" s="4"/>
      <c r="K886" s="4"/>
      <c r="L886" s="4"/>
      <c r="M886" s="4"/>
      <c r="N886" s="4"/>
      <c r="O886" s="4"/>
      <c r="P886" s="4"/>
      <c r="Q886" s="4"/>
      <c r="R886" s="4"/>
      <c r="S886" s="4"/>
      <c r="T886" s="4"/>
      <c r="U886" s="4"/>
    </row>
    <row r="887" spans="3:21" ht="19" x14ac:dyDescent="0.25">
      <c r="C887" s="4"/>
      <c r="D887" s="4"/>
      <c r="E887" s="4"/>
      <c r="F887" s="4"/>
      <c r="G887" s="4"/>
      <c r="H887" s="4"/>
      <c r="I887" s="4"/>
      <c r="J887" s="4"/>
      <c r="K887" s="4"/>
      <c r="L887" s="4"/>
      <c r="M887" s="4"/>
      <c r="N887" s="4"/>
      <c r="O887" s="4"/>
      <c r="P887" s="4"/>
      <c r="Q887" s="4"/>
      <c r="R887" s="4"/>
      <c r="S887" s="4"/>
      <c r="T887" s="4"/>
      <c r="U887" s="4"/>
    </row>
    <row r="888" spans="3:21" ht="19" x14ac:dyDescent="0.25">
      <c r="C888" s="4"/>
      <c r="D888" s="4"/>
      <c r="E888" s="4"/>
      <c r="F888" s="4"/>
      <c r="G888" s="4"/>
      <c r="H888" s="4"/>
      <c r="I888" s="4"/>
      <c r="J888" s="4"/>
      <c r="K888" s="4"/>
      <c r="L888" s="4"/>
      <c r="M888" s="4"/>
      <c r="N888" s="4"/>
      <c r="O888" s="4"/>
      <c r="P888" s="4"/>
      <c r="Q888" s="4"/>
      <c r="R888" s="4"/>
      <c r="S888" s="4"/>
      <c r="T888" s="4"/>
      <c r="U888" s="4"/>
    </row>
    <row r="889" spans="3:21" ht="19" x14ac:dyDescent="0.25">
      <c r="C889" s="4"/>
      <c r="D889" s="4"/>
      <c r="E889" s="4"/>
      <c r="F889" s="4"/>
      <c r="G889" s="4"/>
      <c r="H889" s="4"/>
      <c r="I889" s="4"/>
      <c r="J889" s="4"/>
      <c r="K889" s="4"/>
      <c r="L889" s="4"/>
      <c r="M889" s="4"/>
      <c r="N889" s="4"/>
      <c r="O889" s="4"/>
      <c r="P889" s="4"/>
      <c r="Q889" s="4"/>
      <c r="R889" s="4"/>
      <c r="S889" s="4"/>
      <c r="T889" s="4"/>
      <c r="U889" s="4"/>
    </row>
    <row r="890" spans="3:21" ht="19" x14ac:dyDescent="0.25">
      <c r="C890" s="4"/>
      <c r="D890" s="4"/>
      <c r="E890" s="4"/>
      <c r="F890" s="4"/>
      <c r="G890" s="4"/>
      <c r="H890" s="4"/>
      <c r="I890" s="4"/>
      <c r="J890" s="4"/>
      <c r="K890" s="4"/>
      <c r="L890" s="4"/>
      <c r="M890" s="4"/>
      <c r="N890" s="4"/>
      <c r="O890" s="4"/>
      <c r="P890" s="4"/>
      <c r="Q890" s="4"/>
      <c r="R890" s="4"/>
      <c r="S890" s="4"/>
      <c r="T890" s="4"/>
      <c r="U890" s="4"/>
    </row>
    <row r="891" spans="3:21" ht="19" x14ac:dyDescent="0.25">
      <c r="C891" s="4"/>
      <c r="D891" s="4"/>
      <c r="E891" s="4"/>
      <c r="F891" s="4"/>
      <c r="G891" s="4"/>
      <c r="H891" s="4"/>
      <c r="I891" s="4"/>
      <c r="J891" s="4"/>
      <c r="K891" s="4"/>
      <c r="L891" s="4"/>
      <c r="M891" s="4"/>
      <c r="N891" s="4"/>
      <c r="O891" s="4"/>
      <c r="P891" s="4"/>
      <c r="Q891" s="4"/>
      <c r="R891" s="4"/>
      <c r="S891" s="4"/>
      <c r="T891" s="4"/>
      <c r="U891" s="4"/>
    </row>
    <row r="892" spans="3:21" ht="19" x14ac:dyDescent="0.25">
      <c r="C892" s="4"/>
      <c r="D892" s="4"/>
      <c r="E892" s="4"/>
      <c r="F892" s="4"/>
      <c r="G892" s="4"/>
      <c r="H892" s="4"/>
      <c r="I892" s="4"/>
      <c r="J892" s="4"/>
      <c r="K892" s="4"/>
      <c r="L892" s="4"/>
      <c r="M892" s="4"/>
      <c r="N892" s="4"/>
      <c r="O892" s="4"/>
      <c r="P892" s="4"/>
      <c r="Q892" s="4"/>
      <c r="R892" s="4"/>
      <c r="S892" s="4"/>
      <c r="T892" s="4"/>
      <c r="U892" s="4"/>
    </row>
    <row r="893" spans="3:21" ht="19" x14ac:dyDescent="0.25">
      <c r="C893" s="4"/>
      <c r="D893" s="4"/>
      <c r="E893" s="4"/>
      <c r="F893" s="4"/>
      <c r="G893" s="4"/>
      <c r="H893" s="4"/>
      <c r="I893" s="4"/>
      <c r="J893" s="4"/>
      <c r="K893" s="4"/>
      <c r="L893" s="4"/>
      <c r="M893" s="4"/>
      <c r="N893" s="4"/>
      <c r="O893" s="4"/>
      <c r="P893" s="4"/>
      <c r="Q893" s="4"/>
      <c r="R893" s="4"/>
      <c r="S893" s="4"/>
      <c r="T893" s="4"/>
      <c r="U893" s="4"/>
    </row>
    <row r="894" spans="3:21" ht="19" x14ac:dyDescent="0.25">
      <c r="C894" s="4"/>
      <c r="D894" s="4"/>
      <c r="E894" s="4"/>
      <c r="F894" s="4"/>
      <c r="G894" s="4"/>
      <c r="H894" s="4"/>
      <c r="I894" s="4"/>
      <c r="J894" s="4"/>
      <c r="K894" s="4"/>
      <c r="L894" s="4"/>
      <c r="M894" s="4"/>
      <c r="N894" s="4"/>
      <c r="O894" s="4"/>
      <c r="P894" s="4"/>
      <c r="Q894" s="4"/>
      <c r="R894" s="4"/>
      <c r="S894" s="4"/>
      <c r="T894" s="4"/>
      <c r="U894" s="4"/>
    </row>
    <row r="895" spans="3:21" ht="19" x14ac:dyDescent="0.25">
      <c r="C895" s="4"/>
      <c r="D895" s="4"/>
      <c r="E895" s="4"/>
      <c r="F895" s="4"/>
      <c r="G895" s="4"/>
      <c r="H895" s="4"/>
      <c r="I895" s="4"/>
      <c r="J895" s="4"/>
      <c r="K895" s="4"/>
      <c r="L895" s="4"/>
      <c r="M895" s="4"/>
      <c r="N895" s="4"/>
      <c r="O895" s="4"/>
      <c r="P895" s="4"/>
      <c r="Q895" s="4"/>
      <c r="R895" s="4"/>
      <c r="S895" s="4"/>
      <c r="T895" s="4"/>
      <c r="U895" s="4"/>
    </row>
    <row r="896" spans="3:21" ht="19" x14ac:dyDescent="0.25">
      <c r="C896" s="4"/>
      <c r="D896" s="4"/>
      <c r="E896" s="4"/>
      <c r="F896" s="4"/>
      <c r="G896" s="4"/>
      <c r="H896" s="4"/>
      <c r="I896" s="4"/>
      <c r="J896" s="4"/>
      <c r="K896" s="4"/>
      <c r="L896" s="4"/>
      <c r="M896" s="4"/>
      <c r="N896" s="4"/>
      <c r="O896" s="4"/>
      <c r="P896" s="4"/>
      <c r="Q896" s="4"/>
      <c r="R896" s="4"/>
      <c r="S896" s="4"/>
      <c r="T896" s="4"/>
      <c r="U896" s="4"/>
    </row>
    <row r="897" spans="3:21" ht="19" x14ac:dyDescent="0.25">
      <c r="C897" s="4"/>
      <c r="D897" s="4"/>
      <c r="E897" s="4"/>
      <c r="F897" s="4"/>
      <c r="G897" s="4"/>
      <c r="H897" s="4"/>
      <c r="I897" s="4"/>
      <c r="J897" s="4"/>
      <c r="K897" s="4"/>
      <c r="L897" s="4"/>
      <c r="M897" s="4"/>
      <c r="N897" s="4"/>
      <c r="O897" s="4"/>
      <c r="P897" s="4"/>
      <c r="Q897" s="4"/>
      <c r="R897" s="4"/>
      <c r="S897" s="4"/>
      <c r="T897" s="4"/>
      <c r="U897" s="4"/>
    </row>
    <row r="898" spans="3:21" ht="19" x14ac:dyDescent="0.25">
      <c r="C898" s="4"/>
      <c r="D898" s="4"/>
      <c r="E898" s="4"/>
      <c r="F898" s="4"/>
      <c r="G898" s="4"/>
      <c r="H898" s="4"/>
      <c r="I898" s="4"/>
      <c r="J898" s="4"/>
      <c r="K898" s="4"/>
      <c r="L898" s="4"/>
      <c r="M898" s="4"/>
      <c r="N898" s="4"/>
      <c r="O898" s="4"/>
      <c r="P898" s="4"/>
      <c r="Q898" s="4"/>
      <c r="R898" s="4"/>
      <c r="S898" s="4"/>
      <c r="T898" s="4"/>
      <c r="U898" s="4"/>
    </row>
    <row r="899" spans="3:21" ht="19" x14ac:dyDescent="0.25">
      <c r="C899" s="4"/>
      <c r="D899" s="4"/>
      <c r="E899" s="4"/>
      <c r="F899" s="4"/>
      <c r="G899" s="4"/>
      <c r="H899" s="4"/>
      <c r="I899" s="4"/>
      <c r="J899" s="4"/>
      <c r="K899" s="4"/>
      <c r="L899" s="4"/>
      <c r="M899" s="4"/>
      <c r="N899" s="4"/>
      <c r="O899" s="4"/>
      <c r="P899" s="4"/>
      <c r="Q899" s="4"/>
      <c r="R899" s="4"/>
      <c r="S899" s="4"/>
      <c r="T899" s="4"/>
      <c r="U899" s="4"/>
    </row>
    <row r="900" spans="3:21" ht="19" x14ac:dyDescent="0.25">
      <c r="C900" s="4"/>
      <c r="D900" s="4"/>
      <c r="E900" s="4"/>
      <c r="F900" s="4"/>
      <c r="G900" s="4"/>
      <c r="H900" s="4"/>
      <c r="I900" s="4"/>
      <c r="J900" s="4"/>
      <c r="K900" s="4"/>
      <c r="L900" s="4"/>
      <c r="M900" s="4"/>
      <c r="N900" s="4"/>
      <c r="O900" s="4"/>
      <c r="P900" s="4"/>
      <c r="Q900" s="4"/>
      <c r="R900" s="4"/>
      <c r="S900" s="4"/>
      <c r="T900" s="4"/>
      <c r="U900" s="4"/>
    </row>
    <row r="901" spans="3:21" ht="19" x14ac:dyDescent="0.25">
      <c r="C901" s="4"/>
      <c r="D901" s="4"/>
      <c r="E901" s="4"/>
      <c r="F901" s="4"/>
      <c r="G901" s="4"/>
      <c r="H901" s="4"/>
      <c r="I901" s="4"/>
      <c r="J901" s="4"/>
      <c r="K901" s="4"/>
      <c r="L901" s="4"/>
      <c r="M901" s="4"/>
      <c r="N901" s="4"/>
      <c r="O901" s="4"/>
      <c r="P901" s="4"/>
      <c r="Q901" s="4"/>
      <c r="R901" s="4"/>
      <c r="S901" s="4"/>
      <c r="T901" s="4"/>
      <c r="U901" s="4"/>
    </row>
    <row r="902" spans="3:21" ht="19" x14ac:dyDescent="0.25">
      <c r="C902" s="4"/>
      <c r="D902" s="4"/>
      <c r="E902" s="4"/>
      <c r="F902" s="4"/>
      <c r="G902" s="4"/>
      <c r="H902" s="4"/>
      <c r="I902" s="4"/>
      <c r="J902" s="4"/>
      <c r="K902" s="4"/>
      <c r="L902" s="4"/>
      <c r="M902" s="4"/>
      <c r="N902" s="4"/>
      <c r="O902" s="4"/>
      <c r="P902" s="4"/>
      <c r="Q902" s="4"/>
      <c r="R902" s="4"/>
      <c r="S902" s="4"/>
      <c r="T902" s="4"/>
      <c r="U902" s="4"/>
    </row>
    <row r="903" spans="3:21" ht="19" x14ac:dyDescent="0.25">
      <c r="C903" s="4"/>
      <c r="D903" s="4"/>
      <c r="E903" s="4"/>
      <c r="F903" s="4"/>
      <c r="G903" s="4"/>
      <c r="H903" s="4"/>
      <c r="I903" s="4"/>
      <c r="J903" s="4"/>
      <c r="K903" s="4"/>
      <c r="L903" s="4"/>
      <c r="M903" s="4"/>
      <c r="N903" s="4"/>
      <c r="O903" s="4"/>
      <c r="P903" s="4"/>
      <c r="Q903" s="4"/>
      <c r="R903" s="4"/>
      <c r="S903" s="4"/>
      <c r="T903" s="4"/>
      <c r="U903" s="4"/>
    </row>
    <row r="904" spans="3:21" ht="19" x14ac:dyDescent="0.25">
      <c r="C904" s="4"/>
      <c r="D904" s="4"/>
      <c r="E904" s="4"/>
      <c r="F904" s="4"/>
      <c r="G904" s="4"/>
      <c r="H904" s="4"/>
      <c r="I904" s="4"/>
      <c r="J904" s="4"/>
      <c r="K904" s="4"/>
      <c r="L904" s="4"/>
      <c r="M904" s="4"/>
      <c r="N904" s="4"/>
      <c r="O904" s="4"/>
      <c r="P904" s="4"/>
      <c r="Q904" s="4"/>
      <c r="R904" s="4"/>
      <c r="S904" s="4"/>
      <c r="T904" s="4"/>
      <c r="U904" s="4"/>
    </row>
    <row r="905" spans="3:21" ht="19" x14ac:dyDescent="0.25">
      <c r="C905" s="4"/>
      <c r="D905" s="4"/>
      <c r="E905" s="4"/>
      <c r="F905" s="4"/>
      <c r="G905" s="4"/>
      <c r="H905" s="4"/>
      <c r="I905" s="4"/>
      <c r="J905" s="4"/>
      <c r="K905" s="4"/>
      <c r="L905" s="4"/>
      <c r="M905" s="4"/>
      <c r="N905" s="4"/>
      <c r="O905" s="4"/>
      <c r="P905" s="4"/>
      <c r="Q905" s="4"/>
      <c r="R905" s="4"/>
      <c r="S905" s="4"/>
      <c r="T905" s="4"/>
      <c r="U905" s="4"/>
    </row>
    <row r="906" spans="3:21" ht="19" x14ac:dyDescent="0.25">
      <c r="C906" s="4"/>
      <c r="D906" s="4"/>
      <c r="E906" s="4"/>
      <c r="F906" s="4"/>
      <c r="G906" s="4"/>
      <c r="H906" s="4"/>
      <c r="I906" s="4"/>
      <c r="J906" s="4"/>
      <c r="K906" s="4"/>
      <c r="L906" s="4"/>
      <c r="M906" s="4"/>
      <c r="N906" s="4"/>
      <c r="O906" s="4"/>
      <c r="P906" s="4"/>
      <c r="Q906" s="4"/>
      <c r="R906" s="4"/>
      <c r="S906" s="4"/>
      <c r="T906" s="4"/>
      <c r="U906" s="4"/>
    </row>
    <row r="907" spans="3:21" ht="19" x14ac:dyDescent="0.25">
      <c r="C907" s="4"/>
      <c r="D907" s="4"/>
      <c r="E907" s="4"/>
      <c r="F907" s="4"/>
      <c r="G907" s="4"/>
      <c r="H907" s="4"/>
      <c r="I907" s="4"/>
      <c r="J907" s="4"/>
      <c r="K907" s="4"/>
      <c r="L907" s="4"/>
      <c r="M907" s="4"/>
      <c r="N907" s="4"/>
      <c r="O907" s="4"/>
      <c r="P907" s="4"/>
      <c r="Q907" s="4"/>
      <c r="R907" s="4"/>
      <c r="S907" s="4"/>
      <c r="T907" s="4"/>
      <c r="U907" s="4"/>
    </row>
    <row r="908" spans="3:21" ht="19" x14ac:dyDescent="0.25">
      <c r="C908" s="4"/>
      <c r="D908" s="4"/>
      <c r="E908" s="4"/>
      <c r="F908" s="4"/>
      <c r="G908" s="4"/>
      <c r="H908" s="4"/>
      <c r="I908" s="4"/>
      <c r="J908" s="4"/>
      <c r="K908" s="4"/>
      <c r="L908" s="4"/>
      <c r="M908" s="4"/>
      <c r="N908" s="4"/>
      <c r="O908" s="4"/>
      <c r="P908" s="4"/>
      <c r="Q908" s="4"/>
      <c r="R908" s="4"/>
      <c r="S908" s="4"/>
      <c r="T908" s="4"/>
      <c r="U908" s="4"/>
    </row>
    <row r="909" spans="3:21" ht="19" x14ac:dyDescent="0.25">
      <c r="C909" s="4"/>
      <c r="D909" s="4"/>
      <c r="E909" s="4"/>
      <c r="F909" s="4"/>
      <c r="G909" s="4"/>
      <c r="H909" s="4"/>
      <c r="I909" s="4"/>
      <c r="J909" s="4"/>
      <c r="K909" s="4"/>
      <c r="L909" s="4"/>
      <c r="M909" s="4"/>
      <c r="N909" s="4"/>
      <c r="O909" s="4"/>
      <c r="P909" s="4"/>
      <c r="Q909" s="4"/>
      <c r="R909" s="4"/>
      <c r="S909" s="4"/>
      <c r="T909" s="4"/>
      <c r="U909" s="4"/>
    </row>
    <row r="910" spans="3:21" ht="19" x14ac:dyDescent="0.25">
      <c r="C910" s="4"/>
      <c r="D910" s="4"/>
      <c r="E910" s="4"/>
      <c r="F910" s="4"/>
      <c r="G910" s="4"/>
      <c r="H910" s="4"/>
      <c r="I910" s="4"/>
      <c r="J910" s="4"/>
      <c r="K910" s="4"/>
      <c r="L910" s="4"/>
      <c r="M910" s="4"/>
      <c r="N910" s="4"/>
      <c r="O910" s="4"/>
      <c r="P910" s="4"/>
      <c r="Q910" s="4"/>
      <c r="R910" s="4"/>
      <c r="S910" s="4"/>
      <c r="T910" s="4"/>
      <c r="U910" s="4"/>
    </row>
    <row r="911" spans="3:21" ht="19" x14ac:dyDescent="0.25">
      <c r="C911" s="4"/>
      <c r="D911" s="4"/>
      <c r="E911" s="4"/>
      <c r="F911" s="4"/>
      <c r="G911" s="4"/>
      <c r="H911" s="4"/>
      <c r="I911" s="4"/>
      <c r="J911" s="4"/>
      <c r="K911" s="4"/>
      <c r="L911" s="4"/>
      <c r="M911" s="4"/>
      <c r="N911" s="4"/>
      <c r="O911" s="4"/>
      <c r="P911" s="4"/>
      <c r="Q911" s="4"/>
      <c r="R911" s="4"/>
      <c r="S911" s="4"/>
      <c r="T911" s="4"/>
      <c r="U911" s="4"/>
    </row>
    <row r="912" spans="3:21" ht="19" x14ac:dyDescent="0.25">
      <c r="C912" s="4"/>
      <c r="D912" s="4"/>
      <c r="E912" s="4"/>
      <c r="F912" s="4"/>
      <c r="G912" s="4"/>
      <c r="H912" s="4"/>
      <c r="I912" s="4"/>
      <c r="J912" s="4"/>
      <c r="K912" s="4"/>
      <c r="L912" s="4"/>
      <c r="M912" s="4"/>
      <c r="N912" s="4"/>
      <c r="O912" s="4"/>
      <c r="P912" s="4"/>
      <c r="Q912" s="4"/>
      <c r="R912" s="4"/>
      <c r="S912" s="4"/>
      <c r="T912" s="4"/>
      <c r="U912" s="4"/>
    </row>
    <row r="913" spans="3:21" ht="19" x14ac:dyDescent="0.25">
      <c r="C913" s="4"/>
      <c r="D913" s="4"/>
      <c r="E913" s="4"/>
      <c r="F913" s="4"/>
      <c r="G913" s="4"/>
      <c r="H913" s="4"/>
      <c r="I913" s="4"/>
      <c r="J913" s="4"/>
      <c r="K913" s="4"/>
      <c r="L913" s="4"/>
      <c r="M913" s="4"/>
      <c r="N913" s="4"/>
      <c r="O913" s="4"/>
      <c r="P913" s="4"/>
      <c r="Q913" s="4"/>
      <c r="R913" s="4"/>
      <c r="S913" s="4"/>
      <c r="T913" s="4"/>
      <c r="U913" s="4"/>
    </row>
    <row r="914" spans="3:21" ht="19" x14ac:dyDescent="0.25">
      <c r="C914" s="4"/>
      <c r="D914" s="4"/>
      <c r="E914" s="4"/>
      <c r="F914" s="4"/>
      <c r="G914" s="4"/>
      <c r="H914" s="4"/>
      <c r="I914" s="4"/>
      <c r="J914" s="4"/>
      <c r="K914" s="4"/>
      <c r="L914" s="4"/>
      <c r="M914" s="4"/>
      <c r="N914" s="4"/>
      <c r="O914" s="4"/>
      <c r="P914" s="4"/>
      <c r="Q914" s="4"/>
      <c r="R914" s="4"/>
      <c r="S914" s="4"/>
      <c r="T914" s="4"/>
      <c r="U914" s="4"/>
    </row>
    <row r="915" spans="3:21" ht="19" x14ac:dyDescent="0.25">
      <c r="C915" s="4"/>
      <c r="D915" s="4"/>
      <c r="E915" s="4"/>
      <c r="F915" s="4"/>
      <c r="G915" s="4"/>
      <c r="H915" s="4"/>
      <c r="I915" s="4"/>
      <c r="J915" s="4"/>
      <c r="K915" s="4"/>
      <c r="L915" s="4"/>
      <c r="M915" s="4"/>
      <c r="N915" s="4"/>
      <c r="O915" s="4"/>
      <c r="P915" s="4"/>
      <c r="Q915" s="4"/>
      <c r="R915" s="4"/>
      <c r="S915" s="4"/>
      <c r="T915" s="4"/>
      <c r="U915" s="4"/>
    </row>
    <row r="916" spans="3:21" ht="19" x14ac:dyDescent="0.25">
      <c r="C916" s="4"/>
      <c r="D916" s="4"/>
      <c r="E916" s="4"/>
      <c r="F916" s="4"/>
      <c r="G916" s="4"/>
      <c r="H916" s="4"/>
      <c r="I916" s="4"/>
      <c r="J916" s="4"/>
      <c r="K916" s="4"/>
      <c r="L916" s="4"/>
      <c r="M916" s="4"/>
      <c r="N916" s="4"/>
      <c r="O916" s="4"/>
      <c r="P916" s="4"/>
      <c r="Q916" s="4"/>
      <c r="R916" s="4"/>
      <c r="S916" s="4"/>
      <c r="T916" s="4"/>
      <c r="U916" s="4"/>
    </row>
    <row r="917" spans="3:21" ht="19" x14ac:dyDescent="0.25">
      <c r="C917" s="4"/>
      <c r="D917" s="4"/>
      <c r="E917" s="4"/>
      <c r="F917" s="4"/>
      <c r="G917" s="4"/>
      <c r="H917" s="4"/>
      <c r="I917" s="4"/>
      <c r="J917" s="4"/>
      <c r="K917" s="4"/>
      <c r="L917" s="4"/>
      <c r="M917" s="4"/>
      <c r="N917" s="4"/>
      <c r="O917" s="4"/>
      <c r="P917" s="4"/>
      <c r="Q917" s="4"/>
      <c r="R917" s="4"/>
      <c r="S917" s="4"/>
      <c r="T917" s="4"/>
      <c r="U917" s="4"/>
    </row>
    <row r="918" spans="3:21" ht="19" x14ac:dyDescent="0.25">
      <c r="C918" s="4"/>
      <c r="D918" s="4"/>
      <c r="E918" s="4"/>
      <c r="F918" s="4"/>
      <c r="G918" s="4"/>
      <c r="H918" s="4"/>
      <c r="I918" s="4"/>
      <c r="J918" s="4"/>
      <c r="K918" s="4"/>
      <c r="L918" s="4"/>
      <c r="M918" s="4"/>
      <c r="N918" s="4"/>
      <c r="O918" s="4"/>
      <c r="P918" s="4"/>
      <c r="Q918" s="4"/>
      <c r="R918" s="4"/>
      <c r="S918" s="4"/>
      <c r="T918" s="4"/>
      <c r="U918" s="4"/>
    </row>
    <row r="919" spans="3:21" ht="19" x14ac:dyDescent="0.25">
      <c r="C919" s="4"/>
      <c r="D919" s="4"/>
      <c r="E919" s="4"/>
      <c r="F919" s="4"/>
      <c r="G919" s="4"/>
      <c r="H919" s="4"/>
      <c r="I919" s="4"/>
      <c r="J919" s="4"/>
      <c r="K919" s="4"/>
      <c r="L919" s="4"/>
      <c r="M919" s="4"/>
      <c r="N919" s="4"/>
      <c r="O919" s="4"/>
      <c r="P919" s="4"/>
      <c r="Q919" s="4"/>
      <c r="R919" s="4"/>
      <c r="S919" s="4"/>
      <c r="T919" s="4"/>
      <c r="U919" s="4"/>
    </row>
    <row r="920" spans="3:21" ht="19" x14ac:dyDescent="0.25">
      <c r="C920" s="4"/>
      <c r="D920" s="4"/>
      <c r="E920" s="4"/>
      <c r="F920" s="4"/>
      <c r="G920" s="4"/>
      <c r="H920" s="4"/>
      <c r="I920" s="4"/>
      <c r="J920" s="4"/>
      <c r="K920" s="4"/>
      <c r="L920" s="4"/>
      <c r="M920" s="4"/>
      <c r="N920" s="4"/>
      <c r="O920" s="4"/>
      <c r="P920" s="4"/>
      <c r="Q920" s="4"/>
      <c r="R920" s="4"/>
      <c r="S920" s="4"/>
      <c r="T920" s="4"/>
      <c r="U920" s="4"/>
    </row>
    <row r="921" spans="3:21" ht="19" x14ac:dyDescent="0.25">
      <c r="C921" s="4"/>
      <c r="D921" s="4"/>
      <c r="E921" s="4"/>
      <c r="F921" s="4"/>
      <c r="G921" s="4"/>
      <c r="H921" s="4"/>
      <c r="I921" s="4"/>
      <c r="J921" s="4"/>
      <c r="K921" s="4"/>
      <c r="L921" s="4"/>
      <c r="M921" s="4"/>
      <c r="N921" s="4"/>
      <c r="O921" s="4"/>
      <c r="P921" s="4"/>
      <c r="Q921" s="4"/>
      <c r="R921" s="4"/>
      <c r="S921" s="4"/>
      <c r="T921" s="4"/>
      <c r="U921" s="4"/>
    </row>
    <row r="922" spans="3:21" ht="19" x14ac:dyDescent="0.25">
      <c r="C922" s="4"/>
      <c r="D922" s="4"/>
      <c r="E922" s="4"/>
      <c r="F922" s="4"/>
      <c r="G922" s="4"/>
      <c r="H922" s="4"/>
      <c r="I922" s="4"/>
      <c r="J922" s="4"/>
      <c r="K922" s="4"/>
      <c r="L922" s="4"/>
      <c r="M922" s="4"/>
      <c r="N922" s="4"/>
      <c r="O922" s="4"/>
      <c r="P922" s="4"/>
      <c r="Q922" s="4"/>
      <c r="R922" s="4"/>
      <c r="S922" s="4"/>
      <c r="T922" s="4"/>
      <c r="U922" s="4"/>
    </row>
    <row r="923" spans="3:21" ht="19" x14ac:dyDescent="0.25">
      <c r="C923" s="4"/>
      <c r="D923" s="4"/>
      <c r="E923" s="4"/>
      <c r="F923" s="4"/>
      <c r="G923" s="4"/>
      <c r="H923" s="4"/>
      <c r="I923" s="4"/>
      <c r="J923" s="4"/>
      <c r="K923" s="4"/>
      <c r="L923" s="4"/>
      <c r="M923" s="4"/>
      <c r="N923" s="4"/>
      <c r="O923" s="4"/>
      <c r="P923" s="4"/>
      <c r="Q923" s="4"/>
      <c r="R923" s="4"/>
      <c r="S923" s="4"/>
      <c r="T923" s="4"/>
      <c r="U923" s="4"/>
    </row>
    <row r="924" spans="3:21" ht="19" x14ac:dyDescent="0.25">
      <c r="C924" s="4"/>
      <c r="D924" s="4"/>
      <c r="E924" s="4"/>
      <c r="F924" s="4"/>
      <c r="G924" s="4"/>
      <c r="H924" s="4"/>
      <c r="I924" s="4"/>
      <c r="J924" s="4"/>
      <c r="K924" s="4"/>
      <c r="L924" s="4"/>
      <c r="M924" s="4"/>
      <c r="N924" s="4"/>
      <c r="O924" s="4"/>
      <c r="P924" s="4"/>
      <c r="Q924" s="4"/>
      <c r="R924" s="4"/>
      <c r="S924" s="4"/>
      <c r="T924" s="4"/>
      <c r="U924" s="4"/>
    </row>
    <row r="925" spans="3:21" ht="19" x14ac:dyDescent="0.25">
      <c r="C925" s="4"/>
      <c r="D925" s="4"/>
      <c r="E925" s="4"/>
      <c r="F925" s="4"/>
      <c r="G925" s="4"/>
      <c r="H925" s="4"/>
      <c r="I925" s="4"/>
      <c r="J925" s="4"/>
      <c r="K925" s="4"/>
      <c r="L925" s="4"/>
      <c r="M925" s="4"/>
      <c r="N925" s="4"/>
      <c r="O925" s="4"/>
      <c r="P925" s="4"/>
      <c r="Q925" s="4"/>
      <c r="R925" s="4"/>
      <c r="S925" s="4"/>
      <c r="T925" s="4"/>
      <c r="U925" s="4"/>
    </row>
    <row r="926" spans="3:21" ht="19" x14ac:dyDescent="0.25">
      <c r="C926" s="4"/>
      <c r="D926" s="4"/>
      <c r="E926" s="4"/>
      <c r="F926" s="4"/>
      <c r="G926" s="4"/>
      <c r="H926" s="4"/>
      <c r="I926" s="4"/>
      <c r="J926" s="4"/>
      <c r="K926" s="4"/>
      <c r="L926" s="4"/>
      <c r="M926" s="4"/>
      <c r="N926" s="4"/>
      <c r="O926" s="4"/>
      <c r="P926" s="4"/>
      <c r="Q926" s="4"/>
      <c r="R926" s="4"/>
      <c r="S926" s="4"/>
      <c r="T926" s="4"/>
      <c r="U926" s="4"/>
    </row>
    <row r="927" spans="3:21" ht="19" x14ac:dyDescent="0.25">
      <c r="C927" s="4"/>
      <c r="D927" s="4"/>
      <c r="E927" s="4"/>
      <c r="F927" s="4"/>
      <c r="G927" s="4"/>
      <c r="H927" s="4"/>
      <c r="I927" s="4"/>
      <c r="J927" s="4"/>
      <c r="K927" s="4"/>
      <c r="L927" s="4"/>
      <c r="M927" s="4"/>
      <c r="N927" s="4"/>
      <c r="O927" s="4"/>
      <c r="P927" s="4"/>
      <c r="Q927" s="4"/>
      <c r="R927" s="4"/>
      <c r="S927" s="4"/>
      <c r="T927" s="4"/>
      <c r="U927" s="4"/>
    </row>
    <row r="928" spans="3:21" ht="19" x14ac:dyDescent="0.25">
      <c r="C928" s="4"/>
      <c r="D928" s="4"/>
      <c r="E928" s="4"/>
      <c r="F928" s="4"/>
      <c r="G928" s="4"/>
      <c r="H928" s="4"/>
      <c r="I928" s="4"/>
      <c r="J928" s="4"/>
      <c r="K928" s="4"/>
      <c r="L928" s="4"/>
      <c r="M928" s="4"/>
      <c r="N928" s="4"/>
      <c r="O928" s="4"/>
      <c r="P928" s="4"/>
      <c r="Q928" s="4"/>
      <c r="R928" s="4"/>
      <c r="S928" s="4"/>
      <c r="T928" s="4"/>
      <c r="U928" s="4"/>
    </row>
    <row r="929" spans="3:21" ht="19" x14ac:dyDescent="0.25">
      <c r="C929" s="4"/>
      <c r="D929" s="4"/>
      <c r="E929" s="4"/>
      <c r="F929" s="4"/>
      <c r="G929" s="4"/>
      <c r="H929" s="4"/>
      <c r="I929" s="4"/>
      <c r="J929" s="4"/>
      <c r="K929" s="4"/>
      <c r="L929" s="4"/>
      <c r="M929" s="4"/>
      <c r="N929" s="4"/>
      <c r="O929" s="4"/>
      <c r="P929" s="4"/>
      <c r="Q929" s="4"/>
      <c r="R929" s="4"/>
      <c r="S929" s="4"/>
      <c r="T929" s="4"/>
      <c r="U929" s="4"/>
    </row>
    <row r="930" spans="3:21" ht="19" x14ac:dyDescent="0.25">
      <c r="C930" s="4"/>
      <c r="D930" s="4"/>
      <c r="E930" s="4"/>
      <c r="F930" s="4"/>
      <c r="G930" s="4"/>
      <c r="H930" s="4"/>
      <c r="I930" s="4"/>
      <c r="J930" s="4"/>
      <c r="K930" s="4"/>
      <c r="L930" s="4"/>
      <c r="M930" s="4"/>
      <c r="N930" s="4"/>
      <c r="O930" s="4"/>
      <c r="P930" s="4"/>
      <c r="Q930" s="4"/>
      <c r="R930" s="4"/>
      <c r="S930" s="4"/>
      <c r="T930" s="4"/>
      <c r="U930" s="4"/>
    </row>
    <row r="931" spans="3:21" ht="19" x14ac:dyDescent="0.25">
      <c r="C931" s="4"/>
      <c r="D931" s="4"/>
      <c r="E931" s="4"/>
      <c r="F931" s="4"/>
      <c r="G931" s="4"/>
      <c r="H931" s="4"/>
      <c r="I931" s="4"/>
      <c r="J931" s="4"/>
      <c r="K931" s="4"/>
      <c r="L931" s="4"/>
      <c r="M931" s="4"/>
      <c r="N931" s="4"/>
      <c r="O931" s="4"/>
      <c r="P931" s="4"/>
      <c r="Q931" s="4"/>
      <c r="R931" s="4"/>
      <c r="S931" s="4"/>
      <c r="T931" s="4"/>
      <c r="U931" s="4"/>
    </row>
    <row r="932" spans="3:21" ht="19" x14ac:dyDescent="0.25">
      <c r="C932" s="4"/>
      <c r="D932" s="4"/>
      <c r="E932" s="4"/>
      <c r="F932" s="4"/>
      <c r="G932" s="4"/>
      <c r="H932" s="4"/>
      <c r="I932" s="4"/>
      <c r="J932" s="4"/>
      <c r="K932" s="4"/>
      <c r="L932" s="4"/>
      <c r="M932" s="4"/>
      <c r="N932" s="4"/>
      <c r="O932" s="4"/>
      <c r="P932" s="4"/>
      <c r="Q932" s="4"/>
      <c r="R932" s="4"/>
      <c r="S932" s="4"/>
      <c r="T932" s="4"/>
      <c r="U932" s="4"/>
    </row>
    <row r="933" spans="3:21" ht="19" x14ac:dyDescent="0.25">
      <c r="C933" s="4"/>
      <c r="D933" s="4"/>
      <c r="E933" s="4"/>
      <c r="F933" s="4"/>
      <c r="G933" s="4"/>
      <c r="H933" s="4"/>
      <c r="I933" s="4"/>
      <c r="J933" s="4"/>
      <c r="K933" s="4"/>
      <c r="L933" s="4"/>
      <c r="M933" s="4"/>
      <c r="N933" s="4"/>
      <c r="O933" s="4"/>
      <c r="P933" s="4"/>
      <c r="Q933" s="4"/>
      <c r="R933" s="4"/>
      <c r="S933" s="4"/>
      <c r="T933" s="4"/>
      <c r="U933" s="4"/>
    </row>
    <row r="934" spans="3:21" ht="19" x14ac:dyDescent="0.25">
      <c r="C934" s="4"/>
      <c r="D934" s="4"/>
      <c r="E934" s="4"/>
      <c r="F934" s="4"/>
      <c r="G934" s="4"/>
      <c r="H934" s="4"/>
      <c r="I934" s="4"/>
      <c r="J934" s="4"/>
      <c r="K934" s="4"/>
      <c r="L934" s="4"/>
      <c r="M934" s="4"/>
      <c r="N934" s="4"/>
      <c r="O934" s="4"/>
      <c r="P934" s="4"/>
      <c r="Q934" s="4"/>
      <c r="R934" s="4"/>
      <c r="S934" s="4"/>
      <c r="T934" s="4"/>
      <c r="U934" s="4"/>
    </row>
    <row r="935" spans="3:21" ht="19" x14ac:dyDescent="0.25">
      <c r="C935" s="4"/>
      <c r="D935" s="4"/>
      <c r="E935" s="4"/>
      <c r="F935" s="4"/>
      <c r="G935" s="4"/>
      <c r="H935" s="4"/>
      <c r="I935" s="4"/>
      <c r="J935" s="4"/>
      <c r="K935" s="4"/>
      <c r="L935" s="4"/>
      <c r="M935" s="4"/>
      <c r="N935" s="4"/>
      <c r="O935" s="4"/>
      <c r="P935" s="4"/>
      <c r="Q935" s="4"/>
      <c r="R935" s="4"/>
      <c r="S935" s="4"/>
      <c r="T935" s="4"/>
      <c r="U935" s="4"/>
    </row>
    <row r="936" spans="3:21" ht="19" x14ac:dyDescent="0.25">
      <c r="C936" s="4"/>
      <c r="D936" s="4"/>
      <c r="E936" s="4"/>
      <c r="F936" s="4"/>
      <c r="G936" s="4"/>
      <c r="H936" s="4"/>
      <c r="I936" s="4"/>
      <c r="J936" s="4"/>
      <c r="K936" s="4"/>
      <c r="L936" s="4"/>
      <c r="M936" s="4"/>
      <c r="N936" s="4"/>
      <c r="O936" s="4"/>
      <c r="P936" s="4"/>
      <c r="Q936" s="4"/>
      <c r="R936" s="4"/>
      <c r="S936" s="4"/>
      <c r="T936" s="4"/>
      <c r="U936" s="4"/>
    </row>
    <row r="937" spans="3:21" ht="19" x14ac:dyDescent="0.25">
      <c r="C937" s="4"/>
      <c r="D937" s="4"/>
      <c r="E937" s="4"/>
      <c r="F937" s="4"/>
      <c r="G937" s="4"/>
      <c r="H937" s="4"/>
      <c r="I937" s="4"/>
      <c r="J937" s="4"/>
      <c r="K937" s="4"/>
      <c r="L937" s="4"/>
      <c r="M937" s="4"/>
      <c r="N937" s="4"/>
      <c r="O937" s="4"/>
      <c r="P937" s="4"/>
      <c r="Q937" s="4"/>
      <c r="R937" s="4"/>
      <c r="S937" s="4"/>
      <c r="T937" s="4"/>
      <c r="U937" s="4"/>
    </row>
    <row r="938" spans="3:21" ht="19" x14ac:dyDescent="0.25">
      <c r="C938" s="4"/>
      <c r="D938" s="4"/>
      <c r="E938" s="4"/>
      <c r="F938" s="4"/>
      <c r="G938" s="4"/>
      <c r="H938" s="4"/>
      <c r="I938" s="4"/>
      <c r="J938" s="4"/>
      <c r="K938" s="4"/>
      <c r="L938" s="4"/>
      <c r="M938" s="4"/>
      <c r="N938" s="4"/>
      <c r="O938" s="4"/>
      <c r="P938" s="4"/>
      <c r="Q938" s="4"/>
      <c r="R938" s="4"/>
      <c r="S938" s="4"/>
      <c r="T938" s="4"/>
      <c r="U938" s="4"/>
    </row>
    <row r="939" spans="3:21" ht="19" x14ac:dyDescent="0.25">
      <c r="C939" s="4"/>
      <c r="D939" s="4"/>
      <c r="E939" s="4"/>
      <c r="F939" s="4"/>
      <c r="G939" s="4"/>
      <c r="H939" s="4"/>
      <c r="I939" s="4"/>
      <c r="J939" s="4"/>
      <c r="K939" s="4"/>
      <c r="L939" s="4"/>
      <c r="M939" s="4"/>
      <c r="N939" s="4"/>
      <c r="O939" s="4"/>
      <c r="P939" s="4"/>
      <c r="Q939" s="4"/>
      <c r="R939" s="4"/>
      <c r="S939" s="4"/>
      <c r="T939" s="4"/>
      <c r="U939" s="4"/>
    </row>
    <row r="940" spans="3:21" ht="19" x14ac:dyDescent="0.25">
      <c r="C940" s="4"/>
      <c r="D940" s="4"/>
      <c r="E940" s="4"/>
      <c r="F940" s="4"/>
      <c r="G940" s="4"/>
      <c r="H940" s="4"/>
      <c r="I940" s="4"/>
      <c r="J940" s="4"/>
      <c r="K940" s="4"/>
      <c r="L940" s="4"/>
      <c r="M940" s="4"/>
      <c r="N940" s="4"/>
      <c r="O940" s="4"/>
      <c r="P940" s="4"/>
      <c r="Q940" s="4"/>
      <c r="R940" s="4"/>
      <c r="S940" s="4"/>
      <c r="T940" s="4"/>
      <c r="U940" s="4"/>
    </row>
    <row r="941" spans="3:21" ht="19" x14ac:dyDescent="0.25">
      <c r="C941" s="4"/>
      <c r="D941" s="4"/>
      <c r="E941" s="4"/>
      <c r="F941" s="4"/>
      <c r="G941" s="4"/>
      <c r="H941" s="4"/>
      <c r="I941" s="4"/>
      <c r="J941" s="4"/>
      <c r="K941" s="4"/>
      <c r="L941" s="4"/>
      <c r="M941" s="4"/>
      <c r="N941" s="4"/>
      <c r="O941" s="4"/>
      <c r="P941" s="4"/>
      <c r="Q941" s="4"/>
      <c r="R941" s="4"/>
      <c r="S941" s="4"/>
      <c r="T941" s="4"/>
      <c r="U941" s="4"/>
    </row>
    <row r="942" spans="3:21" ht="19" x14ac:dyDescent="0.25">
      <c r="C942" s="4"/>
      <c r="D942" s="4"/>
      <c r="E942" s="4"/>
      <c r="F942" s="4"/>
      <c r="G942" s="4"/>
      <c r="H942" s="4"/>
      <c r="I942" s="4"/>
      <c r="J942" s="4"/>
      <c r="K942" s="4"/>
      <c r="L942" s="4"/>
      <c r="M942" s="4"/>
      <c r="N942" s="4"/>
      <c r="O942" s="4"/>
      <c r="P942" s="4"/>
      <c r="Q942" s="4"/>
      <c r="R942" s="4"/>
      <c r="S942" s="4"/>
      <c r="T942" s="4"/>
      <c r="U942" s="4"/>
    </row>
    <row r="943" spans="3:21" ht="19" x14ac:dyDescent="0.25">
      <c r="C943" s="4"/>
      <c r="D943" s="4"/>
      <c r="E943" s="4"/>
      <c r="F943" s="4"/>
      <c r="G943" s="4"/>
      <c r="H943" s="4"/>
      <c r="I943" s="4"/>
      <c r="J943" s="4"/>
      <c r="K943" s="4"/>
      <c r="L943" s="4"/>
      <c r="M943" s="4"/>
      <c r="N943" s="4"/>
      <c r="O943" s="4"/>
      <c r="P943" s="4"/>
      <c r="Q943" s="4"/>
      <c r="R943" s="4"/>
      <c r="S943" s="4"/>
      <c r="T943" s="4"/>
      <c r="U943" s="4"/>
    </row>
    <row r="944" spans="3:21" ht="19" x14ac:dyDescent="0.25">
      <c r="C944" s="4"/>
      <c r="D944" s="4"/>
      <c r="E944" s="4"/>
      <c r="F944" s="4"/>
      <c r="G944" s="4"/>
      <c r="H944" s="4"/>
      <c r="I944" s="4"/>
      <c r="J944" s="4"/>
      <c r="K944" s="4"/>
      <c r="L944" s="4"/>
      <c r="M944" s="4"/>
      <c r="N944" s="4"/>
      <c r="O944" s="4"/>
      <c r="P944" s="4"/>
      <c r="Q944" s="4"/>
      <c r="R944" s="4"/>
      <c r="S944" s="4"/>
      <c r="T944" s="4"/>
      <c r="U944" s="4"/>
    </row>
    <row r="945" spans="3:21" ht="19" x14ac:dyDescent="0.25">
      <c r="C945" s="4"/>
      <c r="D945" s="4"/>
      <c r="E945" s="4"/>
      <c r="F945" s="4"/>
      <c r="G945" s="4"/>
      <c r="H945" s="4"/>
      <c r="I945" s="4"/>
      <c r="J945" s="4"/>
      <c r="K945" s="4"/>
      <c r="L945" s="4"/>
      <c r="M945" s="4"/>
      <c r="N945" s="4"/>
      <c r="O945" s="4"/>
      <c r="P945" s="4"/>
      <c r="Q945" s="4"/>
      <c r="R945" s="4"/>
      <c r="S945" s="4"/>
      <c r="T945" s="4"/>
      <c r="U945" s="4"/>
    </row>
    <row r="946" spans="3:21" ht="19" x14ac:dyDescent="0.25">
      <c r="C946" s="4"/>
      <c r="D946" s="4"/>
      <c r="E946" s="4"/>
      <c r="F946" s="4"/>
      <c r="G946" s="4"/>
      <c r="H946" s="4"/>
      <c r="I946" s="4"/>
      <c r="J946" s="4"/>
      <c r="K946" s="4"/>
      <c r="L946" s="4"/>
      <c r="M946" s="4"/>
      <c r="N946" s="4"/>
      <c r="O946" s="4"/>
      <c r="P946" s="4"/>
      <c r="Q946" s="4"/>
      <c r="R946" s="4"/>
      <c r="S946" s="4"/>
      <c r="T946" s="4"/>
      <c r="U946" s="4"/>
    </row>
    <row r="947" spans="3:21" ht="19" x14ac:dyDescent="0.25">
      <c r="C947" s="4"/>
      <c r="D947" s="4"/>
      <c r="E947" s="4"/>
      <c r="F947" s="4"/>
      <c r="G947" s="4"/>
      <c r="H947" s="4"/>
      <c r="I947" s="4"/>
      <c r="J947" s="4"/>
      <c r="K947" s="4"/>
      <c r="L947" s="4"/>
      <c r="M947" s="4"/>
      <c r="N947" s="4"/>
      <c r="O947" s="4"/>
      <c r="P947" s="4"/>
      <c r="Q947" s="4"/>
      <c r="R947" s="4"/>
      <c r="S947" s="4"/>
      <c r="T947" s="4"/>
      <c r="U947" s="4"/>
    </row>
    <row r="948" spans="3:21" ht="19" x14ac:dyDescent="0.25">
      <c r="C948" s="4"/>
      <c r="D948" s="4"/>
      <c r="E948" s="4"/>
      <c r="F948" s="4"/>
      <c r="G948" s="4"/>
      <c r="H948" s="4"/>
      <c r="I948" s="4"/>
      <c r="J948" s="4"/>
      <c r="K948" s="4"/>
      <c r="L948" s="4"/>
      <c r="M948" s="4"/>
      <c r="N948" s="4"/>
      <c r="O948" s="4"/>
      <c r="P948" s="4"/>
      <c r="Q948" s="4"/>
      <c r="R948" s="4"/>
      <c r="S948" s="4"/>
      <c r="T948" s="4"/>
      <c r="U948" s="4"/>
    </row>
    <row r="949" spans="3:21" ht="19" x14ac:dyDescent="0.25">
      <c r="C949" s="4"/>
      <c r="D949" s="4"/>
      <c r="E949" s="4"/>
      <c r="F949" s="4"/>
      <c r="G949" s="4"/>
      <c r="H949" s="4"/>
      <c r="I949" s="4"/>
      <c r="J949" s="4"/>
      <c r="K949" s="4"/>
      <c r="L949" s="4"/>
      <c r="M949" s="4"/>
      <c r="N949" s="4"/>
      <c r="O949" s="4"/>
      <c r="P949" s="4"/>
      <c r="Q949" s="4"/>
      <c r="R949" s="4"/>
      <c r="S949" s="4"/>
      <c r="T949" s="4"/>
      <c r="U949" s="4"/>
    </row>
    <row r="950" spans="3:21" ht="19" x14ac:dyDescent="0.25">
      <c r="C950" s="4"/>
      <c r="D950" s="4"/>
      <c r="E950" s="4"/>
      <c r="F950" s="4"/>
      <c r="G950" s="4"/>
      <c r="H950" s="4"/>
      <c r="I950" s="4"/>
      <c r="J950" s="4"/>
      <c r="K950" s="4"/>
      <c r="L950" s="4"/>
      <c r="M950" s="4"/>
      <c r="N950" s="4"/>
      <c r="O950" s="4"/>
      <c r="P950" s="4"/>
      <c r="Q950" s="4"/>
      <c r="R950" s="4"/>
      <c r="S950" s="4"/>
      <c r="T950" s="4"/>
      <c r="U950" s="4"/>
    </row>
    <row r="951" spans="3:21" ht="19" x14ac:dyDescent="0.25">
      <c r="C951" s="4"/>
      <c r="D951" s="4"/>
      <c r="E951" s="4"/>
      <c r="F951" s="4"/>
      <c r="G951" s="4"/>
      <c r="H951" s="4"/>
      <c r="I951" s="4"/>
      <c r="J951" s="4"/>
      <c r="K951" s="4"/>
      <c r="L951" s="4"/>
      <c r="M951" s="4"/>
      <c r="N951" s="4"/>
      <c r="O951" s="4"/>
      <c r="P951" s="4"/>
      <c r="Q951" s="4"/>
      <c r="R951" s="4"/>
      <c r="S951" s="4"/>
      <c r="T951" s="4"/>
      <c r="U951" s="4"/>
    </row>
    <row r="952" spans="3:21" ht="19" x14ac:dyDescent="0.25">
      <c r="C952" s="4"/>
      <c r="D952" s="4"/>
      <c r="E952" s="4"/>
      <c r="F952" s="4"/>
      <c r="G952" s="4"/>
      <c r="H952" s="4"/>
      <c r="I952" s="4"/>
      <c r="J952" s="4"/>
      <c r="K952" s="4"/>
      <c r="L952" s="4"/>
      <c r="M952" s="4"/>
      <c r="N952" s="4"/>
      <c r="O952" s="4"/>
      <c r="P952" s="4"/>
      <c r="Q952" s="4"/>
      <c r="R952" s="4"/>
      <c r="S952" s="4"/>
      <c r="T952" s="4"/>
      <c r="U952" s="4"/>
    </row>
    <row r="953" spans="3:21" ht="19" x14ac:dyDescent="0.25">
      <c r="C953" s="4"/>
      <c r="D953" s="4"/>
      <c r="E953" s="4"/>
      <c r="F953" s="4"/>
      <c r="G953" s="4"/>
      <c r="H953" s="4"/>
      <c r="I953" s="4"/>
      <c r="J953" s="4"/>
      <c r="K953" s="4"/>
      <c r="L953" s="4"/>
      <c r="M953" s="4"/>
      <c r="N953" s="4"/>
      <c r="O953" s="4"/>
      <c r="P953" s="4"/>
      <c r="Q953" s="4"/>
      <c r="R953" s="4"/>
      <c r="S953" s="4"/>
      <c r="T953" s="4"/>
      <c r="U953" s="4"/>
    </row>
    <row r="954" spans="3:21" ht="19" x14ac:dyDescent="0.25">
      <c r="C954" s="4"/>
      <c r="D954" s="4"/>
      <c r="E954" s="4"/>
      <c r="F954" s="4"/>
      <c r="G954" s="4"/>
      <c r="H954" s="4"/>
      <c r="I954" s="4"/>
      <c r="J954" s="4"/>
      <c r="K954" s="4"/>
      <c r="L954" s="4"/>
      <c r="M954" s="4"/>
      <c r="N954" s="4"/>
      <c r="O954" s="4"/>
      <c r="P954" s="4"/>
      <c r="Q954" s="4"/>
      <c r="R954" s="4"/>
      <c r="S954" s="4"/>
      <c r="T954" s="4"/>
      <c r="U954" s="4"/>
    </row>
    <row r="955" spans="3:21" ht="19" x14ac:dyDescent="0.25">
      <c r="C955" s="4"/>
      <c r="D955" s="4"/>
      <c r="E955" s="4"/>
      <c r="F955" s="4"/>
      <c r="G955" s="4"/>
      <c r="H955" s="4"/>
      <c r="I955" s="4"/>
      <c r="J955" s="4"/>
      <c r="K955" s="4"/>
      <c r="L955" s="4"/>
      <c r="M955" s="4"/>
      <c r="N955" s="4"/>
      <c r="O955" s="4"/>
      <c r="P955" s="4"/>
      <c r="Q955" s="4"/>
      <c r="R955" s="4"/>
      <c r="S955" s="4"/>
      <c r="T955" s="4"/>
      <c r="U955" s="4"/>
    </row>
    <row r="956" spans="3:21" ht="19" x14ac:dyDescent="0.25">
      <c r="C956" s="4"/>
      <c r="D956" s="4"/>
      <c r="E956" s="4"/>
      <c r="F956" s="4"/>
      <c r="G956" s="4"/>
      <c r="H956" s="4"/>
      <c r="I956" s="4"/>
      <c r="J956" s="4"/>
      <c r="K956" s="4"/>
      <c r="L956" s="4"/>
      <c r="M956" s="4"/>
      <c r="N956" s="4"/>
      <c r="O956" s="4"/>
      <c r="P956" s="4"/>
      <c r="Q956" s="4"/>
      <c r="R956" s="4"/>
      <c r="S956" s="4"/>
      <c r="T956" s="4"/>
      <c r="U956" s="4"/>
    </row>
    <row r="957" spans="3:21" ht="19" x14ac:dyDescent="0.25">
      <c r="C957" s="4"/>
      <c r="D957" s="4"/>
      <c r="E957" s="4"/>
      <c r="F957" s="4"/>
      <c r="G957" s="4"/>
      <c r="H957" s="4"/>
      <c r="I957" s="4"/>
      <c r="J957" s="4"/>
      <c r="K957" s="4"/>
      <c r="L957" s="4"/>
      <c r="M957" s="4"/>
      <c r="N957" s="4"/>
      <c r="O957" s="4"/>
      <c r="P957" s="4"/>
      <c r="Q957" s="4"/>
      <c r="R957" s="4"/>
      <c r="S957" s="4"/>
      <c r="T957" s="4"/>
      <c r="U957" s="4"/>
    </row>
    <row r="958" spans="3:21" ht="19" x14ac:dyDescent="0.25">
      <c r="C958" s="4"/>
      <c r="D958" s="4"/>
      <c r="E958" s="4"/>
      <c r="F958" s="4"/>
      <c r="G958" s="4"/>
      <c r="H958" s="4"/>
      <c r="I958" s="4"/>
      <c r="J958" s="4"/>
      <c r="K958" s="4"/>
      <c r="L958" s="4"/>
      <c r="M958" s="4"/>
      <c r="N958" s="4"/>
      <c r="O958" s="4"/>
      <c r="P958" s="4"/>
      <c r="Q958" s="4"/>
      <c r="R958" s="4"/>
      <c r="S958" s="4"/>
      <c r="T958" s="4"/>
      <c r="U958" s="4"/>
    </row>
    <row r="959" spans="3:21" ht="19" x14ac:dyDescent="0.25">
      <c r="C959" s="4"/>
      <c r="D959" s="4"/>
      <c r="E959" s="4"/>
      <c r="F959" s="4"/>
      <c r="G959" s="4"/>
      <c r="H959" s="4"/>
      <c r="I959" s="4"/>
      <c r="J959" s="4"/>
      <c r="K959" s="4"/>
      <c r="L959" s="4"/>
      <c r="M959" s="4"/>
      <c r="N959" s="4"/>
      <c r="O959" s="4"/>
      <c r="P959" s="4"/>
      <c r="Q959" s="4"/>
      <c r="R959" s="4"/>
      <c r="S959" s="4"/>
      <c r="T959" s="4"/>
      <c r="U959" s="4"/>
    </row>
    <row r="960" spans="3:21" ht="19" x14ac:dyDescent="0.25">
      <c r="C960" s="4"/>
      <c r="D960" s="4"/>
      <c r="E960" s="4"/>
      <c r="F960" s="4"/>
      <c r="G960" s="4"/>
      <c r="H960" s="4"/>
      <c r="I960" s="4"/>
      <c r="J960" s="4"/>
      <c r="K960" s="4"/>
      <c r="L960" s="4"/>
      <c r="M960" s="4"/>
      <c r="N960" s="4"/>
      <c r="O960" s="4"/>
      <c r="P960" s="4"/>
      <c r="Q960" s="4"/>
      <c r="R960" s="4"/>
      <c r="S960" s="4"/>
      <c r="T960" s="4"/>
      <c r="U960" s="4"/>
    </row>
    <row r="961" spans="3:21" ht="19" x14ac:dyDescent="0.25">
      <c r="C961" s="4"/>
      <c r="D961" s="4"/>
      <c r="E961" s="4"/>
      <c r="F961" s="4"/>
      <c r="G961" s="4"/>
      <c r="H961" s="4"/>
      <c r="I961" s="4"/>
      <c r="J961" s="4"/>
      <c r="K961" s="4"/>
      <c r="L961" s="4"/>
      <c r="M961" s="4"/>
      <c r="N961" s="4"/>
      <c r="O961" s="4"/>
      <c r="P961" s="4"/>
      <c r="Q961" s="4"/>
      <c r="R961" s="4"/>
      <c r="S961" s="4"/>
      <c r="T961" s="4"/>
      <c r="U961" s="4"/>
    </row>
    <row r="962" spans="3:21" ht="19" x14ac:dyDescent="0.25">
      <c r="C962" s="4"/>
      <c r="D962" s="4"/>
      <c r="E962" s="4"/>
      <c r="F962" s="4"/>
      <c r="G962" s="4"/>
      <c r="H962" s="4"/>
      <c r="I962" s="4"/>
      <c r="J962" s="4"/>
      <c r="K962" s="4"/>
      <c r="L962" s="4"/>
      <c r="M962" s="4"/>
      <c r="N962" s="4"/>
      <c r="O962" s="4"/>
      <c r="P962" s="4"/>
      <c r="Q962" s="4"/>
      <c r="R962" s="4"/>
      <c r="S962" s="4"/>
      <c r="T962" s="4"/>
      <c r="U962" s="4"/>
    </row>
    <row r="963" spans="3:21" ht="19" x14ac:dyDescent="0.25">
      <c r="C963" s="4"/>
      <c r="D963" s="4"/>
      <c r="E963" s="4"/>
      <c r="F963" s="4"/>
      <c r="G963" s="4"/>
      <c r="H963" s="4"/>
      <c r="I963" s="4"/>
      <c r="J963" s="4"/>
      <c r="K963" s="4"/>
      <c r="L963" s="4"/>
      <c r="M963" s="4"/>
      <c r="N963" s="4"/>
      <c r="O963" s="4"/>
      <c r="P963" s="4"/>
      <c r="Q963" s="4"/>
      <c r="R963" s="4"/>
      <c r="S963" s="4"/>
      <c r="T963" s="4"/>
      <c r="U963" s="4"/>
    </row>
    <row r="964" spans="3:21" ht="19" x14ac:dyDescent="0.25">
      <c r="C964" s="4"/>
      <c r="D964" s="4"/>
      <c r="E964" s="4"/>
      <c r="F964" s="4"/>
      <c r="G964" s="4"/>
      <c r="H964" s="4"/>
      <c r="I964" s="4"/>
      <c r="J964" s="4"/>
      <c r="K964" s="4"/>
      <c r="L964" s="4"/>
      <c r="M964" s="4"/>
      <c r="N964" s="4"/>
      <c r="O964" s="4"/>
      <c r="P964" s="4"/>
      <c r="Q964" s="4"/>
      <c r="R964" s="4"/>
      <c r="S964" s="4"/>
      <c r="T964" s="4"/>
      <c r="U964" s="4"/>
    </row>
    <row r="965" spans="3:21" ht="19" x14ac:dyDescent="0.25">
      <c r="C965" s="4"/>
      <c r="D965" s="4"/>
      <c r="E965" s="4"/>
      <c r="F965" s="4"/>
      <c r="G965" s="4"/>
      <c r="H965" s="4"/>
      <c r="I965" s="4"/>
      <c r="J965" s="4"/>
      <c r="K965" s="4"/>
      <c r="L965" s="4"/>
      <c r="M965" s="4"/>
      <c r="N965" s="4"/>
      <c r="O965" s="4"/>
      <c r="P965" s="4"/>
      <c r="Q965" s="4"/>
      <c r="R965" s="4"/>
      <c r="S965" s="4"/>
      <c r="T965" s="4"/>
      <c r="U965" s="4"/>
    </row>
    <row r="966" spans="3:21" ht="19" x14ac:dyDescent="0.25">
      <c r="C966" s="4"/>
      <c r="D966" s="4"/>
      <c r="E966" s="4"/>
      <c r="F966" s="4"/>
      <c r="G966" s="4"/>
      <c r="H966" s="4"/>
      <c r="I966" s="4"/>
      <c r="J966" s="4"/>
      <c r="K966" s="4"/>
      <c r="L966" s="4"/>
      <c r="M966" s="4"/>
      <c r="N966" s="4"/>
      <c r="O966" s="4"/>
      <c r="P966" s="4"/>
      <c r="Q966" s="4"/>
      <c r="R966" s="4"/>
      <c r="S966" s="4"/>
      <c r="T966" s="4"/>
      <c r="U966" s="4"/>
    </row>
    <row r="967" spans="3:21" ht="19" x14ac:dyDescent="0.25">
      <c r="C967" s="4"/>
      <c r="D967" s="4"/>
      <c r="E967" s="4"/>
      <c r="F967" s="4"/>
      <c r="G967" s="4"/>
      <c r="H967" s="4"/>
      <c r="I967" s="4"/>
      <c r="J967" s="4"/>
      <c r="K967" s="4"/>
      <c r="L967" s="4"/>
      <c r="M967" s="4"/>
      <c r="N967" s="4"/>
      <c r="O967" s="4"/>
      <c r="P967" s="4"/>
      <c r="Q967" s="4"/>
      <c r="R967" s="4"/>
      <c r="S967" s="4"/>
      <c r="T967" s="4"/>
      <c r="U967" s="4"/>
    </row>
    <row r="968" spans="3:21" ht="19" x14ac:dyDescent="0.25">
      <c r="C968" s="4"/>
      <c r="D968" s="4"/>
      <c r="E968" s="4"/>
      <c r="F968" s="4"/>
      <c r="G968" s="4"/>
      <c r="H968" s="4"/>
      <c r="I968" s="4"/>
      <c r="J968" s="4"/>
      <c r="K968" s="4"/>
      <c r="L968" s="4"/>
      <c r="M968" s="4"/>
      <c r="N968" s="4"/>
      <c r="O968" s="4"/>
      <c r="P968" s="4"/>
      <c r="Q968" s="4"/>
      <c r="R968" s="4"/>
      <c r="S968" s="4"/>
      <c r="T968" s="4"/>
      <c r="U968" s="4"/>
    </row>
    <row r="969" spans="3:21" ht="19" x14ac:dyDescent="0.25">
      <c r="C969" s="4"/>
      <c r="D969" s="4"/>
      <c r="E969" s="4"/>
      <c r="F969" s="4"/>
      <c r="G969" s="4"/>
      <c r="H969" s="4"/>
      <c r="I969" s="4"/>
      <c r="J969" s="4"/>
      <c r="K969" s="4"/>
      <c r="L969" s="4"/>
      <c r="M969" s="4"/>
      <c r="N969" s="4"/>
      <c r="O969" s="4"/>
      <c r="P969" s="4"/>
      <c r="Q969" s="4"/>
      <c r="R969" s="4"/>
      <c r="S969" s="4"/>
      <c r="T969" s="4"/>
      <c r="U969" s="4"/>
    </row>
    <row r="970" spans="3:21" ht="19" x14ac:dyDescent="0.25">
      <c r="C970" s="4"/>
      <c r="D970" s="4"/>
      <c r="E970" s="4"/>
      <c r="F970" s="4"/>
      <c r="G970" s="4"/>
      <c r="H970" s="4"/>
      <c r="I970" s="4"/>
      <c r="J970" s="4"/>
      <c r="K970" s="4"/>
      <c r="L970" s="4"/>
      <c r="M970" s="4"/>
      <c r="N970" s="4"/>
      <c r="O970" s="4"/>
      <c r="P970" s="4"/>
      <c r="Q970" s="4"/>
      <c r="R970" s="4"/>
      <c r="S970" s="4"/>
      <c r="T970" s="4"/>
      <c r="U970" s="4"/>
    </row>
    <row r="971" spans="3:21" ht="19" x14ac:dyDescent="0.25">
      <c r="C971" s="4"/>
      <c r="D971" s="4"/>
      <c r="E971" s="4"/>
      <c r="F971" s="4"/>
      <c r="G971" s="4"/>
      <c r="H971" s="4"/>
      <c r="I971" s="4"/>
      <c r="J971" s="4"/>
      <c r="K971" s="4"/>
      <c r="L971" s="4"/>
      <c r="M971" s="4"/>
      <c r="N971" s="4"/>
      <c r="O971" s="4"/>
      <c r="P971" s="4"/>
      <c r="Q971" s="4"/>
      <c r="R971" s="4"/>
      <c r="S971" s="4"/>
      <c r="T971" s="4"/>
      <c r="U971" s="4"/>
    </row>
    <row r="972" spans="3:21" ht="19" x14ac:dyDescent="0.25">
      <c r="C972" s="4"/>
      <c r="D972" s="4"/>
      <c r="E972" s="4"/>
      <c r="F972" s="4"/>
      <c r="G972" s="4"/>
      <c r="H972" s="4"/>
      <c r="I972" s="4"/>
      <c r="J972" s="4"/>
      <c r="K972" s="4"/>
      <c r="L972" s="4"/>
      <c r="M972" s="4"/>
      <c r="N972" s="4"/>
      <c r="O972" s="4"/>
      <c r="P972" s="4"/>
      <c r="Q972" s="4"/>
      <c r="R972" s="4"/>
      <c r="S972" s="4"/>
      <c r="T972" s="4"/>
      <c r="U972" s="4"/>
    </row>
    <row r="973" spans="3:21" ht="19" x14ac:dyDescent="0.25">
      <c r="C973" s="4"/>
      <c r="D973" s="4"/>
      <c r="E973" s="4"/>
      <c r="F973" s="4"/>
      <c r="G973" s="4"/>
      <c r="H973" s="4"/>
      <c r="I973" s="4"/>
      <c r="J973" s="4"/>
      <c r="K973" s="4"/>
      <c r="L973" s="4"/>
      <c r="M973" s="4"/>
      <c r="N973" s="4"/>
      <c r="O973" s="4"/>
      <c r="P973" s="4"/>
      <c r="Q973" s="4"/>
      <c r="R973" s="4"/>
      <c r="S973" s="4"/>
      <c r="T973" s="4"/>
      <c r="U973" s="4"/>
    </row>
    <row r="974" spans="3:21" ht="19" x14ac:dyDescent="0.25">
      <c r="C974" s="4"/>
      <c r="D974" s="4"/>
      <c r="E974" s="4"/>
      <c r="F974" s="4"/>
      <c r="G974" s="4"/>
      <c r="H974" s="4"/>
      <c r="I974" s="4"/>
      <c r="J974" s="4"/>
      <c r="K974" s="4"/>
      <c r="L974" s="4"/>
      <c r="M974" s="4"/>
      <c r="N974" s="4"/>
      <c r="O974" s="4"/>
      <c r="P974" s="4"/>
      <c r="Q974" s="4"/>
      <c r="R974" s="4"/>
      <c r="S974" s="4"/>
      <c r="T974" s="4"/>
      <c r="U974" s="4"/>
    </row>
    <row r="975" spans="3:21" ht="19" x14ac:dyDescent="0.25">
      <c r="C975" s="4"/>
      <c r="D975" s="4"/>
      <c r="E975" s="4"/>
      <c r="F975" s="4"/>
      <c r="G975" s="4"/>
      <c r="H975" s="4"/>
      <c r="I975" s="4"/>
      <c r="J975" s="4"/>
      <c r="K975" s="4"/>
      <c r="L975" s="4"/>
      <c r="M975" s="4"/>
      <c r="N975" s="4"/>
      <c r="O975" s="4"/>
      <c r="P975" s="4"/>
      <c r="Q975" s="4"/>
      <c r="R975" s="4"/>
      <c r="S975" s="4"/>
      <c r="T975" s="4"/>
      <c r="U975" s="4"/>
    </row>
    <row r="976" spans="3:21" ht="19" x14ac:dyDescent="0.25">
      <c r="C976" s="4"/>
      <c r="D976" s="4"/>
      <c r="E976" s="4"/>
      <c r="F976" s="4"/>
      <c r="G976" s="4"/>
      <c r="H976" s="4"/>
      <c r="I976" s="4"/>
      <c r="J976" s="4"/>
      <c r="K976" s="4"/>
      <c r="L976" s="4"/>
      <c r="M976" s="4"/>
      <c r="N976" s="4"/>
      <c r="O976" s="4"/>
      <c r="P976" s="4"/>
      <c r="Q976" s="4"/>
      <c r="R976" s="4"/>
      <c r="S976" s="4"/>
      <c r="T976" s="4"/>
      <c r="U976" s="4"/>
    </row>
    <row r="977" spans="3:21" ht="19" x14ac:dyDescent="0.25">
      <c r="C977" s="4"/>
      <c r="D977" s="4"/>
      <c r="E977" s="4"/>
      <c r="F977" s="4"/>
      <c r="G977" s="4"/>
      <c r="H977" s="4"/>
      <c r="I977" s="4"/>
      <c r="J977" s="4"/>
      <c r="K977" s="4"/>
      <c r="L977" s="4"/>
      <c r="M977" s="4"/>
      <c r="N977" s="4"/>
      <c r="O977" s="4"/>
      <c r="P977" s="4"/>
      <c r="Q977" s="4"/>
      <c r="R977" s="4"/>
      <c r="S977" s="4"/>
      <c r="T977" s="4"/>
      <c r="U977" s="4"/>
    </row>
    <row r="978" spans="3:21" ht="19" x14ac:dyDescent="0.25">
      <c r="C978" s="4"/>
      <c r="D978" s="4"/>
      <c r="E978" s="4"/>
      <c r="F978" s="4"/>
      <c r="G978" s="4"/>
      <c r="H978" s="4"/>
      <c r="I978" s="4"/>
      <c r="J978" s="4"/>
      <c r="K978" s="4"/>
      <c r="L978" s="4"/>
      <c r="M978" s="4"/>
      <c r="N978" s="4"/>
      <c r="O978" s="4"/>
      <c r="P978" s="4"/>
      <c r="Q978" s="4"/>
      <c r="R978" s="4"/>
      <c r="S978" s="4"/>
      <c r="T978" s="4"/>
      <c r="U978" s="4"/>
    </row>
    <row r="979" spans="3:21" ht="19" x14ac:dyDescent="0.25">
      <c r="C979" s="4"/>
      <c r="D979" s="4"/>
      <c r="E979" s="4"/>
      <c r="F979" s="4"/>
      <c r="G979" s="4"/>
      <c r="H979" s="4"/>
      <c r="I979" s="4"/>
      <c r="J979" s="4"/>
      <c r="K979" s="4"/>
      <c r="L979" s="4"/>
      <c r="M979" s="4"/>
      <c r="N979" s="4"/>
      <c r="O979" s="4"/>
      <c r="P979" s="4"/>
      <c r="Q979" s="4"/>
      <c r="R979" s="4"/>
      <c r="S979" s="4"/>
      <c r="T979" s="4"/>
      <c r="U979" s="4"/>
    </row>
    <row r="980" spans="3:21" ht="19" x14ac:dyDescent="0.25">
      <c r="C980" s="4"/>
      <c r="D980" s="4"/>
      <c r="E980" s="4"/>
      <c r="F980" s="4"/>
      <c r="G980" s="4"/>
      <c r="H980" s="4"/>
      <c r="I980" s="4"/>
      <c r="J980" s="4"/>
      <c r="K980" s="4"/>
      <c r="L980" s="4"/>
      <c r="M980" s="4"/>
      <c r="N980" s="4"/>
      <c r="O980" s="4"/>
      <c r="P980" s="4"/>
      <c r="Q980" s="4"/>
      <c r="R980" s="4"/>
      <c r="S980" s="4"/>
      <c r="T980" s="4"/>
      <c r="U980" s="4"/>
    </row>
    <row r="981" spans="3:21" ht="19" x14ac:dyDescent="0.25">
      <c r="C981" s="4"/>
      <c r="D981" s="4"/>
      <c r="E981" s="4"/>
      <c r="F981" s="4"/>
      <c r="G981" s="4"/>
      <c r="H981" s="4"/>
      <c r="I981" s="4"/>
      <c r="J981" s="4"/>
      <c r="K981" s="4"/>
      <c r="L981" s="4"/>
      <c r="M981" s="4"/>
      <c r="N981" s="4"/>
      <c r="O981" s="4"/>
      <c r="P981" s="4"/>
      <c r="Q981" s="4"/>
      <c r="R981" s="4"/>
      <c r="S981" s="4"/>
      <c r="T981" s="4"/>
      <c r="U981" s="4"/>
    </row>
    <row r="982" spans="3:21" ht="19" x14ac:dyDescent="0.25">
      <c r="C982" s="4"/>
      <c r="D982" s="4"/>
      <c r="E982" s="4"/>
      <c r="F982" s="4"/>
      <c r="G982" s="4"/>
      <c r="H982" s="4"/>
      <c r="I982" s="4"/>
      <c r="J982" s="4"/>
      <c r="K982" s="4"/>
      <c r="L982" s="4"/>
      <c r="M982" s="4"/>
      <c r="N982" s="4"/>
      <c r="O982" s="4"/>
      <c r="P982" s="4"/>
      <c r="Q982" s="4"/>
      <c r="R982" s="4"/>
      <c r="S982" s="4"/>
      <c r="T982" s="4"/>
      <c r="U982" s="4"/>
    </row>
    <row r="983" spans="3:21" ht="19" x14ac:dyDescent="0.25">
      <c r="C983" s="4"/>
      <c r="D983" s="4"/>
      <c r="E983" s="4"/>
      <c r="F983" s="4"/>
      <c r="G983" s="4"/>
      <c r="H983" s="4"/>
      <c r="I983" s="4"/>
      <c r="J983" s="4"/>
      <c r="K983" s="4"/>
      <c r="L983" s="4"/>
      <c r="M983" s="4"/>
      <c r="N983" s="4"/>
      <c r="O983" s="4"/>
      <c r="P983" s="4"/>
      <c r="Q983" s="4"/>
      <c r="R983" s="4"/>
      <c r="S983" s="4"/>
      <c r="T983" s="4"/>
      <c r="U983" s="4"/>
    </row>
    <row r="984" spans="3:21" ht="19" x14ac:dyDescent="0.25">
      <c r="C984" s="4"/>
      <c r="D984" s="4"/>
      <c r="E984" s="4"/>
      <c r="F984" s="4"/>
      <c r="G984" s="4"/>
      <c r="H984" s="4"/>
      <c r="I984" s="4"/>
      <c r="J984" s="4"/>
      <c r="K984" s="4"/>
      <c r="L984" s="4"/>
      <c r="M984" s="4"/>
      <c r="N984" s="4"/>
      <c r="O984" s="4"/>
      <c r="P984" s="4"/>
      <c r="Q984" s="4"/>
      <c r="R984" s="4"/>
      <c r="S984" s="4"/>
      <c r="T984" s="4"/>
      <c r="U984" s="4"/>
    </row>
    <row r="985" spans="3:21" ht="19" x14ac:dyDescent="0.25">
      <c r="C985" s="4"/>
      <c r="D985" s="4"/>
      <c r="E985" s="4"/>
      <c r="F985" s="4"/>
      <c r="G985" s="4"/>
      <c r="H985" s="4"/>
      <c r="I985" s="4"/>
      <c r="J985" s="4"/>
      <c r="K985" s="4"/>
      <c r="L985" s="4"/>
      <c r="M985" s="4"/>
      <c r="N985" s="4"/>
      <c r="O985" s="4"/>
      <c r="P985" s="4"/>
      <c r="Q985" s="4"/>
      <c r="R985" s="4"/>
      <c r="S985" s="4"/>
      <c r="T985" s="4"/>
      <c r="U985" s="4"/>
    </row>
    <row r="986" spans="3:21" ht="19" x14ac:dyDescent="0.25">
      <c r="C986" s="4"/>
      <c r="D986" s="4"/>
      <c r="E986" s="4"/>
      <c r="F986" s="4"/>
      <c r="G986" s="4"/>
      <c r="H986" s="4"/>
      <c r="I986" s="4"/>
      <c r="J986" s="4"/>
      <c r="K986" s="4"/>
      <c r="L986" s="4"/>
      <c r="M986" s="4"/>
      <c r="N986" s="4"/>
      <c r="O986" s="4"/>
      <c r="P986" s="4"/>
      <c r="Q986" s="4"/>
      <c r="R986" s="4"/>
      <c r="S986" s="4"/>
      <c r="T986" s="4"/>
      <c r="U986" s="4"/>
    </row>
    <row r="987" spans="3:21" ht="19" x14ac:dyDescent="0.25">
      <c r="C987" s="4"/>
      <c r="D987" s="4"/>
      <c r="E987" s="4"/>
      <c r="F987" s="4"/>
      <c r="G987" s="4"/>
      <c r="H987" s="4"/>
      <c r="I987" s="4"/>
      <c r="J987" s="4"/>
      <c r="K987" s="4"/>
      <c r="L987" s="4"/>
      <c r="M987" s="4"/>
      <c r="N987" s="4"/>
      <c r="O987" s="4"/>
      <c r="P987" s="4"/>
      <c r="Q987" s="4"/>
      <c r="R987" s="4"/>
      <c r="S987" s="4"/>
      <c r="T987" s="4"/>
      <c r="U987" s="4"/>
    </row>
    <row r="988" spans="3:21" ht="19" x14ac:dyDescent="0.25">
      <c r="C988" s="4"/>
      <c r="D988" s="4"/>
      <c r="E988" s="4"/>
      <c r="F988" s="4"/>
      <c r="G988" s="4"/>
      <c r="H988" s="4"/>
      <c r="I988" s="4"/>
      <c r="J988" s="4"/>
      <c r="K988" s="4"/>
      <c r="L988" s="4"/>
      <c r="M988" s="4"/>
      <c r="N988" s="4"/>
      <c r="O988" s="4"/>
      <c r="P988" s="4"/>
      <c r="Q988" s="4"/>
      <c r="R988" s="4"/>
      <c r="S988" s="4"/>
      <c r="T988" s="4"/>
      <c r="U988" s="4"/>
    </row>
    <row r="989" spans="3:21" ht="19" x14ac:dyDescent="0.25">
      <c r="C989" s="4"/>
      <c r="D989" s="4"/>
      <c r="E989" s="4"/>
      <c r="F989" s="4"/>
      <c r="G989" s="4"/>
      <c r="H989" s="4"/>
      <c r="I989" s="4"/>
      <c r="J989" s="4"/>
      <c r="K989" s="4"/>
      <c r="L989" s="4"/>
      <c r="M989" s="4"/>
      <c r="N989" s="4"/>
      <c r="O989" s="4"/>
      <c r="P989" s="4"/>
      <c r="Q989" s="4"/>
      <c r="R989" s="4"/>
      <c r="S989" s="4"/>
      <c r="T989" s="4"/>
      <c r="U989" s="4"/>
    </row>
    <row r="990" spans="3:21" ht="19" x14ac:dyDescent="0.25">
      <c r="C990" s="4"/>
      <c r="D990" s="4"/>
      <c r="E990" s="4"/>
      <c r="F990" s="4"/>
      <c r="G990" s="4"/>
      <c r="H990" s="4"/>
      <c r="I990" s="4"/>
      <c r="J990" s="4"/>
      <c r="K990" s="4"/>
      <c r="L990" s="4"/>
      <c r="M990" s="4"/>
      <c r="N990" s="4"/>
      <c r="O990" s="4"/>
      <c r="P990" s="4"/>
      <c r="Q990" s="4"/>
      <c r="R990" s="4"/>
      <c r="S990" s="4"/>
      <c r="T990" s="4"/>
      <c r="U990" s="4"/>
    </row>
    <row r="991" spans="3:21" ht="19" x14ac:dyDescent="0.25">
      <c r="C991" s="4"/>
      <c r="D991" s="4"/>
      <c r="E991" s="4"/>
      <c r="F991" s="4"/>
      <c r="G991" s="4"/>
      <c r="H991" s="4"/>
      <c r="I991" s="4"/>
      <c r="J991" s="4"/>
      <c r="K991" s="4"/>
      <c r="L991" s="4"/>
      <c r="M991" s="4"/>
      <c r="N991" s="4"/>
      <c r="O991" s="4"/>
      <c r="P991" s="4"/>
      <c r="Q991" s="4"/>
      <c r="R991" s="4"/>
      <c r="S991" s="4"/>
      <c r="T991" s="4"/>
      <c r="U991" s="4"/>
    </row>
    <row r="992" spans="3:21" ht="19" x14ac:dyDescent="0.25">
      <c r="C992" s="4"/>
      <c r="D992" s="4"/>
      <c r="E992" s="4"/>
      <c r="F992" s="4"/>
      <c r="G992" s="4"/>
      <c r="H992" s="4"/>
      <c r="I992" s="4"/>
      <c r="J992" s="4"/>
      <c r="K992" s="4"/>
      <c r="L992" s="4"/>
      <c r="M992" s="4"/>
      <c r="N992" s="4"/>
      <c r="O992" s="4"/>
      <c r="P992" s="4"/>
      <c r="Q992" s="4"/>
      <c r="R992" s="4"/>
      <c r="S992" s="4"/>
      <c r="T992" s="4"/>
      <c r="U992" s="4"/>
    </row>
    <row r="993" spans="3:21" ht="19" x14ac:dyDescent="0.25">
      <c r="C993" s="4"/>
      <c r="D993" s="4"/>
      <c r="E993" s="4"/>
      <c r="F993" s="4"/>
      <c r="G993" s="4"/>
      <c r="H993" s="4"/>
      <c r="I993" s="4"/>
      <c r="J993" s="4"/>
      <c r="K993" s="4"/>
      <c r="L993" s="4"/>
      <c r="M993" s="4"/>
      <c r="N993" s="4"/>
      <c r="O993" s="4"/>
      <c r="P993" s="4"/>
      <c r="Q993" s="4"/>
      <c r="R993" s="4"/>
      <c r="S993" s="4"/>
      <c r="T993" s="4"/>
      <c r="U993" s="4"/>
    </row>
    <row r="994" spans="3:21" ht="19" x14ac:dyDescent="0.25">
      <c r="C994" s="4"/>
      <c r="D994" s="4"/>
      <c r="E994" s="4"/>
      <c r="F994" s="4"/>
      <c r="G994" s="4"/>
      <c r="H994" s="4"/>
      <c r="I994" s="4"/>
      <c r="J994" s="4"/>
      <c r="K994" s="4"/>
      <c r="L994" s="4"/>
      <c r="M994" s="4"/>
      <c r="N994" s="4"/>
      <c r="O994" s="4"/>
      <c r="P994" s="4"/>
      <c r="Q994" s="4"/>
      <c r="R994" s="4"/>
      <c r="S994" s="4"/>
      <c r="T994" s="4"/>
      <c r="U994" s="4"/>
    </row>
    <row r="995" spans="3:21" ht="19" x14ac:dyDescent="0.25">
      <c r="C995" s="4"/>
      <c r="D995" s="4"/>
      <c r="E995" s="4"/>
      <c r="F995" s="4"/>
      <c r="G995" s="4"/>
      <c r="H995" s="4"/>
      <c r="I995" s="4"/>
      <c r="J995" s="4"/>
      <c r="K995" s="4"/>
      <c r="L995" s="4"/>
      <c r="M995" s="4"/>
      <c r="N995" s="4"/>
      <c r="O995" s="4"/>
      <c r="P995" s="4"/>
      <c r="Q995" s="4"/>
      <c r="R995" s="4"/>
      <c r="S995" s="4"/>
      <c r="T995" s="4"/>
      <c r="U995" s="4"/>
    </row>
    <row r="996" spans="3:21" ht="19" x14ac:dyDescent="0.25">
      <c r="C996" s="4"/>
      <c r="D996" s="4"/>
      <c r="E996" s="4"/>
      <c r="F996" s="4"/>
      <c r="G996" s="4"/>
      <c r="H996" s="4"/>
      <c r="I996" s="4"/>
      <c r="J996" s="4"/>
      <c r="K996" s="4"/>
      <c r="L996" s="4"/>
      <c r="M996" s="4"/>
      <c r="N996" s="4"/>
      <c r="O996" s="4"/>
      <c r="P996" s="4"/>
      <c r="Q996" s="4"/>
      <c r="R996" s="4"/>
      <c r="S996" s="4"/>
      <c r="T996" s="4"/>
      <c r="U996" s="4"/>
    </row>
    <row r="997" spans="3:21" ht="19" x14ac:dyDescent="0.25">
      <c r="C997" s="4"/>
      <c r="D997" s="4"/>
      <c r="E997" s="4"/>
      <c r="F997" s="4"/>
      <c r="G997" s="4"/>
      <c r="H997" s="4"/>
      <c r="I997" s="4"/>
      <c r="J997" s="4"/>
      <c r="K997" s="4"/>
      <c r="L997" s="4"/>
      <c r="M997" s="4"/>
      <c r="N997" s="4"/>
      <c r="O997" s="4"/>
      <c r="P997" s="4"/>
      <c r="Q997" s="4"/>
      <c r="R997" s="4"/>
      <c r="S997" s="4"/>
      <c r="T997" s="4"/>
      <c r="U997" s="4"/>
    </row>
    <row r="998" spans="3:21" ht="19" x14ac:dyDescent="0.25">
      <c r="C998" s="4"/>
      <c r="D998" s="4"/>
      <c r="E998" s="4"/>
      <c r="F998" s="4"/>
      <c r="G998" s="4"/>
      <c r="H998" s="4"/>
      <c r="I998" s="4"/>
      <c r="J998" s="4"/>
      <c r="K998" s="4"/>
      <c r="L998" s="4"/>
      <c r="M998" s="4"/>
      <c r="N998" s="4"/>
      <c r="O998" s="4"/>
      <c r="P998" s="4"/>
      <c r="Q998" s="4"/>
      <c r="R998" s="4"/>
      <c r="S998" s="4"/>
      <c r="T998" s="4"/>
      <c r="U998" s="4"/>
    </row>
    <row r="999" spans="3:21" ht="19" x14ac:dyDescent="0.25">
      <c r="C999" s="4"/>
      <c r="D999" s="4"/>
      <c r="E999" s="4"/>
      <c r="F999" s="4"/>
      <c r="G999" s="4"/>
      <c r="H999" s="4"/>
      <c r="I999" s="4"/>
      <c r="J999" s="4"/>
      <c r="K999" s="4"/>
      <c r="L999" s="4"/>
      <c r="M999" s="4"/>
      <c r="N999" s="4"/>
      <c r="O999" s="4"/>
      <c r="P999" s="4"/>
      <c r="Q999" s="4"/>
      <c r="R999" s="4"/>
      <c r="S999" s="4"/>
      <c r="T999" s="4"/>
      <c r="U999" s="4"/>
    </row>
    <row r="1000" spans="3:21" ht="19" x14ac:dyDescent="0.25">
      <c r="C1000" s="4"/>
      <c r="D1000" s="4"/>
      <c r="E1000" s="4"/>
      <c r="F1000" s="4"/>
      <c r="G1000" s="4"/>
      <c r="H1000" s="4"/>
      <c r="I1000" s="4"/>
      <c r="J1000" s="4"/>
      <c r="K1000" s="4"/>
      <c r="L1000" s="4"/>
      <c r="M1000" s="4"/>
      <c r="N1000" s="4"/>
      <c r="O1000" s="4"/>
      <c r="P1000" s="4"/>
      <c r="Q1000" s="4"/>
      <c r="R1000" s="4"/>
      <c r="S1000" s="4"/>
      <c r="T1000" s="4"/>
      <c r="U1000" s="4"/>
    </row>
    <row r="1001" spans="3:21" ht="19" x14ac:dyDescent="0.25">
      <c r="C1001" s="4"/>
      <c r="D1001" s="4"/>
      <c r="E1001" s="4"/>
      <c r="F1001" s="4"/>
      <c r="G1001" s="4"/>
      <c r="H1001" s="4"/>
      <c r="I1001" s="4"/>
      <c r="J1001" s="4"/>
      <c r="K1001" s="4"/>
      <c r="L1001" s="4"/>
      <c r="M1001" s="4"/>
      <c r="N1001" s="4"/>
      <c r="O1001" s="4"/>
      <c r="P1001" s="4"/>
      <c r="Q1001" s="4"/>
      <c r="R1001" s="4"/>
      <c r="S1001" s="4"/>
      <c r="T1001" s="4"/>
      <c r="U1001" s="4"/>
    </row>
    <row r="1002" spans="3:21" ht="19" x14ac:dyDescent="0.25">
      <c r="C1002" s="4"/>
      <c r="D1002" s="4"/>
      <c r="E1002" s="4"/>
      <c r="F1002" s="4"/>
      <c r="G1002" s="4"/>
      <c r="H1002" s="4"/>
      <c r="I1002" s="4"/>
      <c r="J1002" s="4"/>
      <c r="K1002" s="4"/>
      <c r="L1002" s="4"/>
      <c r="M1002" s="4"/>
      <c r="N1002" s="4"/>
      <c r="O1002" s="4"/>
      <c r="P1002" s="4"/>
      <c r="Q1002" s="4"/>
      <c r="R1002" s="4"/>
      <c r="S1002" s="4"/>
      <c r="T1002" s="4"/>
      <c r="U1002" s="4"/>
    </row>
    <row r="1003" spans="3:21" ht="19" x14ac:dyDescent="0.25">
      <c r="C1003" s="4"/>
      <c r="D1003" s="4"/>
      <c r="E1003" s="4"/>
      <c r="F1003" s="4"/>
      <c r="G1003" s="4"/>
      <c r="H1003" s="4"/>
      <c r="I1003" s="4"/>
      <c r="J1003" s="4"/>
      <c r="K1003" s="4"/>
      <c r="L1003" s="4"/>
      <c r="M1003" s="4"/>
      <c r="N1003" s="4"/>
      <c r="O1003" s="4"/>
      <c r="P1003" s="4"/>
      <c r="Q1003" s="4"/>
      <c r="R1003" s="4"/>
      <c r="S1003" s="4"/>
      <c r="T1003" s="4"/>
      <c r="U1003" s="4"/>
    </row>
    <row r="1004" spans="3:21" ht="19" x14ac:dyDescent="0.25">
      <c r="C1004" s="4"/>
      <c r="D1004" s="4"/>
      <c r="E1004" s="4"/>
      <c r="F1004" s="4"/>
      <c r="G1004" s="4"/>
      <c r="H1004" s="4"/>
      <c r="I1004" s="4"/>
      <c r="J1004" s="4"/>
      <c r="K1004" s="4"/>
      <c r="L1004" s="4"/>
      <c r="M1004" s="4"/>
      <c r="N1004" s="4"/>
      <c r="O1004" s="4"/>
      <c r="P1004" s="4"/>
      <c r="Q1004" s="4"/>
      <c r="R1004" s="4"/>
      <c r="S1004" s="4"/>
      <c r="T1004" s="4"/>
      <c r="U1004" s="4"/>
    </row>
    <row r="1005" spans="3:21" ht="19" x14ac:dyDescent="0.25">
      <c r="C1005" s="4"/>
      <c r="D1005" s="4"/>
      <c r="E1005" s="4"/>
      <c r="F1005" s="4"/>
      <c r="G1005" s="4"/>
      <c r="H1005" s="4"/>
      <c r="I1005" s="4"/>
      <c r="J1005" s="4"/>
      <c r="K1005" s="4"/>
      <c r="L1005" s="4"/>
      <c r="M1005" s="4"/>
      <c r="N1005" s="4"/>
      <c r="O1005" s="4"/>
      <c r="P1005" s="4"/>
      <c r="Q1005" s="4"/>
      <c r="R1005" s="4"/>
      <c r="S1005" s="4"/>
      <c r="T1005" s="4"/>
      <c r="U1005" s="4"/>
    </row>
    <row r="1006" spans="3:21" ht="19" x14ac:dyDescent="0.25">
      <c r="C1006" s="4"/>
      <c r="D1006" s="4"/>
      <c r="E1006" s="4"/>
      <c r="F1006" s="4"/>
      <c r="G1006" s="4"/>
      <c r="H1006" s="4"/>
      <c r="I1006" s="4"/>
      <c r="J1006" s="4"/>
      <c r="K1006" s="4"/>
      <c r="L1006" s="4"/>
      <c r="M1006" s="4"/>
      <c r="N1006" s="4"/>
      <c r="O1006" s="4"/>
      <c r="P1006" s="4"/>
      <c r="Q1006" s="4"/>
      <c r="R1006" s="4"/>
      <c r="S1006" s="4"/>
      <c r="T1006" s="4"/>
      <c r="U1006" s="4"/>
    </row>
    <row r="1007" spans="3:21" ht="19" x14ac:dyDescent="0.25">
      <c r="C1007" s="4"/>
      <c r="D1007" s="4"/>
      <c r="E1007" s="4"/>
      <c r="F1007" s="4"/>
      <c r="G1007" s="4"/>
      <c r="H1007" s="4"/>
      <c r="I1007" s="4"/>
      <c r="J1007" s="4"/>
      <c r="K1007" s="4"/>
      <c r="L1007" s="4"/>
      <c r="M1007" s="4"/>
      <c r="N1007" s="4"/>
      <c r="O1007" s="4"/>
      <c r="P1007" s="4"/>
      <c r="Q1007" s="4"/>
      <c r="R1007" s="4"/>
      <c r="S1007" s="4"/>
      <c r="T1007" s="4"/>
      <c r="U1007" s="4"/>
    </row>
    <row r="1008" spans="3:21" ht="19" x14ac:dyDescent="0.25">
      <c r="C1008" s="4"/>
      <c r="D1008" s="4"/>
      <c r="E1008" s="4"/>
      <c r="F1008" s="4"/>
      <c r="G1008" s="4"/>
      <c r="H1008" s="4"/>
      <c r="I1008" s="4"/>
      <c r="J1008" s="4"/>
      <c r="K1008" s="4"/>
      <c r="L1008" s="4"/>
      <c r="M1008" s="4"/>
      <c r="N1008" s="4"/>
      <c r="O1008" s="4"/>
      <c r="P1008" s="4"/>
      <c r="Q1008" s="4"/>
      <c r="R1008" s="4"/>
      <c r="S1008" s="4"/>
      <c r="T1008" s="4"/>
      <c r="U1008" s="4"/>
    </row>
    <row r="1009" spans="3:21" ht="19" x14ac:dyDescent="0.25">
      <c r="C1009" s="4"/>
      <c r="D1009" s="4"/>
      <c r="E1009" s="4"/>
      <c r="F1009" s="4"/>
      <c r="G1009" s="4"/>
      <c r="H1009" s="4"/>
      <c r="I1009" s="4"/>
      <c r="J1009" s="4"/>
      <c r="K1009" s="4"/>
      <c r="L1009" s="4"/>
      <c r="M1009" s="4"/>
      <c r="N1009" s="4"/>
      <c r="O1009" s="4"/>
      <c r="P1009" s="4"/>
      <c r="Q1009" s="4"/>
      <c r="R1009" s="4"/>
      <c r="S1009" s="4"/>
      <c r="T1009" s="4"/>
      <c r="U1009" s="4"/>
    </row>
    <row r="1010" spans="3:21" ht="19" x14ac:dyDescent="0.25">
      <c r="C1010" s="4"/>
      <c r="D1010" s="4"/>
      <c r="E1010" s="4"/>
      <c r="F1010" s="4"/>
      <c r="G1010" s="4"/>
      <c r="H1010" s="4"/>
      <c r="I1010" s="4"/>
      <c r="J1010" s="4"/>
      <c r="K1010" s="4"/>
      <c r="L1010" s="4"/>
      <c r="M1010" s="4"/>
      <c r="N1010" s="4"/>
      <c r="O1010" s="4"/>
      <c r="P1010" s="4"/>
      <c r="Q1010" s="4"/>
      <c r="R1010" s="4"/>
      <c r="S1010" s="4"/>
      <c r="T1010" s="4"/>
      <c r="U1010" s="4"/>
    </row>
    <row r="1011" spans="3:21" ht="19" x14ac:dyDescent="0.25">
      <c r="C1011" s="4"/>
      <c r="D1011" s="4"/>
      <c r="E1011" s="4"/>
      <c r="F1011" s="4"/>
      <c r="G1011" s="4"/>
      <c r="H1011" s="4"/>
      <c r="I1011" s="4"/>
      <c r="J1011" s="4"/>
      <c r="K1011" s="4"/>
      <c r="L1011" s="4"/>
      <c r="M1011" s="4"/>
      <c r="N1011" s="4"/>
      <c r="O1011" s="4"/>
      <c r="P1011" s="4"/>
      <c r="Q1011" s="4"/>
      <c r="R1011" s="4"/>
      <c r="S1011" s="4"/>
      <c r="T1011" s="4"/>
      <c r="U1011" s="4"/>
    </row>
    <row r="1012" spans="3:21" ht="19" x14ac:dyDescent="0.25">
      <c r="C1012" s="4"/>
      <c r="D1012" s="4"/>
      <c r="E1012" s="4"/>
      <c r="F1012" s="4"/>
      <c r="G1012" s="4"/>
      <c r="H1012" s="4"/>
      <c r="I1012" s="4"/>
      <c r="J1012" s="4"/>
      <c r="K1012" s="4"/>
      <c r="L1012" s="4"/>
      <c r="M1012" s="4"/>
      <c r="N1012" s="4"/>
      <c r="O1012" s="4"/>
      <c r="P1012" s="4"/>
      <c r="Q1012" s="4"/>
      <c r="R1012" s="4"/>
      <c r="S1012" s="4"/>
      <c r="T1012" s="4"/>
      <c r="U1012" s="4"/>
    </row>
    <row r="1013" spans="3:21" ht="19" x14ac:dyDescent="0.25">
      <c r="C1013" s="4"/>
      <c r="D1013" s="4"/>
      <c r="E1013" s="4"/>
      <c r="F1013" s="4"/>
      <c r="G1013" s="4"/>
      <c r="H1013" s="4"/>
      <c r="I1013" s="4"/>
      <c r="J1013" s="4"/>
      <c r="K1013" s="4"/>
      <c r="L1013" s="4"/>
      <c r="M1013" s="4"/>
      <c r="N1013" s="4"/>
      <c r="O1013" s="4"/>
      <c r="P1013" s="4"/>
      <c r="Q1013" s="4"/>
      <c r="R1013" s="4"/>
      <c r="S1013" s="4"/>
      <c r="T1013" s="4"/>
      <c r="U1013" s="4"/>
    </row>
    <row r="1014" spans="3:21" ht="19" x14ac:dyDescent="0.25">
      <c r="C1014" s="4"/>
      <c r="D1014" s="4"/>
      <c r="E1014" s="4"/>
      <c r="F1014" s="4"/>
      <c r="G1014" s="4"/>
      <c r="H1014" s="4"/>
      <c r="I1014" s="4"/>
      <c r="J1014" s="4"/>
      <c r="K1014" s="4"/>
      <c r="L1014" s="4"/>
      <c r="M1014" s="4"/>
      <c r="N1014" s="4"/>
      <c r="O1014" s="4"/>
      <c r="P1014" s="4"/>
      <c r="Q1014" s="4"/>
      <c r="R1014" s="4"/>
      <c r="S1014" s="4"/>
      <c r="T1014" s="4"/>
      <c r="U1014" s="4"/>
    </row>
    <row r="1015" spans="3:21" ht="19" x14ac:dyDescent="0.25">
      <c r="C1015" s="4"/>
      <c r="D1015" s="4"/>
      <c r="E1015" s="4"/>
      <c r="F1015" s="4"/>
      <c r="G1015" s="4"/>
      <c r="H1015" s="4"/>
      <c r="I1015" s="4"/>
      <c r="J1015" s="4"/>
      <c r="K1015" s="4"/>
      <c r="L1015" s="4"/>
      <c r="M1015" s="4"/>
      <c r="N1015" s="4"/>
      <c r="O1015" s="4"/>
      <c r="P1015" s="4"/>
      <c r="Q1015" s="4"/>
      <c r="R1015" s="4"/>
      <c r="S1015" s="4"/>
      <c r="T1015" s="4"/>
      <c r="U1015" s="4"/>
    </row>
    <row r="1016" spans="3:21" ht="19" x14ac:dyDescent="0.25">
      <c r="C1016" s="4"/>
      <c r="D1016" s="4"/>
      <c r="E1016" s="4"/>
      <c r="F1016" s="4"/>
      <c r="G1016" s="4"/>
      <c r="H1016" s="4"/>
      <c r="I1016" s="4"/>
      <c r="J1016" s="4"/>
      <c r="K1016" s="4"/>
      <c r="L1016" s="4"/>
      <c r="M1016" s="4"/>
      <c r="N1016" s="4"/>
      <c r="O1016" s="4"/>
      <c r="P1016" s="4"/>
      <c r="Q1016" s="4"/>
      <c r="R1016" s="4"/>
      <c r="S1016" s="4"/>
      <c r="T1016" s="4"/>
      <c r="U1016" s="4"/>
    </row>
    <row r="1017" spans="3:21" ht="19" x14ac:dyDescent="0.25">
      <c r="C1017" s="4"/>
      <c r="D1017" s="4"/>
      <c r="E1017" s="4"/>
      <c r="F1017" s="4"/>
      <c r="G1017" s="4"/>
      <c r="H1017" s="4"/>
      <c r="I1017" s="4"/>
      <c r="J1017" s="4"/>
      <c r="K1017" s="4"/>
      <c r="L1017" s="4"/>
      <c r="M1017" s="4"/>
      <c r="N1017" s="4"/>
      <c r="O1017" s="4"/>
      <c r="P1017" s="4"/>
      <c r="Q1017" s="4"/>
      <c r="R1017" s="4"/>
      <c r="S1017" s="4"/>
      <c r="T1017" s="4"/>
      <c r="U1017" s="4"/>
    </row>
    <row r="1018" spans="3:21" ht="19" x14ac:dyDescent="0.25">
      <c r="C1018" s="4"/>
      <c r="D1018" s="4"/>
      <c r="E1018" s="4"/>
      <c r="F1018" s="4"/>
      <c r="G1018" s="4"/>
      <c r="H1018" s="4"/>
      <c r="I1018" s="4"/>
      <c r="J1018" s="4"/>
      <c r="K1018" s="4"/>
      <c r="L1018" s="4"/>
      <c r="M1018" s="4"/>
      <c r="N1018" s="4"/>
      <c r="O1018" s="4"/>
      <c r="P1018" s="4"/>
      <c r="Q1018" s="4"/>
      <c r="R1018" s="4"/>
      <c r="S1018" s="4"/>
      <c r="T1018" s="4"/>
      <c r="U1018" s="4"/>
    </row>
    <row r="1019" spans="3:21" ht="19" x14ac:dyDescent="0.25">
      <c r="C1019" s="4"/>
      <c r="D1019" s="4"/>
      <c r="E1019" s="4"/>
      <c r="F1019" s="4"/>
      <c r="G1019" s="4"/>
      <c r="H1019" s="4"/>
      <c r="I1019" s="4"/>
      <c r="J1019" s="4"/>
      <c r="K1019" s="4"/>
      <c r="L1019" s="4"/>
      <c r="M1019" s="4"/>
      <c r="N1019" s="4"/>
      <c r="O1019" s="4"/>
      <c r="P1019" s="4"/>
      <c r="Q1019" s="4"/>
      <c r="R1019" s="4"/>
      <c r="S1019" s="4"/>
      <c r="T1019" s="4"/>
      <c r="U1019" s="4"/>
    </row>
    <row r="1020" spans="3:21" ht="19" x14ac:dyDescent="0.25">
      <c r="C1020" s="4"/>
      <c r="D1020" s="4"/>
      <c r="E1020" s="4"/>
      <c r="F1020" s="4"/>
      <c r="G1020" s="4"/>
      <c r="H1020" s="4"/>
      <c r="I1020" s="4"/>
      <c r="J1020" s="4"/>
      <c r="K1020" s="4"/>
      <c r="L1020" s="4"/>
      <c r="M1020" s="4"/>
      <c r="N1020" s="4"/>
      <c r="O1020" s="4"/>
      <c r="P1020" s="4"/>
      <c r="Q1020" s="4"/>
      <c r="R1020" s="4"/>
      <c r="S1020" s="4"/>
      <c r="T1020" s="4"/>
      <c r="U1020" s="4"/>
    </row>
    <row r="1021" spans="3:21" ht="19" x14ac:dyDescent="0.25">
      <c r="C1021" s="4"/>
      <c r="D1021" s="4"/>
      <c r="E1021" s="4"/>
      <c r="F1021" s="4"/>
      <c r="G1021" s="4"/>
      <c r="H1021" s="4"/>
      <c r="I1021" s="4"/>
      <c r="J1021" s="4"/>
      <c r="K1021" s="4"/>
      <c r="L1021" s="4"/>
      <c r="M1021" s="4"/>
      <c r="N1021" s="4"/>
      <c r="O1021" s="4"/>
      <c r="P1021" s="4"/>
      <c r="Q1021" s="4"/>
      <c r="R1021" s="4"/>
      <c r="S1021" s="4"/>
      <c r="T1021" s="4"/>
      <c r="U1021" s="4"/>
    </row>
    <row r="1022" spans="3:21" ht="19" x14ac:dyDescent="0.25">
      <c r="C1022" s="4"/>
      <c r="D1022" s="4"/>
      <c r="E1022" s="4"/>
      <c r="F1022" s="4"/>
      <c r="G1022" s="4"/>
      <c r="H1022" s="4"/>
      <c r="I1022" s="4"/>
      <c r="J1022" s="4"/>
      <c r="K1022" s="4"/>
      <c r="L1022" s="4"/>
      <c r="M1022" s="4"/>
      <c r="N1022" s="4"/>
      <c r="O1022" s="4"/>
      <c r="P1022" s="4"/>
      <c r="Q1022" s="4"/>
      <c r="R1022" s="4"/>
      <c r="S1022" s="4"/>
      <c r="T1022" s="4"/>
      <c r="U1022" s="4"/>
    </row>
    <row r="1023" spans="3:21" ht="19" x14ac:dyDescent="0.25">
      <c r="C1023" s="4"/>
      <c r="D1023" s="4"/>
      <c r="E1023" s="4"/>
      <c r="F1023" s="4"/>
      <c r="G1023" s="4"/>
      <c r="H1023" s="4"/>
      <c r="I1023" s="4"/>
      <c r="J1023" s="4"/>
      <c r="K1023" s="4"/>
      <c r="L1023" s="4"/>
      <c r="M1023" s="4"/>
      <c r="N1023" s="4"/>
      <c r="O1023" s="4"/>
      <c r="P1023" s="4"/>
      <c r="Q1023" s="4"/>
      <c r="R1023" s="4"/>
      <c r="S1023" s="4"/>
      <c r="T1023" s="4"/>
      <c r="U1023" s="4"/>
    </row>
    <row r="1024" spans="3:21" ht="19" x14ac:dyDescent="0.25">
      <c r="C1024" s="4"/>
      <c r="D1024" s="4"/>
      <c r="E1024" s="4"/>
      <c r="F1024" s="4"/>
      <c r="G1024" s="4"/>
      <c r="H1024" s="4"/>
      <c r="I1024" s="4"/>
      <c r="J1024" s="4"/>
      <c r="K1024" s="4"/>
      <c r="L1024" s="4"/>
      <c r="M1024" s="4"/>
      <c r="N1024" s="4"/>
      <c r="O1024" s="4"/>
      <c r="P1024" s="4"/>
      <c r="Q1024" s="4"/>
      <c r="R1024" s="4"/>
      <c r="S1024" s="4"/>
      <c r="T1024" s="4"/>
      <c r="U1024" s="4"/>
    </row>
    <row r="1025" spans="3:21" ht="19" x14ac:dyDescent="0.25">
      <c r="C1025" s="4"/>
      <c r="D1025" s="4"/>
      <c r="E1025" s="4"/>
      <c r="F1025" s="4"/>
      <c r="G1025" s="4"/>
      <c r="H1025" s="4"/>
      <c r="I1025" s="4"/>
      <c r="J1025" s="4"/>
      <c r="K1025" s="4"/>
      <c r="L1025" s="4"/>
      <c r="M1025" s="4"/>
      <c r="N1025" s="4"/>
      <c r="O1025" s="4"/>
      <c r="P1025" s="4"/>
      <c r="Q1025" s="4"/>
      <c r="R1025" s="4"/>
      <c r="S1025" s="4"/>
      <c r="T1025" s="4"/>
      <c r="U1025" s="4"/>
    </row>
    <row r="1026" spans="3:21" ht="19" x14ac:dyDescent="0.25">
      <c r="C1026" s="4"/>
      <c r="D1026" s="4"/>
      <c r="E1026" s="4"/>
      <c r="F1026" s="4"/>
      <c r="G1026" s="4"/>
      <c r="H1026" s="4"/>
      <c r="I1026" s="4"/>
      <c r="J1026" s="4"/>
      <c r="K1026" s="4"/>
      <c r="L1026" s="4"/>
      <c r="M1026" s="4"/>
      <c r="N1026" s="4"/>
      <c r="O1026" s="4"/>
      <c r="P1026" s="4"/>
      <c r="Q1026" s="4"/>
      <c r="R1026" s="4"/>
      <c r="S1026" s="4"/>
      <c r="T1026" s="4"/>
      <c r="U1026" s="4"/>
    </row>
    <row r="1027" spans="3:21" ht="19" x14ac:dyDescent="0.25">
      <c r="C1027" s="4"/>
      <c r="D1027" s="4"/>
      <c r="E1027" s="4"/>
      <c r="F1027" s="4"/>
      <c r="G1027" s="4"/>
      <c r="H1027" s="4"/>
      <c r="I1027" s="4"/>
      <c r="J1027" s="4"/>
      <c r="K1027" s="4"/>
      <c r="L1027" s="4"/>
      <c r="M1027" s="4"/>
      <c r="N1027" s="4"/>
      <c r="O1027" s="4"/>
      <c r="P1027" s="4"/>
      <c r="Q1027" s="4"/>
      <c r="R1027" s="4"/>
      <c r="S1027" s="4"/>
      <c r="T1027" s="4"/>
      <c r="U1027" s="4"/>
    </row>
    <row r="1028" spans="3:21" ht="19" x14ac:dyDescent="0.25">
      <c r="C1028" s="4"/>
      <c r="D1028" s="4"/>
      <c r="E1028" s="4"/>
      <c r="F1028" s="4"/>
      <c r="G1028" s="4"/>
      <c r="H1028" s="4"/>
      <c r="I1028" s="4"/>
      <c r="J1028" s="4"/>
      <c r="K1028" s="4"/>
      <c r="L1028" s="4"/>
      <c r="M1028" s="4"/>
      <c r="N1028" s="4"/>
      <c r="O1028" s="4"/>
      <c r="P1028" s="4"/>
      <c r="Q1028" s="4"/>
      <c r="R1028" s="4"/>
      <c r="S1028" s="4"/>
      <c r="T1028" s="4"/>
      <c r="U1028" s="4"/>
    </row>
    <row r="1029" spans="3:21" ht="19" x14ac:dyDescent="0.25">
      <c r="C1029" s="4"/>
      <c r="D1029" s="4"/>
      <c r="E1029" s="4"/>
      <c r="F1029" s="4"/>
      <c r="G1029" s="4"/>
      <c r="H1029" s="4"/>
      <c r="I1029" s="4"/>
      <c r="J1029" s="4"/>
      <c r="K1029" s="4"/>
      <c r="L1029" s="4"/>
      <c r="M1029" s="4"/>
      <c r="N1029" s="4"/>
      <c r="O1029" s="4"/>
      <c r="P1029" s="4"/>
      <c r="Q1029" s="4"/>
      <c r="R1029" s="4"/>
      <c r="S1029" s="4"/>
      <c r="T1029" s="4"/>
      <c r="U1029" s="4"/>
    </row>
    <row r="1030" spans="3:21" ht="19" x14ac:dyDescent="0.25">
      <c r="C1030" s="4"/>
      <c r="D1030" s="4"/>
      <c r="E1030" s="4"/>
      <c r="F1030" s="4"/>
      <c r="G1030" s="4"/>
      <c r="H1030" s="4"/>
      <c r="I1030" s="4"/>
      <c r="J1030" s="4"/>
      <c r="K1030" s="4"/>
      <c r="L1030" s="4"/>
      <c r="M1030" s="4"/>
      <c r="N1030" s="4"/>
      <c r="O1030" s="4"/>
      <c r="P1030" s="4"/>
      <c r="Q1030" s="4"/>
      <c r="R1030" s="4"/>
      <c r="S1030" s="4"/>
      <c r="T1030" s="4"/>
      <c r="U1030" s="4"/>
    </row>
    <row r="1031" spans="3:21" ht="19" x14ac:dyDescent="0.25">
      <c r="C1031" s="4"/>
      <c r="D1031" s="4"/>
      <c r="E1031" s="4"/>
      <c r="F1031" s="4"/>
      <c r="G1031" s="4"/>
      <c r="H1031" s="4"/>
      <c r="I1031" s="4"/>
      <c r="J1031" s="4"/>
      <c r="K1031" s="4"/>
      <c r="L1031" s="4"/>
      <c r="M1031" s="4"/>
      <c r="N1031" s="4"/>
      <c r="O1031" s="4"/>
      <c r="P1031" s="4"/>
      <c r="Q1031" s="4"/>
      <c r="R1031" s="4"/>
      <c r="S1031" s="4"/>
      <c r="T1031" s="4"/>
      <c r="U1031" s="4"/>
    </row>
    <row r="1032" spans="3:21" ht="19" x14ac:dyDescent="0.25">
      <c r="C1032" s="4"/>
      <c r="D1032" s="4"/>
      <c r="E1032" s="4"/>
      <c r="F1032" s="4"/>
      <c r="G1032" s="4"/>
      <c r="H1032" s="4"/>
      <c r="I1032" s="4"/>
      <c r="J1032" s="4"/>
      <c r="K1032" s="4"/>
      <c r="L1032" s="4"/>
      <c r="M1032" s="4"/>
      <c r="N1032" s="4"/>
      <c r="O1032" s="4"/>
      <c r="P1032" s="4"/>
      <c r="Q1032" s="4"/>
      <c r="R1032" s="4"/>
      <c r="S1032" s="4"/>
      <c r="T1032" s="4"/>
      <c r="U1032" s="4"/>
    </row>
    <row r="1033" spans="3:21" ht="19" x14ac:dyDescent="0.25">
      <c r="C1033" s="4"/>
      <c r="D1033" s="4"/>
      <c r="E1033" s="4"/>
      <c r="F1033" s="4"/>
      <c r="G1033" s="4"/>
      <c r="H1033" s="4"/>
      <c r="I1033" s="4"/>
      <c r="J1033" s="4"/>
      <c r="K1033" s="4"/>
      <c r="L1033" s="4"/>
      <c r="M1033" s="4"/>
      <c r="N1033" s="4"/>
      <c r="O1033" s="4"/>
      <c r="P1033" s="4"/>
      <c r="Q1033" s="4"/>
      <c r="R1033" s="4"/>
      <c r="S1033" s="4"/>
      <c r="T1033" s="4"/>
      <c r="U1033" s="4"/>
    </row>
    <row r="1034" spans="3:21" ht="19" x14ac:dyDescent="0.25">
      <c r="C1034" s="4"/>
      <c r="D1034" s="4"/>
      <c r="E1034" s="4"/>
      <c r="F1034" s="4"/>
      <c r="G1034" s="4"/>
      <c r="H1034" s="4"/>
      <c r="I1034" s="4"/>
      <c r="J1034" s="4"/>
      <c r="K1034" s="4"/>
      <c r="L1034" s="4"/>
      <c r="M1034" s="4"/>
      <c r="N1034" s="4"/>
      <c r="O1034" s="4"/>
      <c r="P1034" s="4"/>
      <c r="Q1034" s="4"/>
      <c r="R1034" s="4"/>
      <c r="S1034" s="4"/>
      <c r="T1034" s="4"/>
      <c r="U1034" s="4"/>
    </row>
    <row r="1035" spans="3:21" ht="19" x14ac:dyDescent="0.25">
      <c r="C1035" s="4"/>
      <c r="D1035" s="4"/>
      <c r="E1035" s="4"/>
      <c r="F1035" s="4"/>
      <c r="G1035" s="4"/>
      <c r="H1035" s="4"/>
      <c r="I1035" s="4"/>
      <c r="J1035" s="4"/>
      <c r="K1035" s="4"/>
      <c r="L1035" s="4"/>
      <c r="M1035" s="4"/>
      <c r="N1035" s="4"/>
      <c r="O1035" s="4"/>
      <c r="P1035" s="4"/>
      <c r="Q1035" s="4"/>
      <c r="R1035" s="4"/>
      <c r="S1035" s="4"/>
      <c r="T1035" s="4"/>
      <c r="U1035" s="4"/>
    </row>
    <row r="1036" spans="3:21" ht="19" x14ac:dyDescent="0.25">
      <c r="C1036" s="4"/>
      <c r="D1036" s="4"/>
      <c r="E1036" s="4"/>
      <c r="F1036" s="4"/>
      <c r="G1036" s="4"/>
      <c r="H1036" s="4"/>
      <c r="I1036" s="4"/>
      <c r="J1036" s="4"/>
      <c r="K1036" s="4"/>
      <c r="L1036" s="4"/>
      <c r="M1036" s="4"/>
      <c r="N1036" s="4"/>
      <c r="O1036" s="4"/>
      <c r="P1036" s="4"/>
      <c r="Q1036" s="4"/>
      <c r="R1036" s="4"/>
      <c r="S1036" s="4"/>
      <c r="T1036" s="4"/>
      <c r="U1036" s="4"/>
    </row>
    <row r="1037" spans="3:21" ht="19" x14ac:dyDescent="0.25">
      <c r="C1037" s="4"/>
      <c r="D1037" s="4"/>
      <c r="E1037" s="4"/>
      <c r="F1037" s="4"/>
      <c r="G1037" s="4"/>
      <c r="H1037" s="4"/>
      <c r="I1037" s="4"/>
      <c r="J1037" s="4"/>
      <c r="K1037" s="4"/>
      <c r="L1037" s="4"/>
      <c r="M1037" s="4"/>
      <c r="N1037" s="4"/>
      <c r="O1037" s="4"/>
      <c r="P1037" s="4"/>
      <c r="Q1037" s="4"/>
      <c r="R1037" s="4"/>
      <c r="S1037" s="4"/>
      <c r="T1037" s="4"/>
      <c r="U1037" s="4"/>
    </row>
    <row r="1038" spans="3:21" ht="19" x14ac:dyDescent="0.25">
      <c r="C1038" s="4"/>
      <c r="D1038" s="4"/>
      <c r="E1038" s="4"/>
      <c r="F1038" s="4"/>
      <c r="G1038" s="4"/>
      <c r="H1038" s="4"/>
      <c r="I1038" s="4"/>
      <c r="J1038" s="4"/>
      <c r="K1038" s="4"/>
      <c r="L1038" s="4"/>
      <c r="M1038" s="4"/>
      <c r="N1038" s="4"/>
      <c r="O1038" s="4"/>
      <c r="P1038" s="4"/>
      <c r="Q1038" s="4"/>
      <c r="R1038" s="4"/>
      <c r="S1038" s="4"/>
      <c r="T1038" s="4"/>
      <c r="U1038" s="4"/>
    </row>
    <row r="1039" spans="3:21" ht="19" x14ac:dyDescent="0.25">
      <c r="C1039" s="4"/>
      <c r="D1039" s="4"/>
      <c r="E1039" s="4"/>
      <c r="F1039" s="4"/>
      <c r="G1039" s="4"/>
      <c r="H1039" s="4"/>
      <c r="I1039" s="4"/>
      <c r="J1039" s="4"/>
      <c r="K1039" s="4"/>
      <c r="L1039" s="4"/>
      <c r="M1039" s="4"/>
      <c r="N1039" s="4"/>
      <c r="O1039" s="4"/>
      <c r="P1039" s="4"/>
      <c r="Q1039" s="4"/>
      <c r="R1039" s="4"/>
      <c r="S1039" s="4"/>
      <c r="T1039" s="4"/>
      <c r="U1039" s="4"/>
    </row>
    <row r="1040" spans="3:21" ht="19" x14ac:dyDescent="0.25">
      <c r="C1040" s="4"/>
      <c r="D1040" s="4"/>
      <c r="E1040" s="4"/>
      <c r="F1040" s="4"/>
      <c r="G1040" s="4"/>
      <c r="H1040" s="4"/>
      <c r="I1040" s="4"/>
      <c r="J1040" s="4"/>
      <c r="K1040" s="4"/>
      <c r="L1040" s="4"/>
      <c r="M1040" s="4"/>
      <c r="N1040" s="4"/>
      <c r="O1040" s="4"/>
      <c r="P1040" s="4"/>
      <c r="Q1040" s="4"/>
      <c r="R1040" s="4"/>
      <c r="S1040" s="4"/>
      <c r="T1040" s="4"/>
      <c r="U1040" s="4"/>
    </row>
    <row r="1041" spans="3:21" ht="19" x14ac:dyDescent="0.25">
      <c r="C1041" s="4"/>
      <c r="D1041" s="4"/>
      <c r="E1041" s="4"/>
      <c r="F1041" s="4"/>
      <c r="G1041" s="4"/>
      <c r="H1041" s="4"/>
      <c r="I1041" s="4"/>
      <c r="J1041" s="4"/>
      <c r="K1041" s="4"/>
      <c r="L1041" s="4"/>
      <c r="M1041" s="4"/>
      <c r="N1041" s="4"/>
      <c r="O1041" s="4"/>
      <c r="P1041" s="4"/>
      <c r="Q1041" s="4"/>
      <c r="R1041" s="4"/>
      <c r="S1041" s="4"/>
      <c r="T1041" s="4"/>
      <c r="U1041" s="4"/>
    </row>
    <row r="1042" spans="3:21" ht="19" x14ac:dyDescent="0.25">
      <c r="C1042" s="4"/>
      <c r="D1042" s="4"/>
      <c r="E1042" s="4"/>
      <c r="F1042" s="4"/>
      <c r="G1042" s="4"/>
      <c r="H1042" s="4"/>
      <c r="I1042" s="4"/>
      <c r="J1042" s="4"/>
      <c r="K1042" s="4"/>
      <c r="L1042" s="4"/>
      <c r="M1042" s="4"/>
      <c r="N1042" s="4"/>
      <c r="O1042" s="4"/>
      <c r="P1042" s="4"/>
      <c r="Q1042" s="4"/>
      <c r="R1042" s="4"/>
      <c r="S1042" s="4"/>
      <c r="T1042" s="4"/>
      <c r="U1042" s="4"/>
    </row>
    <row r="1043" spans="3:21" ht="19" x14ac:dyDescent="0.25">
      <c r="C1043" s="4"/>
      <c r="D1043" s="4"/>
      <c r="E1043" s="4"/>
      <c r="F1043" s="4"/>
      <c r="G1043" s="4"/>
      <c r="H1043" s="4"/>
      <c r="I1043" s="4"/>
      <c r="J1043" s="4"/>
      <c r="K1043" s="4"/>
      <c r="L1043" s="4"/>
      <c r="M1043" s="4"/>
      <c r="N1043" s="4"/>
      <c r="O1043" s="4"/>
      <c r="P1043" s="4"/>
      <c r="Q1043" s="4"/>
      <c r="R1043" s="4"/>
      <c r="S1043" s="4"/>
      <c r="T1043" s="4"/>
      <c r="U1043" s="4"/>
    </row>
    <row r="1044" spans="3:21" ht="19" x14ac:dyDescent="0.25">
      <c r="C1044" s="4"/>
      <c r="D1044" s="4"/>
      <c r="E1044" s="4"/>
      <c r="F1044" s="4"/>
      <c r="G1044" s="4"/>
      <c r="H1044" s="4"/>
      <c r="I1044" s="4"/>
      <c r="J1044" s="4"/>
      <c r="K1044" s="4"/>
      <c r="L1044" s="4"/>
      <c r="M1044" s="4"/>
      <c r="N1044" s="4"/>
      <c r="O1044" s="4"/>
      <c r="P1044" s="4"/>
      <c r="Q1044" s="4"/>
      <c r="R1044" s="4"/>
      <c r="S1044" s="4"/>
      <c r="T1044" s="4"/>
      <c r="U1044" s="4"/>
    </row>
    <row r="1045" spans="3:21" ht="19" x14ac:dyDescent="0.25">
      <c r="C1045" s="4"/>
      <c r="D1045" s="4"/>
      <c r="E1045" s="4"/>
      <c r="F1045" s="4"/>
      <c r="G1045" s="4"/>
      <c r="H1045" s="4"/>
      <c r="I1045" s="4"/>
      <c r="J1045" s="4"/>
      <c r="K1045" s="4"/>
      <c r="L1045" s="4"/>
      <c r="M1045" s="4"/>
      <c r="N1045" s="4"/>
      <c r="O1045" s="4"/>
      <c r="P1045" s="4"/>
      <c r="Q1045" s="4"/>
      <c r="R1045" s="4"/>
      <c r="S1045" s="4"/>
      <c r="T1045" s="4"/>
      <c r="U1045" s="4"/>
    </row>
    <row r="1046" spans="3:21" ht="19" x14ac:dyDescent="0.25">
      <c r="C1046" s="4"/>
      <c r="D1046" s="4"/>
      <c r="E1046" s="4"/>
      <c r="F1046" s="4"/>
      <c r="G1046" s="4"/>
      <c r="H1046" s="4"/>
      <c r="I1046" s="4"/>
      <c r="J1046" s="4"/>
      <c r="K1046" s="4"/>
      <c r="L1046" s="4"/>
      <c r="M1046" s="4"/>
      <c r="N1046" s="4"/>
      <c r="O1046" s="4"/>
      <c r="P1046" s="4"/>
      <c r="Q1046" s="4"/>
      <c r="R1046" s="4"/>
      <c r="S1046" s="4"/>
      <c r="T1046" s="4"/>
      <c r="U1046" s="4"/>
    </row>
    <row r="1047" spans="3:21" ht="19" x14ac:dyDescent="0.25">
      <c r="C1047" s="4"/>
      <c r="D1047" s="4"/>
      <c r="E1047" s="4"/>
      <c r="F1047" s="4"/>
      <c r="G1047" s="4"/>
      <c r="H1047" s="4"/>
      <c r="I1047" s="4"/>
      <c r="J1047" s="4"/>
      <c r="K1047" s="4"/>
      <c r="L1047" s="4"/>
      <c r="M1047" s="4"/>
      <c r="N1047" s="4"/>
      <c r="O1047" s="4"/>
      <c r="P1047" s="4"/>
      <c r="Q1047" s="4"/>
      <c r="R1047" s="4"/>
      <c r="S1047" s="4"/>
      <c r="T1047" s="4"/>
      <c r="U1047" s="4"/>
    </row>
    <row r="1048" spans="3:21" ht="19" x14ac:dyDescent="0.25">
      <c r="C1048" s="4"/>
      <c r="D1048" s="4"/>
      <c r="E1048" s="4"/>
      <c r="F1048" s="4"/>
      <c r="G1048" s="4"/>
      <c r="H1048" s="4"/>
      <c r="I1048" s="4"/>
      <c r="J1048" s="4"/>
      <c r="K1048" s="4"/>
      <c r="L1048" s="4"/>
      <c r="M1048" s="4"/>
      <c r="N1048" s="4"/>
      <c r="O1048" s="4"/>
      <c r="P1048" s="4"/>
      <c r="Q1048" s="4"/>
      <c r="R1048" s="4"/>
      <c r="S1048" s="4"/>
      <c r="T1048" s="4"/>
      <c r="U1048" s="4"/>
    </row>
    <row r="1049" spans="3:21" ht="19" x14ac:dyDescent="0.25">
      <c r="C1049" s="4"/>
      <c r="D1049" s="4"/>
      <c r="E1049" s="4"/>
      <c r="F1049" s="4"/>
      <c r="G1049" s="4"/>
      <c r="H1049" s="4"/>
      <c r="I1049" s="4"/>
      <c r="J1049" s="4"/>
      <c r="K1049" s="4"/>
      <c r="L1049" s="4"/>
      <c r="M1049" s="4"/>
      <c r="N1049" s="4"/>
      <c r="O1049" s="4"/>
      <c r="P1049" s="4"/>
      <c r="Q1049" s="4"/>
      <c r="R1049" s="4"/>
      <c r="S1049" s="4"/>
      <c r="T1049" s="4"/>
      <c r="U1049" s="4"/>
    </row>
    <row r="1050" spans="3:21" ht="19" x14ac:dyDescent="0.25">
      <c r="C1050" s="4"/>
      <c r="D1050" s="4"/>
      <c r="E1050" s="4"/>
      <c r="F1050" s="4"/>
      <c r="G1050" s="4"/>
      <c r="H1050" s="4"/>
      <c r="I1050" s="4"/>
      <c r="J1050" s="4"/>
      <c r="K1050" s="4"/>
      <c r="L1050" s="4"/>
      <c r="M1050" s="4"/>
      <c r="N1050" s="4"/>
      <c r="O1050" s="4"/>
      <c r="P1050" s="4"/>
      <c r="Q1050" s="4"/>
      <c r="R1050" s="4"/>
      <c r="S1050" s="4"/>
      <c r="T1050" s="4"/>
      <c r="U1050" s="4"/>
    </row>
    <row r="1051" spans="3:21" ht="19" x14ac:dyDescent="0.25">
      <c r="C1051" s="4"/>
      <c r="D1051" s="4"/>
      <c r="E1051" s="4"/>
      <c r="F1051" s="4"/>
      <c r="G1051" s="4"/>
      <c r="H1051" s="4"/>
      <c r="I1051" s="4"/>
      <c r="J1051" s="4"/>
      <c r="K1051" s="4"/>
      <c r="L1051" s="4"/>
      <c r="M1051" s="4"/>
      <c r="N1051" s="4"/>
      <c r="O1051" s="4"/>
      <c r="P1051" s="4"/>
      <c r="Q1051" s="4"/>
      <c r="R1051" s="4"/>
      <c r="S1051" s="4"/>
      <c r="T1051" s="4"/>
      <c r="U1051" s="4"/>
    </row>
    <row r="1052" spans="3:21" ht="19" x14ac:dyDescent="0.25">
      <c r="C1052" s="4"/>
      <c r="D1052" s="4"/>
      <c r="E1052" s="4"/>
      <c r="F1052" s="4"/>
      <c r="G1052" s="4"/>
      <c r="H1052" s="4"/>
      <c r="I1052" s="4"/>
      <c r="J1052" s="4"/>
      <c r="K1052" s="4"/>
      <c r="L1052" s="4"/>
      <c r="M1052" s="4"/>
      <c r="N1052" s="4"/>
      <c r="O1052" s="4"/>
      <c r="P1052" s="4"/>
      <c r="Q1052" s="4"/>
      <c r="R1052" s="4"/>
      <c r="S1052" s="4"/>
      <c r="T1052" s="4"/>
      <c r="U1052" s="4"/>
    </row>
    <row r="1053" spans="3:21" ht="19" x14ac:dyDescent="0.25">
      <c r="C1053" s="4"/>
      <c r="D1053" s="4"/>
      <c r="E1053" s="4"/>
      <c r="F1053" s="4"/>
      <c r="G1053" s="4"/>
      <c r="H1053" s="4"/>
      <c r="I1053" s="4"/>
      <c r="J1053" s="4"/>
      <c r="K1053" s="4"/>
      <c r="L1053" s="4"/>
      <c r="M1053" s="4"/>
      <c r="N1053" s="4"/>
      <c r="O1053" s="4"/>
      <c r="P1053" s="4"/>
      <c r="Q1053" s="4"/>
      <c r="R1053" s="4"/>
      <c r="S1053" s="4"/>
      <c r="T1053" s="4"/>
      <c r="U1053" s="4"/>
    </row>
    <row r="1054" spans="3:21" ht="19" x14ac:dyDescent="0.25">
      <c r="C1054" s="4"/>
      <c r="D1054" s="4"/>
      <c r="E1054" s="4"/>
      <c r="F1054" s="4"/>
      <c r="G1054" s="4"/>
      <c r="H1054" s="4"/>
      <c r="I1054" s="4"/>
      <c r="J1054" s="4"/>
      <c r="K1054" s="4"/>
      <c r="L1054" s="4"/>
      <c r="M1054" s="4"/>
      <c r="N1054" s="4"/>
      <c r="O1054" s="4"/>
      <c r="P1054" s="4"/>
      <c r="Q1054" s="4"/>
      <c r="R1054" s="4"/>
      <c r="S1054" s="4"/>
      <c r="T1054" s="4"/>
      <c r="U1054" s="4"/>
    </row>
    <row r="1055" spans="3:21" ht="19" x14ac:dyDescent="0.25">
      <c r="C1055" s="4"/>
      <c r="D1055" s="4"/>
      <c r="E1055" s="4"/>
      <c r="F1055" s="4"/>
      <c r="G1055" s="4"/>
      <c r="H1055" s="4"/>
      <c r="I1055" s="4"/>
      <c r="J1055" s="4"/>
      <c r="K1055" s="4"/>
      <c r="L1055" s="4"/>
      <c r="M1055" s="4"/>
      <c r="N1055" s="4"/>
      <c r="O1055" s="4"/>
      <c r="P1055" s="4"/>
      <c r="Q1055" s="4"/>
      <c r="R1055" s="4"/>
      <c r="S1055" s="4"/>
      <c r="T1055" s="4"/>
      <c r="U1055" s="4"/>
    </row>
    <row r="1056" spans="3:21" ht="19" x14ac:dyDescent="0.25">
      <c r="C1056" s="4"/>
      <c r="D1056" s="4"/>
      <c r="E1056" s="4"/>
      <c r="F1056" s="4"/>
      <c r="G1056" s="4"/>
      <c r="H1056" s="4"/>
      <c r="I1056" s="4"/>
      <c r="J1056" s="4"/>
      <c r="K1056" s="4"/>
      <c r="L1056" s="4"/>
      <c r="M1056" s="4"/>
      <c r="N1056" s="4"/>
      <c r="O1056" s="4"/>
      <c r="P1056" s="4"/>
      <c r="Q1056" s="4"/>
      <c r="R1056" s="4"/>
      <c r="S1056" s="4"/>
      <c r="T1056" s="4"/>
      <c r="U1056" s="4"/>
    </row>
    <row r="1057" spans="3:21" ht="19" x14ac:dyDescent="0.25">
      <c r="C1057" s="4"/>
      <c r="D1057" s="4"/>
      <c r="E1057" s="4"/>
      <c r="F1057" s="4"/>
      <c r="G1057" s="4"/>
      <c r="H1057" s="4"/>
      <c r="I1057" s="4"/>
      <c r="J1057" s="4"/>
      <c r="K1057" s="4"/>
      <c r="L1057" s="4"/>
      <c r="M1057" s="4"/>
      <c r="N1057" s="4"/>
      <c r="O1057" s="4"/>
      <c r="P1057" s="4"/>
      <c r="Q1057" s="4"/>
      <c r="R1057" s="4"/>
      <c r="S1057" s="4"/>
      <c r="T1057" s="4"/>
      <c r="U1057" s="4"/>
    </row>
    <row r="1058" spans="3:21" ht="19" x14ac:dyDescent="0.25">
      <c r="C1058" s="4"/>
      <c r="D1058" s="4"/>
      <c r="E1058" s="4"/>
      <c r="F1058" s="4"/>
      <c r="G1058" s="4"/>
      <c r="H1058" s="4"/>
      <c r="I1058" s="4"/>
      <c r="J1058" s="4"/>
      <c r="K1058" s="4"/>
      <c r="L1058" s="4"/>
      <c r="M1058" s="4"/>
      <c r="N1058" s="4"/>
      <c r="O1058" s="4"/>
      <c r="P1058" s="4"/>
      <c r="Q1058" s="4"/>
      <c r="R1058" s="4"/>
      <c r="S1058" s="4"/>
      <c r="T1058" s="4"/>
      <c r="U1058" s="4"/>
    </row>
    <row r="1059" spans="3:21" ht="19" x14ac:dyDescent="0.25">
      <c r="C1059" s="4"/>
      <c r="D1059" s="4"/>
      <c r="E1059" s="4"/>
      <c r="F1059" s="4"/>
      <c r="G1059" s="4"/>
      <c r="H1059" s="4"/>
      <c r="I1059" s="4"/>
      <c r="J1059" s="4"/>
      <c r="K1059" s="4"/>
      <c r="L1059" s="4"/>
      <c r="M1059" s="4"/>
      <c r="N1059" s="4"/>
      <c r="O1059" s="4"/>
      <c r="P1059" s="4"/>
      <c r="Q1059" s="4"/>
      <c r="R1059" s="4"/>
      <c r="S1059" s="4"/>
      <c r="T1059" s="4"/>
      <c r="U1059" s="4"/>
    </row>
    <row r="1060" spans="3:21" ht="19" x14ac:dyDescent="0.25">
      <c r="C1060" s="4"/>
      <c r="D1060" s="4"/>
      <c r="E1060" s="4"/>
      <c r="F1060" s="4"/>
      <c r="G1060" s="4"/>
      <c r="H1060" s="4"/>
      <c r="I1060" s="4"/>
      <c r="J1060" s="4"/>
      <c r="K1060" s="4"/>
      <c r="L1060" s="4"/>
      <c r="M1060" s="4"/>
      <c r="N1060" s="4"/>
      <c r="O1060" s="4"/>
      <c r="P1060" s="4"/>
      <c r="Q1060" s="4"/>
      <c r="R1060" s="4"/>
      <c r="S1060" s="4"/>
      <c r="T1060" s="4"/>
      <c r="U1060" s="4"/>
    </row>
    <row r="1061" spans="3:21" ht="19" x14ac:dyDescent="0.25">
      <c r="C1061" s="4"/>
      <c r="D1061" s="4"/>
      <c r="E1061" s="4"/>
      <c r="F1061" s="4"/>
      <c r="G1061" s="4"/>
      <c r="H1061" s="4"/>
      <c r="I1061" s="4"/>
      <c r="J1061" s="4"/>
      <c r="K1061" s="4"/>
      <c r="L1061" s="4"/>
      <c r="M1061" s="4"/>
      <c r="N1061" s="4"/>
      <c r="O1061" s="4"/>
      <c r="P1061" s="4"/>
      <c r="Q1061" s="4"/>
      <c r="R1061" s="4"/>
      <c r="S1061" s="4"/>
      <c r="T1061" s="4"/>
      <c r="U1061" s="4"/>
    </row>
    <row r="1062" spans="3:21" ht="19" x14ac:dyDescent="0.25">
      <c r="C1062" s="4"/>
      <c r="D1062" s="4"/>
      <c r="E1062" s="4"/>
      <c r="F1062" s="4"/>
      <c r="G1062" s="4"/>
      <c r="H1062" s="4"/>
      <c r="I1062" s="4"/>
      <c r="J1062" s="4"/>
      <c r="K1062" s="4"/>
      <c r="L1062" s="4"/>
      <c r="M1062" s="4"/>
      <c r="N1062" s="4"/>
      <c r="O1062" s="4"/>
      <c r="P1062" s="4"/>
      <c r="Q1062" s="4"/>
      <c r="R1062" s="4"/>
      <c r="S1062" s="4"/>
      <c r="T1062" s="4"/>
      <c r="U1062" s="4"/>
    </row>
    <row r="1063" spans="3:21" ht="19" x14ac:dyDescent="0.25">
      <c r="C1063" s="4"/>
      <c r="D1063" s="4"/>
      <c r="E1063" s="4"/>
      <c r="F1063" s="4"/>
      <c r="G1063" s="4"/>
      <c r="H1063" s="4"/>
      <c r="I1063" s="4"/>
      <c r="J1063" s="4"/>
      <c r="K1063" s="4"/>
      <c r="L1063" s="4"/>
      <c r="M1063" s="4"/>
      <c r="N1063" s="4"/>
      <c r="O1063" s="4"/>
      <c r="P1063" s="4"/>
      <c r="Q1063" s="4"/>
      <c r="R1063" s="4"/>
      <c r="S1063" s="4"/>
      <c r="T1063" s="4"/>
      <c r="U1063" s="4"/>
    </row>
    <row r="1064" spans="3:21" ht="19" x14ac:dyDescent="0.25">
      <c r="C1064" s="4"/>
      <c r="D1064" s="4"/>
      <c r="E1064" s="4"/>
      <c r="F1064" s="4"/>
      <c r="G1064" s="4"/>
      <c r="H1064" s="4"/>
      <c r="I1064" s="4"/>
      <c r="J1064" s="4"/>
      <c r="K1064" s="4"/>
      <c r="L1064" s="4"/>
      <c r="M1064" s="4"/>
      <c r="N1064" s="4"/>
      <c r="O1064" s="4"/>
      <c r="P1064" s="4"/>
      <c r="Q1064" s="4"/>
      <c r="R1064" s="4"/>
      <c r="S1064" s="4"/>
      <c r="T1064" s="4"/>
      <c r="U1064" s="4"/>
    </row>
    <row r="1065" spans="3:21" ht="19" x14ac:dyDescent="0.25">
      <c r="C1065" s="4"/>
      <c r="D1065" s="4"/>
      <c r="E1065" s="4"/>
      <c r="F1065" s="4"/>
      <c r="G1065" s="4"/>
      <c r="H1065" s="4"/>
      <c r="I1065" s="4"/>
      <c r="J1065" s="4"/>
      <c r="K1065" s="4"/>
      <c r="L1065" s="4"/>
      <c r="M1065" s="4"/>
      <c r="N1065" s="4"/>
      <c r="O1065" s="4"/>
      <c r="P1065" s="4"/>
      <c r="Q1065" s="4"/>
      <c r="R1065" s="4"/>
      <c r="S1065" s="4"/>
      <c r="T1065" s="4"/>
      <c r="U1065" s="4"/>
    </row>
    <row r="1066" spans="3:21" ht="19" x14ac:dyDescent="0.25">
      <c r="C1066" s="4"/>
      <c r="D1066" s="4"/>
      <c r="E1066" s="4"/>
      <c r="F1066" s="4"/>
      <c r="G1066" s="4"/>
      <c r="H1066" s="4"/>
      <c r="I1066" s="4"/>
      <c r="J1066" s="4"/>
      <c r="K1066" s="4"/>
      <c r="L1066" s="4"/>
      <c r="M1066" s="4"/>
      <c r="N1066" s="4"/>
      <c r="O1066" s="4"/>
      <c r="P1066" s="4"/>
      <c r="Q1066" s="4"/>
      <c r="R1066" s="4"/>
      <c r="S1066" s="4"/>
      <c r="T1066" s="4"/>
      <c r="U1066" s="4"/>
    </row>
    <row r="1067" spans="3:21" ht="19" x14ac:dyDescent="0.25">
      <c r="C1067" s="4"/>
      <c r="D1067" s="4"/>
      <c r="E1067" s="4"/>
      <c r="F1067" s="4"/>
      <c r="G1067" s="4"/>
      <c r="H1067" s="4"/>
      <c r="I1067" s="4"/>
      <c r="J1067" s="4"/>
      <c r="K1067" s="4"/>
      <c r="L1067" s="4"/>
      <c r="M1067" s="4"/>
      <c r="N1067" s="4"/>
      <c r="O1067" s="4"/>
      <c r="P1067" s="4"/>
      <c r="Q1067" s="4"/>
      <c r="R1067" s="4"/>
      <c r="S1067" s="4"/>
      <c r="T1067" s="4"/>
      <c r="U1067" s="4"/>
    </row>
    <row r="1068" spans="3:21" ht="19" x14ac:dyDescent="0.25">
      <c r="C1068" s="4"/>
      <c r="D1068" s="4"/>
      <c r="E1068" s="4"/>
      <c r="F1068" s="4"/>
      <c r="G1068" s="4"/>
      <c r="H1068" s="4"/>
      <c r="I1068" s="4"/>
      <c r="J1068" s="4"/>
      <c r="K1068" s="4"/>
      <c r="L1068" s="4"/>
      <c r="M1068" s="4"/>
      <c r="N1068" s="4"/>
      <c r="O1068" s="4"/>
      <c r="P1068" s="4"/>
      <c r="Q1068" s="4"/>
      <c r="R1068" s="4"/>
      <c r="S1068" s="4"/>
      <c r="T1068" s="4"/>
      <c r="U1068" s="4"/>
    </row>
    <row r="1069" spans="3:21" ht="19" x14ac:dyDescent="0.25">
      <c r="C1069" s="4"/>
      <c r="D1069" s="4"/>
      <c r="E1069" s="4"/>
      <c r="F1069" s="4"/>
      <c r="G1069" s="4"/>
      <c r="H1069" s="4"/>
      <c r="I1069" s="4"/>
      <c r="J1069" s="4"/>
      <c r="K1069" s="4"/>
      <c r="L1069" s="4"/>
      <c r="M1069" s="4"/>
      <c r="N1069" s="4"/>
      <c r="O1069" s="4"/>
      <c r="P1069" s="4"/>
      <c r="Q1069" s="4"/>
      <c r="R1069" s="4"/>
      <c r="S1069" s="4"/>
      <c r="T1069" s="4"/>
      <c r="U1069" s="4"/>
    </row>
    <row r="1070" spans="3:21" ht="19" x14ac:dyDescent="0.25">
      <c r="C1070" s="4"/>
      <c r="D1070" s="4"/>
      <c r="E1070" s="4"/>
      <c r="F1070" s="4"/>
      <c r="G1070" s="4"/>
      <c r="H1070" s="4"/>
      <c r="I1070" s="4"/>
      <c r="J1070" s="4"/>
      <c r="K1070" s="4"/>
      <c r="L1070" s="4"/>
      <c r="M1070" s="4"/>
      <c r="N1070" s="4"/>
      <c r="O1070" s="4"/>
      <c r="P1070" s="4"/>
      <c r="Q1070" s="4"/>
      <c r="R1070" s="4"/>
      <c r="S1070" s="4"/>
      <c r="T1070" s="4"/>
      <c r="U1070" s="4"/>
    </row>
    <row r="1071" spans="3:21" ht="19" x14ac:dyDescent="0.25">
      <c r="C1071" s="4"/>
      <c r="D1071" s="4"/>
      <c r="E1071" s="4"/>
      <c r="F1071" s="4"/>
      <c r="G1071" s="4"/>
      <c r="H1071" s="4"/>
      <c r="I1071" s="4"/>
      <c r="J1071" s="4"/>
      <c r="K1071" s="4"/>
      <c r="L1071" s="4"/>
      <c r="M1071" s="4"/>
      <c r="N1071" s="4"/>
      <c r="O1071" s="4"/>
      <c r="P1071" s="4"/>
      <c r="Q1071" s="4"/>
      <c r="R1071" s="4"/>
      <c r="S1071" s="4"/>
      <c r="T1071" s="4"/>
      <c r="U1071" s="4"/>
    </row>
    <row r="1072" spans="3:21" ht="19" x14ac:dyDescent="0.25">
      <c r="C1072" s="4"/>
      <c r="D1072" s="4"/>
      <c r="E1072" s="4"/>
      <c r="F1072" s="4"/>
      <c r="G1072" s="4"/>
      <c r="H1072" s="4"/>
      <c r="I1072" s="4"/>
      <c r="J1072" s="4"/>
      <c r="K1072" s="4"/>
      <c r="L1072" s="4"/>
      <c r="M1072" s="4"/>
      <c r="N1072" s="4"/>
      <c r="O1072" s="4"/>
      <c r="P1072" s="4"/>
      <c r="Q1072" s="4"/>
      <c r="R1072" s="4"/>
      <c r="S1072" s="4"/>
      <c r="T1072" s="4"/>
      <c r="U1072" s="4"/>
    </row>
    <row r="1073" spans="3:21" ht="19" x14ac:dyDescent="0.25">
      <c r="C1073" s="4"/>
      <c r="D1073" s="4"/>
      <c r="E1073" s="4"/>
      <c r="F1073" s="4"/>
      <c r="G1073" s="4"/>
      <c r="H1073" s="4"/>
      <c r="I1073" s="4"/>
      <c r="J1073" s="4"/>
      <c r="K1073" s="4"/>
      <c r="L1073" s="4"/>
      <c r="M1073" s="4"/>
      <c r="N1073" s="4"/>
      <c r="O1073" s="4"/>
      <c r="P1073" s="4"/>
      <c r="Q1073" s="4"/>
      <c r="R1073" s="4"/>
      <c r="S1073" s="4"/>
      <c r="T1073" s="4"/>
      <c r="U1073" s="4"/>
    </row>
    <row r="1074" spans="3:21" ht="19" x14ac:dyDescent="0.25">
      <c r="C1074" s="4"/>
      <c r="D1074" s="4"/>
      <c r="E1074" s="4"/>
      <c r="F1074" s="4"/>
      <c r="G1074" s="4"/>
      <c r="H1074" s="4"/>
      <c r="I1074" s="4"/>
      <c r="J1074" s="4"/>
      <c r="K1074" s="4"/>
      <c r="L1074" s="4"/>
      <c r="M1074" s="4"/>
      <c r="N1074" s="4"/>
      <c r="O1074" s="4"/>
      <c r="P1074" s="4"/>
      <c r="Q1074" s="4"/>
      <c r="R1074" s="4"/>
      <c r="S1074" s="4"/>
      <c r="T1074" s="4"/>
      <c r="U1074" s="4"/>
    </row>
    <row r="1075" spans="3:21" ht="19" x14ac:dyDescent="0.25">
      <c r="C1075" s="4"/>
      <c r="D1075" s="4"/>
      <c r="E1075" s="4"/>
      <c r="F1075" s="4"/>
      <c r="G1075" s="4"/>
      <c r="H1075" s="4"/>
      <c r="I1075" s="4"/>
      <c r="J1075" s="4"/>
      <c r="K1075" s="4"/>
      <c r="L1075" s="4"/>
      <c r="M1075" s="4"/>
      <c r="N1075" s="4"/>
      <c r="O1075" s="4"/>
      <c r="P1075" s="4"/>
      <c r="Q1075" s="4"/>
      <c r="R1075" s="4"/>
      <c r="S1075" s="4"/>
      <c r="T1075" s="4"/>
      <c r="U1075" s="4"/>
    </row>
    <row r="1076" spans="3:21" ht="19" x14ac:dyDescent="0.25">
      <c r="C1076" s="4"/>
      <c r="D1076" s="4"/>
      <c r="E1076" s="4"/>
      <c r="F1076" s="4"/>
      <c r="G1076" s="4"/>
      <c r="H1076" s="4"/>
      <c r="I1076" s="4"/>
      <c r="J1076" s="4"/>
      <c r="K1076" s="4"/>
      <c r="L1076" s="4"/>
      <c r="M1076" s="4"/>
      <c r="N1076" s="4"/>
      <c r="O1076" s="4"/>
      <c r="P1076" s="4"/>
      <c r="Q1076" s="4"/>
      <c r="R1076" s="4"/>
      <c r="S1076" s="4"/>
      <c r="T1076" s="4"/>
      <c r="U1076" s="4"/>
    </row>
    <row r="1077" spans="3:21" ht="19" x14ac:dyDescent="0.25">
      <c r="C1077" s="4"/>
      <c r="D1077" s="4"/>
      <c r="E1077" s="4"/>
      <c r="F1077" s="4"/>
      <c r="G1077" s="4"/>
      <c r="H1077" s="4"/>
      <c r="I1077" s="4"/>
      <c r="J1077" s="4"/>
      <c r="K1077" s="4"/>
      <c r="L1077" s="4"/>
      <c r="M1077" s="4"/>
      <c r="N1077" s="4"/>
      <c r="O1077" s="4"/>
      <c r="P1077" s="4"/>
      <c r="Q1077" s="4"/>
      <c r="R1077" s="4"/>
      <c r="S1077" s="4"/>
      <c r="T1077" s="4"/>
      <c r="U1077" s="4"/>
    </row>
    <row r="1078" spans="3:21" ht="19" x14ac:dyDescent="0.25">
      <c r="C1078" s="4"/>
      <c r="D1078" s="4"/>
      <c r="E1078" s="4"/>
      <c r="F1078" s="4"/>
      <c r="G1078" s="4"/>
      <c r="H1078" s="4"/>
      <c r="I1078" s="4"/>
      <c r="J1078" s="4"/>
      <c r="K1078" s="4"/>
      <c r="L1078" s="4"/>
      <c r="M1078" s="4"/>
      <c r="N1078" s="4"/>
      <c r="O1078" s="4"/>
      <c r="P1078" s="4"/>
      <c r="Q1078" s="4"/>
      <c r="R1078" s="4"/>
      <c r="S1078" s="4"/>
      <c r="T1078" s="4"/>
      <c r="U1078" s="4"/>
    </row>
    <row r="1079" spans="3:21" ht="19" x14ac:dyDescent="0.25">
      <c r="C1079" s="4"/>
      <c r="D1079" s="4"/>
      <c r="E1079" s="4"/>
      <c r="F1079" s="4"/>
      <c r="G1079" s="4"/>
      <c r="H1079" s="4"/>
      <c r="I1079" s="4"/>
      <c r="J1079" s="4"/>
      <c r="K1079" s="4"/>
      <c r="L1079" s="4"/>
      <c r="M1079" s="4"/>
      <c r="N1079" s="4"/>
      <c r="O1079" s="4"/>
      <c r="P1079" s="4"/>
      <c r="Q1079" s="4"/>
      <c r="R1079" s="4"/>
      <c r="S1079" s="4"/>
      <c r="T1079" s="4"/>
      <c r="U1079" s="4"/>
    </row>
    <row r="1080" spans="3:21" ht="19" x14ac:dyDescent="0.25">
      <c r="C1080" s="4"/>
      <c r="D1080" s="4"/>
      <c r="E1080" s="4"/>
      <c r="F1080" s="4"/>
      <c r="G1080" s="4"/>
      <c r="H1080" s="4"/>
      <c r="I1080" s="4"/>
      <c r="J1080" s="4"/>
      <c r="K1080" s="4"/>
      <c r="L1080" s="4"/>
      <c r="M1080" s="4"/>
      <c r="N1080" s="4"/>
      <c r="O1080" s="4"/>
      <c r="P1080" s="4"/>
      <c r="Q1080" s="4"/>
      <c r="R1080" s="4"/>
      <c r="S1080" s="4"/>
      <c r="T1080" s="4"/>
      <c r="U1080" s="4"/>
    </row>
    <row r="1081" spans="3:21" ht="19" x14ac:dyDescent="0.25">
      <c r="C1081" s="4"/>
      <c r="D1081" s="4"/>
      <c r="E1081" s="4"/>
      <c r="F1081" s="4"/>
      <c r="G1081" s="4"/>
      <c r="H1081" s="4"/>
      <c r="I1081" s="4"/>
      <c r="J1081" s="4"/>
      <c r="K1081" s="4"/>
      <c r="L1081" s="4"/>
      <c r="M1081" s="4"/>
      <c r="N1081" s="4"/>
      <c r="O1081" s="4"/>
      <c r="P1081" s="4"/>
      <c r="Q1081" s="4"/>
      <c r="R1081" s="4"/>
      <c r="S1081" s="4"/>
      <c r="T1081" s="4"/>
      <c r="U1081" s="4"/>
    </row>
    <row r="1082" spans="3:21" ht="19" x14ac:dyDescent="0.25">
      <c r="C1082" s="4"/>
      <c r="D1082" s="4"/>
      <c r="E1082" s="4"/>
      <c r="F1082" s="4"/>
      <c r="G1082" s="4"/>
      <c r="H1082" s="4"/>
      <c r="I1082" s="4"/>
      <c r="J1082" s="4"/>
      <c r="K1082" s="4"/>
      <c r="L1082" s="4"/>
      <c r="M1082" s="4"/>
      <c r="N1082" s="4"/>
      <c r="O1082" s="4"/>
      <c r="P1082" s="4"/>
      <c r="Q1082" s="4"/>
      <c r="R1082" s="4"/>
      <c r="S1082" s="4"/>
      <c r="T1082" s="4"/>
      <c r="U1082" s="4"/>
    </row>
    <row r="1083" spans="3:21" ht="19" x14ac:dyDescent="0.25">
      <c r="C1083" s="4"/>
      <c r="D1083" s="4"/>
      <c r="E1083" s="4"/>
      <c r="F1083" s="4"/>
      <c r="G1083" s="4"/>
      <c r="H1083" s="4"/>
      <c r="I1083" s="4"/>
      <c r="J1083" s="4"/>
      <c r="K1083" s="4"/>
      <c r="L1083" s="4"/>
      <c r="M1083" s="4"/>
      <c r="N1083" s="4"/>
      <c r="O1083" s="4"/>
      <c r="P1083" s="4"/>
      <c r="Q1083" s="4"/>
      <c r="R1083" s="4"/>
      <c r="S1083" s="4"/>
      <c r="T1083" s="4"/>
      <c r="U1083" s="4"/>
    </row>
    <row r="1084" spans="3:21" ht="19" x14ac:dyDescent="0.25">
      <c r="C1084" s="4"/>
      <c r="D1084" s="4"/>
      <c r="E1084" s="4"/>
      <c r="F1084" s="4"/>
      <c r="G1084" s="4"/>
      <c r="H1084" s="4"/>
      <c r="I1084" s="4"/>
      <c r="J1084" s="4"/>
      <c r="K1084" s="4"/>
      <c r="L1084" s="4"/>
      <c r="M1084" s="4"/>
      <c r="N1084" s="4"/>
      <c r="O1084" s="4"/>
      <c r="P1084" s="4"/>
      <c r="Q1084" s="4"/>
      <c r="R1084" s="4"/>
      <c r="S1084" s="4"/>
      <c r="T1084" s="4"/>
      <c r="U1084" s="4"/>
    </row>
    <row r="1085" spans="3:21" ht="19" x14ac:dyDescent="0.25">
      <c r="C1085" s="4"/>
      <c r="D1085" s="4"/>
      <c r="E1085" s="4"/>
      <c r="F1085" s="4"/>
      <c r="G1085" s="4"/>
      <c r="H1085" s="4"/>
      <c r="I1085" s="4"/>
      <c r="J1085" s="4"/>
      <c r="K1085" s="4"/>
      <c r="L1085" s="4"/>
      <c r="M1085" s="4"/>
      <c r="N1085" s="4"/>
      <c r="O1085" s="4"/>
      <c r="P1085" s="4"/>
      <c r="Q1085" s="4"/>
      <c r="R1085" s="4"/>
      <c r="S1085" s="4"/>
      <c r="T1085" s="4"/>
      <c r="U1085" s="4"/>
    </row>
    <row r="1086" spans="3:21" ht="19" x14ac:dyDescent="0.25">
      <c r="C1086" s="4"/>
      <c r="D1086" s="4"/>
      <c r="E1086" s="4"/>
      <c r="F1086" s="4"/>
      <c r="G1086" s="4"/>
      <c r="H1086" s="4"/>
      <c r="I1086" s="4"/>
      <c r="J1086" s="4"/>
      <c r="K1086" s="4"/>
      <c r="L1086" s="4"/>
      <c r="M1086" s="4"/>
      <c r="N1086" s="4"/>
      <c r="O1086" s="4"/>
      <c r="P1086" s="4"/>
      <c r="Q1086" s="4"/>
      <c r="R1086" s="4"/>
      <c r="S1086" s="4"/>
      <c r="T1086" s="4"/>
      <c r="U1086" s="4"/>
    </row>
    <row r="1087" spans="3:21" ht="19" x14ac:dyDescent="0.25">
      <c r="C1087" s="4"/>
      <c r="D1087" s="4"/>
      <c r="E1087" s="4"/>
      <c r="F1087" s="4"/>
      <c r="G1087" s="4"/>
      <c r="H1087" s="4"/>
      <c r="I1087" s="4"/>
      <c r="J1087" s="4"/>
      <c r="K1087" s="4"/>
      <c r="L1087" s="4"/>
      <c r="M1087" s="4"/>
      <c r="N1087" s="4"/>
      <c r="O1087" s="4"/>
      <c r="P1087" s="4"/>
      <c r="Q1087" s="4"/>
      <c r="R1087" s="4"/>
      <c r="S1087" s="4"/>
      <c r="T1087" s="4"/>
      <c r="U1087" s="4"/>
    </row>
    <row r="1088" spans="3:21" ht="19" x14ac:dyDescent="0.25">
      <c r="C1088" s="4"/>
      <c r="D1088" s="4"/>
      <c r="E1088" s="4"/>
      <c r="F1088" s="4"/>
      <c r="G1088" s="4"/>
      <c r="H1088" s="4"/>
      <c r="I1088" s="4"/>
      <c r="J1088" s="4"/>
      <c r="K1088" s="4"/>
      <c r="L1088" s="4"/>
      <c r="M1088" s="4"/>
      <c r="N1088" s="4"/>
      <c r="O1088" s="4"/>
      <c r="P1088" s="4"/>
      <c r="Q1088" s="4"/>
      <c r="R1088" s="4"/>
      <c r="S1088" s="4"/>
      <c r="T1088" s="4"/>
      <c r="U1088" s="4"/>
    </row>
    <row r="1089" spans="3:21" ht="19" x14ac:dyDescent="0.25">
      <c r="C1089" s="4"/>
      <c r="D1089" s="4"/>
      <c r="E1089" s="4"/>
      <c r="F1089" s="4"/>
      <c r="G1089" s="4"/>
      <c r="H1089" s="4"/>
      <c r="I1089" s="4"/>
      <c r="J1089" s="4"/>
      <c r="K1089" s="4"/>
      <c r="L1089" s="4"/>
      <c r="M1089" s="4"/>
      <c r="N1089" s="4"/>
      <c r="O1089" s="4"/>
      <c r="P1089" s="4"/>
      <c r="Q1089" s="4"/>
      <c r="R1089" s="4"/>
      <c r="S1089" s="4"/>
      <c r="T1089" s="4"/>
      <c r="U1089" s="4"/>
    </row>
    <row r="1090" spans="3:21" ht="19" x14ac:dyDescent="0.25">
      <c r="C1090" s="4"/>
      <c r="D1090" s="4"/>
      <c r="E1090" s="4"/>
      <c r="F1090" s="4"/>
      <c r="G1090" s="4"/>
      <c r="H1090" s="4"/>
      <c r="I1090" s="4"/>
      <c r="J1090" s="4"/>
      <c r="K1090" s="4"/>
      <c r="L1090" s="4"/>
      <c r="M1090" s="4"/>
      <c r="N1090" s="4"/>
      <c r="O1090" s="4"/>
      <c r="P1090" s="4"/>
      <c r="Q1090" s="4"/>
      <c r="R1090" s="4"/>
      <c r="S1090" s="4"/>
      <c r="T1090" s="4"/>
      <c r="U1090" s="4"/>
    </row>
    <row r="1091" spans="3:21" ht="19" x14ac:dyDescent="0.25">
      <c r="C1091" s="4"/>
      <c r="D1091" s="4"/>
      <c r="E1091" s="4"/>
      <c r="F1091" s="4"/>
      <c r="G1091" s="4"/>
      <c r="H1091" s="4"/>
      <c r="I1091" s="4"/>
      <c r="J1091" s="4"/>
      <c r="K1091" s="4"/>
      <c r="L1091" s="4"/>
      <c r="M1091" s="4"/>
      <c r="N1091" s="4"/>
      <c r="O1091" s="4"/>
      <c r="P1091" s="4"/>
      <c r="Q1091" s="4"/>
      <c r="R1091" s="4"/>
      <c r="S1091" s="4"/>
      <c r="T1091" s="4"/>
      <c r="U1091" s="4"/>
    </row>
    <row r="1092" spans="3:21" ht="19" x14ac:dyDescent="0.25">
      <c r="C1092" s="4"/>
      <c r="D1092" s="4"/>
      <c r="E1092" s="4"/>
      <c r="F1092" s="4"/>
      <c r="G1092" s="4"/>
      <c r="H1092" s="4"/>
      <c r="I1092" s="4"/>
      <c r="J1092" s="4"/>
      <c r="K1092" s="4"/>
      <c r="L1092" s="4"/>
      <c r="M1092" s="4"/>
      <c r="N1092" s="4"/>
      <c r="O1092" s="4"/>
      <c r="P1092" s="4"/>
      <c r="Q1092" s="4"/>
      <c r="R1092" s="4"/>
      <c r="S1092" s="4"/>
      <c r="T1092" s="4"/>
      <c r="U1092" s="4"/>
    </row>
    <row r="1093" spans="3:21" ht="19" x14ac:dyDescent="0.25">
      <c r="C1093" s="4"/>
      <c r="D1093" s="4"/>
      <c r="E1093" s="4"/>
      <c r="F1093" s="4"/>
      <c r="G1093" s="4"/>
      <c r="H1093" s="4"/>
      <c r="I1093" s="4"/>
      <c r="J1093" s="4"/>
      <c r="K1093" s="4"/>
      <c r="L1093" s="4"/>
      <c r="M1093" s="4"/>
      <c r="N1093" s="4"/>
      <c r="O1093" s="4"/>
      <c r="P1093" s="4"/>
      <c r="Q1093" s="4"/>
      <c r="R1093" s="4"/>
      <c r="S1093" s="4"/>
      <c r="T1093" s="4"/>
      <c r="U1093" s="4"/>
    </row>
    <row r="1094" spans="3:21" ht="19" x14ac:dyDescent="0.25">
      <c r="C1094" s="4"/>
      <c r="D1094" s="4"/>
      <c r="E1094" s="4"/>
      <c r="F1094" s="4"/>
      <c r="G1094" s="4"/>
      <c r="H1094" s="4"/>
      <c r="I1094" s="4"/>
      <c r="J1094" s="4"/>
      <c r="K1094" s="4"/>
      <c r="L1094" s="4"/>
      <c r="M1094" s="4"/>
      <c r="N1094" s="4"/>
      <c r="O1094" s="4"/>
      <c r="P1094" s="4"/>
      <c r="Q1094" s="4"/>
      <c r="R1094" s="4"/>
      <c r="S1094" s="4"/>
      <c r="T1094" s="4"/>
      <c r="U1094" s="4"/>
    </row>
    <row r="1095" spans="3:21" ht="19" x14ac:dyDescent="0.25">
      <c r="C1095" s="4"/>
      <c r="D1095" s="4"/>
      <c r="E1095" s="4"/>
      <c r="F1095" s="4"/>
      <c r="G1095" s="4"/>
      <c r="H1095" s="4"/>
      <c r="I1095" s="4"/>
      <c r="J1095" s="4"/>
      <c r="K1095" s="4"/>
      <c r="L1095" s="4"/>
      <c r="M1095" s="4"/>
      <c r="N1095" s="4"/>
      <c r="O1095" s="4"/>
      <c r="P1095" s="4"/>
      <c r="Q1095" s="4"/>
      <c r="R1095" s="4"/>
      <c r="S1095" s="4"/>
      <c r="T1095" s="4"/>
      <c r="U1095" s="4"/>
    </row>
    <row r="1096" spans="3:21" ht="19" x14ac:dyDescent="0.25">
      <c r="C1096" s="4"/>
      <c r="D1096" s="4"/>
      <c r="E1096" s="4"/>
      <c r="F1096" s="4"/>
      <c r="G1096" s="4"/>
      <c r="H1096" s="4"/>
      <c r="I1096" s="4"/>
      <c r="J1096" s="4"/>
      <c r="K1096" s="4"/>
      <c r="L1096" s="4"/>
      <c r="M1096" s="4"/>
      <c r="N1096" s="4"/>
      <c r="O1096" s="4"/>
      <c r="P1096" s="4"/>
      <c r="Q1096" s="4"/>
      <c r="R1096" s="4"/>
      <c r="S1096" s="4"/>
      <c r="T1096" s="4"/>
      <c r="U1096" s="4"/>
    </row>
    <row r="1097" spans="3:21" ht="19" x14ac:dyDescent="0.25">
      <c r="C1097" s="4"/>
      <c r="D1097" s="4"/>
      <c r="E1097" s="4"/>
      <c r="F1097" s="4"/>
      <c r="G1097" s="4"/>
      <c r="H1097" s="4"/>
      <c r="I1097" s="4"/>
      <c r="J1097" s="4"/>
      <c r="K1097" s="4"/>
      <c r="L1097" s="4"/>
      <c r="M1097" s="4"/>
      <c r="N1097" s="4"/>
      <c r="O1097" s="4"/>
      <c r="P1097" s="4"/>
      <c r="Q1097" s="4"/>
      <c r="R1097" s="4"/>
      <c r="S1097" s="4"/>
      <c r="T1097" s="4"/>
      <c r="U1097" s="4"/>
    </row>
    <row r="1098" spans="3:21" ht="19" x14ac:dyDescent="0.25">
      <c r="C1098" s="4"/>
      <c r="D1098" s="4"/>
      <c r="E1098" s="4"/>
      <c r="F1098" s="4"/>
      <c r="G1098" s="4"/>
      <c r="H1098" s="4"/>
      <c r="I1098" s="4"/>
      <c r="J1098" s="4"/>
      <c r="K1098" s="4"/>
      <c r="L1098" s="4"/>
      <c r="M1098" s="4"/>
      <c r="N1098" s="4"/>
      <c r="O1098" s="4"/>
      <c r="P1098" s="4"/>
      <c r="Q1098" s="4"/>
      <c r="R1098" s="4"/>
      <c r="S1098" s="4"/>
      <c r="T1098" s="4"/>
      <c r="U1098" s="4"/>
    </row>
    <row r="1099" spans="3:21" ht="19" x14ac:dyDescent="0.25">
      <c r="C1099" s="4"/>
      <c r="D1099" s="4"/>
      <c r="E1099" s="4"/>
      <c r="F1099" s="4"/>
      <c r="G1099" s="4"/>
      <c r="H1099" s="4"/>
      <c r="I1099" s="4"/>
      <c r="J1099" s="4"/>
      <c r="K1099" s="4"/>
      <c r="L1099" s="4"/>
      <c r="M1099" s="4"/>
      <c r="N1099" s="4"/>
      <c r="O1099" s="4"/>
      <c r="P1099" s="4"/>
      <c r="Q1099" s="4"/>
      <c r="R1099" s="4"/>
      <c r="S1099" s="4"/>
      <c r="T1099" s="4"/>
      <c r="U1099" s="4"/>
    </row>
    <row r="1100" spans="3:21" ht="19" x14ac:dyDescent="0.25">
      <c r="C1100" s="4"/>
      <c r="D1100" s="4"/>
      <c r="E1100" s="4"/>
      <c r="F1100" s="4"/>
      <c r="G1100" s="4"/>
      <c r="H1100" s="4"/>
      <c r="I1100" s="4"/>
      <c r="J1100" s="4"/>
      <c r="K1100" s="4"/>
      <c r="L1100" s="4"/>
      <c r="M1100" s="4"/>
      <c r="N1100" s="4"/>
      <c r="O1100" s="4"/>
      <c r="P1100" s="4"/>
      <c r="Q1100" s="4"/>
      <c r="R1100" s="4"/>
      <c r="S1100" s="4"/>
      <c r="T1100" s="4"/>
      <c r="U1100" s="4"/>
    </row>
    <row r="1101" spans="3:21" ht="19" x14ac:dyDescent="0.25">
      <c r="C1101" s="4"/>
      <c r="D1101" s="4"/>
      <c r="E1101" s="4"/>
      <c r="F1101" s="4"/>
      <c r="G1101" s="4"/>
      <c r="H1101" s="4"/>
      <c r="I1101" s="4"/>
      <c r="J1101" s="4"/>
      <c r="K1101" s="4"/>
      <c r="L1101" s="4"/>
      <c r="M1101" s="4"/>
      <c r="N1101" s="4"/>
      <c r="O1101" s="4"/>
      <c r="P1101" s="4"/>
      <c r="Q1101" s="4"/>
      <c r="R1101" s="4"/>
      <c r="S1101" s="4"/>
      <c r="T1101" s="4"/>
      <c r="U1101" s="4"/>
    </row>
    <row r="1102" spans="3:21" ht="19" x14ac:dyDescent="0.25">
      <c r="C1102" s="4"/>
      <c r="D1102" s="4"/>
      <c r="E1102" s="4"/>
      <c r="F1102" s="4"/>
      <c r="G1102" s="4"/>
      <c r="H1102" s="4"/>
      <c r="I1102" s="4"/>
      <c r="J1102" s="4"/>
      <c r="K1102" s="4"/>
      <c r="L1102" s="4"/>
      <c r="M1102" s="4"/>
      <c r="N1102" s="4"/>
      <c r="O1102" s="4"/>
      <c r="P1102" s="4"/>
      <c r="Q1102" s="4"/>
      <c r="R1102" s="4"/>
      <c r="S1102" s="4"/>
      <c r="T1102" s="4"/>
      <c r="U1102" s="4"/>
    </row>
    <row r="1103" spans="3:21" ht="19" x14ac:dyDescent="0.25">
      <c r="C1103" s="4"/>
      <c r="D1103" s="4"/>
      <c r="E1103" s="4"/>
      <c r="F1103" s="4"/>
      <c r="G1103" s="4"/>
      <c r="H1103" s="4"/>
      <c r="I1103" s="4"/>
      <c r="J1103" s="4"/>
      <c r="K1103" s="4"/>
      <c r="L1103" s="4"/>
      <c r="M1103" s="4"/>
      <c r="N1103" s="4"/>
      <c r="O1103" s="4"/>
      <c r="P1103" s="4"/>
      <c r="Q1103" s="4"/>
      <c r="R1103" s="4"/>
      <c r="S1103" s="4"/>
      <c r="T1103" s="4"/>
      <c r="U1103" s="4"/>
    </row>
    <row r="1104" spans="3:21" ht="19" x14ac:dyDescent="0.25">
      <c r="C1104" s="4"/>
      <c r="D1104" s="4"/>
      <c r="E1104" s="4"/>
      <c r="F1104" s="4"/>
      <c r="G1104" s="4"/>
      <c r="H1104" s="4"/>
      <c r="I1104" s="4"/>
      <c r="J1104" s="4"/>
      <c r="K1104" s="4"/>
      <c r="L1104" s="4"/>
      <c r="M1104" s="4"/>
      <c r="N1104" s="4"/>
      <c r="O1104" s="4"/>
      <c r="P1104" s="4"/>
      <c r="Q1104" s="4"/>
      <c r="R1104" s="4"/>
      <c r="S1104" s="4"/>
      <c r="T1104" s="4"/>
      <c r="U1104" s="4"/>
    </row>
    <row r="1105" spans="3:21" ht="19" x14ac:dyDescent="0.25">
      <c r="C1105" s="4"/>
      <c r="D1105" s="4"/>
      <c r="E1105" s="4"/>
      <c r="F1105" s="4"/>
      <c r="G1105" s="4"/>
      <c r="H1105" s="4"/>
      <c r="I1105" s="4"/>
      <c r="J1105" s="4"/>
      <c r="K1105" s="4"/>
      <c r="L1105" s="4"/>
      <c r="M1105" s="4"/>
      <c r="N1105" s="4"/>
      <c r="O1105" s="4"/>
      <c r="P1105" s="4"/>
      <c r="Q1105" s="4"/>
      <c r="R1105" s="4"/>
      <c r="S1105" s="4"/>
      <c r="T1105" s="4"/>
      <c r="U1105" s="4"/>
    </row>
    <row r="1106" spans="3:21" ht="19" x14ac:dyDescent="0.25">
      <c r="C1106" s="4"/>
      <c r="D1106" s="4"/>
      <c r="E1106" s="4"/>
      <c r="F1106" s="4"/>
      <c r="G1106" s="4"/>
      <c r="H1106" s="4"/>
      <c r="I1106" s="4"/>
      <c r="J1106" s="4"/>
      <c r="K1106" s="4"/>
      <c r="L1106" s="4"/>
      <c r="M1106" s="4"/>
      <c r="N1106" s="4"/>
      <c r="O1106" s="4"/>
      <c r="P1106" s="4"/>
      <c r="Q1106" s="4"/>
      <c r="R1106" s="4"/>
      <c r="S1106" s="4"/>
      <c r="T1106" s="4"/>
      <c r="U1106" s="4"/>
    </row>
    <row r="1107" spans="3:21" ht="19" x14ac:dyDescent="0.25">
      <c r="C1107" s="4"/>
      <c r="D1107" s="4"/>
      <c r="E1107" s="4"/>
      <c r="F1107" s="4"/>
      <c r="G1107" s="4"/>
      <c r="H1107" s="4"/>
      <c r="I1107" s="4"/>
      <c r="J1107" s="4"/>
      <c r="K1107" s="4"/>
      <c r="L1107" s="4"/>
      <c r="M1107" s="4"/>
      <c r="N1107" s="4"/>
      <c r="O1107" s="4"/>
      <c r="P1107" s="4"/>
      <c r="Q1107" s="4"/>
      <c r="R1107" s="4"/>
      <c r="S1107" s="4"/>
      <c r="T1107" s="4"/>
      <c r="U1107" s="4"/>
    </row>
    <row r="1108" spans="3:21" ht="19" x14ac:dyDescent="0.25">
      <c r="C1108" s="4"/>
      <c r="D1108" s="4"/>
      <c r="E1108" s="4"/>
      <c r="F1108" s="4"/>
      <c r="G1108" s="4"/>
      <c r="H1108" s="4"/>
      <c r="I1108" s="4"/>
      <c r="J1108" s="4"/>
      <c r="K1108" s="4"/>
      <c r="L1108" s="4"/>
      <c r="M1108" s="4"/>
      <c r="N1108" s="4"/>
      <c r="O1108" s="4"/>
      <c r="P1108" s="4"/>
      <c r="Q1108" s="4"/>
      <c r="R1108" s="4"/>
      <c r="S1108" s="4"/>
      <c r="T1108" s="4"/>
      <c r="U1108" s="4"/>
    </row>
    <row r="1109" spans="3:21" ht="19" x14ac:dyDescent="0.25">
      <c r="C1109" s="4"/>
      <c r="D1109" s="4"/>
      <c r="E1109" s="4"/>
      <c r="F1109" s="4"/>
      <c r="G1109" s="4"/>
      <c r="H1109" s="4"/>
      <c r="I1109" s="4"/>
      <c r="J1109" s="4"/>
      <c r="K1109" s="4"/>
      <c r="L1109" s="4"/>
      <c r="M1109" s="4"/>
      <c r="N1109" s="4"/>
      <c r="O1109" s="4"/>
      <c r="P1109" s="4"/>
      <c r="Q1109" s="4"/>
      <c r="R1109" s="4"/>
      <c r="S1109" s="4"/>
      <c r="T1109" s="4"/>
      <c r="U1109" s="4"/>
    </row>
    <row r="1110" spans="3:21" ht="19" x14ac:dyDescent="0.25">
      <c r="C1110" s="4"/>
      <c r="D1110" s="4"/>
      <c r="E1110" s="4"/>
      <c r="F1110" s="4"/>
      <c r="G1110" s="4"/>
      <c r="H1110" s="4"/>
      <c r="I1110" s="4"/>
      <c r="J1110" s="4"/>
      <c r="K1110" s="4"/>
      <c r="L1110" s="4"/>
      <c r="M1110" s="4"/>
      <c r="N1110" s="4"/>
      <c r="O1110" s="4"/>
      <c r="P1110" s="4"/>
      <c r="Q1110" s="4"/>
      <c r="R1110" s="4"/>
      <c r="S1110" s="4"/>
      <c r="T1110" s="4"/>
      <c r="U1110" s="4"/>
    </row>
    <row r="1111" spans="3:21" ht="19" x14ac:dyDescent="0.25">
      <c r="C1111" s="4"/>
      <c r="D1111" s="4"/>
      <c r="E1111" s="4"/>
      <c r="F1111" s="4"/>
      <c r="G1111" s="4"/>
      <c r="H1111" s="4"/>
      <c r="I1111" s="4"/>
      <c r="J1111" s="4"/>
      <c r="K1111" s="4"/>
      <c r="L1111" s="4"/>
      <c r="M1111" s="4"/>
      <c r="N1111" s="4"/>
      <c r="O1111" s="4"/>
      <c r="P1111" s="4"/>
      <c r="Q1111" s="4"/>
      <c r="R1111" s="4"/>
      <c r="S1111" s="4"/>
      <c r="T1111" s="4"/>
      <c r="U1111" s="4"/>
    </row>
    <row r="1112" spans="3:21" ht="19" x14ac:dyDescent="0.25">
      <c r="C1112" s="4"/>
      <c r="D1112" s="4"/>
      <c r="E1112" s="4"/>
      <c r="F1112" s="4"/>
      <c r="G1112" s="4"/>
      <c r="H1112" s="4"/>
      <c r="I1112" s="4"/>
      <c r="J1112" s="4"/>
      <c r="K1112" s="4"/>
      <c r="L1112" s="4"/>
      <c r="M1112" s="4"/>
      <c r="N1112" s="4"/>
      <c r="O1112" s="4"/>
      <c r="P1112" s="4"/>
      <c r="Q1112" s="4"/>
      <c r="R1112" s="4"/>
      <c r="S1112" s="4"/>
      <c r="T1112" s="4"/>
      <c r="U1112" s="4"/>
    </row>
    <row r="1113" spans="3:21" ht="19" x14ac:dyDescent="0.25">
      <c r="C1113" s="4"/>
      <c r="D1113" s="4"/>
      <c r="E1113" s="4"/>
      <c r="F1113" s="4"/>
      <c r="G1113" s="4"/>
      <c r="H1113" s="4"/>
      <c r="I1113" s="4"/>
      <c r="J1113" s="4"/>
      <c r="K1113" s="4"/>
      <c r="L1113" s="4"/>
      <c r="M1113" s="4"/>
      <c r="N1113" s="4"/>
      <c r="O1113" s="4"/>
      <c r="P1113" s="4"/>
      <c r="Q1113" s="4"/>
      <c r="R1113" s="4"/>
      <c r="S1113" s="4"/>
      <c r="T1113" s="4"/>
      <c r="U1113" s="4"/>
    </row>
    <row r="1114" spans="3:21" ht="19" x14ac:dyDescent="0.25">
      <c r="C1114" s="4"/>
      <c r="D1114" s="4"/>
      <c r="E1114" s="4"/>
      <c r="F1114" s="4"/>
      <c r="G1114" s="4"/>
      <c r="H1114" s="4"/>
      <c r="I1114" s="4"/>
      <c r="J1114" s="4"/>
      <c r="K1114" s="4"/>
      <c r="L1114" s="4"/>
      <c r="M1114" s="4"/>
      <c r="N1114" s="4"/>
      <c r="O1114" s="4"/>
      <c r="P1114" s="4"/>
      <c r="Q1114" s="4"/>
      <c r="R1114" s="4"/>
      <c r="S1114" s="4"/>
      <c r="T1114" s="4"/>
      <c r="U1114" s="4"/>
    </row>
    <row r="1115" spans="3:21" ht="19" x14ac:dyDescent="0.25">
      <c r="C1115" s="4"/>
      <c r="D1115" s="4"/>
      <c r="E1115" s="4"/>
      <c r="F1115" s="4"/>
      <c r="G1115" s="4"/>
      <c r="H1115" s="4"/>
      <c r="I1115" s="4"/>
      <c r="J1115" s="4"/>
      <c r="K1115" s="4"/>
      <c r="L1115" s="4"/>
      <c r="M1115" s="4"/>
      <c r="N1115" s="4"/>
      <c r="O1115" s="4"/>
      <c r="P1115" s="4"/>
      <c r="Q1115" s="4"/>
      <c r="R1115" s="4"/>
      <c r="S1115" s="4"/>
      <c r="T1115" s="4"/>
      <c r="U1115" s="4"/>
    </row>
    <row r="1116" spans="3:21" ht="19" x14ac:dyDescent="0.25">
      <c r="C1116" s="4"/>
      <c r="D1116" s="4"/>
      <c r="E1116" s="4"/>
      <c r="F1116" s="4"/>
      <c r="G1116" s="4"/>
      <c r="H1116" s="4"/>
      <c r="I1116" s="4"/>
      <c r="J1116" s="4"/>
      <c r="K1116" s="4"/>
      <c r="L1116" s="4"/>
      <c r="M1116" s="4"/>
      <c r="N1116" s="4"/>
      <c r="O1116" s="4"/>
      <c r="P1116" s="4"/>
      <c r="Q1116" s="4"/>
      <c r="R1116" s="4"/>
      <c r="S1116" s="4"/>
      <c r="T1116" s="4"/>
      <c r="U1116" s="4"/>
    </row>
    <row r="1117" spans="3:21" ht="19" x14ac:dyDescent="0.25">
      <c r="C1117" s="4"/>
      <c r="D1117" s="4"/>
      <c r="E1117" s="4"/>
      <c r="F1117" s="4"/>
      <c r="G1117" s="4"/>
      <c r="H1117" s="4"/>
      <c r="I1117" s="4"/>
      <c r="J1117" s="4"/>
      <c r="K1117" s="4"/>
      <c r="L1117" s="4"/>
      <c r="M1117" s="4"/>
      <c r="N1117" s="4"/>
      <c r="O1117" s="4"/>
      <c r="P1117" s="4"/>
      <c r="Q1117" s="4"/>
      <c r="R1117" s="4"/>
      <c r="S1117" s="4"/>
      <c r="T1117" s="4"/>
      <c r="U1117" s="4"/>
    </row>
    <row r="1118" spans="3:21" ht="19" x14ac:dyDescent="0.25">
      <c r="C1118" s="4"/>
      <c r="D1118" s="4"/>
      <c r="E1118" s="4"/>
      <c r="F1118" s="4"/>
      <c r="G1118" s="4"/>
      <c r="H1118" s="4"/>
      <c r="I1118" s="4"/>
      <c r="J1118" s="4"/>
      <c r="K1118" s="4"/>
      <c r="L1118" s="4"/>
      <c r="M1118" s="4"/>
      <c r="N1118" s="4"/>
      <c r="O1118" s="4"/>
      <c r="P1118" s="4"/>
      <c r="Q1118" s="4"/>
      <c r="R1118" s="4"/>
      <c r="S1118" s="4"/>
      <c r="T1118" s="4"/>
      <c r="U1118" s="4"/>
    </row>
    <row r="1119" spans="3:21" ht="19" x14ac:dyDescent="0.25">
      <c r="C1119" s="4"/>
      <c r="D1119" s="4"/>
      <c r="E1119" s="4"/>
      <c r="F1119" s="4"/>
      <c r="G1119" s="4"/>
      <c r="H1119" s="4"/>
      <c r="I1119" s="4"/>
      <c r="J1119" s="4"/>
      <c r="K1119" s="4"/>
      <c r="L1119" s="4"/>
      <c r="M1119" s="4"/>
      <c r="N1119" s="4"/>
      <c r="O1119" s="4"/>
      <c r="P1119" s="4"/>
      <c r="Q1119" s="4"/>
      <c r="R1119" s="4"/>
      <c r="S1119" s="4"/>
      <c r="T1119" s="4"/>
      <c r="U1119" s="4"/>
    </row>
    <row r="1120" spans="3:21" ht="19" x14ac:dyDescent="0.25">
      <c r="C1120" s="4"/>
      <c r="D1120" s="4"/>
      <c r="E1120" s="4"/>
      <c r="F1120" s="4"/>
      <c r="G1120" s="4"/>
      <c r="H1120" s="4"/>
      <c r="I1120" s="4"/>
      <c r="J1120" s="4"/>
      <c r="K1120" s="4"/>
      <c r="L1120" s="4"/>
      <c r="M1120" s="4"/>
      <c r="N1120" s="4"/>
      <c r="O1120" s="4"/>
      <c r="P1120" s="4"/>
      <c r="Q1120" s="4"/>
      <c r="R1120" s="4"/>
      <c r="S1120" s="4"/>
      <c r="T1120" s="4"/>
      <c r="U1120" s="4"/>
    </row>
    <row r="1121" spans="3:21" ht="19" x14ac:dyDescent="0.25">
      <c r="C1121" s="4"/>
      <c r="D1121" s="4"/>
      <c r="E1121" s="4"/>
      <c r="F1121" s="4"/>
      <c r="G1121" s="4"/>
      <c r="H1121" s="4"/>
      <c r="I1121" s="4"/>
      <c r="J1121" s="4"/>
      <c r="K1121" s="4"/>
      <c r="L1121" s="4"/>
      <c r="M1121" s="4"/>
      <c r="N1121" s="4"/>
      <c r="O1121" s="4"/>
      <c r="P1121" s="4"/>
      <c r="Q1121" s="4"/>
      <c r="R1121" s="4"/>
      <c r="S1121" s="4"/>
      <c r="T1121" s="4"/>
      <c r="U1121" s="4"/>
    </row>
    <row r="1122" spans="3:21" ht="19" x14ac:dyDescent="0.25">
      <c r="C1122" s="4"/>
      <c r="D1122" s="4"/>
      <c r="E1122" s="4"/>
      <c r="F1122" s="4"/>
      <c r="G1122" s="4"/>
      <c r="H1122" s="4"/>
      <c r="I1122" s="4"/>
      <c r="J1122" s="4"/>
      <c r="K1122" s="4"/>
      <c r="L1122" s="4"/>
      <c r="M1122" s="4"/>
      <c r="N1122" s="4"/>
      <c r="O1122" s="4"/>
      <c r="P1122" s="4"/>
      <c r="Q1122" s="4"/>
      <c r="R1122" s="4"/>
      <c r="S1122" s="4"/>
      <c r="T1122" s="4"/>
      <c r="U1122" s="4"/>
    </row>
    <row r="1123" spans="3:21" ht="19" x14ac:dyDescent="0.25">
      <c r="C1123" s="4"/>
      <c r="D1123" s="4"/>
      <c r="E1123" s="4"/>
      <c r="F1123" s="4"/>
      <c r="G1123" s="4"/>
      <c r="H1123" s="4"/>
      <c r="I1123" s="4"/>
      <c r="J1123" s="4"/>
      <c r="K1123" s="4"/>
      <c r="L1123" s="4"/>
      <c r="M1123" s="4"/>
      <c r="N1123" s="4"/>
      <c r="O1123" s="4"/>
      <c r="P1123" s="4"/>
      <c r="Q1123" s="4"/>
      <c r="R1123" s="4"/>
      <c r="S1123" s="4"/>
      <c r="T1123" s="4"/>
      <c r="U1123" s="4"/>
    </row>
    <row r="1124" spans="3:21" ht="19" x14ac:dyDescent="0.25">
      <c r="C1124" s="4"/>
      <c r="D1124" s="4"/>
      <c r="E1124" s="4"/>
      <c r="F1124" s="4"/>
      <c r="G1124" s="4"/>
      <c r="H1124" s="4"/>
      <c r="I1124" s="4"/>
      <c r="J1124" s="4"/>
      <c r="K1124" s="4"/>
      <c r="L1124" s="4"/>
      <c r="M1124" s="4"/>
      <c r="N1124" s="4"/>
      <c r="O1124" s="4"/>
      <c r="P1124" s="4"/>
      <c r="Q1124" s="4"/>
      <c r="R1124" s="4"/>
      <c r="S1124" s="4"/>
      <c r="T1124" s="4"/>
      <c r="U1124" s="4"/>
    </row>
    <row r="1125" spans="3:21" ht="19" x14ac:dyDescent="0.25">
      <c r="C1125" s="4"/>
      <c r="D1125" s="4"/>
      <c r="E1125" s="4"/>
      <c r="F1125" s="4"/>
      <c r="G1125" s="4"/>
      <c r="H1125" s="4"/>
      <c r="I1125" s="4"/>
      <c r="J1125" s="4"/>
      <c r="K1125" s="4"/>
      <c r="L1125" s="4"/>
      <c r="M1125" s="4"/>
      <c r="N1125" s="4"/>
      <c r="O1125" s="4"/>
      <c r="P1125" s="4"/>
      <c r="Q1125" s="4"/>
      <c r="R1125" s="4"/>
      <c r="S1125" s="4"/>
      <c r="T1125" s="4"/>
      <c r="U1125" s="4"/>
    </row>
    <row r="1126" spans="3:21" ht="19" x14ac:dyDescent="0.25">
      <c r="C1126" s="4"/>
      <c r="D1126" s="4"/>
      <c r="E1126" s="4"/>
      <c r="F1126" s="4"/>
      <c r="G1126" s="4"/>
      <c r="H1126" s="4"/>
      <c r="I1126" s="4"/>
      <c r="J1126" s="4"/>
      <c r="K1126" s="4"/>
      <c r="L1126" s="4"/>
      <c r="M1126" s="4"/>
      <c r="N1126" s="4"/>
      <c r="O1126" s="4"/>
      <c r="P1126" s="4"/>
      <c r="Q1126" s="4"/>
      <c r="R1126" s="4"/>
      <c r="S1126" s="4"/>
      <c r="T1126" s="4"/>
      <c r="U1126" s="4"/>
    </row>
    <row r="1127" spans="3:21" ht="19" x14ac:dyDescent="0.25">
      <c r="C1127" s="4"/>
      <c r="D1127" s="4"/>
      <c r="E1127" s="4"/>
      <c r="F1127" s="4"/>
      <c r="G1127" s="4"/>
      <c r="H1127" s="4"/>
      <c r="I1127" s="4"/>
      <c r="J1127" s="4"/>
      <c r="K1127" s="4"/>
      <c r="L1127" s="4"/>
      <c r="M1127" s="4"/>
      <c r="N1127" s="4"/>
      <c r="O1127" s="4"/>
      <c r="P1127" s="4"/>
      <c r="Q1127" s="4"/>
      <c r="R1127" s="4"/>
      <c r="S1127" s="4"/>
      <c r="T1127" s="4"/>
      <c r="U1127" s="4"/>
    </row>
    <row r="1128" spans="3:21" ht="19" x14ac:dyDescent="0.25">
      <c r="C1128" s="4"/>
      <c r="D1128" s="4"/>
      <c r="E1128" s="4"/>
      <c r="F1128" s="4"/>
      <c r="G1128" s="4"/>
      <c r="H1128" s="4"/>
      <c r="I1128" s="4"/>
      <c r="J1128" s="4"/>
      <c r="K1128" s="4"/>
      <c r="L1128" s="4"/>
      <c r="M1128" s="4"/>
      <c r="N1128" s="4"/>
      <c r="O1128" s="4"/>
      <c r="P1128" s="4"/>
      <c r="Q1128" s="4"/>
      <c r="R1128" s="4"/>
      <c r="S1128" s="4"/>
      <c r="T1128" s="4"/>
      <c r="U1128" s="4"/>
    </row>
    <row r="1129" spans="3:21" ht="19" x14ac:dyDescent="0.25">
      <c r="C1129" s="4"/>
      <c r="D1129" s="4"/>
      <c r="E1129" s="4"/>
      <c r="F1129" s="4"/>
      <c r="G1129" s="4"/>
      <c r="H1129" s="4"/>
      <c r="I1129" s="4"/>
      <c r="J1129" s="4"/>
      <c r="K1129" s="4"/>
      <c r="L1129" s="4"/>
      <c r="M1129" s="4"/>
      <c r="N1129" s="4"/>
      <c r="O1129" s="4"/>
      <c r="P1129" s="4"/>
      <c r="Q1129" s="4"/>
      <c r="R1129" s="4"/>
      <c r="S1129" s="4"/>
      <c r="T1129" s="4"/>
      <c r="U1129" s="4"/>
    </row>
    <row r="1130" spans="3:21" ht="19" x14ac:dyDescent="0.25">
      <c r="C1130" s="4"/>
      <c r="D1130" s="4"/>
      <c r="E1130" s="4"/>
      <c r="F1130" s="4"/>
      <c r="G1130" s="4"/>
      <c r="H1130" s="4"/>
      <c r="I1130" s="4"/>
      <c r="J1130" s="4"/>
      <c r="K1130" s="4"/>
      <c r="L1130" s="4"/>
      <c r="M1130" s="4"/>
      <c r="N1130" s="4"/>
      <c r="O1130" s="4"/>
      <c r="P1130" s="4"/>
      <c r="Q1130" s="4"/>
      <c r="R1130" s="4"/>
      <c r="S1130" s="4"/>
      <c r="T1130" s="4"/>
      <c r="U1130" s="4"/>
    </row>
    <row r="1131" spans="3:21" ht="19" x14ac:dyDescent="0.25">
      <c r="C1131" s="4"/>
      <c r="D1131" s="4"/>
      <c r="E1131" s="4"/>
      <c r="F1131" s="4"/>
      <c r="G1131" s="4"/>
      <c r="H1131" s="4"/>
      <c r="I1131" s="4"/>
      <c r="J1131" s="4"/>
      <c r="K1131" s="4"/>
      <c r="L1131" s="4"/>
      <c r="M1131" s="4"/>
      <c r="N1131" s="4"/>
      <c r="O1131" s="4"/>
      <c r="P1131" s="4"/>
      <c r="Q1131" s="4"/>
      <c r="R1131" s="4"/>
      <c r="S1131" s="4"/>
      <c r="T1131" s="4"/>
      <c r="U1131" s="4"/>
    </row>
    <row r="1132" spans="3:21" ht="19" x14ac:dyDescent="0.25">
      <c r="C1132" s="4"/>
      <c r="D1132" s="4"/>
      <c r="E1132" s="4"/>
      <c r="F1132" s="4"/>
      <c r="G1132" s="4"/>
      <c r="H1132" s="4"/>
      <c r="I1132" s="4"/>
      <c r="J1132" s="4"/>
      <c r="K1132" s="4"/>
      <c r="L1132" s="4"/>
      <c r="M1132" s="4"/>
      <c r="N1132" s="4"/>
      <c r="O1132" s="4"/>
      <c r="P1132" s="4"/>
      <c r="Q1132" s="4"/>
      <c r="R1132" s="4"/>
      <c r="S1132" s="4"/>
      <c r="T1132" s="4"/>
      <c r="U1132" s="4"/>
    </row>
    <row r="1133" spans="3:21" ht="19" x14ac:dyDescent="0.25">
      <c r="C1133" s="4"/>
      <c r="D1133" s="4"/>
      <c r="E1133" s="4"/>
      <c r="F1133" s="4"/>
      <c r="G1133" s="4"/>
      <c r="H1133" s="4"/>
      <c r="I1133" s="4"/>
      <c r="J1133" s="4"/>
      <c r="K1133" s="4"/>
      <c r="L1133" s="4"/>
      <c r="M1133" s="4"/>
      <c r="N1133" s="4"/>
      <c r="O1133" s="4"/>
      <c r="P1133" s="4"/>
      <c r="Q1133" s="4"/>
      <c r="R1133" s="4"/>
      <c r="S1133" s="4"/>
      <c r="T1133" s="4"/>
      <c r="U1133" s="4"/>
    </row>
    <row r="1134" spans="3:21" ht="19" x14ac:dyDescent="0.25">
      <c r="C1134" s="4"/>
      <c r="D1134" s="4"/>
      <c r="E1134" s="4"/>
      <c r="F1134" s="4"/>
      <c r="G1134" s="4"/>
      <c r="H1134" s="4"/>
      <c r="I1134" s="4"/>
      <c r="J1134" s="4"/>
      <c r="K1134" s="4"/>
      <c r="L1134" s="4"/>
      <c r="M1134" s="4"/>
      <c r="N1134" s="4"/>
      <c r="O1134" s="4"/>
      <c r="P1134" s="4"/>
      <c r="Q1134" s="4"/>
      <c r="R1134" s="4"/>
      <c r="S1134" s="4"/>
      <c r="T1134" s="4"/>
      <c r="U1134" s="4"/>
    </row>
    <row r="1135" spans="3:21" ht="19" x14ac:dyDescent="0.25">
      <c r="C1135" s="4"/>
      <c r="D1135" s="4"/>
      <c r="E1135" s="4"/>
      <c r="F1135" s="4"/>
      <c r="G1135" s="4"/>
      <c r="H1135" s="4"/>
      <c r="I1135" s="4"/>
      <c r="J1135" s="4"/>
      <c r="K1135" s="4"/>
      <c r="L1135" s="4"/>
      <c r="M1135" s="4"/>
      <c r="N1135" s="4"/>
      <c r="O1135" s="4"/>
      <c r="P1135" s="4"/>
      <c r="Q1135" s="4"/>
      <c r="R1135" s="4"/>
      <c r="S1135" s="4"/>
      <c r="T1135" s="4"/>
      <c r="U1135" s="4"/>
    </row>
    <row r="1136" spans="3:21" ht="19" x14ac:dyDescent="0.25">
      <c r="C1136" s="4"/>
      <c r="D1136" s="4"/>
      <c r="E1136" s="4"/>
      <c r="F1136" s="4"/>
      <c r="G1136" s="4"/>
      <c r="H1136" s="4"/>
      <c r="I1136" s="4"/>
      <c r="J1136" s="4"/>
      <c r="K1136" s="4"/>
      <c r="L1136" s="4"/>
      <c r="M1136" s="4"/>
      <c r="N1136" s="4"/>
      <c r="O1136" s="4"/>
      <c r="P1136" s="4"/>
      <c r="Q1136" s="4"/>
      <c r="R1136" s="4"/>
      <c r="S1136" s="4"/>
      <c r="T1136" s="4"/>
      <c r="U1136" s="4"/>
    </row>
    <row r="1137" spans="3:21" ht="19" x14ac:dyDescent="0.25">
      <c r="C1137" s="4"/>
      <c r="D1137" s="4"/>
      <c r="E1137" s="4"/>
      <c r="F1137" s="4"/>
      <c r="G1137" s="4"/>
      <c r="H1137" s="4"/>
      <c r="I1137" s="4"/>
      <c r="J1137" s="4"/>
      <c r="K1137" s="4"/>
      <c r="L1137" s="4"/>
      <c r="M1137" s="4"/>
      <c r="N1137" s="4"/>
      <c r="O1137" s="4"/>
      <c r="P1137" s="4"/>
      <c r="Q1137" s="4"/>
      <c r="R1137" s="4"/>
      <c r="S1137" s="4"/>
      <c r="T1137" s="4"/>
      <c r="U1137" s="4"/>
    </row>
    <row r="1138" spans="3:21" ht="19" x14ac:dyDescent="0.25">
      <c r="C1138" s="4"/>
      <c r="D1138" s="4"/>
      <c r="E1138" s="4"/>
      <c r="F1138" s="4"/>
      <c r="G1138" s="4"/>
      <c r="H1138" s="4"/>
      <c r="I1138" s="4"/>
      <c r="J1138" s="4"/>
      <c r="K1138" s="4"/>
      <c r="L1138" s="4"/>
      <c r="M1138" s="4"/>
      <c r="N1138" s="4"/>
      <c r="O1138" s="4"/>
      <c r="P1138" s="4"/>
      <c r="Q1138" s="4"/>
      <c r="R1138" s="4"/>
      <c r="S1138" s="4"/>
      <c r="T1138" s="4"/>
      <c r="U1138" s="4"/>
    </row>
    <row r="1139" spans="3:21" ht="19" x14ac:dyDescent="0.25">
      <c r="C1139" s="4"/>
      <c r="D1139" s="4"/>
      <c r="E1139" s="4"/>
      <c r="F1139" s="4"/>
      <c r="G1139" s="4"/>
      <c r="H1139" s="4"/>
      <c r="I1139" s="4"/>
      <c r="J1139" s="4"/>
      <c r="K1139" s="4"/>
      <c r="L1139" s="4"/>
      <c r="M1139" s="4"/>
      <c r="N1139" s="4"/>
      <c r="O1139" s="4"/>
      <c r="P1139" s="4"/>
      <c r="Q1139" s="4"/>
      <c r="R1139" s="4"/>
      <c r="S1139" s="4"/>
      <c r="T1139" s="4"/>
      <c r="U1139" s="4"/>
    </row>
    <row r="1140" spans="3:21" ht="19" x14ac:dyDescent="0.25">
      <c r="C1140" s="4"/>
      <c r="D1140" s="4"/>
      <c r="E1140" s="4"/>
      <c r="F1140" s="4"/>
      <c r="G1140" s="4"/>
      <c r="H1140" s="4"/>
      <c r="I1140" s="4"/>
      <c r="J1140" s="4"/>
      <c r="K1140" s="4"/>
      <c r="L1140" s="4"/>
      <c r="M1140" s="4"/>
      <c r="N1140" s="4"/>
      <c r="O1140" s="4"/>
      <c r="P1140" s="4"/>
      <c r="Q1140" s="4"/>
      <c r="R1140" s="4"/>
      <c r="S1140" s="4"/>
      <c r="T1140" s="4"/>
      <c r="U1140" s="4"/>
    </row>
    <row r="1141" spans="3:21" ht="19" x14ac:dyDescent="0.25">
      <c r="C1141" s="4"/>
      <c r="D1141" s="4"/>
      <c r="E1141" s="4"/>
      <c r="F1141" s="4"/>
      <c r="G1141" s="4"/>
      <c r="H1141" s="4"/>
      <c r="I1141" s="4"/>
      <c r="J1141" s="4"/>
      <c r="K1141" s="4"/>
      <c r="L1141" s="4"/>
      <c r="M1141" s="4"/>
      <c r="N1141" s="4"/>
      <c r="O1141" s="4"/>
      <c r="P1141" s="4"/>
      <c r="Q1141" s="4"/>
      <c r="R1141" s="4"/>
      <c r="S1141" s="4"/>
      <c r="T1141" s="4"/>
      <c r="U1141" s="4"/>
    </row>
    <row r="1142" spans="3:21" ht="19" x14ac:dyDescent="0.25">
      <c r="C1142" s="4"/>
      <c r="D1142" s="4"/>
      <c r="E1142" s="4"/>
      <c r="F1142" s="4"/>
      <c r="G1142" s="4"/>
      <c r="H1142" s="4"/>
      <c r="I1142" s="4"/>
      <c r="J1142" s="4"/>
      <c r="K1142" s="4"/>
      <c r="L1142" s="4"/>
      <c r="M1142" s="4"/>
      <c r="N1142" s="4"/>
      <c r="O1142" s="4"/>
      <c r="P1142" s="4"/>
      <c r="Q1142" s="4"/>
      <c r="R1142" s="4"/>
      <c r="S1142" s="4"/>
      <c r="T1142" s="4"/>
      <c r="U1142" s="4"/>
    </row>
    <row r="1143" spans="3:21" ht="19" x14ac:dyDescent="0.25">
      <c r="C1143" s="4"/>
      <c r="D1143" s="4"/>
      <c r="E1143" s="4"/>
      <c r="F1143" s="4"/>
      <c r="G1143" s="4"/>
      <c r="H1143" s="4"/>
      <c r="I1143" s="4"/>
      <c r="J1143" s="4"/>
      <c r="K1143" s="4"/>
      <c r="L1143" s="4"/>
      <c r="M1143" s="4"/>
      <c r="N1143" s="4"/>
      <c r="O1143" s="4"/>
      <c r="P1143" s="4"/>
      <c r="Q1143" s="4"/>
      <c r="R1143" s="4"/>
      <c r="S1143" s="4"/>
      <c r="T1143" s="4"/>
      <c r="U1143" s="4"/>
    </row>
    <row r="1144" spans="3:21" ht="19" x14ac:dyDescent="0.25">
      <c r="C1144" s="4"/>
      <c r="D1144" s="4"/>
      <c r="E1144" s="4"/>
      <c r="F1144" s="4"/>
      <c r="G1144" s="4"/>
      <c r="H1144" s="4"/>
      <c r="I1144" s="4"/>
      <c r="J1144" s="4"/>
      <c r="K1144" s="4"/>
      <c r="L1144" s="4"/>
      <c r="M1144" s="4"/>
      <c r="N1144" s="4"/>
      <c r="O1144" s="4"/>
      <c r="P1144" s="4"/>
      <c r="Q1144" s="4"/>
      <c r="R1144" s="4"/>
      <c r="S1144" s="4"/>
      <c r="T1144" s="4"/>
      <c r="U1144" s="4"/>
    </row>
    <row r="1145" spans="3:21" ht="19" x14ac:dyDescent="0.25">
      <c r="C1145" s="4"/>
      <c r="D1145" s="4"/>
      <c r="E1145" s="4"/>
      <c r="F1145" s="4"/>
      <c r="G1145" s="4"/>
      <c r="H1145" s="4"/>
      <c r="I1145" s="4"/>
      <c r="J1145" s="4"/>
      <c r="K1145" s="4"/>
      <c r="L1145" s="4"/>
      <c r="M1145" s="4"/>
      <c r="N1145" s="4"/>
      <c r="O1145" s="4"/>
      <c r="P1145" s="4"/>
      <c r="Q1145" s="4"/>
      <c r="R1145" s="4"/>
      <c r="S1145" s="4"/>
      <c r="T1145" s="4"/>
      <c r="U1145" s="4"/>
    </row>
    <row r="1146" spans="3:21" ht="19" x14ac:dyDescent="0.25">
      <c r="C1146" s="4"/>
      <c r="D1146" s="4"/>
      <c r="E1146" s="4"/>
      <c r="F1146" s="4"/>
      <c r="G1146" s="4"/>
      <c r="H1146" s="4"/>
      <c r="I1146" s="4"/>
      <c r="J1146" s="4"/>
      <c r="K1146" s="4"/>
      <c r="L1146" s="4"/>
      <c r="M1146" s="4"/>
      <c r="N1146" s="4"/>
      <c r="O1146" s="4"/>
      <c r="P1146" s="4"/>
      <c r="Q1146" s="4"/>
      <c r="R1146" s="4"/>
      <c r="S1146" s="4"/>
      <c r="T1146" s="4"/>
      <c r="U1146" s="4"/>
    </row>
    <row r="1147" spans="3:21" ht="19" x14ac:dyDescent="0.25">
      <c r="C1147" s="4"/>
      <c r="D1147" s="4"/>
      <c r="E1147" s="4"/>
      <c r="F1147" s="4"/>
      <c r="G1147" s="4"/>
      <c r="H1147" s="4"/>
      <c r="I1147" s="4"/>
      <c r="J1147" s="4"/>
      <c r="K1147" s="4"/>
      <c r="L1147" s="4"/>
      <c r="M1147" s="4"/>
      <c r="N1147" s="4"/>
      <c r="O1147" s="4"/>
      <c r="P1147" s="4"/>
      <c r="Q1147" s="4"/>
      <c r="R1147" s="4"/>
      <c r="S1147" s="4"/>
      <c r="T1147" s="4"/>
      <c r="U1147" s="4"/>
    </row>
    <row r="1148" spans="3:21" ht="19" x14ac:dyDescent="0.25">
      <c r="C1148" s="4"/>
      <c r="D1148" s="4"/>
      <c r="E1148" s="4"/>
      <c r="F1148" s="4"/>
      <c r="G1148" s="4"/>
      <c r="H1148" s="4"/>
      <c r="I1148" s="4"/>
      <c r="J1148" s="4"/>
      <c r="K1148" s="4"/>
      <c r="L1148" s="4"/>
      <c r="M1148" s="4"/>
      <c r="N1148" s="4"/>
      <c r="O1148" s="4"/>
      <c r="P1148" s="4"/>
      <c r="Q1148" s="4"/>
      <c r="R1148" s="4"/>
      <c r="S1148" s="4"/>
      <c r="T1148" s="4"/>
      <c r="U1148" s="4"/>
    </row>
    <row r="1149" spans="3:21" ht="19" x14ac:dyDescent="0.25">
      <c r="C1149" s="4"/>
      <c r="D1149" s="4"/>
      <c r="E1149" s="4"/>
      <c r="F1149" s="4"/>
      <c r="G1149" s="4"/>
      <c r="H1149" s="4"/>
      <c r="I1149" s="4"/>
      <c r="J1149" s="4"/>
      <c r="K1149" s="4"/>
      <c r="L1149" s="4"/>
      <c r="M1149" s="4"/>
      <c r="N1149" s="4"/>
      <c r="O1149" s="4"/>
      <c r="P1149" s="4"/>
      <c r="Q1149" s="4"/>
      <c r="R1149" s="4"/>
      <c r="S1149" s="4"/>
      <c r="T1149" s="4"/>
      <c r="U1149" s="4"/>
    </row>
    <row r="1150" spans="3:21" ht="19" x14ac:dyDescent="0.25">
      <c r="C1150" s="4"/>
      <c r="D1150" s="4"/>
      <c r="E1150" s="4"/>
      <c r="F1150" s="4"/>
      <c r="G1150" s="4"/>
      <c r="H1150" s="4"/>
      <c r="I1150" s="4"/>
      <c r="J1150" s="4"/>
      <c r="K1150" s="4"/>
      <c r="L1150" s="4"/>
      <c r="M1150" s="4"/>
      <c r="N1150" s="4"/>
      <c r="O1150" s="4"/>
      <c r="P1150" s="4"/>
      <c r="Q1150" s="4"/>
      <c r="R1150" s="4"/>
      <c r="S1150" s="4"/>
      <c r="T1150" s="4"/>
      <c r="U1150" s="4"/>
    </row>
    <row r="1151" spans="3:21" ht="19" x14ac:dyDescent="0.25">
      <c r="C1151" s="4"/>
      <c r="D1151" s="4"/>
      <c r="E1151" s="4"/>
      <c r="F1151" s="4"/>
      <c r="G1151" s="4"/>
      <c r="H1151" s="4"/>
      <c r="I1151" s="4"/>
      <c r="J1151" s="4"/>
      <c r="K1151" s="4"/>
      <c r="L1151" s="4"/>
      <c r="M1151" s="4"/>
      <c r="N1151" s="4"/>
      <c r="O1151" s="4"/>
      <c r="P1151" s="4"/>
      <c r="Q1151" s="4"/>
      <c r="R1151" s="4"/>
      <c r="S1151" s="4"/>
      <c r="T1151" s="4"/>
      <c r="U1151" s="4"/>
    </row>
    <row r="1152" spans="3:21" ht="19" x14ac:dyDescent="0.25">
      <c r="C1152" s="4"/>
      <c r="D1152" s="4"/>
      <c r="E1152" s="4"/>
      <c r="F1152" s="4"/>
      <c r="G1152" s="4"/>
      <c r="H1152" s="4"/>
      <c r="I1152" s="4"/>
      <c r="J1152" s="4"/>
      <c r="K1152" s="4"/>
      <c r="L1152" s="4"/>
      <c r="M1152" s="4"/>
      <c r="N1152" s="4"/>
      <c r="O1152" s="4"/>
      <c r="P1152" s="4"/>
      <c r="Q1152" s="4"/>
      <c r="R1152" s="4"/>
      <c r="S1152" s="4"/>
      <c r="T1152" s="4"/>
      <c r="U1152" s="4"/>
    </row>
    <row r="1153" spans="3:21" ht="19" x14ac:dyDescent="0.25">
      <c r="C1153" s="4"/>
      <c r="D1153" s="4"/>
      <c r="E1153" s="4"/>
      <c r="F1153" s="4"/>
      <c r="G1153" s="4"/>
      <c r="H1153" s="4"/>
      <c r="I1153" s="4"/>
      <c r="J1153" s="4"/>
      <c r="K1153" s="4"/>
      <c r="L1153" s="4"/>
      <c r="M1153" s="4"/>
      <c r="N1153" s="4"/>
      <c r="O1153" s="4"/>
      <c r="P1153" s="4"/>
      <c r="Q1153" s="4"/>
      <c r="R1153" s="4"/>
      <c r="S1153" s="4"/>
      <c r="T1153" s="4"/>
      <c r="U1153" s="4"/>
    </row>
    <row r="1154" spans="3:21" ht="19" x14ac:dyDescent="0.25">
      <c r="C1154" s="4"/>
      <c r="D1154" s="4"/>
      <c r="E1154" s="4"/>
      <c r="F1154" s="4"/>
      <c r="G1154" s="4"/>
      <c r="H1154" s="4"/>
      <c r="I1154" s="4"/>
      <c r="J1154" s="4"/>
      <c r="K1154" s="4"/>
      <c r="L1154" s="4"/>
      <c r="M1154" s="4"/>
      <c r="N1154" s="4"/>
      <c r="O1154" s="4"/>
      <c r="P1154" s="4"/>
      <c r="Q1154" s="4"/>
      <c r="R1154" s="4"/>
      <c r="S1154" s="4"/>
      <c r="T1154" s="4"/>
      <c r="U1154" s="4"/>
    </row>
    <row r="1155" spans="3:21" ht="19" x14ac:dyDescent="0.25">
      <c r="C1155" s="4"/>
      <c r="D1155" s="4"/>
      <c r="E1155" s="4"/>
      <c r="F1155" s="4"/>
      <c r="G1155" s="4"/>
      <c r="H1155" s="4"/>
      <c r="I1155" s="4"/>
      <c r="J1155" s="4"/>
      <c r="K1155" s="4"/>
      <c r="L1155" s="4"/>
      <c r="M1155" s="4"/>
      <c r="N1155" s="4"/>
      <c r="O1155" s="4"/>
      <c r="P1155" s="4"/>
      <c r="Q1155" s="4"/>
      <c r="R1155" s="4"/>
      <c r="S1155" s="4"/>
      <c r="T1155" s="4"/>
      <c r="U1155" s="4"/>
    </row>
    <row r="1156" spans="3:21" ht="19" x14ac:dyDescent="0.25">
      <c r="C1156" s="4"/>
      <c r="D1156" s="4"/>
      <c r="E1156" s="4"/>
      <c r="F1156" s="4"/>
      <c r="G1156" s="4"/>
      <c r="H1156" s="4"/>
      <c r="I1156" s="4"/>
      <c r="J1156" s="4"/>
      <c r="K1156" s="4"/>
      <c r="L1156" s="4"/>
      <c r="M1156" s="4"/>
      <c r="N1156" s="4"/>
      <c r="O1156" s="4"/>
      <c r="P1156" s="4"/>
      <c r="Q1156" s="4"/>
      <c r="R1156" s="4"/>
      <c r="S1156" s="4"/>
      <c r="T1156" s="4"/>
      <c r="U1156" s="4"/>
    </row>
    <row r="1157" spans="3:21" ht="19" x14ac:dyDescent="0.25">
      <c r="C1157" s="4"/>
      <c r="D1157" s="4"/>
      <c r="E1157" s="4"/>
      <c r="F1157" s="4"/>
      <c r="G1157" s="4"/>
      <c r="H1157" s="4"/>
      <c r="I1157" s="4"/>
      <c r="J1157" s="4"/>
      <c r="K1157" s="4"/>
      <c r="L1157" s="4"/>
      <c r="M1157" s="4"/>
      <c r="N1157" s="4"/>
      <c r="O1157" s="4"/>
      <c r="P1157" s="4"/>
      <c r="Q1157" s="4"/>
      <c r="R1157" s="4"/>
      <c r="S1157" s="4"/>
      <c r="T1157" s="4"/>
      <c r="U1157" s="4"/>
    </row>
    <row r="1158" spans="3:21" ht="19" x14ac:dyDescent="0.25">
      <c r="C1158" s="4"/>
      <c r="D1158" s="4"/>
      <c r="E1158" s="4"/>
      <c r="F1158" s="4"/>
      <c r="G1158" s="4"/>
      <c r="H1158" s="4"/>
      <c r="I1158" s="4"/>
      <c r="J1158" s="4"/>
      <c r="K1158" s="4"/>
      <c r="L1158" s="4"/>
      <c r="M1158" s="4"/>
      <c r="N1158" s="4"/>
      <c r="O1158" s="4"/>
      <c r="P1158" s="4"/>
      <c r="Q1158" s="4"/>
      <c r="R1158" s="4"/>
      <c r="S1158" s="4"/>
      <c r="T1158" s="4"/>
      <c r="U1158" s="4"/>
    </row>
    <row r="1159" spans="3:21" ht="19" x14ac:dyDescent="0.25">
      <c r="C1159" s="4"/>
      <c r="D1159" s="4"/>
      <c r="E1159" s="4"/>
      <c r="F1159" s="4"/>
      <c r="G1159" s="4"/>
      <c r="H1159" s="4"/>
      <c r="I1159" s="4"/>
      <c r="J1159" s="4"/>
      <c r="K1159" s="4"/>
      <c r="L1159" s="4"/>
      <c r="M1159" s="4"/>
      <c r="N1159" s="4"/>
      <c r="O1159" s="4"/>
      <c r="P1159" s="4"/>
      <c r="Q1159" s="4"/>
      <c r="R1159" s="4"/>
      <c r="S1159" s="4"/>
      <c r="T1159" s="4"/>
      <c r="U1159" s="4"/>
    </row>
    <row r="1160" spans="3:21" ht="19" x14ac:dyDescent="0.25">
      <c r="C1160" s="4"/>
      <c r="D1160" s="4"/>
      <c r="E1160" s="4"/>
      <c r="F1160" s="4"/>
      <c r="G1160" s="4"/>
      <c r="H1160" s="4"/>
      <c r="I1160" s="4"/>
      <c r="J1160" s="4"/>
      <c r="K1160" s="4"/>
      <c r="L1160" s="4"/>
      <c r="M1160" s="4"/>
      <c r="N1160" s="4"/>
      <c r="O1160" s="4"/>
      <c r="P1160" s="4"/>
      <c r="Q1160" s="4"/>
      <c r="R1160" s="4"/>
      <c r="S1160" s="4"/>
      <c r="T1160" s="4"/>
      <c r="U1160" s="4"/>
    </row>
    <row r="1161" spans="3:21" ht="19" x14ac:dyDescent="0.25">
      <c r="C1161" s="4"/>
      <c r="D1161" s="4"/>
      <c r="E1161" s="4"/>
      <c r="F1161" s="4"/>
      <c r="G1161" s="4"/>
      <c r="H1161" s="4"/>
      <c r="I1161" s="4"/>
      <c r="J1161" s="4"/>
      <c r="K1161" s="4"/>
      <c r="L1161" s="4"/>
      <c r="M1161" s="4"/>
      <c r="N1161" s="4"/>
      <c r="O1161" s="4"/>
      <c r="P1161" s="4"/>
      <c r="Q1161" s="4"/>
      <c r="R1161" s="4"/>
      <c r="S1161" s="4"/>
      <c r="T1161" s="4"/>
      <c r="U1161" s="4"/>
    </row>
    <row r="1162" spans="3:21" ht="19" x14ac:dyDescent="0.25">
      <c r="C1162" s="4"/>
      <c r="D1162" s="4"/>
      <c r="E1162" s="4"/>
      <c r="F1162" s="4"/>
      <c r="G1162" s="4"/>
      <c r="H1162" s="4"/>
      <c r="I1162" s="4"/>
      <c r="J1162" s="4"/>
      <c r="K1162" s="4"/>
      <c r="L1162" s="4"/>
      <c r="M1162" s="4"/>
      <c r="N1162" s="4"/>
      <c r="O1162" s="4"/>
      <c r="P1162" s="4"/>
      <c r="Q1162" s="4"/>
      <c r="R1162" s="4"/>
      <c r="S1162" s="4"/>
      <c r="T1162" s="4"/>
      <c r="U1162" s="4"/>
    </row>
    <row r="1163" spans="3:21" ht="19" x14ac:dyDescent="0.25">
      <c r="C1163" s="4"/>
      <c r="D1163" s="4"/>
      <c r="E1163" s="4"/>
      <c r="F1163" s="4"/>
      <c r="G1163" s="4"/>
      <c r="H1163" s="4"/>
      <c r="I1163" s="4"/>
      <c r="J1163" s="4"/>
      <c r="K1163" s="4"/>
      <c r="L1163" s="4"/>
      <c r="M1163" s="4"/>
      <c r="N1163" s="4"/>
      <c r="O1163" s="4"/>
      <c r="P1163" s="4"/>
      <c r="Q1163" s="4"/>
      <c r="R1163" s="4"/>
      <c r="S1163" s="4"/>
      <c r="T1163" s="4"/>
      <c r="U1163" s="4"/>
    </row>
    <row r="1164" spans="3:21" ht="19" x14ac:dyDescent="0.25">
      <c r="C1164" s="4"/>
      <c r="D1164" s="4"/>
      <c r="E1164" s="4"/>
      <c r="F1164" s="4"/>
      <c r="G1164" s="4"/>
      <c r="H1164" s="4"/>
      <c r="I1164" s="4"/>
      <c r="J1164" s="4"/>
      <c r="K1164" s="4"/>
      <c r="L1164" s="4"/>
      <c r="M1164" s="4"/>
      <c r="N1164" s="4"/>
      <c r="O1164" s="4"/>
      <c r="P1164" s="4"/>
      <c r="Q1164" s="4"/>
      <c r="R1164" s="4"/>
      <c r="S1164" s="4"/>
      <c r="T1164" s="4"/>
      <c r="U1164" s="4"/>
    </row>
    <row r="1165" spans="3:21" ht="19" x14ac:dyDescent="0.25">
      <c r="C1165" s="4"/>
      <c r="D1165" s="4"/>
      <c r="E1165" s="4"/>
      <c r="F1165" s="4"/>
      <c r="G1165" s="4"/>
      <c r="H1165" s="4"/>
      <c r="I1165" s="4"/>
      <c r="J1165" s="4"/>
      <c r="K1165" s="4"/>
      <c r="L1165" s="4"/>
      <c r="M1165" s="4"/>
      <c r="N1165" s="4"/>
      <c r="O1165" s="4"/>
      <c r="P1165" s="4"/>
      <c r="Q1165" s="4"/>
      <c r="R1165" s="4"/>
      <c r="S1165" s="4"/>
      <c r="T1165" s="4"/>
      <c r="U1165" s="4"/>
    </row>
    <row r="1166" spans="3:21" ht="19" x14ac:dyDescent="0.25">
      <c r="C1166" s="4"/>
      <c r="D1166" s="4"/>
      <c r="E1166" s="4"/>
      <c r="F1166" s="4"/>
      <c r="G1166" s="4"/>
      <c r="H1166" s="4"/>
      <c r="I1166" s="4"/>
      <c r="J1166" s="4"/>
      <c r="K1166" s="4"/>
      <c r="L1166" s="4"/>
      <c r="M1166" s="4"/>
      <c r="N1166" s="4"/>
      <c r="O1166" s="4"/>
      <c r="P1166" s="4"/>
      <c r="Q1166" s="4"/>
      <c r="R1166" s="4"/>
      <c r="S1166" s="4"/>
      <c r="T1166" s="4"/>
      <c r="U1166" s="4"/>
    </row>
    <row r="1167" spans="3:21" ht="19" x14ac:dyDescent="0.25">
      <c r="C1167" s="4"/>
      <c r="D1167" s="4"/>
      <c r="E1167" s="4"/>
      <c r="F1167" s="4"/>
      <c r="G1167" s="4"/>
      <c r="H1167" s="4"/>
      <c r="I1167" s="4"/>
      <c r="J1167" s="4"/>
      <c r="K1167" s="4"/>
      <c r="L1167" s="4"/>
      <c r="M1167" s="4"/>
      <c r="N1167" s="4"/>
      <c r="O1167" s="4"/>
      <c r="P1167" s="4"/>
      <c r="Q1167" s="4"/>
      <c r="R1167" s="4"/>
      <c r="S1167" s="4"/>
      <c r="T1167" s="4"/>
      <c r="U1167" s="4"/>
    </row>
    <row r="1168" spans="3:21" ht="19" x14ac:dyDescent="0.25">
      <c r="C1168" s="4"/>
      <c r="D1168" s="4"/>
      <c r="E1168" s="4"/>
      <c r="F1168" s="4"/>
      <c r="G1168" s="4"/>
      <c r="H1168" s="4"/>
      <c r="I1168" s="4"/>
      <c r="J1168" s="4"/>
      <c r="K1168" s="4"/>
      <c r="L1168" s="4"/>
      <c r="M1168" s="4"/>
      <c r="N1168" s="4"/>
      <c r="O1168" s="4"/>
      <c r="P1168" s="4"/>
      <c r="Q1168" s="4"/>
      <c r="R1168" s="4"/>
      <c r="S1168" s="4"/>
      <c r="T1168" s="4"/>
      <c r="U1168" s="4"/>
    </row>
    <row r="1169" spans="3:21" ht="19" x14ac:dyDescent="0.25">
      <c r="C1169" s="4"/>
      <c r="D1169" s="4"/>
      <c r="E1169" s="4"/>
      <c r="F1169" s="4"/>
      <c r="G1169" s="4"/>
      <c r="H1169" s="4"/>
      <c r="I1169" s="4"/>
      <c r="J1169" s="4"/>
      <c r="K1169" s="4"/>
      <c r="L1169" s="4"/>
      <c r="M1169" s="4"/>
      <c r="N1169" s="4"/>
      <c r="O1169" s="4"/>
      <c r="P1169" s="4"/>
      <c r="Q1169" s="4"/>
      <c r="R1169" s="4"/>
      <c r="S1169" s="4"/>
      <c r="T1169" s="4"/>
      <c r="U1169" s="4"/>
    </row>
    <row r="1170" spans="3:21" ht="19" x14ac:dyDescent="0.25">
      <c r="C1170" s="4"/>
      <c r="D1170" s="4"/>
      <c r="E1170" s="4"/>
      <c r="F1170" s="4"/>
      <c r="G1170" s="4"/>
      <c r="H1170" s="4"/>
      <c r="I1170" s="4"/>
      <c r="J1170" s="4"/>
      <c r="K1170" s="4"/>
      <c r="L1170" s="4"/>
      <c r="M1170" s="4"/>
      <c r="N1170" s="4"/>
      <c r="O1170" s="4"/>
      <c r="P1170" s="4"/>
      <c r="Q1170" s="4"/>
      <c r="R1170" s="4"/>
      <c r="S1170" s="4"/>
      <c r="T1170" s="4"/>
      <c r="U1170" s="4"/>
    </row>
    <row r="1171" spans="3:21" ht="19" x14ac:dyDescent="0.25">
      <c r="C1171" s="4"/>
      <c r="D1171" s="4"/>
      <c r="E1171" s="4"/>
      <c r="F1171" s="4"/>
      <c r="G1171" s="4"/>
      <c r="H1171" s="4"/>
      <c r="I1171" s="4"/>
      <c r="J1171" s="4"/>
      <c r="K1171" s="4"/>
      <c r="L1171" s="4"/>
      <c r="M1171" s="4"/>
      <c r="N1171" s="4"/>
      <c r="O1171" s="4"/>
      <c r="P1171" s="4"/>
      <c r="Q1171" s="4"/>
      <c r="R1171" s="4"/>
      <c r="S1171" s="4"/>
      <c r="T1171" s="4"/>
      <c r="U1171" s="4"/>
    </row>
    <row r="1172" spans="3:21" ht="19" x14ac:dyDescent="0.25">
      <c r="C1172" s="4"/>
      <c r="D1172" s="4"/>
      <c r="E1172" s="4"/>
      <c r="F1172" s="4"/>
      <c r="G1172" s="4"/>
      <c r="H1172" s="4"/>
      <c r="I1172" s="4"/>
      <c r="J1172" s="4"/>
      <c r="K1172" s="4"/>
      <c r="L1172" s="4"/>
      <c r="M1172" s="4"/>
      <c r="N1172" s="4"/>
      <c r="O1172" s="4"/>
      <c r="P1172" s="4"/>
      <c r="Q1172" s="4"/>
      <c r="R1172" s="4"/>
      <c r="S1172" s="4"/>
      <c r="T1172" s="4"/>
      <c r="U1172" s="4"/>
    </row>
    <row r="1173" spans="3:21" ht="19" x14ac:dyDescent="0.25">
      <c r="C1173" s="4"/>
      <c r="D1173" s="4"/>
      <c r="E1173" s="4"/>
      <c r="F1173" s="4"/>
      <c r="G1173" s="4"/>
      <c r="H1173" s="4"/>
      <c r="I1173" s="4"/>
      <c r="J1173" s="4"/>
      <c r="K1173" s="4"/>
      <c r="L1173" s="4"/>
      <c r="M1173" s="4"/>
      <c r="N1173" s="4"/>
      <c r="O1173" s="4"/>
      <c r="P1173" s="4"/>
      <c r="Q1173" s="4"/>
      <c r="R1173" s="4"/>
      <c r="S1173" s="4"/>
      <c r="T1173" s="4"/>
      <c r="U1173" s="4"/>
    </row>
    <row r="1174" spans="3:21" ht="19" x14ac:dyDescent="0.25">
      <c r="C1174" s="4"/>
      <c r="D1174" s="4"/>
      <c r="E1174" s="4"/>
      <c r="F1174" s="4"/>
      <c r="G1174" s="4"/>
      <c r="H1174" s="4"/>
      <c r="I1174" s="4"/>
      <c r="J1174" s="4"/>
      <c r="K1174" s="4"/>
      <c r="L1174" s="4"/>
      <c r="M1174" s="4"/>
      <c r="N1174" s="4"/>
      <c r="O1174" s="4"/>
      <c r="P1174" s="4"/>
      <c r="Q1174" s="4"/>
      <c r="R1174" s="4"/>
      <c r="S1174" s="4"/>
      <c r="T1174" s="4"/>
      <c r="U1174" s="4"/>
    </row>
    <row r="1175" spans="3:21" ht="19" x14ac:dyDescent="0.25">
      <c r="C1175" s="4"/>
      <c r="D1175" s="4"/>
      <c r="E1175" s="4"/>
      <c r="F1175" s="4"/>
      <c r="G1175" s="4"/>
      <c r="H1175" s="4"/>
      <c r="I1175" s="4"/>
      <c r="J1175" s="4"/>
      <c r="K1175" s="4"/>
      <c r="L1175" s="4"/>
      <c r="M1175" s="4"/>
      <c r="N1175" s="4"/>
      <c r="O1175" s="4"/>
      <c r="P1175" s="4"/>
      <c r="Q1175" s="4"/>
      <c r="R1175" s="4"/>
      <c r="S1175" s="4"/>
      <c r="T1175" s="4"/>
      <c r="U1175" s="4"/>
    </row>
    <row r="1176" spans="3:21" ht="19" x14ac:dyDescent="0.25">
      <c r="C1176" s="4"/>
      <c r="D1176" s="4"/>
      <c r="E1176" s="4"/>
      <c r="F1176" s="4"/>
      <c r="G1176" s="4"/>
      <c r="H1176" s="4"/>
      <c r="I1176" s="4"/>
      <c r="J1176" s="4"/>
      <c r="K1176" s="4"/>
      <c r="L1176" s="4"/>
      <c r="M1176" s="4"/>
      <c r="N1176" s="4"/>
      <c r="O1176" s="4"/>
      <c r="P1176" s="4"/>
      <c r="Q1176" s="4"/>
      <c r="R1176" s="4"/>
      <c r="S1176" s="4"/>
      <c r="T1176" s="4"/>
      <c r="U1176" s="4"/>
    </row>
    <row r="1177" spans="3:21" ht="19" x14ac:dyDescent="0.25">
      <c r="C1177" s="4"/>
      <c r="D1177" s="4"/>
      <c r="E1177" s="4"/>
      <c r="F1177" s="4"/>
      <c r="G1177" s="4"/>
      <c r="H1177" s="4"/>
      <c r="I1177" s="4"/>
      <c r="J1177" s="4"/>
      <c r="K1177" s="4"/>
      <c r="L1177" s="4"/>
      <c r="M1177" s="4"/>
      <c r="N1177" s="4"/>
      <c r="O1177" s="4"/>
      <c r="P1177" s="4"/>
      <c r="Q1177" s="4"/>
      <c r="R1177" s="4"/>
      <c r="S1177" s="4"/>
      <c r="T1177" s="4"/>
      <c r="U1177" s="4"/>
    </row>
    <row r="1178" spans="3:21" ht="19" x14ac:dyDescent="0.25">
      <c r="C1178" s="4"/>
      <c r="D1178" s="4"/>
      <c r="E1178" s="4"/>
      <c r="F1178" s="4"/>
      <c r="G1178" s="4"/>
      <c r="H1178" s="4"/>
      <c r="I1178" s="4"/>
      <c r="J1178" s="4"/>
      <c r="K1178" s="4"/>
      <c r="L1178" s="4"/>
      <c r="M1178" s="4"/>
      <c r="N1178" s="4"/>
      <c r="O1178" s="4"/>
      <c r="P1178" s="4"/>
      <c r="Q1178" s="4"/>
      <c r="R1178" s="4"/>
      <c r="S1178" s="4"/>
      <c r="T1178" s="4"/>
      <c r="U1178" s="4"/>
    </row>
    <row r="1179" spans="3:21" ht="19" x14ac:dyDescent="0.25">
      <c r="C1179" s="4"/>
      <c r="D1179" s="4"/>
      <c r="E1179" s="4"/>
      <c r="F1179" s="4"/>
      <c r="G1179" s="4"/>
      <c r="H1179" s="4"/>
      <c r="I1179" s="4"/>
      <c r="J1179" s="4"/>
      <c r="K1179" s="4"/>
      <c r="L1179" s="4"/>
      <c r="M1179" s="4"/>
      <c r="N1179" s="4"/>
      <c r="O1179" s="4"/>
      <c r="P1179" s="4"/>
      <c r="Q1179" s="4"/>
      <c r="R1179" s="4"/>
      <c r="S1179" s="4"/>
      <c r="T1179" s="4"/>
      <c r="U1179" s="4"/>
    </row>
    <row r="1180" spans="3:21" ht="19" x14ac:dyDescent="0.25">
      <c r="C1180" s="4"/>
      <c r="D1180" s="4"/>
      <c r="E1180" s="4"/>
      <c r="F1180" s="4"/>
      <c r="G1180" s="4"/>
      <c r="H1180" s="4"/>
      <c r="I1180" s="4"/>
      <c r="J1180" s="4"/>
      <c r="K1180" s="4"/>
      <c r="L1180" s="4"/>
      <c r="M1180" s="4"/>
      <c r="N1180" s="4"/>
      <c r="O1180" s="4"/>
      <c r="P1180" s="4"/>
      <c r="Q1180" s="4"/>
      <c r="R1180" s="4"/>
      <c r="S1180" s="4"/>
      <c r="T1180" s="4"/>
      <c r="U1180" s="4"/>
    </row>
    <row r="1181" spans="3:21" ht="19" x14ac:dyDescent="0.25">
      <c r="C1181" s="4"/>
      <c r="D1181" s="4"/>
      <c r="E1181" s="4"/>
      <c r="F1181" s="4"/>
      <c r="G1181" s="4"/>
      <c r="H1181" s="4"/>
      <c r="I1181" s="4"/>
      <c r="J1181" s="4"/>
      <c r="K1181" s="4"/>
      <c r="L1181" s="4"/>
      <c r="M1181" s="4"/>
      <c r="N1181" s="4"/>
      <c r="O1181" s="4"/>
      <c r="P1181" s="4"/>
      <c r="Q1181" s="4"/>
      <c r="R1181" s="4"/>
      <c r="S1181" s="4"/>
      <c r="T1181" s="4"/>
      <c r="U1181" s="4"/>
    </row>
    <row r="1182" spans="3:21" ht="19" x14ac:dyDescent="0.25">
      <c r="C1182" s="4"/>
      <c r="D1182" s="4"/>
      <c r="E1182" s="4"/>
      <c r="F1182" s="4"/>
      <c r="G1182" s="4"/>
      <c r="H1182" s="4"/>
      <c r="I1182" s="4"/>
      <c r="J1182" s="4"/>
      <c r="K1182" s="4"/>
      <c r="L1182" s="4"/>
      <c r="M1182" s="4"/>
      <c r="N1182" s="4"/>
      <c r="O1182" s="4"/>
      <c r="P1182" s="4"/>
      <c r="Q1182" s="4"/>
      <c r="R1182" s="4"/>
      <c r="S1182" s="4"/>
      <c r="T1182" s="4"/>
      <c r="U1182" s="4"/>
    </row>
    <row r="1183" spans="3:21" ht="19" x14ac:dyDescent="0.25">
      <c r="C1183" s="4"/>
      <c r="D1183" s="4"/>
      <c r="E1183" s="4"/>
      <c r="F1183" s="4"/>
      <c r="G1183" s="4"/>
      <c r="H1183" s="4"/>
      <c r="I1183" s="4"/>
      <c r="J1183" s="4"/>
      <c r="K1183" s="4"/>
      <c r="L1183" s="4"/>
      <c r="M1183" s="4"/>
      <c r="N1183" s="4"/>
      <c r="O1183" s="4"/>
      <c r="P1183" s="4"/>
      <c r="Q1183" s="4"/>
      <c r="R1183" s="4"/>
      <c r="S1183" s="4"/>
      <c r="T1183" s="4"/>
      <c r="U1183" s="4"/>
    </row>
    <row r="1184" spans="3:21" ht="19" x14ac:dyDescent="0.25">
      <c r="C1184" s="4"/>
      <c r="D1184" s="4"/>
      <c r="E1184" s="4"/>
      <c r="F1184" s="4"/>
      <c r="G1184" s="4"/>
      <c r="H1184" s="4"/>
      <c r="I1184" s="4"/>
      <c r="J1184" s="4"/>
      <c r="K1184" s="4"/>
      <c r="L1184" s="4"/>
      <c r="M1184" s="4"/>
      <c r="N1184" s="4"/>
      <c r="O1184" s="4"/>
      <c r="P1184" s="4"/>
      <c r="Q1184" s="4"/>
      <c r="R1184" s="4"/>
      <c r="S1184" s="4"/>
      <c r="T1184" s="4"/>
      <c r="U1184" s="4"/>
    </row>
    <row r="1185" spans="3:21" ht="19" x14ac:dyDescent="0.25">
      <c r="C1185" s="4"/>
      <c r="D1185" s="4"/>
      <c r="E1185" s="4"/>
      <c r="F1185" s="4"/>
      <c r="G1185" s="4"/>
      <c r="H1185" s="4"/>
      <c r="I1185" s="4"/>
      <c r="J1185" s="4"/>
      <c r="K1185" s="4"/>
      <c r="L1185" s="4"/>
      <c r="M1185" s="4"/>
      <c r="N1185" s="4"/>
      <c r="O1185" s="4"/>
      <c r="P1185" s="4"/>
      <c r="Q1185" s="4"/>
      <c r="R1185" s="4"/>
      <c r="S1185" s="4"/>
      <c r="T1185" s="4"/>
      <c r="U1185" s="4"/>
    </row>
    <row r="1186" spans="3:21" ht="19" x14ac:dyDescent="0.25">
      <c r="C1186" s="4"/>
      <c r="D1186" s="4"/>
      <c r="E1186" s="4"/>
      <c r="F1186" s="4"/>
      <c r="G1186" s="4"/>
      <c r="H1186" s="4"/>
      <c r="I1186" s="4"/>
      <c r="J1186" s="4"/>
      <c r="K1186" s="4"/>
      <c r="L1186" s="4"/>
      <c r="M1186" s="4"/>
      <c r="N1186" s="4"/>
      <c r="O1186" s="4"/>
      <c r="P1186" s="4"/>
      <c r="Q1186" s="4"/>
      <c r="R1186" s="4"/>
      <c r="S1186" s="4"/>
      <c r="T1186" s="4"/>
      <c r="U1186" s="4"/>
    </row>
    <row r="1187" spans="3:21" ht="19" x14ac:dyDescent="0.25">
      <c r="C1187" s="4"/>
      <c r="D1187" s="4"/>
      <c r="E1187" s="4"/>
      <c r="F1187" s="4"/>
      <c r="G1187" s="4"/>
      <c r="H1187" s="4"/>
      <c r="I1187" s="4"/>
      <c r="J1187" s="4"/>
      <c r="K1187" s="4"/>
      <c r="L1187" s="4"/>
      <c r="M1187" s="4"/>
      <c r="N1187" s="4"/>
      <c r="O1187" s="4"/>
      <c r="P1187" s="4"/>
      <c r="Q1187" s="4"/>
      <c r="R1187" s="4"/>
      <c r="S1187" s="4"/>
      <c r="T1187" s="4"/>
      <c r="U1187" s="4"/>
    </row>
    <row r="1188" spans="3:21" ht="19" x14ac:dyDescent="0.25">
      <c r="C1188" s="4"/>
      <c r="D1188" s="4"/>
      <c r="E1188" s="4"/>
      <c r="F1188" s="4"/>
      <c r="G1188" s="4"/>
      <c r="H1188" s="4"/>
      <c r="I1188" s="4"/>
      <c r="J1188" s="4"/>
      <c r="K1188" s="4"/>
      <c r="L1188" s="4"/>
      <c r="M1188" s="4"/>
      <c r="N1188" s="4"/>
      <c r="O1188" s="4"/>
      <c r="P1188" s="4"/>
      <c r="Q1188" s="4"/>
      <c r="R1188" s="4"/>
      <c r="S1188" s="4"/>
      <c r="T1188" s="4"/>
      <c r="U1188" s="4"/>
    </row>
    <row r="1189" spans="3:21" ht="19" x14ac:dyDescent="0.25">
      <c r="C1189" s="4"/>
      <c r="D1189" s="4"/>
      <c r="E1189" s="4"/>
      <c r="F1189" s="4"/>
      <c r="G1189" s="4"/>
      <c r="H1189" s="4"/>
      <c r="I1189" s="4"/>
      <c r="J1189" s="4"/>
      <c r="K1189" s="4"/>
      <c r="L1189" s="4"/>
      <c r="M1189" s="4"/>
      <c r="N1189" s="4"/>
      <c r="O1189" s="4"/>
      <c r="P1189" s="4"/>
      <c r="Q1189" s="4"/>
      <c r="R1189" s="4"/>
      <c r="S1189" s="4"/>
      <c r="T1189" s="4"/>
      <c r="U1189" s="4"/>
    </row>
    <row r="1190" spans="3:21" ht="19" x14ac:dyDescent="0.25">
      <c r="C1190" s="4"/>
      <c r="D1190" s="4"/>
      <c r="E1190" s="4"/>
      <c r="F1190" s="4"/>
      <c r="G1190" s="4"/>
      <c r="H1190" s="4"/>
      <c r="I1190" s="4"/>
      <c r="J1190" s="4"/>
      <c r="K1190" s="4"/>
      <c r="L1190" s="4"/>
      <c r="M1190" s="4"/>
      <c r="N1190" s="4"/>
      <c r="O1190" s="4"/>
      <c r="P1190" s="4"/>
      <c r="Q1190" s="4"/>
      <c r="R1190" s="4"/>
      <c r="S1190" s="4"/>
      <c r="T1190" s="4"/>
      <c r="U1190" s="4"/>
    </row>
    <row r="1191" spans="3:21" ht="19" x14ac:dyDescent="0.25">
      <c r="C1191" s="4"/>
      <c r="D1191" s="4"/>
      <c r="E1191" s="4"/>
      <c r="F1191" s="4"/>
      <c r="G1191" s="4"/>
      <c r="H1191" s="4"/>
      <c r="I1191" s="4"/>
      <c r="J1191" s="4"/>
      <c r="K1191" s="4"/>
      <c r="L1191" s="4"/>
      <c r="M1191" s="4"/>
      <c r="N1191" s="4"/>
      <c r="O1191" s="4"/>
      <c r="P1191" s="4"/>
      <c r="Q1191" s="4"/>
      <c r="R1191" s="4"/>
      <c r="S1191" s="4"/>
      <c r="T1191" s="4"/>
      <c r="U1191" s="4"/>
    </row>
    <row r="1192" spans="3:21" ht="19" x14ac:dyDescent="0.25">
      <c r="C1192" s="4"/>
      <c r="D1192" s="4"/>
      <c r="E1192" s="4"/>
      <c r="F1192" s="4"/>
      <c r="G1192" s="4"/>
      <c r="H1192" s="4"/>
      <c r="I1192" s="4"/>
      <c r="J1192" s="4"/>
      <c r="K1192" s="4"/>
      <c r="L1192" s="4"/>
      <c r="M1192" s="4"/>
      <c r="N1192" s="4"/>
      <c r="O1192" s="4"/>
      <c r="P1192" s="4"/>
      <c r="Q1192" s="4"/>
      <c r="R1192" s="4"/>
      <c r="S1192" s="4"/>
      <c r="T1192" s="4"/>
      <c r="U1192" s="4"/>
    </row>
    <row r="1193" spans="3:21" ht="19" x14ac:dyDescent="0.25">
      <c r="C1193" s="4"/>
      <c r="D1193" s="4"/>
      <c r="E1193" s="4"/>
      <c r="F1193" s="4"/>
      <c r="G1193" s="4"/>
      <c r="H1193" s="4"/>
      <c r="I1193" s="4"/>
      <c r="J1193" s="4"/>
      <c r="K1193" s="4"/>
      <c r="L1193" s="4"/>
      <c r="M1193" s="4"/>
      <c r="N1193" s="4"/>
      <c r="O1193" s="4"/>
      <c r="P1193" s="4"/>
      <c r="Q1193" s="4"/>
      <c r="R1193" s="4"/>
      <c r="S1193" s="4"/>
      <c r="T1193" s="4"/>
      <c r="U1193" s="4"/>
    </row>
    <row r="1194" spans="3:21" ht="19" x14ac:dyDescent="0.25">
      <c r="C1194" s="4"/>
      <c r="D1194" s="4"/>
      <c r="E1194" s="4"/>
      <c r="F1194" s="4"/>
      <c r="G1194" s="4"/>
      <c r="H1194" s="4"/>
      <c r="I1194" s="4"/>
      <c r="J1194" s="4"/>
      <c r="K1194" s="4"/>
      <c r="L1194" s="4"/>
      <c r="M1194" s="4"/>
      <c r="N1194" s="4"/>
      <c r="O1194" s="4"/>
      <c r="P1194" s="4"/>
      <c r="Q1194" s="4"/>
      <c r="R1194" s="4"/>
      <c r="S1194" s="4"/>
      <c r="T1194" s="4"/>
      <c r="U1194" s="4"/>
    </row>
    <row r="1195" spans="3:21" ht="19" x14ac:dyDescent="0.25">
      <c r="C1195" s="4"/>
      <c r="D1195" s="4"/>
      <c r="E1195" s="4"/>
      <c r="F1195" s="4"/>
      <c r="G1195" s="4"/>
      <c r="H1195" s="4"/>
      <c r="I1195" s="4"/>
      <c r="J1195" s="4"/>
      <c r="K1195" s="4"/>
      <c r="L1195" s="4"/>
      <c r="M1195" s="4"/>
      <c r="N1195" s="4"/>
      <c r="O1195" s="4"/>
      <c r="P1195" s="4"/>
      <c r="Q1195" s="4"/>
      <c r="R1195" s="4"/>
      <c r="S1195" s="4"/>
      <c r="T1195" s="4"/>
      <c r="U1195" s="4"/>
    </row>
    <row r="1196" spans="3:21" ht="19" x14ac:dyDescent="0.25">
      <c r="C1196" s="4"/>
      <c r="D1196" s="4"/>
      <c r="E1196" s="4"/>
      <c r="F1196" s="4"/>
      <c r="G1196" s="4"/>
      <c r="H1196" s="4"/>
      <c r="I1196" s="4"/>
      <c r="J1196" s="4"/>
      <c r="K1196" s="4"/>
      <c r="L1196" s="4"/>
      <c r="M1196" s="4"/>
      <c r="N1196" s="4"/>
      <c r="O1196" s="4"/>
      <c r="P1196" s="4"/>
      <c r="Q1196" s="4"/>
      <c r="R1196" s="4"/>
      <c r="S1196" s="4"/>
      <c r="T1196" s="4"/>
      <c r="U1196" s="4"/>
    </row>
    <row r="1197" spans="3:21" ht="19" x14ac:dyDescent="0.25">
      <c r="C1197" s="4"/>
      <c r="D1197" s="4"/>
      <c r="E1197" s="4"/>
      <c r="F1197" s="4"/>
      <c r="G1197" s="4"/>
      <c r="H1197" s="4"/>
      <c r="I1197" s="4"/>
      <c r="J1197" s="4"/>
      <c r="K1197" s="4"/>
      <c r="L1197" s="4"/>
      <c r="M1197" s="4"/>
      <c r="N1197" s="4"/>
      <c r="O1197" s="4"/>
      <c r="P1197" s="4"/>
      <c r="Q1197" s="4"/>
      <c r="R1197" s="4"/>
      <c r="S1197" s="4"/>
      <c r="T1197" s="4"/>
      <c r="U1197" s="4"/>
    </row>
    <row r="1198" spans="3:21" ht="19" x14ac:dyDescent="0.25">
      <c r="C1198" s="4"/>
      <c r="D1198" s="4"/>
      <c r="E1198" s="4"/>
      <c r="F1198" s="4"/>
      <c r="G1198" s="4"/>
      <c r="H1198" s="4"/>
      <c r="I1198" s="4"/>
      <c r="J1198" s="4"/>
      <c r="K1198" s="4"/>
      <c r="L1198" s="4"/>
      <c r="M1198" s="4"/>
      <c r="N1198" s="4"/>
      <c r="O1198" s="4"/>
      <c r="P1198" s="4"/>
      <c r="Q1198" s="4"/>
      <c r="R1198" s="4"/>
      <c r="S1198" s="4"/>
      <c r="T1198" s="4"/>
      <c r="U1198" s="4"/>
    </row>
    <row r="1199" spans="3:21" ht="19" x14ac:dyDescent="0.25">
      <c r="C1199" s="4"/>
      <c r="D1199" s="4"/>
      <c r="E1199" s="4"/>
      <c r="F1199" s="4"/>
      <c r="G1199" s="4"/>
      <c r="H1199" s="4"/>
      <c r="I1199" s="4"/>
      <c r="J1199" s="4"/>
      <c r="K1199" s="4"/>
      <c r="L1199" s="4"/>
      <c r="M1199" s="4"/>
      <c r="N1199" s="4"/>
      <c r="O1199" s="4"/>
      <c r="P1199" s="4"/>
      <c r="Q1199" s="4"/>
      <c r="R1199" s="4"/>
      <c r="S1199" s="4"/>
      <c r="T1199" s="4"/>
      <c r="U1199" s="4"/>
    </row>
    <row r="1200" spans="3:21" ht="19" x14ac:dyDescent="0.25">
      <c r="C1200" s="4"/>
      <c r="D1200" s="4"/>
      <c r="E1200" s="4"/>
      <c r="F1200" s="4"/>
      <c r="G1200" s="4"/>
      <c r="H1200" s="4"/>
      <c r="I1200" s="4"/>
      <c r="J1200" s="4"/>
      <c r="K1200" s="4"/>
      <c r="L1200" s="4"/>
      <c r="M1200" s="4"/>
      <c r="N1200" s="4"/>
      <c r="O1200" s="4"/>
      <c r="P1200" s="4"/>
      <c r="Q1200" s="4"/>
      <c r="R1200" s="4"/>
      <c r="S1200" s="4"/>
      <c r="T1200" s="4"/>
      <c r="U1200" s="4"/>
    </row>
    <row r="1201" spans="3:21" ht="19" x14ac:dyDescent="0.25">
      <c r="C1201" s="4"/>
      <c r="D1201" s="4"/>
      <c r="E1201" s="4"/>
      <c r="F1201" s="4"/>
      <c r="G1201" s="4"/>
      <c r="H1201" s="4"/>
      <c r="I1201" s="4"/>
      <c r="J1201" s="4"/>
      <c r="K1201" s="4"/>
      <c r="L1201" s="4"/>
      <c r="M1201" s="4"/>
      <c r="N1201" s="4"/>
      <c r="O1201" s="4"/>
      <c r="P1201" s="4"/>
      <c r="Q1201" s="4"/>
      <c r="R1201" s="4"/>
      <c r="S1201" s="4"/>
      <c r="T1201" s="4"/>
      <c r="U1201" s="4"/>
    </row>
    <row r="1202" spans="3:21" ht="19" x14ac:dyDescent="0.25">
      <c r="C1202" s="4"/>
      <c r="D1202" s="4"/>
      <c r="E1202" s="4"/>
      <c r="F1202" s="4"/>
      <c r="G1202" s="4"/>
      <c r="H1202" s="4"/>
      <c r="I1202" s="4"/>
      <c r="J1202" s="4"/>
      <c r="K1202" s="4"/>
      <c r="L1202" s="4"/>
      <c r="M1202" s="4"/>
      <c r="N1202" s="4"/>
      <c r="O1202" s="4"/>
      <c r="P1202" s="4"/>
      <c r="Q1202" s="4"/>
      <c r="R1202" s="4"/>
      <c r="S1202" s="4"/>
      <c r="T1202" s="4"/>
      <c r="U1202" s="4"/>
    </row>
    <row r="1203" spans="3:21" ht="19" x14ac:dyDescent="0.25">
      <c r="C1203" s="4"/>
      <c r="D1203" s="4"/>
      <c r="E1203" s="4"/>
      <c r="F1203" s="4"/>
      <c r="G1203" s="4"/>
      <c r="H1203" s="4"/>
      <c r="I1203" s="4"/>
      <c r="J1203" s="4"/>
      <c r="K1203" s="4"/>
      <c r="L1203" s="4"/>
      <c r="M1203" s="4"/>
      <c r="N1203" s="4"/>
      <c r="O1203" s="4"/>
      <c r="P1203" s="4"/>
      <c r="Q1203" s="4"/>
      <c r="R1203" s="4"/>
      <c r="S1203" s="4"/>
      <c r="T1203" s="4"/>
      <c r="U1203" s="4"/>
    </row>
    <row r="1204" spans="3:21" ht="19" x14ac:dyDescent="0.25">
      <c r="C1204" s="4"/>
      <c r="D1204" s="4"/>
      <c r="E1204" s="4"/>
      <c r="F1204" s="4"/>
      <c r="G1204" s="4"/>
      <c r="H1204" s="4"/>
      <c r="I1204" s="4"/>
      <c r="J1204" s="4"/>
      <c r="K1204" s="4"/>
      <c r="L1204" s="4"/>
      <c r="M1204" s="4"/>
      <c r="N1204" s="4"/>
      <c r="O1204" s="4"/>
      <c r="P1204" s="4"/>
      <c r="Q1204" s="4"/>
      <c r="R1204" s="4"/>
      <c r="S1204" s="4"/>
      <c r="T1204" s="4"/>
      <c r="U1204" s="4"/>
    </row>
    <row r="1205" spans="3:21" ht="19" x14ac:dyDescent="0.25">
      <c r="C1205" s="4"/>
      <c r="D1205" s="4"/>
      <c r="E1205" s="4"/>
      <c r="F1205" s="4"/>
      <c r="G1205" s="4"/>
      <c r="H1205" s="4"/>
      <c r="I1205" s="4"/>
      <c r="J1205" s="4"/>
      <c r="K1205" s="4"/>
      <c r="L1205" s="4"/>
      <c r="M1205" s="4"/>
      <c r="N1205" s="4"/>
      <c r="O1205" s="4"/>
      <c r="P1205" s="4"/>
      <c r="Q1205" s="4"/>
      <c r="R1205" s="4"/>
      <c r="S1205" s="4"/>
      <c r="T1205" s="4"/>
      <c r="U1205" s="4"/>
    </row>
    <row r="1206" spans="3:21" ht="19" x14ac:dyDescent="0.25">
      <c r="C1206" s="4"/>
      <c r="D1206" s="4"/>
      <c r="E1206" s="4"/>
      <c r="F1206" s="4"/>
      <c r="G1206" s="4"/>
      <c r="H1206" s="4"/>
      <c r="I1206" s="4"/>
      <c r="J1206" s="4"/>
      <c r="K1206" s="4"/>
      <c r="L1206" s="4"/>
      <c r="M1206" s="4"/>
      <c r="N1206" s="4"/>
      <c r="O1206" s="4"/>
      <c r="P1206" s="4"/>
      <c r="Q1206" s="4"/>
      <c r="R1206" s="4"/>
      <c r="S1206" s="4"/>
      <c r="T1206" s="4"/>
      <c r="U1206" s="4"/>
    </row>
    <row r="1207" spans="3:21" ht="19" x14ac:dyDescent="0.25">
      <c r="C1207" s="4"/>
      <c r="D1207" s="4"/>
      <c r="E1207" s="4"/>
      <c r="F1207" s="4"/>
      <c r="G1207" s="4"/>
      <c r="H1207" s="4"/>
      <c r="I1207" s="4"/>
      <c r="J1207" s="4"/>
      <c r="K1207" s="4"/>
      <c r="L1207" s="4"/>
      <c r="M1207" s="4"/>
      <c r="N1207" s="4"/>
      <c r="O1207" s="4"/>
      <c r="P1207" s="4"/>
      <c r="Q1207" s="4"/>
      <c r="R1207" s="4"/>
      <c r="S1207" s="4"/>
      <c r="T1207" s="4"/>
      <c r="U1207" s="4"/>
    </row>
    <row r="1208" spans="3:21" ht="19" x14ac:dyDescent="0.25">
      <c r="C1208" s="4"/>
      <c r="D1208" s="4"/>
      <c r="E1208" s="4"/>
      <c r="F1208" s="4"/>
      <c r="G1208" s="4"/>
      <c r="H1208" s="4"/>
      <c r="I1208" s="4"/>
      <c r="J1208" s="4"/>
      <c r="K1208" s="4"/>
      <c r="L1208" s="4"/>
      <c r="M1208" s="4"/>
      <c r="N1208" s="4"/>
      <c r="O1208" s="4"/>
      <c r="P1208" s="4"/>
      <c r="Q1208" s="4"/>
      <c r="R1208" s="4"/>
      <c r="S1208" s="4"/>
      <c r="T1208" s="4"/>
      <c r="U1208" s="4"/>
    </row>
    <row r="1209" spans="3:21" ht="19" x14ac:dyDescent="0.25">
      <c r="C1209" s="4"/>
      <c r="D1209" s="4"/>
      <c r="E1209" s="4"/>
      <c r="F1209" s="4"/>
      <c r="G1209" s="4"/>
      <c r="H1209" s="4"/>
      <c r="I1209" s="4"/>
      <c r="J1209" s="4"/>
      <c r="K1209" s="4"/>
      <c r="L1209" s="4"/>
      <c r="M1209" s="4"/>
      <c r="N1209" s="4"/>
      <c r="O1209" s="4"/>
      <c r="P1209" s="4"/>
      <c r="Q1209" s="4"/>
      <c r="R1209" s="4"/>
      <c r="S1209" s="4"/>
      <c r="T1209" s="4"/>
      <c r="U1209" s="4"/>
    </row>
    <row r="1210" spans="3:21" ht="19" x14ac:dyDescent="0.25">
      <c r="C1210" s="4"/>
      <c r="D1210" s="4"/>
      <c r="E1210" s="4"/>
      <c r="F1210" s="4"/>
      <c r="G1210" s="4"/>
      <c r="H1210" s="4"/>
      <c r="I1210" s="4"/>
      <c r="J1210" s="4"/>
      <c r="K1210" s="4"/>
      <c r="L1210" s="4"/>
      <c r="M1210" s="4"/>
      <c r="N1210" s="4"/>
      <c r="O1210" s="4"/>
      <c r="P1210" s="4"/>
      <c r="Q1210" s="4"/>
      <c r="R1210" s="4"/>
      <c r="S1210" s="4"/>
      <c r="T1210" s="4"/>
      <c r="U1210" s="4"/>
    </row>
    <row r="1211" spans="3:21" ht="19" x14ac:dyDescent="0.25">
      <c r="C1211" s="4"/>
      <c r="D1211" s="4"/>
      <c r="E1211" s="4"/>
      <c r="F1211" s="4"/>
      <c r="G1211" s="4"/>
      <c r="H1211" s="4"/>
      <c r="I1211" s="4"/>
      <c r="J1211" s="4"/>
      <c r="K1211" s="4"/>
      <c r="L1211" s="4"/>
      <c r="M1211" s="4"/>
      <c r="N1211" s="4"/>
      <c r="O1211" s="4"/>
      <c r="P1211" s="4"/>
      <c r="Q1211" s="4"/>
      <c r="R1211" s="4"/>
      <c r="S1211" s="4"/>
      <c r="T1211" s="4"/>
      <c r="U1211" s="4"/>
    </row>
    <row r="1212" spans="3:21" ht="19" x14ac:dyDescent="0.25">
      <c r="C1212" s="4"/>
      <c r="D1212" s="4"/>
      <c r="E1212" s="4"/>
      <c r="F1212" s="4"/>
      <c r="G1212" s="4"/>
      <c r="H1212" s="4"/>
      <c r="I1212" s="4"/>
      <c r="J1212" s="4"/>
      <c r="K1212" s="4"/>
      <c r="L1212" s="4"/>
      <c r="M1212" s="4"/>
      <c r="N1212" s="4"/>
      <c r="O1212" s="4"/>
      <c r="P1212" s="4"/>
      <c r="Q1212" s="4"/>
      <c r="R1212" s="4"/>
      <c r="S1212" s="4"/>
      <c r="T1212" s="4"/>
      <c r="U1212" s="4"/>
    </row>
    <row r="1213" spans="3:21" ht="19" x14ac:dyDescent="0.25">
      <c r="C1213" s="4"/>
      <c r="D1213" s="4"/>
      <c r="E1213" s="4"/>
      <c r="F1213" s="4"/>
      <c r="G1213" s="4"/>
      <c r="H1213" s="4"/>
      <c r="I1213" s="4"/>
      <c r="J1213" s="4"/>
      <c r="K1213" s="4"/>
      <c r="L1213" s="4"/>
      <c r="M1213" s="4"/>
      <c r="N1213" s="4"/>
      <c r="O1213" s="4"/>
      <c r="P1213" s="4"/>
      <c r="Q1213" s="4"/>
      <c r="R1213" s="4"/>
      <c r="S1213" s="4"/>
      <c r="T1213" s="4"/>
      <c r="U1213" s="4"/>
    </row>
    <row r="1214" spans="3:21" ht="19" x14ac:dyDescent="0.25">
      <c r="C1214" s="4"/>
      <c r="D1214" s="4"/>
      <c r="E1214" s="4"/>
      <c r="F1214" s="4"/>
      <c r="G1214" s="4"/>
      <c r="H1214" s="4"/>
      <c r="I1214" s="4"/>
      <c r="J1214" s="4"/>
      <c r="K1214" s="4"/>
      <c r="L1214" s="4"/>
      <c r="M1214" s="4"/>
      <c r="N1214" s="4"/>
      <c r="O1214" s="4"/>
      <c r="P1214" s="4"/>
      <c r="Q1214" s="4"/>
      <c r="R1214" s="4"/>
      <c r="S1214" s="4"/>
      <c r="T1214" s="4"/>
      <c r="U1214" s="4"/>
    </row>
    <row r="1215" spans="3:21" ht="19" x14ac:dyDescent="0.25">
      <c r="C1215" s="4"/>
      <c r="D1215" s="4"/>
      <c r="E1215" s="4"/>
      <c r="F1215" s="4"/>
      <c r="G1215" s="4"/>
      <c r="H1215" s="4"/>
      <c r="I1215" s="4"/>
      <c r="J1215" s="4"/>
      <c r="K1215" s="4"/>
      <c r="L1215" s="4"/>
      <c r="M1215" s="4"/>
      <c r="N1215" s="4"/>
      <c r="O1215" s="4"/>
      <c r="P1215" s="4"/>
      <c r="Q1215" s="4"/>
      <c r="R1215" s="4"/>
      <c r="S1215" s="4"/>
      <c r="T1215" s="4"/>
      <c r="U1215" s="4"/>
    </row>
    <row r="1216" spans="3:21" ht="19" x14ac:dyDescent="0.25">
      <c r="C1216" s="4"/>
      <c r="D1216" s="4"/>
      <c r="E1216" s="4"/>
      <c r="F1216" s="4"/>
      <c r="G1216" s="4"/>
      <c r="H1216" s="4"/>
      <c r="I1216" s="4"/>
      <c r="J1216" s="4"/>
      <c r="K1216" s="4"/>
      <c r="L1216" s="4"/>
      <c r="M1216" s="4"/>
      <c r="N1216" s="4"/>
      <c r="O1216" s="4"/>
      <c r="P1216" s="4"/>
      <c r="Q1216" s="4"/>
      <c r="R1216" s="4"/>
      <c r="S1216" s="4"/>
      <c r="T1216" s="4"/>
      <c r="U1216" s="4"/>
    </row>
    <row r="1217" spans="3:21" ht="19" x14ac:dyDescent="0.25">
      <c r="C1217" s="4"/>
      <c r="D1217" s="4"/>
      <c r="E1217" s="4"/>
      <c r="F1217" s="4"/>
      <c r="G1217" s="4"/>
      <c r="H1217" s="4"/>
      <c r="I1217" s="4"/>
      <c r="J1217" s="4"/>
      <c r="K1217" s="4"/>
      <c r="L1217" s="4"/>
      <c r="M1217" s="4"/>
      <c r="N1217" s="4"/>
      <c r="O1217" s="4"/>
      <c r="P1217" s="4"/>
      <c r="Q1217" s="4"/>
      <c r="R1217" s="4"/>
      <c r="S1217" s="4"/>
      <c r="T1217" s="4"/>
      <c r="U1217" s="4"/>
    </row>
    <row r="1218" spans="3:21" ht="19" x14ac:dyDescent="0.25">
      <c r="C1218" s="4"/>
      <c r="D1218" s="4"/>
      <c r="E1218" s="4"/>
      <c r="F1218" s="4"/>
      <c r="G1218" s="4"/>
      <c r="H1218" s="4"/>
      <c r="I1218" s="4"/>
      <c r="J1218" s="4"/>
      <c r="K1218" s="4"/>
      <c r="L1218" s="4"/>
      <c r="M1218" s="4"/>
      <c r="N1218" s="4"/>
      <c r="O1218" s="4"/>
      <c r="P1218" s="4"/>
      <c r="Q1218" s="4"/>
      <c r="R1218" s="4"/>
      <c r="S1218" s="4"/>
      <c r="T1218" s="4"/>
      <c r="U1218" s="4"/>
    </row>
    <row r="1219" spans="3:21" ht="19" x14ac:dyDescent="0.25">
      <c r="C1219" s="4"/>
      <c r="D1219" s="4"/>
      <c r="E1219" s="4"/>
      <c r="F1219" s="4"/>
      <c r="G1219" s="4"/>
      <c r="H1219" s="4"/>
      <c r="I1219" s="4"/>
      <c r="J1219" s="4"/>
      <c r="K1219" s="4"/>
      <c r="L1219" s="4"/>
      <c r="M1219" s="4"/>
      <c r="N1219" s="4"/>
      <c r="O1219" s="4"/>
      <c r="P1219" s="4"/>
      <c r="Q1219" s="4"/>
      <c r="R1219" s="4"/>
      <c r="S1219" s="4"/>
      <c r="T1219" s="4"/>
      <c r="U1219" s="4"/>
    </row>
    <row r="1220" spans="3:21" ht="19" x14ac:dyDescent="0.25">
      <c r="C1220" s="4"/>
      <c r="D1220" s="4"/>
      <c r="E1220" s="4"/>
      <c r="F1220" s="4"/>
      <c r="G1220" s="4"/>
      <c r="H1220" s="4"/>
      <c r="I1220" s="4"/>
      <c r="J1220" s="4"/>
      <c r="K1220" s="4"/>
      <c r="L1220" s="4"/>
      <c r="M1220" s="4"/>
      <c r="N1220" s="4"/>
      <c r="O1220" s="4"/>
      <c r="P1220" s="4"/>
      <c r="Q1220" s="4"/>
      <c r="R1220" s="4"/>
      <c r="S1220" s="4"/>
      <c r="T1220" s="4"/>
      <c r="U1220" s="4"/>
    </row>
    <row r="1221" spans="3:21" ht="19" x14ac:dyDescent="0.25">
      <c r="C1221" s="4"/>
      <c r="D1221" s="4"/>
      <c r="E1221" s="4"/>
      <c r="F1221" s="4"/>
      <c r="G1221" s="4"/>
      <c r="H1221" s="4"/>
      <c r="I1221" s="4"/>
      <c r="J1221" s="4"/>
      <c r="K1221" s="4"/>
      <c r="L1221" s="4"/>
      <c r="M1221" s="4"/>
      <c r="N1221" s="4"/>
      <c r="O1221" s="4"/>
      <c r="P1221" s="4"/>
      <c r="Q1221" s="4"/>
      <c r="R1221" s="4"/>
      <c r="S1221" s="4"/>
      <c r="T1221" s="4"/>
      <c r="U1221" s="4"/>
    </row>
    <row r="1222" spans="3:21" ht="19" x14ac:dyDescent="0.25">
      <c r="C1222" s="4"/>
      <c r="D1222" s="4"/>
      <c r="E1222" s="4"/>
      <c r="F1222" s="4"/>
      <c r="G1222" s="4"/>
      <c r="H1222" s="4"/>
      <c r="I1222" s="4"/>
      <c r="J1222" s="4"/>
      <c r="K1222" s="4"/>
      <c r="L1222" s="4"/>
      <c r="M1222" s="4"/>
      <c r="N1222" s="4"/>
      <c r="O1222" s="4"/>
      <c r="P1222" s="4"/>
      <c r="Q1222" s="4"/>
      <c r="R1222" s="4"/>
      <c r="S1222" s="4"/>
      <c r="T1222" s="4"/>
      <c r="U1222" s="4"/>
    </row>
    <row r="1223" spans="3:21" ht="19" x14ac:dyDescent="0.25">
      <c r="C1223" s="4"/>
      <c r="D1223" s="4"/>
      <c r="E1223" s="4"/>
      <c r="F1223" s="4"/>
      <c r="G1223" s="4"/>
      <c r="H1223" s="4"/>
      <c r="I1223" s="4"/>
      <c r="J1223" s="4"/>
      <c r="K1223" s="4"/>
      <c r="L1223" s="4"/>
      <c r="M1223" s="4"/>
      <c r="N1223" s="4"/>
      <c r="O1223" s="4"/>
      <c r="P1223" s="4"/>
      <c r="Q1223" s="4"/>
      <c r="R1223" s="4"/>
      <c r="S1223" s="4"/>
      <c r="T1223" s="4"/>
      <c r="U1223" s="4"/>
    </row>
    <row r="1224" spans="3:21" ht="19" x14ac:dyDescent="0.25">
      <c r="C1224" s="4"/>
      <c r="D1224" s="4"/>
      <c r="E1224" s="4"/>
      <c r="F1224" s="4"/>
      <c r="G1224" s="4"/>
      <c r="H1224" s="4"/>
      <c r="I1224" s="4"/>
      <c r="J1224" s="4"/>
      <c r="K1224" s="4"/>
      <c r="L1224" s="4"/>
      <c r="M1224" s="4"/>
      <c r="N1224" s="4"/>
      <c r="O1224" s="4"/>
      <c r="P1224" s="4"/>
      <c r="Q1224" s="4"/>
      <c r="R1224" s="4"/>
      <c r="S1224" s="4"/>
      <c r="T1224" s="4"/>
      <c r="U1224" s="4"/>
    </row>
    <row r="1225" spans="3:21" ht="19" x14ac:dyDescent="0.25">
      <c r="C1225" s="4"/>
      <c r="D1225" s="4"/>
      <c r="E1225" s="4"/>
      <c r="F1225" s="4"/>
      <c r="G1225" s="4"/>
      <c r="H1225" s="4"/>
      <c r="I1225" s="4"/>
      <c r="J1225" s="4"/>
      <c r="K1225" s="4"/>
      <c r="L1225" s="4"/>
      <c r="M1225" s="4"/>
      <c r="N1225" s="4"/>
      <c r="O1225" s="4"/>
      <c r="P1225" s="4"/>
      <c r="Q1225" s="4"/>
      <c r="R1225" s="4"/>
      <c r="S1225" s="4"/>
      <c r="T1225" s="4"/>
      <c r="U1225" s="4"/>
    </row>
    <row r="1226" spans="3:21" ht="19" x14ac:dyDescent="0.25">
      <c r="C1226" s="4"/>
      <c r="D1226" s="4"/>
      <c r="E1226" s="4"/>
      <c r="F1226" s="4"/>
      <c r="G1226" s="4"/>
      <c r="H1226" s="4"/>
      <c r="I1226" s="4"/>
      <c r="J1226" s="4"/>
      <c r="K1226" s="4"/>
      <c r="L1226" s="4"/>
      <c r="M1226" s="4"/>
      <c r="N1226" s="4"/>
      <c r="O1226" s="4"/>
      <c r="P1226" s="4"/>
      <c r="Q1226" s="4"/>
      <c r="R1226" s="4"/>
      <c r="S1226" s="4"/>
      <c r="T1226" s="4"/>
      <c r="U1226" s="4"/>
    </row>
    <row r="1227" spans="3:21" ht="19" x14ac:dyDescent="0.25">
      <c r="C1227" s="4"/>
      <c r="D1227" s="4"/>
      <c r="E1227" s="4"/>
      <c r="F1227" s="4"/>
      <c r="G1227" s="4"/>
      <c r="H1227" s="4"/>
      <c r="I1227" s="4"/>
      <c r="J1227" s="4"/>
      <c r="K1227" s="4"/>
      <c r="L1227" s="4"/>
      <c r="M1227" s="4"/>
      <c r="N1227" s="4"/>
      <c r="O1227" s="4"/>
      <c r="P1227" s="4"/>
      <c r="Q1227" s="4"/>
      <c r="R1227" s="4"/>
      <c r="S1227" s="4"/>
      <c r="T1227" s="4"/>
      <c r="U1227" s="4"/>
    </row>
    <row r="1228" spans="3:21" ht="19" x14ac:dyDescent="0.25">
      <c r="C1228" s="4"/>
      <c r="D1228" s="4"/>
      <c r="E1228" s="4"/>
      <c r="F1228" s="4"/>
      <c r="G1228" s="4"/>
      <c r="H1228" s="4"/>
      <c r="I1228" s="4"/>
      <c r="J1228" s="4"/>
      <c r="K1228" s="4"/>
      <c r="L1228" s="4"/>
      <c r="M1228" s="4"/>
      <c r="N1228" s="4"/>
      <c r="O1228" s="4"/>
      <c r="P1228" s="4"/>
      <c r="Q1228" s="4"/>
      <c r="R1228" s="4"/>
      <c r="S1228" s="4"/>
      <c r="T1228" s="4"/>
      <c r="U1228" s="4"/>
    </row>
    <row r="1229" spans="3:21" ht="19" x14ac:dyDescent="0.25">
      <c r="C1229" s="4"/>
      <c r="D1229" s="4"/>
      <c r="E1229" s="4"/>
      <c r="F1229" s="4"/>
      <c r="G1229" s="4"/>
      <c r="H1229" s="4"/>
      <c r="I1229" s="4"/>
      <c r="J1229" s="4"/>
      <c r="K1229" s="4"/>
      <c r="L1229" s="4"/>
      <c r="M1229" s="4"/>
      <c r="N1229" s="4"/>
      <c r="O1229" s="4"/>
      <c r="P1229" s="4"/>
      <c r="Q1229" s="4"/>
      <c r="R1229" s="4"/>
      <c r="S1229" s="4"/>
      <c r="T1229" s="4"/>
      <c r="U1229" s="4"/>
    </row>
    <row r="1230" spans="3:21" ht="19" x14ac:dyDescent="0.25">
      <c r="C1230" s="4"/>
      <c r="D1230" s="4"/>
      <c r="E1230" s="4"/>
      <c r="F1230" s="4"/>
      <c r="G1230" s="4"/>
      <c r="H1230" s="4"/>
      <c r="I1230" s="4"/>
      <c r="J1230" s="4"/>
      <c r="K1230" s="4"/>
      <c r="L1230" s="4"/>
      <c r="M1230" s="4"/>
      <c r="N1230" s="4"/>
      <c r="O1230" s="4"/>
      <c r="P1230" s="4"/>
      <c r="Q1230" s="4"/>
      <c r="R1230" s="4"/>
      <c r="S1230" s="4"/>
      <c r="T1230" s="4"/>
      <c r="U1230" s="4"/>
    </row>
    <row r="1231" spans="3:21" ht="19" x14ac:dyDescent="0.25">
      <c r="C1231" s="4"/>
      <c r="D1231" s="4"/>
      <c r="E1231" s="4"/>
      <c r="F1231" s="4"/>
      <c r="G1231" s="4"/>
      <c r="H1231" s="4"/>
      <c r="I1231" s="4"/>
      <c r="J1231" s="4"/>
      <c r="K1231" s="4"/>
      <c r="L1231" s="4"/>
      <c r="M1231" s="4"/>
      <c r="N1231" s="4"/>
      <c r="O1231" s="4"/>
      <c r="P1231" s="4"/>
      <c r="Q1231" s="4"/>
      <c r="R1231" s="4"/>
      <c r="S1231" s="4"/>
      <c r="T1231" s="4"/>
      <c r="U1231" s="4"/>
    </row>
    <row r="1232" spans="3:21" ht="19" x14ac:dyDescent="0.25">
      <c r="C1232" s="4"/>
      <c r="D1232" s="4"/>
      <c r="E1232" s="4"/>
      <c r="F1232" s="4"/>
      <c r="G1232" s="4"/>
      <c r="H1232" s="4"/>
      <c r="I1232" s="4"/>
      <c r="J1232" s="4"/>
      <c r="K1232" s="4"/>
      <c r="L1232" s="4"/>
      <c r="M1232" s="4"/>
      <c r="N1232" s="4"/>
      <c r="O1232" s="4"/>
      <c r="P1232" s="4"/>
      <c r="Q1232" s="4"/>
      <c r="R1232" s="4"/>
      <c r="S1232" s="4"/>
      <c r="T1232" s="4"/>
      <c r="U1232" s="4"/>
    </row>
    <row r="1233" spans="3:21" ht="19" x14ac:dyDescent="0.25">
      <c r="C1233" s="4"/>
      <c r="D1233" s="4"/>
      <c r="E1233" s="4"/>
      <c r="F1233" s="4"/>
      <c r="G1233" s="4"/>
      <c r="H1233" s="4"/>
      <c r="I1233" s="4"/>
      <c r="J1233" s="4"/>
      <c r="K1233" s="4"/>
      <c r="L1233" s="4"/>
      <c r="M1233" s="4"/>
      <c r="N1233" s="4"/>
      <c r="O1233" s="4"/>
      <c r="P1233" s="4"/>
      <c r="Q1233" s="4"/>
      <c r="R1233" s="4"/>
      <c r="S1233" s="4"/>
      <c r="T1233" s="4"/>
      <c r="U1233" s="4"/>
    </row>
    <row r="1234" spans="3:21" ht="19" x14ac:dyDescent="0.25">
      <c r="C1234" s="4"/>
      <c r="D1234" s="4"/>
      <c r="E1234" s="4"/>
      <c r="F1234" s="4"/>
      <c r="G1234" s="4"/>
      <c r="H1234" s="4"/>
      <c r="I1234" s="4"/>
      <c r="J1234" s="4"/>
      <c r="K1234" s="4"/>
      <c r="L1234" s="4"/>
      <c r="M1234" s="4"/>
      <c r="N1234" s="4"/>
      <c r="O1234" s="4"/>
      <c r="P1234" s="4"/>
      <c r="Q1234" s="4"/>
      <c r="R1234" s="4"/>
      <c r="S1234" s="4"/>
      <c r="T1234" s="4"/>
      <c r="U1234" s="4"/>
    </row>
    <row r="1235" spans="3:21" ht="19" x14ac:dyDescent="0.25">
      <c r="C1235" s="4"/>
      <c r="D1235" s="4"/>
      <c r="E1235" s="4"/>
      <c r="F1235" s="4"/>
      <c r="G1235" s="4"/>
      <c r="H1235" s="4"/>
      <c r="I1235" s="4"/>
      <c r="J1235" s="4"/>
      <c r="K1235" s="4"/>
      <c r="L1235" s="4"/>
      <c r="M1235" s="4"/>
      <c r="N1235" s="4"/>
      <c r="O1235" s="4"/>
      <c r="P1235" s="4"/>
      <c r="Q1235" s="4"/>
      <c r="R1235" s="4"/>
      <c r="S1235" s="4"/>
      <c r="T1235" s="4"/>
      <c r="U1235" s="4"/>
    </row>
    <row r="1236" spans="3:21" ht="19" x14ac:dyDescent="0.25">
      <c r="C1236" s="4"/>
      <c r="D1236" s="4"/>
      <c r="E1236" s="4"/>
      <c r="F1236" s="4"/>
      <c r="G1236" s="4"/>
      <c r="H1236" s="4"/>
      <c r="I1236" s="4"/>
      <c r="J1236" s="4"/>
      <c r="K1236" s="4"/>
      <c r="L1236" s="4"/>
      <c r="M1236" s="4"/>
      <c r="N1236" s="4"/>
      <c r="O1236" s="4"/>
      <c r="P1236" s="4"/>
      <c r="Q1236" s="4"/>
      <c r="R1236" s="4"/>
      <c r="S1236" s="4"/>
      <c r="T1236" s="4"/>
      <c r="U1236" s="4"/>
    </row>
    <row r="1237" spans="3:21" ht="19" x14ac:dyDescent="0.25">
      <c r="C1237" s="4"/>
      <c r="D1237" s="4"/>
      <c r="E1237" s="4"/>
      <c r="F1237" s="4"/>
      <c r="G1237" s="4"/>
      <c r="H1237" s="4"/>
      <c r="I1237" s="4"/>
      <c r="J1237" s="4"/>
      <c r="K1237" s="4"/>
      <c r="L1237" s="4"/>
      <c r="M1237" s="4"/>
      <c r="N1237" s="4"/>
      <c r="O1237" s="4"/>
      <c r="P1237" s="4"/>
      <c r="Q1237" s="4"/>
      <c r="R1237" s="4"/>
      <c r="S1237" s="4"/>
      <c r="T1237" s="4"/>
      <c r="U1237" s="4"/>
    </row>
    <row r="1238" spans="3:21" ht="19" x14ac:dyDescent="0.25">
      <c r="C1238" s="4"/>
      <c r="D1238" s="4"/>
      <c r="E1238" s="4"/>
      <c r="F1238" s="4"/>
      <c r="G1238" s="4"/>
      <c r="H1238" s="4"/>
      <c r="I1238" s="4"/>
      <c r="J1238" s="4"/>
      <c r="K1238" s="4"/>
      <c r="L1238" s="4"/>
      <c r="M1238" s="4"/>
      <c r="N1238" s="4"/>
      <c r="O1238" s="4"/>
      <c r="P1238" s="4"/>
      <c r="Q1238" s="4"/>
      <c r="R1238" s="4"/>
      <c r="S1238" s="4"/>
      <c r="T1238" s="4"/>
      <c r="U1238" s="4"/>
    </row>
    <row r="1239" spans="3:21" ht="19" x14ac:dyDescent="0.25">
      <c r="C1239" s="4"/>
      <c r="D1239" s="4"/>
      <c r="E1239" s="4"/>
      <c r="F1239" s="4"/>
      <c r="G1239" s="4"/>
      <c r="H1239" s="4"/>
      <c r="I1239" s="4"/>
      <c r="J1239" s="4"/>
      <c r="K1239" s="4"/>
      <c r="L1239" s="4"/>
      <c r="M1239" s="4"/>
      <c r="N1239" s="4"/>
      <c r="O1239" s="4"/>
      <c r="P1239" s="4"/>
      <c r="Q1239" s="4"/>
      <c r="R1239" s="4"/>
      <c r="S1239" s="4"/>
      <c r="T1239" s="4"/>
      <c r="U1239" s="4"/>
    </row>
    <row r="1240" spans="3:21" ht="19" x14ac:dyDescent="0.25">
      <c r="C1240" s="4"/>
      <c r="D1240" s="4"/>
      <c r="E1240" s="4"/>
      <c r="F1240" s="4"/>
      <c r="G1240" s="4"/>
      <c r="H1240" s="4"/>
      <c r="I1240" s="4"/>
      <c r="J1240" s="4"/>
      <c r="K1240" s="4"/>
      <c r="L1240" s="4"/>
      <c r="M1240" s="4"/>
      <c r="N1240" s="4"/>
      <c r="O1240" s="4"/>
      <c r="P1240" s="4"/>
      <c r="Q1240" s="4"/>
      <c r="R1240" s="4"/>
      <c r="S1240" s="4"/>
      <c r="T1240" s="4"/>
      <c r="U1240" s="4"/>
    </row>
    <row r="1241" spans="3:21" ht="19" x14ac:dyDescent="0.25">
      <c r="C1241" s="4"/>
      <c r="D1241" s="4"/>
      <c r="E1241" s="4"/>
      <c r="F1241" s="4"/>
      <c r="G1241" s="4"/>
      <c r="H1241" s="4"/>
      <c r="I1241" s="4"/>
      <c r="J1241" s="4"/>
      <c r="K1241" s="4"/>
      <c r="L1241" s="4"/>
      <c r="M1241" s="4"/>
      <c r="N1241" s="4"/>
      <c r="O1241" s="4"/>
      <c r="P1241" s="4"/>
      <c r="Q1241" s="4"/>
      <c r="R1241" s="4"/>
      <c r="S1241" s="4"/>
      <c r="T1241" s="4"/>
      <c r="U1241" s="4"/>
    </row>
    <row r="1242" spans="3:21" ht="19" x14ac:dyDescent="0.25">
      <c r="C1242" s="4"/>
      <c r="D1242" s="4"/>
      <c r="E1242" s="4"/>
      <c r="F1242" s="4"/>
      <c r="G1242" s="4"/>
      <c r="H1242" s="4"/>
      <c r="I1242" s="4"/>
      <c r="J1242" s="4"/>
      <c r="K1242" s="4"/>
      <c r="L1242" s="4"/>
      <c r="M1242" s="4"/>
      <c r="N1242" s="4"/>
      <c r="O1242" s="4"/>
      <c r="P1242" s="4"/>
      <c r="Q1242" s="4"/>
      <c r="R1242" s="4"/>
      <c r="S1242" s="4"/>
      <c r="T1242" s="4"/>
      <c r="U1242" s="4"/>
    </row>
    <row r="1243" spans="3:21" ht="19" x14ac:dyDescent="0.25">
      <c r="C1243" s="4"/>
      <c r="D1243" s="4"/>
      <c r="E1243" s="4"/>
      <c r="F1243" s="4"/>
      <c r="G1243" s="4"/>
      <c r="H1243" s="4"/>
      <c r="I1243" s="4"/>
      <c r="J1243" s="4"/>
      <c r="K1243" s="4"/>
      <c r="L1243" s="4"/>
      <c r="M1243" s="4"/>
      <c r="N1243" s="4"/>
      <c r="O1243" s="4"/>
      <c r="P1243" s="4"/>
      <c r="Q1243" s="4"/>
      <c r="R1243" s="4"/>
      <c r="S1243" s="4"/>
      <c r="T1243" s="4"/>
      <c r="U1243" s="4"/>
    </row>
    <row r="1244" spans="3:21" ht="19" x14ac:dyDescent="0.25">
      <c r="C1244" s="4"/>
      <c r="D1244" s="4"/>
      <c r="E1244" s="4"/>
      <c r="F1244" s="4"/>
      <c r="G1244" s="4"/>
      <c r="H1244" s="4"/>
      <c r="I1244" s="4"/>
      <c r="J1244" s="4"/>
      <c r="K1244" s="4"/>
      <c r="L1244" s="4"/>
      <c r="M1244" s="4"/>
      <c r="N1244" s="4"/>
      <c r="O1244" s="4"/>
      <c r="P1244" s="4"/>
      <c r="Q1244" s="4"/>
      <c r="R1244" s="4"/>
      <c r="S1244" s="4"/>
      <c r="T1244" s="4"/>
      <c r="U1244" s="4"/>
    </row>
    <row r="1245" spans="3:21" ht="19" x14ac:dyDescent="0.25">
      <c r="C1245" s="4"/>
      <c r="D1245" s="4"/>
      <c r="E1245" s="4"/>
      <c r="F1245" s="4"/>
      <c r="G1245" s="4"/>
      <c r="H1245" s="4"/>
      <c r="I1245" s="4"/>
      <c r="J1245" s="4"/>
      <c r="K1245" s="4"/>
      <c r="L1245" s="4"/>
      <c r="M1245" s="4"/>
      <c r="N1245" s="4"/>
      <c r="O1245" s="4"/>
      <c r="P1245" s="4"/>
      <c r="Q1245" s="4"/>
      <c r="R1245" s="4"/>
      <c r="S1245" s="4"/>
      <c r="T1245" s="4"/>
      <c r="U1245" s="4"/>
    </row>
    <row r="1246" spans="3:21" ht="19" x14ac:dyDescent="0.25">
      <c r="C1246" s="4"/>
      <c r="D1246" s="4"/>
      <c r="E1246" s="4"/>
      <c r="F1246" s="4"/>
      <c r="G1246" s="4"/>
      <c r="H1246" s="4"/>
      <c r="I1246" s="4"/>
      <c r="J1246" s="4"/>
      <c r="K1246" s="4"/>
      <c r="L1246" s="4"/>
      <c r="M1246" s="4"/>
      <c r="N1246" s="4"/>
      <c r="O1246" s="4"/>
      <c r="P1246" s="4"/>
      <c r="Q1246" s="4"/>
      <c r="R1246" s="4"/>
      <c r="S1246" s="4"/>
      <c r="T1246" s="4"/>
      <c r="U1246" s="4"/>
    </row>
    <row r="1247" spans="3:21" ht="19" x14ac:dyDescent="0.25">
      <c r="C1247" s="4"/>
      <c r="D1247" s="4"/>
      <c r="E1247" s="4"/>
      <c r="F1247" s="4"/>
      <c r="G1247" s="4"/>
      <c r="H1247" s="4"/>
      <c r="I1247" s="4"/>
      <c r="J1247" s="4"/>
      <c r="K1247" s="4"/>
      <c r="L1247" s="4"/>
      <c r="M1247" s="4"/>
      <c r="N1247" s="4"/>
      <c r="O1247" s="4"/>
      <c r="P1247" s="4"/>
      <c r="Q1247" s="4"/>
      <c r="R1247" s="4"/>
      <c r="S1247" s="4"/>
      <c r="T1247" s="4"/>
      <c r="U1247" s="4"/>
    </row>
    <row r="1248" spans="3:21" ht="19" x14ac:dyDescent="0.25">
      <c r="C1248" s="4"/>
      <c r="D1248" s="4"/>
      <c r="E1248" s="4"/>
      <c r="F1248" s="4"/>
      <c r="G1248" s="4"/>
      <c r="H1248" s="4"/>
      <c r="I1248" s="4"/>
      <c r="J1248" s="4"/>
      <c r="K1248" s="4"/>
      <c r="L1248" s="4"/>
      <c r="M1248" s="4"/>
      <c r="N1248" s="4"/>
      <c r="O1248" s="4"/>
      <c r="P1248" s="4"/>
      <c r="Q1248" s="4"/>
      <c r="R1248" s="4"/>
      <c r="S1248" s="4"/>
      <c r="T1248" s="4"/>
      <c r="U1248" s="4"/>
    </row>
    <row r="1249" spans="3:21" ht="19" x14ac:dyDescent="0.25">
      <c r="C1249" s="4"/>
      <c r="D1249" s="4"/>
      <c r="E1249" s="4"/>
      <c r="F1249" s="4"/>
      <c r="G1249" s="4"/>
      <c r="H1249" s="4"/>
      <c r="I1249" s="4"/>
      <c r="J1249" s="4"/>
      <c r="K1249" s="4"/>
      <c r="L1249" s="4"/>
      <c r="M1249" s="4"/>
      <c r="N1249" s="4"/>
      <c r="O1249" s="4"/>
      <c r="P1249" s="4"/>
      <c r="Q1249" s="4"/>
      <c r="R1249" s="4"/>
      <c r="S1249" s="4"/>
      <c r="T1249" s="4"/>
      <c r="U1249" s="4"/>
    </row>
    <row r="1250" spans="3:21" ht="19" x14ac:dyDescent="0.25">
      <c r="C1250" s="4"/>
      <c r="D1250" s="4"/>
      <c r="E1250" s="4"/>
      <c r="F1250" s="4"/>
      <c r="G1250" s="4"/>
      <c r="H1250" s="4"/>
      <c r="I1250" s="4"/>
      <c r="J1250" s="4"/>
      <c r="K1250" s="4"/>
      <c r="L1250" s="4"/>
      <c r="M1250" s="4"/>
      <c r="N1250" s="4"/>
      <c r="O1250" s="4"/>
      <c r="P1250" s="4"/>
      <c r="Q1250" s="4"/>
      <c r="R1250" s="4"/>
      <c r="S1250" s="4"/>
      <c r="T1250" s="4"/>
      <c r="U1250" s="4"/>
    </row>
    <row r="1251" spans="3:21" ht="19" x14ac:dyDescent="0.25">
      <c r="C1251" s="4"/>
      <c r="D1251" s="4"/>
      <c r="E1251" s="4"/>
      <c r="F1251" s="4"/>
      <c r="G1251" s="4"/>
      <c r="H1251" s="4"/>
      <c r="I1251" s="4"/>
      <c r="J1251" s="4"/>
      <c r="K1251" s="4"/>
      <c r="L1251" s="4"/>
      <c r="M1251" s="4"/>
      <c r="N1251" s="4"/>
      <c r="O1251" s="4"/>
      <c r="P1251" s="4"/>
      <c r="Q1251" s="4"/>
      <c r="R1251" s="4"/>
      <c r="S1251" s="4"/>
      <c r="T1251" s="4"/>
      <c r="U1251" s="4"/>
    </row>
    <row r="1252" spans="3:21" ht="19" x14ac:dyDescent="0.25">
      <c r="C1252" s="4"/>
      <c r="D1252" s="4"/>
      <c r="E1252" s="4"/>
      <c r="F1252" s="4"/>
      <c r="G1252" s="4"/>
      <c r="H1252" s="4"/>
      <c r="I1252" s="4"/>
      <c r="J1252" s="4"/>
      <c r="K1252" s="4"/>
      <c r="L1252" s="4"/>
      <c r="M1252" s="4"/>
      <c r="N1252" s="4"/>
      <c r="O1252" s="4"/>
      <c r="P1252" s="4"/>
      <c r="Q1252" s="4"/>
      <c r="R1252" s="4"/>
      <c r="S1252" s="4"/>
      <c r="T1252" s="4"/>
      <c r="U1252" s="4"/>
    </row>
    <row r="1253" spans="3:21" ht="19" x14ac:dyDescent="0.25">
      <c r="C1253" s="4"/>
      <c r="D1253" s="4"/>
      <c r="E1253" s="4"/>
      <c r="F1253" s="4"/>
      <c r="G1253" s="4"/>
      <c r="H1253" s="4"/>
      <c r="I1253" s="4"/>
      <c r="J1253" s="4"/>
      <c r="K1253" s="4"/>
      <c r="L1253" s="4"/>
      <c r="M1253" s="4"/>
      <c r="N1253" s="4"/>
      <c r="O1253" s="4"/>
      <c r="P1253" s="4"/>
      <c r="Q1253" s="4"/>
      <c r="R1253" s="4"/>
      <c r="S1253" s="4"/>
      <c r="T1253" s="4"/>
      <c r="U1253" s="4"/>
    </row>
    <row r="1254" spans="3:21" ht="19" x14ac:dyDescent="0.25">
      <c r="C1254" s="4"/>
      <c r="D1254" s="4"/>
      <c r="E1254" s="4"/>
      <c r="F1254" s="4"/>
      <c r="G1254" s="4"/>
      <c r="H1254" s="4"/>
      <c r="I1254" s="4"/>
      <c r="J1254" s="4"/>
      <c r="K1254" s="4"/>
      <c r="L1254" s="4"/>
      <c r="M1254" s="4"/>
      <c r="N1254" s="4"/>
      <c r="O1254" s="4"/>
      <c r="P1254" s="4"/>
      <c r="Q1254" s="4"/>
      <c r="R1254" s="4"/>
      <c r="S1254" s="4"/>
      <c r="T1254" s="4"/>
      <c r="U1254" s="4"/>
    </row>
    <row r="1255" spans="3:21" ht="19" x14ac:dyDescent="0.25">
      <c r="C1255" s="4"/>
      <c r="D1255" s="4"/>
      <c r="E1255" s="4"/>
      <c r="F1255" s="4"/>
      <c r="G1255" s="4"/>
      <c r="H1255" s="4"/>
      <c r="I1255" s="4"/>
      <c r="J1255" s="4"/>
      <c r="K1255" s="4"/>
      <c r="L1255" s="4"/>
      <c r="M1255" s="4"/>
      <c r="N1255" s="4"/>
      <c r="O1255" s="4"/>
      <c r="P1255" s="4"/>
      <c r="Q1255" s="4"/>
      <c r="R1255" s="4"/>
      <c r="S1255" s="4"/>
      <c r="T1255" s="4"/>
      <c r="U1255" s="4"/>
    </row>
    <row r="1256" spans="3:21" ht="19" x14ac:dyDescent="0.25">
      <c r="C1256" s="4"/>
      <c r="D1256" s="4"/>
      <c r="E1256" s="4"/>
      <c r="F1256" s="4"/>
      <c r="G1256" s="4"/>
      <c r="H1256" s="4"/>
      <c r="I1256" s="4"/>
      <c r="J1256" s="4"/>
      <c r="K1256" s="4"/>
      <c r="L1256" s="4"/>
      <c r="M1256" s="4"/>
      <c r="N1256" s="4"/>
      <c r="O1256" s="4"/>
      <c r="P1256" s="4"/>
      <c r="Q1256" s="4"/>
      <c r="R1256" s="4"/>
      <c r="S1256" s="4"/>
      <c r="T1256" s="4"/>
      <c r="U1256" s="4"/>
    </row>
    <row r="1257" spans="3:21" ht="19" x14ac:dyDescent="0.25">
      <c r="C1257" s="4"/>
      <c r="D1257" s="4"/>
      <c r="E1257" s="4"/>
      <c r="F1257" s="4"/>
      <c r="G1257" s="4"/>
      <c r="H1257" s="4"/>
      <c r="I1257" s="4"/>
      <c r="J1257" s="4"/>
      <c r="K1257" s="4"/>
      <c r="L1257" s="4"/>
      <c r="M1257" s="4"/>
      <c r="N1257" s="4"/>
      <c r="O1257" s="4"/>
      <c r="P1257" s="4"/>
      <c r="Q1257" s="4"/>
      <c r="R1257" s="4"/>
      <c r="S1257" s="4"/>
      <c r="T1257" s="4"/>
      <c r="U1257" s="4"/>
    </row>
    <row r="1258" spans="3:21" ht="19" x14ac:dyDescent="0.25">
      <c r="C1258" s="4"/>
      <c r="D1258" s="4"/>
      <c r="E1258" s="4"/>
      <c r="F1258" s="4"/>
      <c r="G1258" s="4"/>
      <c r="H1258" s="4"/>
      <c r="I1258" s="4"/>
      <c r="J1258" s="4"/>
      <c r="K1258" s="4"/>
      <c r="L1258" s="4"/>
      <c r="M1258" s="4"/>
      <c r="N1258" s="4"/>
      <c r="O1258" s="4"/>
      <c r="P1258" s="4"/>
      <c r="Q1258" s="4"/>
      <c r="R1258" s="4"/>
      <c r="S1258" s="4"/>
      <c r="T1258" s="4"/>
      <c r="U1258" s="4"/>
    </row>
    <row r="1259" spans="3:21" ht="19" x14ac:dyDescent="0.25">
      <c r="C1259" s="4"/>
      <c r="D1259" s="4"/>
      <c r="E1259" s="4"/>
      <c r="F1259" s="4"/>
      <c r="G1259" s="4"/>
      <c r="H1259" s="4"/>
      <c r="I1259" s="4"/>
      <c r="J1259" s="4"/>
      <c r="K1259" s="4"/>
      <c r="L1259" s="4"/>
      <c r="M1259" s="4"/>
      <c r="N1259" s="4"/>
      <c r="O1259" s="4"/>
      <c r="P1259" s="4"/>
      <c r="Q1259" s="4"/>
      <c r="R1259" s="4"/>
      <c r="S1259" s="4"/>
      <c r="T1259" s="4"/>
      <c r="U1259" s="4"/>
    </row>
    <row r="1260" spans="3:21" ht="19" x14ac:dyDescent="0.25">
      <c r="C1260" s="4"/>
      <c r="D1260" s="4"/>
      <c r="E1260" s="4"/>
      <c r="F1260" s="4"/>
      <c r="G1260" s="4"/>
      <c r="H1260" s="4"/>
      <c r="I1260" s="4"/>
      <c r="J1260" s="4"/>
      <c r="K1260" s="4"/>
      <c r="L1260" s="4"/>
      <c r="M1260" s="4"/>
      <c r="N1260" s="4"/>
      <c r="O1260" s="4"/>
      <c r="P1260" s="4"/>
      <c r="Q1260" s="4"/>
      <c r="R1260" s="4"/>
      <c r="S1260" s="4"/>
      <c r="T1260" s="4"/>
      <c r="U1260" s="4"/>
    </row>
    <row r="1261" spans="3:21" ht="19" x14ac:dyDescent="0.25">
      <c r="C1261" s="4"/>
      <c r="D1261" s="4"/>
      <c r="E1261" s="4"/>
      <c r="F1261" s="4"/>
      <c r="G1261" s="4"/>
      <c r="H1261" s="4"/>
      <c r="I1261" s="4"/>
      <c r="J1261" s="4"/>
      <c r="K1261" s="4"/>
      <c r="L1261" s="4"/>
      <c r="M1261" s="4"/>
      <c r="N1261" s="4"/>
      <c r="O1261" s="4"/>
      <c r="P1261" s="4"/>
      <c r="Q1261" s="4"/>
      <c r="R1261" s="4"/>
      <c r="S1261" s="4"/>
      <c r="T1261" s="4"/>
      <c r="U1261" s="4"/>
    </row>
    <row r="1262" spans="3:21" ht="19" x14ac:dyDescent="0.25">
      <c r="C1262" s="4"/>
      <c r="D1262" s="4"/>
      <c r="E1262" s="4"/>
      <c r="F1262" s="4"/>
      <c r="G1262" s="4"/>
      <c r="H1262" s="4"/>
      <c r="I1262" s="4"/>
      <c r="J1262" s="4"/>
      <c r="K1262" s="4"/>
      <c r="L1262" s="4"/>
      <c r="M1262" s="4"/>
      <c r="N1262" s="4"/>
      <c r="O1262" s="4"/>
      <c r="P1262" s="4"/>
      <c r="Q1262" s="4"/>
      <c r="R1262" s="4"/>
      <c r="S1262" s="4"/>
      <c r="T1262" s="4"/>
      <c r="U1262" s="4"/>
    </row>
    <row r="1263" spans="3:21" ht="19" x14ac:dyDescent="0.25">
      <c r="C1263" s="4"/>
      <c r="D1263" s="4"/>
      <c r="E1263" s="4"/>
      <c r="F1263" s="4"/>
      <c r="G1263" s="4"/>
      <c r="H1263" s="4"/>
      <c r="I1263" s="4"/>
      <c r="J1263" s="4"/>
      <c r="K1263" s="4"/>
      <c r="L1263" s="4"/>
      <c r="M1263" s="4"/>
      <c r="N1263" s="4"/>
      <c r="O1263" s="4"/>
      <c r="P1263" s="4"/>
      <c r="Q1263" s="4"/>
      <c r="R1263" s="4"/>
      <c r="S1263" s="4"/>
      <c r="T1263" s="4"/>
      <c r="U1263" s="4"/>
    </row>
    <row r="1264" spans="3:21" ht="19" x14ac:dyDescent="0.25">
      <c r="C1264" s="4"/>
      <c r="D1264" s="4"/>
      <c r="E1264" s="4"/>
      <c r="F1264" s="4"/>
      <c r="G1264" s="4"/>
      <c r="H1264" s="4"/>
      <c r="I1264" s="4"/>
      <c r="J1264" s="4"/>
      <c r="K1264" s="4"/>
      <c r="L1264" s="4"/>
      <c r="M1264" s="4"/>
      <c r="N1264" s="4"/>
      <c r="O1264" s="4"/>
      <c r="P1264" s="4"/>
      <c r="Q1264" s="4"/>
      <c r="R1264" s="4"/>
      <c r="S1264" s="4"/>
      <c r="T1264" s="4"/>
      <c r="U1264" s="4"/>
    </row>
    <row r="1265" spans="3:21" ht="19" x14ac:dyDescent="0.25">
      <c r="C1265" s="4"/>
      <c r="D1265" s="4"/>
      <c r="E1265" s="4"/>
      <c r="F1265" s="4"/>
      <c r="G1265" s="4"/>
      <c r="H1265" s="4"/>
      <c r="I1265" s="4"/>
      <c r="J1265" s="4"/>
      <c r="K1265" s="4"/>
      <c r="L1265" s="4"/>
      <c r="M1265" s="4"/>
      <c r="N1265" s="4"/>
      <c r="O1265" s="4"/>
      <c r="P1265" s="4"/>
      <c r="Q1265" s="4"/>
      <c r="R1265" s="4"/>
      <c r="S1265" s="4"/>
      <c r="T1265" s="4"/>
      <c r="U1265" s="4"/>
    </row>
    <row r="1266" spans="3:21" ht="19" x14ac:dyDescent="0.25">
      <c r="C1266" s="4"/>
      <c r="D1266" s="4"/>
      <c r="E1266" s="4"/>
      <c r="F1266" s="4"/>
      <c r="G1266" s="4"/>
      <c r="H1266" s="4"/>
      <c r="I1266" s="4"/>
      <c r="J1266" s="4"/>
      <c r="K1266" s="4"/>
      <c r="L1266" s="4"/>
      <c r="M1266" s="4"/>
      <c r="N1266" s="4"/>
      <c r="O1266" s="4"/>
      <c r="P1266" s="4"/>
      <c r="Q1266" s="4"/>
      <c r="R1266" s="4"/>
      <c r="S1266" s="4"/>
      <c r="T1266" s="4"/>
      <c r="U1266" s="4"/>
    </row>
    <row r="1267" spans="3:21" ht="19" x14ac:dyDescent="0.25">
      <c r="C1267" s="4"/>
      <c r="D1267" s="4"/>
      <c r="E1267" s="4"/>
      <c r="F1267" s="4"/>
      <c r="G1267" s="4"/>
      <c r="H1267" s="4"/>
      <c r="I1267" s="4"/>
      <c r="J1267" s="4"/>
      <c r="K1267" s="4"/>
      <c r="L1267" s="4"/>
      <c r="M1267" s="4"/>
      <c r="N1267" s="4"/>
      <c r="O1267" s="4"/>
      <c r="P1267" s="4"/>
      <c r="Q1267" s="4"/>
      <c r="R1267" s="4"/>
      <c r="S1267" s="4"/>
      <c r="T1267" s="4"/>
      <c r="U1267" s="4"/>
    </row>
    <row r="1268" spans="3:21" ht="19" x14ac:dyDescent="0.25">
      <c r="C1268" s="4"/>
      <c r="D1268" s="4"/>
      <c r="E1268" s="4"/>
      <c r="F1268" s="4"/>
      <c r="G1268" s="4"/>
      <c r="H1268" s="4"/>
      <c r="I1268" s="4"/>
      <c r="J1268" s="4"/>
      <c r="K1268" s="4"/>
      <c r="L1268" s="4"/>
      <c r="M1268" s="4"/>
      <c r="N1268" s="4"/>
      <c r="O1268" s="4"/>
      <c r="P1268" s="4"/>
      <c r="Q1268" s="4"/>
      <c r="R1268" s="4"/>
      <c r="S1268" s="4"/>
      <c r="T1268" s="4"/>
      <c r="U1268" s="4"/>
    </row>
    <row r="1269" spans="3:21" ht="19" x14ac:dyDescent="0.25">
      <c r="C1269" s="4"/>
      <c r="D1269" s="4"/>
      <c r="E1269" s="4"/>
      <c r="F1269" s="4"/>
      <c r="G1269" s="4"/>
      <c r="H1269" s="4"/>
      <c r="I1269" s="4"/>
      <c r="J1269" s="4"/>
      <c r="K1269" s="4"/>
      <c r="L1269" s="4"/>
      <c r="M1269" s="4"/>
      <c r="N1269" s="4"/>
      <c r="O1269" s="4"/>
      <c r="P1269" s="4"/>
      <c r="Q1269" s="4"/>
      <c r="R1269" s="4"/>
      <c r="S1269" s="4"/>
      <c r="T1269" s="4"/>
      <c r="U1269" s="4"/>
    </row>
    <row r="1270" spans="3:21" ht="19" x14ac:dyDescent="0.25">
      <c r="C1270" s="4"/>
      <c r="D1270" s="4"/>
      <c r="E1270" s="4"/>
      <c r="F1270" s="4"/>
      <c r="G1270" s="4"/>
      <c r="H1270" s="4"/>
      <c r="I1270" s="4"/>
      <c r="J1270" s="4"/>
      <c r="K1270" s="4"/>
      <c r="L1270" s="4"/>
      <c r="M1270" s="4"/>
      <c r="N1270" s="4"/>
      <c r="O1270" s="4"/>
      <c r="P1270" s="4"/>
      <c r="Q1270" s="4"/>
      <c r="R1270" s="4"/>
      <c r="S1270" s="4"/>
      <c r="T1270" s="4"/>
      <c r="U1270" s="4"/>
    </row>
    <row r="1271" spans="3:21" ht="19" x14ac:dyDescent="0.25">
      <c r="C1271" s="4"/>
      <c r="D1271" s="4"/>
      <c r="E1271" s="4"/>
      <c r="F1271" s="4"/>
      <c r="G1271" s="4"/>
      <c r="H1271" s="4"/>
      <c r="I1271" s="4"/>
      <c r="J1271" s="4"/>
      <c r="K1271" s="4"/>
      <c r="L1271" s="4"/>
      <c r="M1271" s="4"/>
      <c r="N1271" s="4"/>
      <c r="O1271" s="4"/>
      <c r="P1271" s="4"/>
      <c r="Q1271" s="4"/>
      <c r="R1271" s="4"/>
      <c r="S1271" s="4"/>
      <c r="T1271" s="4"/>
      <c r="U1271" s="4"/>
    </row>
    <row r="1272" spans="3:21" ht="19" x14ac:dyDescent="0.25">
      <c r="C1272" s="4"/>
      <c r="D1272" s="4"/>
      <c r="E1272" s="4"/>
      <c r="F1272" s="4"/>
      <c r="G1272" s="4"/>
      <c r="H1272" s="4"/>
      <c r="I1272" s="4"/>
      <c r="J1272" s="4"/>
      <c r="K1272" s="4"/>
      <c r="L1272" s="4"/>
      <c r="M1272" s="4"/>
      <c r="N1272" s="4"/>
      <c r="O1272" s="4"/>
      <c r="P1272" s="4"/>
      <c r="Q1272" s="4"/>
      <c r="R1272" s="4"/>
      <c r="S1272" s="4"/>
      <c r="T1272" s="4"/>
      <c r="U1272" s="4"/>
    </row>
    <row r="1273" spans="3:21" ht="19" x14ac:dyDescent="0.25">
      <c r="C1273" s="4"/>
      <c r="D1273" s="4"/>
      <c r="E1273" s="4"/>
      <c r="F1273" s="4"/>
      <c r="G1273" s="4"/>
      <c r="H1273" s="4"/>
      <c r="I1273" s="4"/>
      <c r="J1273" s="4"/>
      <c r="K1273" s="4"/>
      <c r="L1273" s="4"/>
      <c r="M1273" s="4"/>
      <c r="N1273" s="4"/>
      <c r="O1273" s="4"/>
      <c r="P1273" s="4"/>
      <c r="Q1273" s="4"/>
      <c r="R1273" s="4"/>
      <c r="S1273" s="4"/>
      <c r="T1273" s="4"/>
      <c r="U1273" s="4"/>
    </row>
    <row r="1274" spans="3:21" ht="19" x14ac:dyDescent="0.25">
      <c r="C1274" s="4"/>
      <c r="D1274" s="4"/>
      <c r="E1274" s="4"/>
      <c r="F1274" s="4"/>
      <c r="G1274" s="4"/>
      <c r="H1274" s="4"/>
      <c r="I1274" s="4"/>
      <c r="J1274" s="4"/>
      <c r="K1274" s="4"/>
      <c r="L1274" s="4"/>
      <c r="M1274" s="4"/>
      <c r="N1274" s="4"/>
      <c r="O1274" s="4"/>
      <c r="P1274" s="4"/>
      <c r="Q1274" s="4"/>
      <c r="R1274" s="4"/>
      <c r="S1274" s="4"/>
      <c r="T1274" s="4"/>
      <c r="U1274" s="4"/>
    </row>
    <row r="1275" spans="3:21" ht="19" x14ac:dyDescent="0.25">
      <c r="C1275" s="4"/>
      <c r="D1275" s="4"/>
      <c r="E1275" s="4"/>
      <c r="F1275" s="4"/>
      <c r="G1275" s="4"/>
      <c r="H1275" s="4"/>
      <c r="I1275" s="4"/>
      <c r="J1275" s="4"/>
      <c r="K1275" s="4"/>
      <c r="L1275" s="4"/>
      <c r="M1275" s="4"/>
      <c r="N1275" s="4"/>
      <c r="O1275" s="4"/>
      <c r="P1275" s="4"/>
      <c r="Q1275" s="4"/>
      <c r="R1275" s="4"/>
      <c r="S1275" s="4"/>
      <c r="T1275" s="4"/>
      <c r="U1275" s="4"/>
    </row>
    <row r="1276" spans="3:21" ht="19" x14ac:dyDescent="0.25">
      <c r="C1276" s="4"/>
      <c r="D1276" s="4"/>
      <c r="E1276" s="4"/>
      <c r="F1276" s="4"/>
      <c r="G1276" s="4"/>
      <c r="H1276" s="4"/>
      <c r="I1276" s="4"/>
      <c r="J1276" s="4"/>
      <c r="K1276" s="4"/>
      <c r="L1276" s="4"/>
      <c r="M1276" s="4"/>
      <c r="N1276" s="4"/>
      <c r="O1276" s="4"/>
      <c r="P1276" s="4"/>
      <c r="Q1276" s="4"/>
      <c r="R1276" s="4"/>
      <c r="S1276" s="4"/>
      <c r="T1276" s="4"/>
      <c r="U1276" s="4"/>
    </row>
    <row r="1277" spans="3:21" ht="19" x14ac:dyDescent="0.25">
      <c r="C1277" s="4"/>
      <c r="D1277" s="4"/>
      <c r="E1277" s="4"/>
      <c r="F1277" s="4"/>
      <c r="G1277" s="4"/>
      <c r="H1277" s="4"/>
      <c r="I1277" s="4"/>
      <c r="J1277" s="4"/>
      <c r="K1277" s="4"/>
      <c r="L1277" s="4"/>
      <c r="M1277" s="4"/>
      <c r="N1277" s="4"/>
      <c r="O1277" s="4"/>
      <c r="P1277" s="4"/>
      <c r="Q1277" s="4"/>
      <c r="R1277" s="4"/>
      <c r="S1277" s="4"/>
      <c r="T1277" s="4"/>
      <c r="U1277" s="4"/>
    </row>
    <row r="1278" spans="3:21" ht="19" x14ac:dyDescent="0.25">
      <c r="C1278" s="4"/>
      <c r="D1278" s="4"/>
      <c r="E1278" s="4"/>
      <c r="F1278" s="4"/>
      <c r="G1278" s="4"/>
      <c r="H1278" s="4"/>
      <c r="I1278" s="4"/>
      <c r="J1278" s="4"/>
      <c r="K1278" s="4"/>
      <c r="L1278" s="4"/>
      <c r="M1278" s="4"/>
      <c r="N1278" s="4"/>
      <c r="O1278" s="4"/>
      <c r="P1278" s="4"/>
      <c r="Q1278" s="4"/>
      <c r="R1278" s="4"/>
      <c r="S1278" s="4"/>
      <c r="T1278" s="4"/>
      <c r="U1278" s="4"/>
    </row>
    <row r="1279" spans="3:21" ht="19" x14ac:dyDescent="0.25">
      <c r="C1279" s="4"/>
      <c r="D1279" s="4"/>
      <c r="E1279" s="4"/>
      <c r="F1279" s="4"/>
      <c r="G1279" s="4"/>
      <c r="H1279" s="4"/>
      <c r="I1279" s="4"/>
      <c r="J1279" s="4"/>
      <c r="K1279" s="4"/>
      <c r="L1279" s="4"/>
      <c r="M1279" s="4"/>
      <c r="N1279" s="4"/>
      <c r="O1279" s="4"/>
      <c r="P1279" s="4"/>
      <c r="Q1279" s="4"/>
      <c r="R1279" s="4"/>
      <c r="S1279" s="4"/>
      <c r="T1279" s="4"/>
      <c r="U1279" s="4"/>
    </row>
    <row r="1280" spans="3:21" ht="19" x14ac:dyDescent="0.25">
      <c r="C1280" s="4"/>
      <c r="D1280" s="4"/>
      <c r="E1280" s="4"/>
      <c r="F1280" s="4"/>
      <c r="G1280" s="4"/>
      <c r="H1280" s="4"/>
      <c r="I1280" s="4"/>
      <c r="J1280" s="4"/>
      <c r="K1280" s="4"/>
      <c r="L1280" s="4"/>
      <c r="M1280" s="4"/>
      <c r="N1280" s="4"/>
      <c r="O1280" s="4"/>
      <c r="P1280" s="4"/>
      <c r="Q1280" s="4"/>
      <c r="R1280" s="4"/>
      <c r="S1280" s="4"/>
      <c r="T1280" s="4"/>
      <c r="U1280" s="4"/>
    </row>
    <row r="1281" spans="3:21" ht="19" x14ac:dyDescent="0.25">
      <c r="C1281" s="4"/>
      <c r="D1281" s="4"/>
      <c r="E1281" s="4"/>
      <c r="F1281" s="4"/>
      <c r="G1281" s="4"/>
      <c r="H1281" s="4"/>
      <c r="I1281" s="4"/>
      <c r="J1281" s="4"/>
      <c r="K1281" s="4"/>
      <c r="L1281" s="4"/>
      <c r="M1281" s="4"/>
      <c r="N1281" s="4"/>
      <c r="O1281" s="4"/>
      <c r="P1281" s="4"/>
      <c r="Q1281" s="4"/>
      <c r="R1281" s="4"/>
      <c r="S1281" s="4"/>
      <c r="T1281" s="4"/>
      <c r="U1281" s="4"/>
    </row>
    <row r="1282" spans="3:21" ht="19" x14ac:dyDescent="0.25">
      <c r="C1282" s="4"/>
      <c r="D1282" s="4"/>
      <c r="E1282" s="4"/>
      <c r="F1282" s="4"/>
      <c r="G1282" s="4"/>
      <c r="H1282" s="4"/>
      <c r="I1282" s="4"/>
      <c r="J1282" s="4"/>
      <c r="K1282" s="4"/>
      <c r="L1282" s="4"/>
      <c r="M1282" s="4"/>
      <c r="N1282" s="4"/>
      <c r="O1282" s="4"/>
      <c r="P1282" s="4"/>
      <c r="Q1282" s="4"/>
      <c r="R1282" s="4"/>
      <c r="S1282" s="4"/>
      <c r="T1282" s="4"/>
      <c r="U1282" s="4"/>
    </row>
    <row r="1283" spans="3:21" ht="19" x14ac:dyDescent="0.25">
      <c r="C1283" s="4"/>
      <c r="D1283" s="4"/>
      <c r="E1283" s="4"/>
      <c r="F1283" s="4"/>
      <c r="G1283" s="4"/>
      <c r="H1283" s="4"/>
      <c r="I1283" s="4"/>
      <c r="J1283" s="4"/>
      <c r="K1283" s="4"/>
      <c r="L1283" s="4"/>
      <c r="M1283" s="4"/>
      <c r="N1283" s="4"/>
      <c r="O1283" s="4"/>
      <c r="P1283" s="4"/>
      <c r="Q1283" s="4"/>
      <c r="R1283" s="4"/>
      <c r="S1283" s="4"/>
      <c r="T1283" s="4"/>
      <c r="U1283" s="4"/>
    </row>
    <row r="1284" spans="3:21" ht="19" x14ac:dyDescent="0.25">
      <c r="C1284" s="4"/>
      <c r="D1284" s="4"/>
      <c r="E1284" s="4"/>
      <c r="F1284" s="4"/>
      <c r="G1284" s="4"/>
      <c r="H1284" s="4"/>
      <c r="I1284" s="4"/>
      <c r="J1284" s="4"/>
      <c r="K1284" s="4"/>
      <c r="L1284" s="4"/>
      <c r="M1284" s="4"/>
      <c r="N1284" s="4"/>
      <c r="O1284" s="4"/>
      <c r="P1284" s="4"/>
      <c r="Q1284" s="4"/>
      <c r="R1284" s="4"/>
      <c r="S1284" s="4"/>
      <c r="T1284" s="4"/>
      <c r="U1284" s="4"/>
    </row>
    <row r="1285" spans="3:21" ht="19" x14ac:dyDescent="0.25">
      <c r="C1285" s="4"/>
      <c r="D1285" s="4"/>
      <c r="E1285" s="4"/>
      <c r="F1285" s="4"/>
      <c r="G1285" s="4"/>
      <c r="H1285" s="4"/>
      <c r="I1285" s="4"/>
      <c r="J1285" s="4"/>
      <c r="K1285" s="4"/>
      <c r="L1285" s="4"/>
      <c r="M1285" s="4"/>
      <c r="N1285" s="4"/>
      <c r="O1285" s="4"/>
      <c r="P1285" s="4"/>
      <c r="Q1285" s="4"/>
      <c r="R1285" s="4"/>
      <c r="S1285" s="4"/>
      <c r="T1285" s="4"/>
      <c r="U1285" s="4"/>
    </row>
    <row r="1286" spans="3:21" ht="19" x14ac:dyDescent="0.25">
      <c r="C1286" s="4"/>
      <c r="D1286" s="4"/>
      <c r="E1286" s="4"/>
      <c r="F1286" s="4"/>
      <c r="G1286" s="4"/>
      <c r="H1286" s="4"/>
      <c r="I1286" s="4"/>
      <c r="J1286" s="4"/>
      <c r="K1286" s="4"/>
      <c r="L1286" s="4"/>
      <c r="M1286" s="4"/>
      <c r="N1286" s="4"/>
      <c r="O1286" s="4"/>
      <c r="P1286" s="4"/>
      <c r="Q1286" s="4"/>
      <c r="R1286" s="4"/>
      <c r="S1286" s="4"/>
      <c r="T1286" s="4"/>
      <c r="U1286" s="4"/>
    </row>
    <row r="1287" spans="3:21" ht="19" x14ac:dyDescent="0.25">
      <c r="C1287" s="4"/>
      <c r="D1287" s="4"/>
      <c r="E1287" s="4"/>
      <c r="F1287" s="4"/>
      <c r="G1287" s="4"/>
      <c r="H1287" s="4"/>
      <c r="I1287" s="4"/>
      <c r="J1287" s="4"/>
      <c r="K1287" s="4"/>
      <c r="L1287" s="4"/>
      <c r="M1287" s="4"/>
      <c r="N1287" s="4"/>
      <c r="O1287" s="4"/>
      <c r="P1287" s="4"/>
      <c r="Q1287" s="4"/>
      <c r="R1287" s="4"/>
      <c r="S1287" s="4"/>
      <c r="T1287" s="4"/>
      <c r="U1287" s="4"/>
    </row>
    <row r="1288" spans="3:21" ht="19" x14ac:dyDescent="0.25">
      <c r="C1288" s="4"/>
      <c r="D1288" s="4"/>
      <c r="E1288" s="4"/>
      <c r="F1288" s="4"/>
      <c r="G1288" s="4"/>
      <c r="H1288" s="4"/>
      <c r="I1288" s="4"/>
      <c r="J1288" s="4"/>
      <c r="K1288" s="4"/>
      <c r="L1288" s="4"/>
      <c r="M1288" s="4"/>
      <c r="N1288" s="4"/>
      <c r="O1288" s="4"/>
      <c r="P1288" s="4"/>
      <c r="Q1288" s="4"/>
      <c r="R1288" s="4"/>
      <c r="S1288" s="4"/>
      <c r="T1288" s="4"/>
      <c r="U1288" s="4"/>
    </row>
    <row r="1289" spans="3:21" ht="19" x14ac:dyDescent="0.25">
      <c r="C1289" s="4"/>
      <c r="D1289" s="4"/>
      <c r="E1289" s="4"/>
      <c r="F1289" s="4"/>
      <c r="G1289" s="4"/>
      <c r="H1289" s="4"/>
      <c r="I1289" s="4"/>
      <c r="J1289" s="4"/>
      <c r="K1289" s="4"/>
      <c r="L1289" s="4"/>
      <c r="M1289" s="4"/>
      <c r="N1289" s="4"/>
      <c r="O1289" s="4"/>
      <c r="P1289" s="4"/>
      <c r="Q1289" s="4"/>
      <c r="R1289" s="4"/>
      <c r="S1289" s="4"/>
      <c r="T1289" s="4"/>
      <c r="U1289" s="4"/>
    </row>
    <row r="1290" spans="3:21" ht="19" x14ac:dyDescent="0.25">
      <c r="C1290" s="4"/>
      <c r="D1290" s="4"/>
      <c r="E1290" s="4"/>
      <c r="F1290" s="4"/>
      <c r="G1290" s="4"/>
      <c r="H1290" s="4"/>
      <c r="I1290" s="4"/>
      <c r="J1290" s="4"/>
      <c r="K1290" s="4"/>
      <c r="L1290" s="4"/>
      <c r="M1290" s="4"/>
      <c r="N1290" s="4"/>
      <c r="O1290" s="4"/>
      <c r="P1290" s="4"/>
      <c r="Q1290" s="4"/>
      <c r="R1290" s="4"/>
      <c r="S1290" s="4"/>
      <c r="T1290" s="4"/>
      <c r="U1290" s="4"/>
    </row>
    <row r="1291" spans="3:21" ht="19" x14ac:dyDescent="0.25">
      <c r="C1291" s="4"/>
      <c r="D1291" s="4"/>
      <c r="E1291" s="4"/>
      <c r="F1291" s="4"/>
      <c r="G1291" s="4"/>
      <c r="H1291" s="4"/>
      <c r="I1291" s="4"/>
      <c r="J1291" s="4"/>
      <c r="K1291" s="4"/>
      <c r="L1291" s="4"/>
      <c r="M1291" s="4"/>
      <c r="N1291" s="4"/>
      <c r="O1291" s="4"/>
      <c r="P1291" s="4"/>
      <c r="Q1291" s="4"/>
      <c r="R1291" s="4"/>
      <c r="S1291" s="4"/>
      <c r="T1291" s="4"/>
      <c r="U1291" s="4"/>
    </row>
    <row r="1292" spans="3:21" ht="19" x14ac:dyDescent="0.25">
      <c r="C1292" s="4"/>
      <c r="D1292" s="4"/>
      <c r="E1292" s="4"/>
      <c r="F1292" s="4"/>
      <c r="G1292" s="4"/>
      <c r="H1292" s="4"/>
      <c r="I1292" s="4"/>
      <c r="J1292" s="4"/>
      <c r="K1292" s="4"/>
      <c r="L1292" s="4"/>
      <c r="M1292" s="4"/>
      <c r="N1292" s="4"/>
      <c r="O1292" s="4"/>
      <c r="P1292" s="4"/>
      <c r="Q1292" s="4"/>
      <c r="R1292" s="4"/>
      <c r="S1292" s="4"/>
      <c r="T1292" s="4"/>
      <c r="U1292" s="4"/>
    </row>
    <row r="1293" spans="3:21" ht="19" x14ac:dyDescent="0.25">
      <c r="C1293" s="4"/>
      <c r="D1293" s="4"/>
      <c r="E1293" s="4"/>
      <c r="F1293" s="4"/>
      <c r="G1293" s="4"/>
      <c r="H1293" s="4"/>
      <c r="I1293" s="4"/>
      <c r="J1293" s="4"/>
      <c r="K1293" s="4"/>
      <c r="L1293" s="4"/>
      <c r="M1293" s="4"/>
      <c r="N1293" s="4"/>
      <c r="O1293" s="4"/>
      <c r="P1293" s="4"/>
      <c r="Q1293" s="4"/>
      <c r="R1293" s="4"/>
      <c r="S1293" s="4"/>
      <c r="T1293" s="4"/>
      <c r="U1293" s="4"/>
    </row>
    <row r="1294" spans="3:21" ht="19" x14ac:dyDescent="0.25">
      <c r="C1294" s="4"/>
      <c r="D1294" s="4"/>
      <c r="E1294" s="4"/>
      <c r="F1294" s="4"/>
      <c r="G1294" s="4"/>
      <c r="H1294" s="4"/>
      <c r="I1294" s="4"/>
      <c r="J1294" s="4"/>
      <c r="K1294" s="4"/>
      <c r="L1294" s="4"/>
      <c r="M1294" s="4"/>
      <c r="N1294" s="4"/>
      <c r="O1294" s="4"/>
      <c r="P1294" s="4"/>
      <c r="Q1294" s="4"/>
      <c r="R1294" s="4"/>
      <c r="S1294" s="4"/>
      <c r="T1294" s="4"/>
      <c r="U1294" s="4"/>
    </row>
    <row r="1295" spans="3:21" ht="19" x14ac:dyDescent="0.25">
      <c r="C1295" s="4"/>
      <c r="D1295" s="4"/>
      <c r="E1295" s="4"/>
      <c r="F1295" s="4"/>
      <c r="G1295" s="4"/>
      <c r="H1295" s="4"/>
      <c r="I1295" s="4"/>
      <c r="J1295" s="4"/>
      <c r="K1295" s="4"/>
      <c r="L1295" s="4"/>
      <c r="M1295" s="4"/>
      <c r="N1295" s="4"/>
      <c r="O1295" s="4"/>
      <c r="P1295" s="4"/>
      <c r="Q1295" s="4"/>
      <c r="R1295" s="4"/>
      <c r="S1295" s="4"/>
      <c r="T1295" s="4"/>
      <c r="U1295" s="4"/>
    </row>
    <row r="1296" spans="3:21" ht="19" x14ac:dyDescent="0.25">
      <c r="C1296" s="4"/>
      <c r="D1296" s="4"/>
      <c r="E1296" s="4"/>
      <c r="F1296" s="4"/>
      <c r="G1296" s="4"/>
      <c r="H1296" s="4"/>
      <c r="I1296" s="4"/>
      <c r="J1296" s="4"/>
      <c r="K1296" s="4"/>
      <c r="L1296" s="4"/>
      <c r="M1296" s="4"/>
      <c r="N1296" s="4"/>
      <c r="O1296" s="4"/>
      <c r="P1296" s="4"/>
      <c r="Q1296" s="4"/>
      <c r="R1296" s="4"/>
      <c r="S1296" s="4"/>
      <c r="T1296" s="4"/>
      <c r="U1296" s="4"/>
    </row>
    <row r="1297" spans="3:21" ht="19" x14ac:dyDescent="0.25">
      <c r="C1297" s="4"/>
      <c r="D1297" s="4"/>
      <c r="E1297" s="4"/>
      <c r="F1297" s="4"/>
      <c r="G1297" s="4"/>
      <c r="H1297" s="4"/>
      <c r="I1297" s="4"/>
      <c r="J1297" s="4"/>
      <c r="K1297" s="4"/>
      <c r="L1297" s="4"/>
      <c r="M1297" s="4"/>
      <c r="N1297" s="4"/>
      <c r="O1297" s="4"/>
      <c r="P1297" s="4"/>
      <c r="Q1297" s="4"/>
      <c r="R1297" s="4"/>
      <c r="S1297" s="4"/>
      <c r="T1297" s="4"/>
      <c r="U1297" s="4"/>
    </row>
    <row r="1298" spans="3:21" ht="19" x14ac:dyDescent="0.25">
      <c r="C1298" s="4"/>
      <c r="D1298" s="4"/>
      <c r="E1298" s="4"/>
      <c r="F1298" s="4"/>
      <c r="G1298" s="4"/>
      <c r="H1298" s="4"/>
      <c r="I1298" s="4"/>
      <c r="J1298" s="4"/>
      <c r="K1298" s="4"/>
      <c r="L1298" s="4"/>
      <c r="M1298" s="4"/>
      <c r="N1298" s="4"/>
      <c r="O1298" s="4"/>
      <c r="P1298" s="4"/>
      <c r="Q1298" s="4"/>
      <c r="R1298" s="4"/>
      <c r="S1298" s="4"/>
      <c r="T1298" s="4"/>
      <c r="U1298" s="4"/>
    </row>
    <row r="1299" spans="3:21" ht="19" x14ac:dyDescent="0.25">
      <c r="C1299" s="4"/>
      <c r="D1299" s="4"/>
      <c r="E1299" s="4"/>
      <c r="F1299" s="4"/>
      <c r="G1299" s="4"/>
      <c r="H1299" s="4"/>
      <c r="I1299" s="4"/>
      <c r="J1299" s="4"/>
      <c r="K1299" s="4"/>
      <c r="L1299" s="4"/>
      <c r="M1299" s="4"/>
      <c r="N1299" s="4"/>
      <c r="O1299" s="4"/>
      <c r="P1299" s="4"/>
      <c r="Q1299" s="4"/>
      <c r="R1299" s="4"/>
      <c r="S1299" s="4"/>
      <c r="T1299" s="4"/>
      <c r="U1299" s="4"/>
    </row>
    <row r="1300" spans="3:21" ht="19" x14ac:dyDescent="0.25">
      <c r="C1300" s="4"/>
      <c r="D1300" s="4"/>
      <c r="E1300" s="4"/>
      <c r="F1300" s="4"/>
      <c r="G1300" s="4"/>
      <c r="H1300" s="4"/>
      <c r="I1300" s="4"/>
      <c r="J1300" s="4"/>
      <c r="K1300" s="4"/>
      <c r="L1300" s="4"/>
      <c r="M1300" s="4"/>
      <c r="N1300" s="4"/>
      <c r="O1300" s="4"/>
      <c r="P1300" s="4"/>
      <c r="Q1300" s="4"/>
      <c r="R1300" s="4"/>
      <c r="S1300" s="4"/>
      <c r="T1300" s="4"/>
      <c r="U1300" s="4"/>
    </row>
    <row r="1301" spans="3:21" ht="19" x14ac:dyDescent="0.25">
      <c r="C1301" s="4"/>
      <c r="D1301" s="4"/>
      <c r="E1301" s="4"/>
      <c r="F1301" s="4"/>
      <c r="G1301" s="4"/>
      <c r="H1301" s="4"/>
      <c r="I1301" s="4"/>
      <c r="J1301" s="4"/>
      <c r="K1301" s="4"/>
      <c r="L1301" s="4"/>
      <c r="M1301" s="4"/>
      <c r="N1301" s="4"/>
      <c r="O1301" s="4"/>
      <c r="P1301" s="4"/>
      <c r="Q1301" s="4"/>
      <c r="R1301" s="4"/>
      <c r="S1301" s="4"/>
      <c r="T1301" s="4"/>
      <c r="U1301" s="4"/>
    </row>
    <row r="1302" spans="3:21" ht="19" x14ac:dyDescent="0.25">
      <c r="C1302" s="4"/>
      <c r="D1302" s="4"/>
      <c r="E1302" s="4"/>
      <c r="F1302" s="4"/>
      <c r="G1302" s="4"/>
      <c r="H1302" s="4"/>
      <c r="I1302" s="4"/>
      <c r="J1302" s="4"/>
      <c r="K1302" s="4"/>
      <c r="L1302" s="4"/>
      <c r="M1302" s="4"/>
      <c r="N1302" s="4"/>
      <c r="O1302" s="4"/>
      <c r="P1302" s="4"/>
      <c r="Q1302" s="4"/>
      <c r="R1302" s="4"/>
      <c r="S1302" s="4"/>
      <c r="T1302" s="4"/>
      <c r="U1302" s="4"/>
    </row>
    <row r="1303" spans="3:21" ht="19" x14ac:dyDescent="0.25">
      <c r="C1303" s="4"/>
      <c r="D1303" s="4"/>
      <c r="E1303" s="4"/>
      <c r="F1303" s="4"/>
      <c r="G1303" s="4"/>
      <c r="H1303" s="4"/>
      <c r="I1303" s="4"/>
      <c r="J1303" s="4"/>
      <c r="K1303" s="4"/>
      <c r="L1303" s="4"/>
      <c r="M1303" s="4"/>
      <c r="N1303" s="4"/>
      <c r="O1303" s="4"/>
      <c r="P1303" s="4"/>
      <c r="Q1303" s="4"/>
      <c r="R1303" s="4"/>
      <c r="S1303" s="4"/>
      <c r="T1303" s="4"/>
      <c r="U1303" s="4"/>
    </row>
    <row r="1304" spans="3:21" ht="19" x14ac:dyDescent="0.25">
      <c r="C1304" s="4"/>
      <c r="D1304" s="4"/>
      <c r="E1304" s="4"/>
      <c r="F1304" s="4"/>
      <c r="G1304" s="4"/>
      <c r="H1304" s="4"/>
      <c r="I1304" s="4"/>
      <c r="J1304" s="4"/>
      <c r="K1304" s="4"/>
      <c r="L1304" s="4"/>
      <c r="M1304" s="4"/>
      <c r="N1304" s="4"/>
      <c r="O1304" s="4"/>
      <c r="P1304" s="4"/>
      <c r="Q1304" s="4"/>
      <c r="R1304" s="4"/>
      <c r="S1304" s="4"/>
      <c r="T1304" s="4"/>
      <c r="U1304" s="4"/>
    </row>
    <row r="1305" spans="3:21" ht="19" x14ac:dyDescent="0.25">
      <c r="C1305" s="4"/>
      <c r="D1305" s="4"/>
      <c r="E1305" s="4"/>
      <c r="F1305" s="4"/>
      <c r="G1305" s="4"/>
      <c r="H1305" s="4"/>
      <c r="I1305" s="4"/>
      <c r="J1305" s="4"/>
      <c r="K1305" s="4"/>
      <c r="L1305" s="4"/>
      <c r="M1305" s="4"/>
      <c r="N1305" s="4"/>
      <c r="O1305" s="4"/>
      <c r="P1305" s="4"/>
      <c r="Q1305" s="4"/>
      <c r="R1305" s="4"/>
      <c r="S1305" s="4"/>
      <c r="T1305" s="4"/>
      <c r="U1305" s="4"/>
    </row>
    <row r="1306" spans="3:21" ht="19" x14ac:dyDescent="0.25">
      <c r="C1306" s="4"/>
      <c r="D1306" s="4"/>
      <c r="E1306" s="4"/>
      <c r="F1306" s="4"/>
      <c r="G1306" s="4"/>
      <c r="H1306" s="4"/>
      <c r="I1306" s="4"/>
      <c r="J1306" s="4"/>
      <c r="K1306" s="4"/>
      <c r="L1306" s="4"/>
      <c r="M1306" s="4"/>
      <c r="N1306" s="4"/>
      <c r="O1306" s="4"/>
      <c r="P1306" s="4"/>
      <c r="Q1306" s="4"/>
      <c r="R1306" s="4"/>
      <c r="S1306" s="4"/>
      <c r="T1306" s="4"/>
      <c r="U1306" s="4"/>
    </row>
    <row r="1307" spans="3:21" ht="19" x14ac:dyDescent="0.25">
      <c r="C1307" s="4"/>
      <c r="D1307" s="4"/>
      <c r="E1307" s="4"/>
      <c r="F1307" s="4"/>
      <c r="G1307" s="4"/>
      <c r="H1307" s="4"/>
      <c r="I1307" s="4"/>
      <c r="J1307" s="4"/>
      <c r="K1307" s="4"/>
      <c r="L1307" s="4"/>
      <c r="M1307" s="4"/>
      <c r="N1307" s="4"/>
      <c r="O1307" s="4"/>
      <c r="P1307" s="4"/>
      <c r="Q1307" s="4"/>
      <c r="R1307" s="4"/>
      <c r="S1307" s="4"/>
      <c r="T1307" s="4"/>
      <c r="U1307" s="4"/>
    </row>
    <row r="1308" spans="3:21" ht="19" x14ac:dyDescent="0.25">
      <c r="C1308" s="4"/>
      <c r="D1308" s="4"/>
      <c r="E1308" s="4"/>
      <c r="F1308" s="4"/>
      <c r="G1308" s="4"/>
      <c r="H1308" s="4"/>
      <c r="I1308" s="4"/>
      <c r="J1308" s="4"/>
      <c r="K1308" s="4"/>
      <c r="L1308" s="4"/>
      <c r="M1308" s="4"/>
      <c r="N1308" s="4"/>
      <c r="O1308" s="4"/>
      <c r="P1308" s="4"/>
      <c r="Q1308" s="4"/>
      <c r="R1308" s="4"/>
      <c r="S1308" s="4"/>
      <c r="T1308" s="4"/>
      <c r="U1308" s="4"/>
    </row>
    <row r="1309" spans="3:21" ht="19" x14ac:dyDescent="0.25">
      <c r="C1309" s="4"/>
      <c r="D1309" s="4"/>
      <c r="E1309" s="4"/>
      <c r="F1309" s="4"/>
      <c r="G1309" s="4"/>
      <c r="H1309" s="4"/>
      <c r="I1309" s="4"/>
      <c r="J1309" s="4"/>
      <c r="K1309" s="4"/>
      <c r="L1309" s="4"/>
      <c r="M1309" s="4"/>
      <c r="N1309" s="4"/>
      <c r="O1309" s="4"/>
      <c r="P1309" s="4"/>
      <c r="Q1309" s="4"/>
      <c r="R1309" s="4"/>
      <c r="S1309" s="4"/>
      <c r="T1309" s="4"/>
      <c r="U1309" s="4"/>
    </row>
    <row r="1310" spans="3:21" ht="19" x14ac:dyDescent="0.25">
      <c r="C1310" s="4"/>
      <c r="D1310" s="4"/>
      <c r="E1310" s="4"/>
      <c r="F1310" s="4"/>
      <c r="G1310" s="4"/>
      <c r="H1310" s="4"/>
      <c r="I1310" s="4"/>
      <c r="J1310" s="4"/>
      <c r="K1310" s="4"/>
      <c r="L1310" s="4"/>
      <c r="M1310" s="4"/>
      <c r="N1310" s="4"/>
      <c r="O1310" s="4"/>
      <c r="P1310" s="4"/>
      <c r="Q1310" s="4"/>
      <c r="R1310" s="4"/>
      <c r="S1310" s="4"/>
      <c r="T1310" s="4"/>
      <c r="U1310" s="4"/>
    </row>
    <row r="1311" spans="3:21" ht="19" x14ac:dyDescent="0.25">
      <c r="C1311" s="4"/>
      <c r="D1311" s="4"/>
      <c r="E1311" s="4"/>
      <c r="F1311" s="4"/>
      <c r="G1311" s="4"/>
      <c r="H1311" s="4"/>
      <c r="I1311" s="4"/>
      <c r="J1311" s="4"/>
      <c r="K1311" s="4"/>
      <c r="L1311" s="4"/>
      <c r="M1311" s="4"/>
      <c r="N1311" s="4"/>
      <c r="O1311" s="4"/>
      <c r="P1311" s="4"/>
      <c r="Q1311" s="4"/>
      <c r="R1311" s="4"/>
      <c r="S1311" s="4"/>
      <c r="T1311" s="4"/>
      <c r="U1311" s="4"/>
    </row>
    <row r="1312" spans="3:21" ht="19" x14ac:dyDescent="0.25">
      <c r="C1312" s="4"/>
      <c r="D1312" s="4"/>
      <c r="E1312" s="4"/>
      <c r="F1312" s="4"/>
      <c r="G1312" s="4"/>
      <c r="H1312" s="4"/>
      <c r="I1312" s="4"/>
      <c r="J1312" s="4"/>
      <c r="K1312" s="4"/>
      <c r="L1312" s="4"/>
      <c r="M1312" s="4"/>
      <c r="N1312" s="4"/>
      <c r="O1312" s="4"/>
      <c r="P1312" s="4"/>
      <c r="Q1312" s="4"/>
      <c r="R1312" s="4"/>
      <c r="S1312" s="4"/>
      <c r="T1312" s="4"/>
      <c r="U1312" s="4"/>
    </row>
    <row r="1313" spans="3:21" ht="19" x14ac:dyDescent="0.25">
      <c r="C1313" s="4"/>
      <c r="D1313" s="4"/>
      <c r="E1313" s="4"/>
      <c r="F1313" s="4"/>
      <c r="G1313" s="4"/>
      <c r="H1313" s="4"/>
      <c r="I1313" s="4"/>
      <c r="J1313" s="4"/>
      <c r="K1313" s="4"/>
      <c r="L1313" s="4"/>
      <c r="M1313" s="4"/>
      <c r="N1313" s="4"/>
      <c r="O1313" s="4"/>
      <c r="P1313" s="4"/>
      <c r="Q1313" s="4"/>
      <c r="R1313" s="4"/>
      <c r="S1313" s="4"/>
      <c r="T1313" s="4"/>
      <c r="U1313" s="4"/>
    </row>
    <row r="1314" spans="3:21" ht="19" x14ac:dyDescent="0.25">
      <c r="C1314" s="4"/>
      <c r="D1314" s="4"/>
      <c r="E1314" s="4"/>
      <c r="F1314" s="4"/>
      <c r="G1314" s="4"/>
      <c r="H1314" s="4"/>
      <c r="I1314" s="4"/>
      <c r="J1314" s="4"/>
      <c r="K1314" s="4"/>
      <c r="L1314" s="4"/>
      <c r="M1314" s="4"/>
      <c r="N1314" s="4"/>
      <c r="O1314" s="4"/>
      <c r="P1314" s="4"/>
      <c r="Q1314" s="4"/>
      <c r="R1314" s="4"/>
      <c r="S1314" s="4"/>
      <c r="T1314" s="4"/>
      <c r="U1314" s="4"/>
    </row>
    <row r="1315" spans="3:21" ht="19" x14ac:dyDescent="0.25">
      <c r="C1315" s="4"/>
      <c r="D1315" s="4"/>
      <c r="E1315" s="4"/>
      <c r="F1315" s="4"/>
      <c r="G1315" s="4"/>
      <c r="H1315" s="4"/>
      <c r="I1315" s="4"/>
      <c r="J1315" s="4"/>
      <c r="K1315" s="4"/>
      <c r="L1315" s="4"/>
      <c r="M1315" s="4"/>
      <c r="N1315" s="4"/>
      <c r="O1315" s="4"/>
      <c r="P1315" s="4"/>
      <c r="Q1315" s="4"/>
      <c r="R1315" s="4"/>
      <c r="S1315" s="4"/>
      <c r="T1315" s="4"/>
      <c r="U1315" s="4"/>
    </row>
    <row r="1316" spans="3:21" ht="19" x14ac:dyDescent="0.25">
      <c r="C1316" s="4"/>
      <c r="D1316" s="4"/>
      <c r="E1316" s="4"/>
      <c r="F1316" s="4"/>
      <c r="G1316" s="4"/>
      <c r="H1316" s="4"/>
      <c r="I1316" s="4"/>
      <c r="J1316" s="4"/>
      <c r="K1316" s="4"/>
      <c r="L1316" s="4"/>
      <c r="M1316" s="4"/>
      <c r="N1316" s="4"/>
      <c r="O1316" s="4"/>
      <c r="P1316" s="4"/>
      <c r="Q1316" s="4"/>
      <c r="R1316" s="4"/>
      <c r="S1316" s="4"/>
      <c r="T1316" s="4"/>
      <c r="U1316" s="4"/>
    </row>
    <row r="1317" spans="3:21" ht="19" x14ac:dyDescent="0.25">
      <c r="C1317" s="4"/>
      <c r="D1317" s="4"/>
      <c r="E1317" s="4"/>
      <c r="F1317" s="4"/>
      <c r="G1317" s="4"/>
      <c r="H1317" s="4"/>
      <c r="I1317" s="4"/>
      <c r="J1317" s="4"/>
      <c r="K1317" s="4"/>
      <c r="L1317" s="4"/>
      <c r="M1317" s="4"/>
      <c r="N1317" s="4"/>
      <c r="O1317" s="4"/>
      <c r="P1317" s="4"/>
      <c r="Q1317" s="4"/>
      <c r="R1317" s="4"/>
      <c r="S1317" s="4"/>
      <c r="T1317" s="4"/>
      <c r="U1317" s="4"/>
    </row>
    <row r="1318" spans="3:21" ht="19" x14ac:dyDescent="0.25">
      <c r="C1318" s="4"/>
      <c r="D1318" s="4"/>
      <c r="E1318" s="4"/>
      <c r="F1318" s="4"/>
      <c r="G1318" s="4"/>
      <c r="H1318" s="4"/>
      <c r="I1318" s="4"/>
      <c r="J1318" s="4"/>
      <c r="K1318" s="4"/>
      <c r="L1318" s="4"/>
      <c r="M1318" s="4"/>
      <c r="N1318" s="4"/>
      <c r="O1318" s="4"/>
      <c r="P1318" s="4"/>
      <c r="Q1318" s="4"/>
      <c r="R1318" s="4"/>
      <c r="S1318" s="4"/>
      <c r="T1318" s="4"/>
      <c r="U1318" s="4"/>
    </row>
    <row r="1319" spans="3:21" ht="19" x14ac:dyDescent="0.25">
      <c r="C1319" s="4"/>
      <c r="D1319" s="4"/>
      <c r="E1319" s="4"/>
      <c r="F1319" s="4"/>
      <c r="G1319" s="4"/>
      <c r="H1319" s="4"/>
      <c r="I1319" s="4"/>
      <c r="J1319" s="4"/>
      <c r="K1319" s="4"/>
      <c r="L1319" s="4"/>
      <c r="M1319" s="4"/>
      <c r="N1319" s="4"/>
      <c r="O1319" s="4"/>
      <c r="P1319" s="4"/>
      <c r="Q1319" s="4"/>
      <c r="R1319" s="4"/>
      <c r="S1319" s="4"/>
      <c r="T1319" s="4"/>
      <c r="U1319" s="4"/>
    </row>
    <row r="1320" spans="3:21" ht="19" x14ac:dyDescent="0.25">
      <c r="C1320" s="4"/>
      <c r="D1320" s="4"/>
      <c r="E1320" s="4"/>
      <c r="F1320" s="4"/>
      <c r="G1320" s="4"/>
      <c r="H1320" s="4"/>
      <c r="I1320" s="4"/>
      <c r="J1320" s="4"/>
      <c r="K1320" s="4"/>
      <c r="L1320" s="4"/>
      <c r="M1320" s="4"/>
      <c r="N1320" s="4"/>
      <c r="O1320" s="4"/>
      <c r="P1320" s="4"/>
      <c r="Q1320" s="4"/>
      <c r="R1320" s="4"/>
      <c r="S1320" s="4"/>
      <c r="T1320" s="4"/>
      <c r="U1320" s="4"/>
    </row>
    <row r="1321" spans="3:21" ht="19" x14ac:dyDescent="0.25">
      <c r="C1321" s="4"/>
      <c r="D1321" s="4"/>
      <c r="E1321" s="4"/>
      <c r="F1321" s="4"/>
      <c r="G1321" s="4"/>
      <c r="H1321" s="4"/>
      <c r="I1321" s="4"/>
      <c r="J1321" s="4"/>
      <c r="K1321" s="4"/>
      <c r="L1321" s="4"/>
      <c r="M1321" s="4"/>
      <c r="N1321" s="4"/>
      <c r="O1321" s="4"/>
      <c r="P1321" s="4"/>
      <c r="Q1321" s="4"/>
      <c r="R1321" s="4"/>
      <c r="S1321" s="4"/>
      <c r="T1321" s="4"/>
      <c r="U1321" s="4"/>
    </row>
    <row r="1322" spans="3:21" ht="19" x14ac:dyDescent="0.25">
      <c r="C1322" s="4"/>
      <c r="D1322" s="4"/>
      <c r="E1322" s="4"/>
      <c r="F1322" s="4"/>
      <c r="G1322" s="4"/>
      <c r="H1322" s="4"/>
      <c r="I1322" s="4"/>
      <c r="J1322" s="4"/>
      <c r="K1322" s="4"/>
      <c r="L1322" s="4"/>
      <c r="M1322" s="4"/>
      <c r="N1322" s="4"/>
      <c r="O1322" s="4"/>
      <c r="P1322" s="4"/>
      <c r="Q1322" s="4"/>
      <c r="R1322" s="4"/>
      <c r="S1322" s="4"/>
      <c r="T1322" s="4"/>
      <c r="U1322" s="4"/>
    </row>
    <row r="1323" spans="3:21" ht="19" x14ac:dyDescent="0.25">
      <c r="C1323" s="4"/>
      <c r="D1323" s="4"/>
      <c r="E1323" s="4"/>
      <c r="F1323" s="4"/>
      <c r="G1323" s="4"/>
      <c r="H1323" s="4"/>
      <c r="I1323" s="4"/>
      <c r="J1323" s="4"/>
      <c r="K1323" s="4"/>
      <c r="L1323" s="4"/>
      <c r="M1323" s="4"/>
      <c r="N1323" s="4"/>
      <c r="O1323" s="4"/>
      <c r="P1323" s="4"/>
      <c r="Q1323" s="4"/>
      <c r="R1323" s="4"/>
      <c r="S1323" s="4"/>
      <c r="T1323" s="4"/>
      <c r="U1323" s="4"/>
    </row>
    <row r="1324" spans="3:21" ht="19" x14ac:dyDescent="0.25">
      <c r="C1324" s="4"/>
      <c r="D1324" s="4"/>
      <c r="E1324" s="4"/>
      <c r="F1324" s="4"/>
      <c r="G1324" s="4"/>
      <c r="H1324" s="4"/>
      <c r="I1324" s="4"/>
      <c r="J1324" s="4"/>
      <c r="K1324" s="4"/>
      <c r="L1324" s="4"/>
      <c r="M1324" s="4"/>
      <c r="N1324" s="4"/>
      <c r="O1324" s="4"/>
      <c r="P1324" s="4"/>
      <c r="Q1324" s="4"/>
      <c r="R1324" s="4"/>
      <c r="S1324" s="4"/>
      <c r="T1324" s="4"/>
      <c r="U1324" s="4"/>
    </row>
    <row r="1325" spans="3:21" ht="19" x14ac:dyDescent="0.25">
      <c r="C1325" s="4"/>
      <c r="D1325" s="4"/>
      <c r="E1325" s="4"/>
      <c r="F1325" s="4"/>
      <c r="G1325" s="4"/>
      <c r="H1325" s="4"/>
      <c r="I1325" s="4"/>
      <c r="J1325" s="4"/>
      <c r="K1325" s="4"/>
      <c r="L1325" s="4"/>
      <c r="M1325" s="4"/>
      <c r="N1325" s="4"/>
      <c r="O1325" s="4"/>
      <c r="P1325" s="4"/>
      <c r="Q1325" s="4"/>
      <c r="R1325" s="4"/>
      <c r="S1325" s="4"/>
      <c r="T1325" s="4"/>
      <c r="U1325" s="4"/>
    </row>
    <row r="1326" spans="3:21" ht="19" x14ac:dyDescent="0.25">
      <c r="C1326" s="4"/>
      <c r="D1326" s="4"/>
      <c r="E1326" s="4"/>
      <c r="F1326" s="4"/>
      <c r="G1326" s="4"/>
      <c r="H1326" s="4"/>
      <c r="I1326" s="4"/>
      <c r="J1326" s="4"/>
      <c r="K1326" s="4"/>
      <c r="L1326" s="4"/>
      <c r="M1326" s="4"/>
      <c r="N1326" s="4"/>
      <c r="O1326" s="4"/>
      <c r="P1326" s="4"/>
      <c r="Q1326" s="4"/>
      <c r="R1326" s="4"/>
      <c r="S1326" s="4"/>
      <c r="T1326" s="4"/>
      <c r="U1326" s="4"/>
    </row>
    <row r="1327" spans="3:21" ht="19" x14ac:dyDescent="0.25">
      <c r="C1327" s="4"/>
      <c r="D1327" s="4"/>
      <c r="E1327" s="4"/>
      <c r="F1327" s="4"/>
      <c r="G1327" s="4"/>
      <c r="H1327" s="4"/>
      <c r="I1327" s="4"/>
      <c r="J1327" s="4"/>
      <c r="K1327" s="4"/>
      <c r="L1327" s="4"/>
      <c r="M1327" s="4"/>
      <c r="N1327" s="4"/>
      <c r="O1327" s="4"/>
      <c r="P1327" s="4"/>
      <c r="Q1327" s="4"/>
      <c r="R1327" s="4"/>
      <c r="S1327" s="4"/>
      <c r="T1327" s="4"/>
      <c r="U1327" s="4"/>
    </row>
    <row r="1328" spans="3:21" ht="19" x14ac:dyDescent="0.25">
      <c r="C1328" s="4"/>
      <c r="D1328" s="4"/>
      <c r="E1328" s="4"/>
      <c r="F1328" s="4"/>
      <c r="G1328" s="4"/>
      <c r="H1328" s="4"/>
      <c r="I1328" s="4"/>
      <c r="J1328" s="4"/>
      <c r="K1328" s="4"/>
      <c r="L1328" s="4"/>
      <c r="M1328" s="4"/>
      <c r="N1328" s="4"/>
      <c r="O1328" s="4"/>
      <c r="P1328" s="4"/>
      <c r="Q1328" s="4"/>
      <c r="R1328" s="4"/>
      <c r="S1328" s="4"/>
      <c r="T1328" s="4"/>
      <c r="U1328" s="4"/>
    </row>
    <row r="1329" spans="3:21" ht="19" x14ac:dyDescent="0.25">
      <c r="C1329" s="4"/>
      <c r="D1329" s="4"/>
      <c r="E1329" s="4"/>
      <c r="F1329" s="4"/>
      <c r="G1329" s="4"/>
      <c r="H1329" s="4"/>
      <c r="I1329" s="4"/>
      <c r="J1329" s="4"/>
      <c r="K1329" s="4"/>
      <c r="L1329" s="4"/>
      <c r="M1329" s="4"/>
      <c r="N1329" s="4"/>
      <c r="O1329" s="4"/>
      <c r="P1329" s="4"/>
      <c r="Q1329" s="4"/>
      <c r="R1329" s="4"/>
      <c r="S1329" s="4"/>
      <c r="T1329" s="4"/>
      <c r="U1329" s="4"/>
    </row>
    <row r="1330" spans="3:21" ht="19" x14ac:dyDescent="0.25">
      <c r="C1330" s="4"/>
      <c r="D1330" s="4"/>
      <c r="E1330" s="4"/>
      <c r="F1330" s="4"/>
      <c r="G1330" s="4"/>
      <c r="H1330" s="4"/>
      <c r="I1330" s="4"/>
      <c r="J1330" s="4"/>
      <c r="K1330" s="4"/>
      <c r="L1330" s="4"/>
      <c r="M1330" s="4"/>
      <c r="N1330" s="4"/>
      <c r="O1330" s="4"/>
      <c r="P1330" s="4"/>
      <c r="Q1330" s="4"/>
      <c r="R1330" s="4"/>
      <c r="S1330" s="4"/>
      <c r="T1330" s="4"/>
      <c r="U1330" s="4"/>
    </row>
    <row r="1331" spans="3:21" ht="19" x14ac:dyDescent="0.25">
      <c r="C1331" s="4"/>
      <c r="D1331" s="4"/>
      <c r="E1331" s="4"/>
      <c r="F1331" s="4"/>
      <c r="G1331" s="4"/>
      <c r="H1331" s="4"/>
      <c r="I1331" s="4"/>
      <c r="J1331" s="4"/>
      <c r="K1331" s="4"/>
      <c r="L1331" s="4"/>
      <c r="M1331" s="4"/>
      <c r="N1331" s="4"/>
      <c r="O1331" s="4"/>
      <c r="P1331" s="4"/>
      <c r="Q1331" s="4"/>
      <c r="R1331" s="4"/>
      <c r="S1331" s="4"/>
      <c r="T1331" s="4"/>
      <c r="U1331" s="4"/>
    </row>
    <row r="1332" spans="3:21" ht="19" x14ac:dyDescent="0.25">
      <c r="C1332" s="4"/>
      <c r="D1332" s="4"/>
      <c r="E1332" s="4"/>
      <c r="F1332" s="4"/>
      <c r="G1332" s="4"/>
      <c r="H1332" s="4"/>
      <c r="I1332" s="4"/>
      <c r="J1332" s="4"/>
      <c r="K1332" s="4"/>
      <c r="L1332" s="4"/>
      <c r="M1332" s="4"/>
      <c r="N1332" s="4"/>
      <c r="O1332" s="4"/>
      <c r="P1332" s="4"/>
      <c r="Q1332" s="4"/>
      <c r="R1332" s="4"/>
      <c r="S1332" s="4"/>
      <c r="T1332" s="4"/>
      <c r="U1332" s="4"/>
    </row>
    <row r="1333" spans="3:21" ht="19" x14ac:dyDescent="0.25">
      <c r="C1333" s="4"/>
      <c r="D1333" s="4"/>
      <c r="E1333" s="4"/>
      <c r="F1333" s="4"/>
      <c r="G1333" s="4"/>
      <c r="H1333" s="4"/>
      <c r="I1333" s="4"/>
      <c r="J1333" s="4"/>
      <c r="K1333" s="4"/>
      <c r="L1333" s="4"/>
      <c r="M1333" s="4"/>
      <c r="N1333" s="4"/>
      <c r="O1333" s="4"/>
      <c r="P1333" s="4"/>
      <c r="Q1333" s="4"/>
      <c r="R1333" s="4"/>
      <c r="S1333" s="4"/>
      <c r="T1333" s="4"/>
      <c r="U1333" s="4"/>
    </row>
    <row r="1334" spans="3:21" ht="19" x14ac:dyDescent="0.25">
      <c r="C1334" s="4"/>
      <c r="D1334" s="4"/>
      <c r="E1334" s="4"/>
      <c r="F1334" s="4"/>
      <c r="G1334" s="4"/>
      <c r="H1334" s="4"/>
      <c r="I1334" s="4"/>
      <c r="J1334" s="4"/>
      <c r="K1334" s="4"/>
      <c r="L1334" s="4"/>
      <c r="M1334" s="4"/>
      <c r="N1334" s="4"/>
      <c r="O1334" s="4"/>
      <c r="P1334" s="4"/>
      <c r="Q1334" s="4"/>
      <c r="R1334" s="4"/>
      <c r="S1334" s="4"/>
      <c r="T1334" s="4"/>
      <c r="U1334" s="4"/>
    </row>
    <row r="1335" spans="3:21" ht="19" x14ac:dyDescent="0.25">
      <c r="C1335" s="4"/>
      <c r="D1335" s="4"/>
      <c r="E1335" s="4"/>
      <c r="F1335" s="4"/>
      <c r="G1335" s="4"/>
      <c r="H1335" s="4"/>
      <c r="I1335" s="4"/>
      <c r="J1335" s="4"/>
      <c r="K1335" s="4"/>
      <c r="L1335" s="4"/>
      <c r="M1335" s="4"/>
      <c r="N1335" s="4"/>
      <c r="O1335" s="4"/>
      <c r="P1335" s="4"/>
      <c r="Q1335" s="4"/>
      <c r="R1335" s="4"/>
      <c r="S1335" s="4"/>
      <c r="T1335" s="4"/>
      <c r="U1335" s="4"/>
    </row>
    <row r="1336" spans="3:21" ht="19" x14ac:dyDescent="0.25">
      <c r="C1336" s="4"/>
      <c r="D1336" s="4"/>
      <c r="E1336" s="4"/>
      <c r="F1336" s="4"/>
      <c r="G1336" s="4"/>
      <c r="H1336" s="4"/>
      <c r="I1336" s="4"/>
      <c r="J1336" s="4"/>
      <c r="K1336" s="4"/>
      <c r="L1336" s="4"/>
      <c r="M1336" s="4"/>
      <c r="N1336" s="4"/>
      <c r="O1336" s="4"/>
      <c r="P1336" s="4"/>
      <c r="Q1336" s="4"/>
      <c r="R1336" s="4"/>
      <c r="S1336" s="4"/>
      <c r="T1336" s="4"/>
      <c r="U1336" s="4"/>
    </row>
    <row r="1337" spans="3:21" ht="19" x14ac:dyDescent="0.25">
      <c r="C1337" s="4"/>
      <c r="D1337" s="4"/>
      <c r="E1337" s="4"/>
      <c r="F1337" s="4"/>
      <c r="G1337" s="4"/>
      <c r="H1337" s="4"/>
      <c r="I1337" s="4"/>
      <c r="J1337" s="4"/>
      <c r="K1337" s="4"/>
      <c r="L1337" s="4"/>
      <c r="M1337" s="4"/>
      <c r="N1337" s="4"/>
      <c r="O1337" s="4"/>
      <c r="P1337" s="4"/>
      <c r="Q1337" s="4"/>
      <c r="R1337" s="4"/>
      <c r="S1337" s="4"/>
      <c r="T1337" s="4"/>
      <c r="U1337" s="4"/>
    </row>
    <row r="1338" spans="3:21" ht="19" x14ac:dyDescent="0.25">
      <c r="C1338" s="4"/>
      <c r="D1338" s="4"/>
      <c r="E1338" s="4"/>
      <c r="F1338" s="4"/>
      <c r="G1338" s="4"/>
      <c r="H1338" s="4"/>
      <c r="I1338" s="4"/>
      <c r="J1338" s="4"/>
      <c r="K1338" s="4"/>
      <c r="L1338" s="4"/>
      <c r="M1338" s="4"/>
      <c r="N1338" s="4"/>
      <c r="O1338" s="4"/>
      <c r="P1338" s="4"/>
      <c r="Q1338" s="4"/>
      <c r="R1338" s="4"/>
      <c r="S1338" s="4"/>
      <c r="T1338" s="4"/>
      <c r="U1338" s="4"/>
    </row>
    <row r="1339" spans="3:21" ht="19" x14ac:dyDescent="0.25">
      <c r="C1339" s="4"/>
      <c r="D1339" s="4"/>
      <c r="E1339" s="4"/>
      <c r="F1339" s="4"/>
      <c r="G1339" s="4"/>
      <c r="H1339" s="4"/>
      <c r="I1339" s="4"/>
      <c r="J1339" s="4"/>
      <c r="K1339" s="4"/>
      <c r="L1339" s="4"/>
      <c r="M1339" s="4"/>
      <c r="N1339" s="4"/>
      <c r="O1339" s="4"/>
      <c r="P1339" s="4"/>
      <c r="Q1339" s="4"/>
      <c r="R1339" s="4"/>
      <c r="S1339" s="4"/>
      <c r="T1339" s="4"/>
      <c r="U1339" s="4"/>
    </row>
    <row r="1340" spans="3:21" ht="19" x14ac:dyDescent="0.25">
      <c r="C1340" s="4"/>
      <c r="D1340" s="4"/>
      <c r="E1340" s="4"/>
      <c r="F1340" s="4"/>
      <c r="G1340" s="4"/>
      <c r="H1340" s="4"/>
      <c r="I1340" s="4"/>
      <c r="J1340" s="4"/>
      <c r="K1340" s="4"/>
      <c r="L1340" s="4"/>
      <c r="M1340" s="4"/>
      <c r="N1340" s="4"/>
      <c r="O1340" s="4"/>
      <c r="P1340" s="4"/>
      <c r="Q1340" s="4"/>
      <c r="R1340" s="4"/>
      <c r="S1340" s="4"/>
      <c r="T1340" s="4"/>
      <c r="U1340" s="4"/>
    </row>
    <row r="1341" spans="3:21" ht="19" x14ac:dyDescent="0.25">
      <c r="C1341" s="4"/>
      <c r="D1341" s="4"/>
      <c r="E1341" s="4"/>
      <c r="F1341" s="4"/>
      <c r="G1341" s="4"/>
      <c r="H1341" s="4"/>
      <c r="I1341" s="4"/>
      <c r="J1341" s="4"/>
      <c r="K1341" s="4"/>
      <c r="L1341" s="4"/>
      <c r="M1341" s="4"/>
      <c r="N1341" s="4"/>
      <c r="O1341" s="4"/>
      <c r="P1341" s="4"/>
      <c r="Q1341" s="4"/>
      <c r="R1341" s="4"/>
      <c r="S1341" s="4"/>
      <c r="T1341" s="4"/>
      <c r="U1341" s="4"/>
    </row>
    <row r="1342" spans="3:21" ht="19" x14ac:dyDescent="0.25">
      <c r="C1342" s="4"/>
      <c r="D1342" s="4"/>
      <c r="E1342" s="4"/>
      <c r="F1342" s="4"/>
      <c r="G1342" s="4"/>
      <c r="H1342" s="4"/>
      <c r="I1342" s="4"/>
      <c r="J1342" s="4"/>
      <c r="K1342" s="4"/>
      <c r="L1342" s="4"/>
      <c r="M1342" s="4"/>
      <c r="N1342" s="4"/>
      <c r="O1342" s="4"/>
      <c r="P1342" s="4"/>
      <c r="Q1342" s="4"/>
      <c r="R1342" s="4"/>
      <c r="S1342" s="4"/>
      <c r="T1342" s="4"/>
      <c r="U1342" s="4"/>
    </row>
    <row r="1343" spans="3:21" ht="19" x14ac:dyDescent="0.25">
      <c r="C1343" s="4"/>
      <c r="D1343" s="4"/>
      <c r="E1343" s="4"/>
      <c r="F1343" s="4"/>
      <c r="G1343" s="4"/>
      <c r="H1343" s="4"/>
      <c r="I1343" s="4"/>
      <c r="J1343" s="4"/>
      <c r="K1343" s="4"/>
      <c r="L1343" s="4"/>
      <c r="M1343" s="4"/>
      <c r="N1343" s="4"/>
      <c r="O1343" s="4"/>
      <c r="P1343" s="4"/>
      <c r="Q1343" s="4"/>
      <c r="R1343" s="4"/>
      <c r="S1343" s="4"/>
      <c r="T1343" s="4"/>
      <c r="U1343" s="4"/>
    </row>
    <row r="1344" spans="3:21" ht="19" x14ac:dyDescent="0.25">
      <c r="C1344" s="4"/>
      <c r="D1344" s="4"/>
      <c r="E1344" s="4"/>
      <c r="F1344" s="4"/>
      <c r="G1344" s="4"/>
      <c r="H1344" s="4"/>
      <c r="I1344" s="4"/>
      <c r="J1344" s="4"/>
      <c r="K1344" s="4"/>
      <c r="L1344" s="4"/>
      <c r="M1344" s="4"/>
      <c r="N1344" s="4"/>
      <c r="O1344" s="4"/>
      <c r="P1344" s="4"/>
      <c r="Q1344" s="4"/>
      <c r="R1344" s="4"/>
      <c r="S1344" s="4"/>
      <c r="T1344" s="4"/>
      <c r="U1344" s="4"/>
    </row>
    <row r="1345" spans="3:21" ht="19" x14ac:dyDescent="0.25">
      <c r="C1345" s="4"/>
      <c r="D1345" s="4"/>
      <c r="E1345" s="4"/>
      <c r="F1345" s="4"/>
      <c r="G1345" s="4"/>
      <c r="H1345" s="4"/>
      <c r="I1345" s="4"/>
      <c r="J1345" s="4"/>
      <c r="K1345" s="4"/>
      <c r="L1345" s="4"/>
      <c r="M1345" s="4"/>
      <c r="N1345" s="4"/>
      <c r="O1345" s="4"/>
      <c r="P1345" s="4"/>
      <c r="Q1345" s="4"/>
      <c r="R1345" s="4"/>
      <c r="S1345" s="4"/>
      <c r="T1345" s="4"/>
      <c r="U1345" s="4"/>
    </row>
    <row r="1346" spans="3:21" ht="19" x14ac:dyDescent="0.25">
      <c r="C1346" s="4"/>
      <c r="D1346" s="4"/>
      <c r="E1346" s="4"/>
      <c r="F1346" s="4"/>
      <c r="G1346" s="4"/>
      <c r="H1346" s="4"/>
      <c r="I1346" s="4"/>
      <c r="J1346" s="4"/>
      <c r="K1346" s="4"/>
      <c r="L1346" s="4"/>
      <c r="M1346" s="4"/>
      <c r="N1346" s="4"/>
      <c r="O1346" s="4"/>
      <c r="P1346" s="4"/>
      <c r="Q1346" s="4"/>
      <c r="R1346" s="4"/>
      <c r="S1346" s="4"/>
      <c r="T1346" s="4"/>
      <c r="U1346" s="4"/>
    </row>
    <row r="1347" spans="3:21" ht="19" x14ac:dyDescent="0.25">
      <c r="C1347" s="4"/>
      <c r="D1347" s="4"/>
      <c r="E1347" s="4"/>
      <c r="F1347" s="4"/>
      <c r="G1347" s="4"/>
      <c r="H1347" s="4"/>
      <c r="I1347" s="4"/>
      <c r="J1347" s="4"/>
      <c r="K1347" s="4"/>
      <c r="L1347" s="4"/>
      <c r="M1347" s="4"/>
      <c r="N1347" s="4"/>
      <c r="O1347" s="4"/>
      <c r="P1347" s="4"/>
      <c r="Q1347" s="4"/>
      <c r="R1347" s="4"/>
      <c r="S1347" s="4"/>
      <c r="T1347" s="4"/>
      <c r="U1347" s="4"/>
    </row>
    <row r="1348" spans="3:21" ht="19" x14ac:dyDescent="0.25">
      <c r="C1348" s="4"/>
      <c r="D1348" s="4"/>
      <c r="E1348" s="4"/>
      <c r="F1348" s="4"/>
      <c r="G1348" s="4"/>
      <c r="H1348" s="4"/>
      <c r="I1348" s="4"/>
      <c r="J1348" s="4"/>
      <c r="K1348" s="4"/>
      <c r="L1348" s="4"/>
      <c r="M1348" s="4"/>
      <c r="N1348" s="4"/>
      <c r="O1348" s="4"/>
      <c r="P1348" s="4"/>
      <c r="Q1348" s="4"/>
      <c r="R1348" s="4"/>
      <c r="S1348" s="4"/>
      <c r="T1348" s="4"/>
      <c r="U1348" s="4"/>
    </row>
    <row r="1349" spans="3:21" ht="19" x14ac:dyDescent="0.25">
      <c r="C1349" s="4"/>
      <c r="D1349" s="4"/>
      <c r="E1349" s="4"/>
      <c r="F1349" s="4"/>
      <c r="G1349" s="4"/>
      <c r="H1349" s="4"/>
      <c r="I1349" s="4"/>
      <c r="J1349" s="4"/>
      <c r="K1349" s="4"/>
      <c r="L1349" s="4"/>
      <c r="M1349" s="4"/>
      <c r="N1349" s="4"/>
      <c r="O1349" s="4"/>
      <c r="P1349" s="4"/>
      <c r="Q1349" s="4"/>
      <c r="R1349" s="4"/>
      <c r="S1349" s="4"/>
      <c r="T1349" s="4"/>
      <c r="U1349" s="4"/>
    </row>
    <row r="1350" spans="3:21" ht="19" x14ac:dyDescent="0.25">
      <c r="C1350" s="4"/>
      <c r="D1350" s="4"/>
      <c r="E1350" s="4"/>
      <c r="F1350" s="4"/>
      <c r="G1350" s="4"/>
      <c r="H1350" s="4"/>
      <c r="I1350" s="4"/>
      <c r="J1350" s="4"/>
      <c r="K1350" s="4"/>
      <c r="L1350" s="4"/>
      <c r="M1350" s="4"/>
      <c r="N1350" s="4"/>
      <c r="O1350" s="4"/>
      <c r="P1350" s="4"/>
      <c r="Q1350" s="4"/>
      <c r="R1350" s="4"/>
      <c r="S1350" s="4"/>
      <c r="T1350" s="4"/>
      <c r="U1350" s="4"/>
    </row>
    <row r="1351" spans="3:21" ht="19" x14ac:dyDescent="0.25">
      <c r="C1351" s="4"/>
      <c r="D1351" s="4"/>
      <c r="E1351" s="4"/>
      <c r="F1351" s="4"/>
      <c r="G1351" s="4"/>
      <c r="H1351" s="4"/>
      <c r="I1351" s="4"/>
      <c r="J1351" s="4"/>
      <c r="K1351" s="4"/>
      <c r="L1351" s="4"/>
      <c r="M1351" s="4"/>
      <c r="N1351" s="4"/>
      <c r="O1351" s="4"/>
      <c r="P1351" s="4"/>
      <c r="Q1351" s="4"/>
      <c r="R1351" s="4"/>
      <c r="S1351" s="4"/>
      <c r="T1351" s="4"/>
      <c r="U1351" s="4"/>
    </row>
    <row r="1352" spans="3:21" ht="19" x14ac:dyDescent="0.25">
      <c r="C1352" s="4"/>
      <c r="D1352" s="4"/>
      <c r="E1352" s="4"/>
      <c r="F1352" s="4"/>
      <c r="G1352" s="4"/>
      <c r="H1352" s="4"/>
      <c r="I1352" s="4"/>
      <c r="J1352" s="4"/>
      <c r="K1352" s="4"/>
      <c r="L1352" s="4"/>
      <c r="M1352" s="4"/>
      <c r="N1352" s="4"/>
      <c r="O1352" s="4"/>
      <c r="P1352" s="4"/>
      <c r="Q1352" s="4"/>
      <c r="R1352" s="4"/>
      <c r="S1352" s="4"/>
      <c r="T1352" s="4"/>
      <c r="U1352" s="4"/>
    </row>
    <row r="1353" spans="3:21" ht="19" x14ac:dyDescent="0.25">
      <c r="C1353" s="4"/>
      <c r="D1353" s="4"/>
      <c r="E1353" s="4"/>
      <c r="F1353" s="4"/>
      <c r="G1353" s="4"/>
      <c r="H1353" s="4"/>
      <c r="I1353" s="4"/>
      <c r="J1353" s="4"/>
      <c r="K1353" s="4"/>
      <c r="L1353" s="4"/>
      <c r="M1353" s="4"/>
      <c r="N1353" s="4"/>
      <c r="O1353" s="4"/>
      <c r="P1353" s="4"/>
      <c r="Q1353" s="4"/>
      <c r="R1353" s="4"/>
      <c r="S1353" s="4"/>
      <c r="T1353" s="4"/>
      <c r="U1353" s="4"/>
    </row>
    <row r="1354" spans="3:21" ht="19" x14ac:dyDescent="0.25">
      <c r="C1354" s="4"/>
      <c r="D1354" s="4"/>
      <c r="E1354" s="4"/>
      <c r="F1354" s="4"/>
      <c r="G1354" s="4"/>
      <c r="H1354" s="4"/>
      <c r="I1354" s="4"/>
      <c r="J1354" s="4"/>
      <c r="K1354" s="4"/>
      <c r="L1354" s="4"/>
      <c r="M1354" s="4"/>
      <c r="N1354" s="4"/>
      <c r="O1354" s="4"/>
      <c r="P1354" s="4"/>
      <c r="Q1354" s="4"/>
      <c r="R1354" s="4"/>
      <c r="S1354" s="4"/>
      <c r="T1354" s="4"/>
      <c r="U1354" s="4"/>
    </row>
    <row r="1355" spans="3:21" ht="19" x14ac:dyDescent="0.25">
      <c r="C1355" s="4"/>
      <c r="D1355" s="4"/>
      <c r="E1355" s="4"/>
      <c r="F1355" s="4"/>
      <c r="G1355" s="4"/>
      <c r="H1355" s="4"/>
      <c r="I1355" s="4"/>
      <c r="J1355" s="4"/>
      <c r="K1355" s="4"/>
      <c r="L1355" s="4"/>
      <c r="M1355" s="4"/>
      <c r="N1355" s="4"/>
      <c r="O1355" s="4"/>
      <c r="P1355" s="4"/>
      <c r="Q1355" s="4"/>
      <c r="R1355" s="4"/>
      <c r="S1355" s="4"/>
      <c r="T1355" s="4"/>
      <c r="U1355" s="4"/>
    </row>
    <row r="1356" spans="3:21" ht="19" x14ac:dyDescent="0.25">
      <c r="C1356" s="4"/>
      <c r="D1356" s="4"/>
      <c r="E1356" s="4"/>
      <c r="F1356" s="4"/>
      <c r="G1356" s="4"/>
      <c r="H1356" s="4"/>
      <c r="I1356" s="4"/>
      <c r="J1356" s="4"/>
      <c r="K1356" s="4"/>
      <c r="L1356" s="4"/>
      <c r="M1356" s="4"/>
      <c r="N1356" s="4"/>
      <c r="O1356" s="4"/>
      <c r="P1356" s="4"/>
      <c r="Q1356" s="4"/>
      <c r="R1356" s="4"/>
      <c r="S1356" s="4"/>
      <c r="T1356" s="4"/>
      <c r="U1356" s="4"/>
    </row>
    <row r="1357" spans="3:21" ht="19" x14ac:dyDescent="0.25">
      <c r="C1357" s="4"/>
      <c r="D1357" s="4"/>
      <c r="E1357" s="4"/>
      <c r="F1357" s="4"/>
      <c r="G1357" s="4"/>
      <c r="H1357" s="4"/>
      <c r="I1357" s="4"/>
      <c r="J1357" s="4"/>
      <c r="K1357" s="4"/>
      <c r="L1357" s="4"/>
      <c r="M1357" s="4"/>
      <c r="N1357" s="4"/>
      <c r="O1357" s="4"/>
      <c r="P1357" s="4"/>
      <c r="Q1357" s="4"/>
      <c r="R1357" s="4"/>
      <c r="S1357" s="4"/>
      <c r="T1357" s="4"/>
      <c r="U1357" s="4"/>
    </row>
    <row r="1358" spans="3:21" ht="19" x14ac:dyDescent="0.25">
      <c r="C1358" s="4"/>
      <c r="D1358" s="4"/>
      <c r="E1358" s="4"/>
      <c r="F1358" s="4"/>
      <c r="G1358" s="4"/>
      <c r="H1358" s="4"/>
      <c r="I1358" s="4"/>
      <c r="J1358" s="4"/>
      <c r="K1358" s="4"/>
      <c r="L1358" s="4"/>
      <c r="M1358" s="4"/>
      <c r="N1358" s="4"/>
      <c r="O1358" s="4"/>
      <c r="P1358" s="4"/>
      <c r="Q1358" s="4"/>
      <c r="R1358" s="4"/>
      <c r="S1358" s="4"/>
      <c r="T1358" s="4"/>
      <c r="U1358" s="4"/>
    </row>
    <row r="1359" spans="3:21" ht="19" x14ac:dyDescent="0.25">
      <c r="C1359" s="4"/>
      <c r="D1359" s="4"/>
      <c r="E1359" s="4"/>
      <c r="F1359" s="4"/>
      <c r="G1359" s="4"/>
      <c r="H1359" s="4"/>
      <c r="I1359" s="4"/>
      <c r="J1359" s="4"/>
      <c r="K1359" s="4"/>
      <c r="L1359" s="4"/>
      <c r="M1359" s="4"/>
      <c r="N1359" s="4"/>
      <c r="O1359" s="4"/>
      <c r="P1359" s="4"/>
      <c r="Q1359" s="4"/>
      <c r="R1359" s="4"/>
      <c r="S1359" s="4"/>
      <c r="T1359" s="4"/>
      <c r="U1359" s="4"/>
    </row>
    <row r="1360" spans="3:21" ht="19" x14ac:dyDescent="0.25">
      <c r="C1360" s="4"/>
      <c r="D1360" s="4"/>
      <c r="E1360" s="4"/>
      <c r="F1360" s="4"/>
      <c r="G1360" s="4"/>
      <c r="H1360" s="4"/>
      <c r="I1360" s="4"/>
      <c r="J1360" s="4"/>
      <c r="K1360" s="4"/>
      <c r="L1360" s="4"/>
      <c r="M1360" s="4"/>
      <c r="N1360" s="4"/>
      <c r="O1360" s="4"/>
      <c r="P1360" s="4"/>
      <c r="Q1360" s="4"/>
      <c r="R1360" s="4"/>
      <c r="S1360" s="4"/>
      <c r="T1360" s="4"/>
      <c r="U1360" s="4"/>
    </row>
    <row r="1361" spans="3:21" ht="19" x14ac:dyDescent="0.25">
      <c r="C1361" s="4"/>
      <c r="D1361" s="4"/>
      <c r="E1361" s="4"/>
      <c r="F1361" s="4"/>
      <c r="G1361" s="4"/>
      <c r="H1361" s="4"/>
      <c r="I1361" s="4"/>
      <c r="J1361" s="4"/>
      <c r="K1361" s="4"/>
      <c r="L1361" s="4"/>
      <c r="M1361" s="4"/>
      <c r="N1361" s="4"/>
      <c r="O1361" s="4"/>
      <c r="P1361" s="4"/>
      <c r="Q1361" s="4"/>
      <c r="R1361" s="4"/>
      <c r="S1361" s="4"/>
      <c r="T1361" s="4"/>
      <c r="U1361" s="4"/>
    </row>
    <row r="1362" spans="3:21" ht="19" x14ac:dyDescent="0.25">
      <c r="C1362" s="4"/>
      <c r="D1362" s="4"/>
      <c r="E1362" s="4"/>
      <c r="F1362" s="4"/>
      <c r="G1362" s="4"/>
      <c r="H1362" s="4"/>
      <c r="I1362" s="4"/>
      <c r="J1362" s="4"/>
      <c r="K1362" s="4"/>
      <c r="L1362" s="4"/>
      <c r="M1362" s="4"/>
      <c r="N1362" s="4"/>
      <c r="O1362" s="4"/>
      <c r="P1362" s="4"/>
      <c r="Q1362" s="4"/>
      <c r="R1362" s="4"/>
      <c r="S1362" s="4"/>
      <c r="T1362" s="4"/>
      <c r="U1362" s="4"/>
    </row>
    <row r="1363" spans="3:21" ht="19" x14ac:dyDescent="0.25">
      <c r="C1363" s="4"/>
      <c r="D1363" s="4"/>
      <c r="E1363" s="4"/>
      <c r="F1363" s="4"/>
      <c r="G1363" s="4"/>
      <c r="H1363" s="4"/>
      <c r="I1363" s="4"/>
      <c r="J1363" s="4"/>
      <c r="K1363" s="4"/>
      <c r="L1363" s="4"/>
      <c r="M1363" s="4"/>
      <c r="N1363" s="4"/>
      <c r="O1363" s="4"/>
      <c r="P1363" s="4"/>
      <c r="Q1363" s="4"/>
      <c r="R1363" s="4"/>
      <c r="S1363" s="4"/>
      <c r="T1363" s="4"/>
      <c r="U1363" s="4"/>
    </row>
    <row r="1364" spans="3:21" ht="19" x14ac:dyDescent="0.25">
      <c r="C1364" s="4"/>
      <c r="D1364" s="4"/>
      <c r="E1364" s="4"/>
      <c r="F1364" s="4"/>
      <c r="G1364" s="4"/>
      <c r="H1364" s="4"/>
      <c r="I1364" s="4"/>
      <c r="J1364" s="4"/>
      <c r="K1364" s="4"/>
      <c r="L1364" s="4"/>
      <c r="M1364" s="4"/>
      <c r="N1364" s="4"/>
      <c r="O1364" s="4"/>
      <c r="P1364" s="4"/>
      <c r="Q1364" s="4"/>
      <c r="R1364" s="4"/>
      <c r="S1364" s="4"/>
      <c r="T1364" s="4"/>
      <c r="U1364" s="4"/>
    </row>
    <row r="1365" spans="3:21" ht="19" x14ac:dyDescent="0.25">
      <c r="C1365" s="4"/>
      <c r="D1365" s="4"/>
      <c r="E1365" s="4"/>
      <c r="F1365" s="4"/>
      <c r="G1365" s="4"/>
      <c r="H1365" s="4"/>
      <c r="I1365" s="4"/>
      <c r="J1365" s="4"/>
      <c r="K1365" s="4"/>
      <c r="L1365" s="4"/>
      <c r="M1365" s="4"/>
      <c r="N1365" s="4"/>
      <c r="O1365" s="4"/>
      <c r="P1365" s="4"/>
      <c r="Q1365" s="4"/>
      <c r="R1365" s="4"/>
      <c r="S1365" s="4"/>
      <c r="T1365" s="4"/>
      <c r="U1365" s="4"/>
    </row>
    <row r="1366" spans="3:21" ht="19" x14ac:dyDescent="0.25">
      <c r="C1366" s="4"/>
      <c r="D1366" s="4"/>
      <c r="E1366" s="4"/>
      <c r="F1366" s="4"/>
      <c r="G1366" s="4"/>
      <c r="H1366" s="4"/>
      <c r="I1366" s="4"/>
      <c r="J1366" s="4"/>
      <c r="K1366" s="4"/>
      <c r="L1366" s="4"/>
      <c r="M1366" s="4"/>
      <c r="N1366" s="4"/>
      <c r="O1366" s="4"/>
      <c r="P1366" s="4"/>
      <c r="Q1366" s="4"/>
      <c r="R1366" s="4"/>
      <c r="S1366" s="4"/>
      <c r="T1366" s="4"/>
      <c r="U1366" s="4"/>
    </row>
    <row r="1367" spans="3:21" ht="19" x14ac:dyDescent="0.25">
      <c r="C1367" s="4"/>
      <c r="D1367" s="4"/>
      <c r="E1367" s="4"/>
      <c r="F1367" s="4"/>
      <c r="G1367" s="4"/>
      <c r="H1367" s="4"/>
      <c r="I1367" s="4"/>
      <c r="J1367" s="4"/>
      <c r="K1367" s="4"/>
      <c r="L1367" s="4"/>
      <c r="M1367" s="4"/>
      <c r="N1367" s="4"/>
      <c r="O1367" s="4"/>
      <c r="P1367" s="4"/>
      <c r="Q1367" s="4"/>
      <c r="R1367" s="4"/>
      <c r="S1367" s="4"/>
      <c r="T1367" s="4"/>
      <c r="U1367" s="4"/>
    </row>
    <row r="1368" spans="3:21" ht="19" x14ac:dyDescent="0.25">
      <c r="C1368" s="4"/>
      <c r="D1368" s="4"/>
      <c r="E1368" s="4"/>
      <c r="F1368" s="4"/>
      <c r="G1368" s="4"/>
      <c r="H1368" s="4"/>
      <c r="I1368" s="4"/>
      <c r="J1368" s="4"/>
      <c r="K1368" s="4"/>
      <c r="L1368" s="4"/>
      <c r="M1368" s="4"/>
      <c r="N1368" s="4"/>
      <c r="O1368" s="4"/>
      <c r="P1368" s="4"/>
      <c r="Q1368" s="4"/>
      <c r="R1368" s="4"/>
      <c r="S1368" s="4"/>
      <c r="T1368" s="4"/>
      <c r="U1368" s="4"/>
    </row>
    <row r="1369" spans="3:21" ht="19" x14ac:dyDescent="0.25">
      <c r="C1369" s="4"/>
      <c r="D1369" s="4"/>
      <c r="E1369" s="4"/>
      <c r="F1369" s="4"/>
      <c r="G1369" s="4"/>
      <c r="H1369" s="4"/>
      <c r="I1369" s="4"/>
      <c r="J1369" s="4"/>
      <c r="K1369" s="4"/>
      <c r="L1369" s="4"/>
      <c r="M1369" s="4"/>
      <c r="N1369" s="4"/>
      <c r="O1369" s="4"/>
      <c r="P1369" s="4"/>
      <c r="Q1369" s="4"/>
      <c r="R1369" s="4"/>
      <c r="S1369" s="4"/>
      <c r="T1369" s="4"/>
      <c r="U1369" s="4"/>
    </row>
    <row r="1370" spans="3:21" ht="19" x14ac:dyDescent="0.25">
      <c r="C1370" s="4"/>
      <c r="D1370" s="4"/>
      <c r="E1370" s="4"/>
      <c r="F1370" s="4"/>
      <c r="G1370" s="4"/>
      <c r="H1370" s="4"/>
      <c r="I1370" s="4"/>
      <c r="J1370" s="4"/>
      <c r="K1370" s="4"/>
      <c r="L1370" s="4"/>
      <c r="M1370" s="4"/>
      <c r="N1370" s="4"/>
      <c r="O1370" s="4"/>
      <c r="P1370" s="4"/>
      <c r="Q1370" s="4"/>
      <c r="R1370" s="4"/>
      <c r="S1370" s="4"/>
      <c r="T1370" s="4"/>
      <c r="U1370" s="4"/>
    </row>
    <row r="1371" spans="3:21" ht="19" x14ac:dyDescent="0.25">
      <c r="C1371" s="4"/>
      <c r="D1371" s="4"/>
      <c r="E1371" s="4"/>
      <c r="F1371" s="4"/>
      <c r="G1371" s="4"/>
      <c r="H1371" s="4"/>
      <c r="I1371" s="4"/>
      <c r="J1371" s="4"/>
      <c r="K1371" s="4"/>
      <c r="L1371" s="4"/>
      <c r="M1371" s="4"/>
      <c r="N1371" s="4"/>
      <c r="O1371" s="4"/>
      <c r="P1371" s="4"/>
      <c r="Q1371" s="4"/>
      <c r="R1371" s="4"/>
      <c r="S1371" s="4"/>
      <c r="T1371" s="4"/>
      <c r="U1371" s="4"/>
    </row>
    <row r="1372" spans="3:21" ht="19" x14ac:dyDescent="0.25">
      <c r="C1372" s="4"/>
      <c r="D1372" s="4"/>
      <c r="E1372" s="4"/>
      <c r="F1372" s="4"/>
      <c r="G1372" s="4"/>
      <c r="H1372" s="4"/>
      <c r="I1372" s="4"/>
      <c r="J1372" s="4"/>
      <c r="K1372" s="4"/>
      <c r="L1372" s="4"/>
      <c r="M1372" s="4"/>
      <c r="N1372" s="4"/>
      <c r="O1372" s="4"/>
      <c r="P1372" s="4"/>
      <c r="Q1372" s="4"/>
      <c r="R1372" s="4"/>
      <c r="S1372" s="4"/>
      <c r="T1372" s="4"/>
      <c r="U1372" s="4"/>
    </row>
    <row r="1373" spans="3:21" ht="19" x14ac:dyDescent="0.25">
      <c r="C1373" s="4"/>
      <c r="D1373" s="4"/>
      <c r="E1373" s="4"/>
      <c r="F1373" s="4"/>
      <c r="G1373" s="4"/>
      <c r="H1373" s="4"/>
      <c r="I1373" s="4"/>
      <c r="J1373" s="4"/>
      <c r="K1373" s="4"/>
      <c r="L1373" s="4"/>
      <c r="M1373" s="4"/>
      <c r="N1373" s="4"/>
      <c r="O1373" s="4"/>
      <c r="P1373" s="4"/>
      <c r="Q1373" s="4"/>
      <c r="R1373" s="4"/>
      <c r="S1373" s="4"/>
      <c r="T1373" s="4"/>
      <c r="U1373" s="4"/>
    </row>
    <row r="1374" spans="3:21" ht="19" x14ac:dyDescent="0.25">
      <c r="C1374" s="4"/>
      <c r="D1374" s="4"/>
      <c r="E1374" s="4"/>
      <c r="F1374" s="4"/>
      <c r="G1374" s="4"/>
      <c r="H1374" s="4"/>
      <c r="I1374" s="4"/>
      <c r="J1374" s="4"/>
      <c r="K1374" s="4"/>
      <c r="L1374" s="4"/>
      <c r="M1374" s="4"/>
      <c r="N1374" s="4"/>
      <c r="O1374" s="4"/>
      <c r="P1374" s="4"/>
      <c r="Q1374" s="4"/>
      <c r="R1374" s="4"/>
      <c r="S1374" s="4"/>
      <c r="T1374" s="4"/>
      <c r="U1374" s="4"/>
    </row>
    <row r="1375" spans="3:21" ht="19" x14ac:dyDescent="0.25">
      <c r="C1375" s="4"/>
      <c r="D1375" s="4"/>
      <c r="E1375" s="4"/>
      <c r="F1375" s="4"/>
      <c r="G1375" s="4"/>
      <c r="H1375" s="4"/>
      <c r="I1375" s="4"/>
      <c r="J1375" s="4"/>
      <c r="K1375" s="4"/>
      <c r="L1375" s="4"/>
      <c r="M1375" s="4"/>
      <c r="N1375" s="4"/>
      <c r="O1375" s="4"/>
      <c r="P1375" s="4"/>
      <c r="Q1375" s="4"/>
      <c r="R1375" s="4"/>
      <c r="S1375" s="4"/>
      <c r="T1375" s="4"/>
      <c r="U1375" s="4"/>
    </row>
    <row r="1376" spans="3:21" ht="19" x14ac:dyDescent="0.25">
      <c r="C1376" s="4"/>
      <c r="D1376" s="4"/>
      <c r="E1376" s="4"/>
      <c r="F1376" s="4"/>
      <c r="G1376" s="4"/>
      <c r="H1376" s="4"/>
      <c r="I1376" s="4"/>
      <c r="J1376" s="4"/>
      <c r="K1376" s="4"/>
      <c r="L1376" s="4"/>
      <c r="M1376" s="4"/>
      <c r="N1376" s="4"/>
      <c r="O1376" s="4"/>
      <c r="P1376" s="4"/>
      <c r="Q1376" s="4"/>
      <c r="R1376" s="4"/>
      <c r="S1376" s="4"/>
      <c r="T1376" s="4"/>
      <c r="U1376" s="4"/>
    </row>
    <row r="1377" spans="3:21" ht="19" x14ac:dyDescent="0.25">
      <c r="C1377" s="4"/>
      <c r="D1377" s="4"/>
      <c r="E1377" s="4"/>
      <c r="F1377" s="4"/>
      <c r="G1377" s="4"/>
      <c r="H1377" s="4"/>
      <c r="I1377" s="4"/>
      <c r="J1377" s="4"/>
      <c r="K1377" s="4"/>
      <c r="L1377" s="4"/>
      <c r="M1377" s="4"/>
      <c r="N1377" s="4"/>
      <c r="O1377" s="4"/>
      <c r="P1377" s="4"/>
      <c r="Q1377" s="4"/>
      <c r="R1377" s="4"/>
      <c r="S1377" s="4"/>
      <c r="T1377" s="4"/>
      <c r="U1377" s="4"/>
    </row>
    <row r="1378" spans="3:21" ht="19" x14ac:dyDescent="0.25">
      <c r="C1378" s="4"/>
      <c r="D1378" s="4"/>
      <c r="E1378" s="4"/>
      <c r="F1378" s="4"/>
      <c r="G1378" s="4"/>
      <c r="H1378" s="4"/>
      <c r="I1378" s="4"/>
      <c r="J1378" s="4"/>
      <c r="K1378" s="4"/>
      <c r="L1378" s="4"/>
      <c r="M1378" s="4"/>
      <c r="N1378" s="4"/>
      <c r="O1378" s="4"/>
      <c r="P1378" s="4"/>
      <c r="Q1378" s="4"/>
      <c r="R1378" s="4"/>
      <c r="S1378" s="4"/>
      <c r="T1378" s="4"/>
      <c r="U1378" s="4"/>
    </row>
    <row r="1379" spans="3:21" ht="19" x14ac:dyDescent="0.25">
      <c r="C1379" s="4"/>
      <c r="D1379" s="4"/>
      <c r="E1379" s="4"/>
      <c r="F1379" s="4"/>
      <c r="G1379" s="4"/>
      <c r="H1379" s="4"/>
      <c r="I1379" s="4"/>
      <c r="J1379" s="4"/>
      <c r="K1379" s="4"/>
      <c r="L1379" s="4"/>
      <c r="M1379" s="4"/>
      <c r="N1379" s="4"/>
      <c r="O1379" s="4"/>
      <c r="P1379" s="4"/>
      <c r="Q1379" s="4"/>
      <c r="R1379" s="4"/>
      <c r="S1379" s="4"/>
      <c r="T1379" s="4"/>
      <c r="U1379" s="4"/>
    </row>
    <row r="1380" spans="3:21" ht="19" x14ac:dyDescent="0.25">
      <c r="C1380" s="4"/>
      <c r="D1380" s="4"/>
      <c r="E1380" s="4"/>
      <c r="F1380" s="4"/>
      <c r="G1380" s="4"/>
      <c r="H1380" s="4"/>
      <c r="I1380" s="4"/>
      <c r="J1380" s="4"/>
      <c r="K1380" s="4"/>
      <c r="L1380" s="4"/>
      <c r="M1380" s="4"/>
      <c r="N1380" s="4"/>
      <c r="O1380" s="4"/>
      <c r="P1380" s="4"/>
      <c r="Q1380" s="4"/>
      <c r="R1380" s="4"/>
      <c r="S1380" s="4"/>
      <c r="T1380" s="4"/>
      <c r="U1380" s="4"/>
    </row>
    <row r="1381" spans="3:21" ht="19" x14ac:dyDescent="0.25">
      <c r="C1381" s="4"/>
      <c r="D1381" s="4"/>
      <c r="E1381" s="4"/>
      <c r="F1381" s="4"/>
      <c r="G1381" s="4"/>
      <c r="H1381" s="4"/>
      <c r="I1381" s="4"/>
      <c r="J1381" s="4"/>
      <c r="K1381" s="4"/>
      <c r="L1381" s="4"/>
      <c r="M1381" s="4"/>
      <c r="N1381" s="4"/>
      <c r="O1381" s="4"/>
      <c r="P1381" s="4"/>
      <c r="Q1381" s="4"/>
      <c r="R1381" s="4"/>
      <c r="S1381" s="4"/>
      <c r="T1381" s="4"/>
      <c r="U1381" s="4"/>
    </row>
    <row r="1382" spans="3:21" ht="19" x14ac:dyDescent="0.25">
      <c r="C1382" s="4"/>
      <c r="D1382" s="4"/>
      <c r="E1382" s="4"/>
      <c r="F1382" s="4"/>
      <c r="G1382" s="4"/>
      <c r="H1382" s="4"/>
      <c r="I1382" s="4"/>
      <c r="J1382" s="4"/>
      <c r="K1382" s="4"/>
      <c r="L1382" s="4"/>
      <c r="M1382" s="4"/>
      <c r="N1382" s="4"/>
      <c r="O1382" s="4"/>
      <c r="P1382" s="4"/>
      <c r="Q1382" s="4"/>
      <c r="R1382" s="4"/>
      <c r="S1382" s="4"/>
      <c r="T1382" s="4"/>
      <c r="U1382" s="4"/>
    </row>
    <row r="1383" spans="3:21" ht="19" x14ac:dyDescent="0.25">
      <c r="C1383" s="4"/>
      <c r="D1383" s="4"/>
      <c r="E1383" s="4"/>
      <c r="F1383" s="4"/>
      <c r="G1383" s="4"/>
      <c r="H1383" s="4"/>
      <c r="I1383" s="4"/>
      <c r="J1383" s="4"/>
      <c r="K1383" s="4"/>
      <c r="L1383" s="4"/>
      <c r="M1383" s="4"/>
      <c r="N1383" s="4"/>
      <c r="O1383" s="4"/>
      <c r="P1383" s="4"/>
      <c r="Q1383" s="4"/>
      <c r="R1383" s="4"/>
      <c r="S1383" s="4"/>
      <c r="T1383" s="4"/>
      <c r="U1383" s="4"/>
    </row>
    <row r="1384" spans="3:21" ht="19" x14ac:dyDescent="0.25">
      <c r="C1384" s="4"/>
      <c r="D1384" s="4"/>
      <c r="E1384" s="4"/>
      <c r="F1384" s="4"/>
      <c r="G1384" s="4"/>
      <c r="H1384" s="4"/>
      <c r="I1384" s="4"/>
      <c r="J1384" s="4"/>
      <c r="K1384" s="4"/>
      <c r="L1384" s="4"/>
      <c r="M1384" s="4"/>
      <c r="N1384" s="4"/>
      <c r="O1384" s="4"/>
      <c r="P1384" s="4"/>
      <c r="Q1384" s="4"/>
      <c r="R1384" s="4"/>
      <c r="S1384" s="4"/>
      <c r="T1384" s="4"/>
      <c r="U1384" s="4"/>
    </row>
    <row r="1385" spans="3:21" ht="19" x14ac:dyDescent="0.25">
      <c r="C1385" s="4"/>
      <c r="D1385" s="4"/>
      <c r="E1385" s="4"/>
      <c r="F1385" s="4"/>
      <c r="G1385" s="4"/>
      <c r="H1385" s="4"/>
      <c r="I1385" s="4"/>
      <c r="J1385" s="4"/>
      <c r="K1385" s="4"/>
      <c r="L1385" s="4"/>
      <c r="M1385" s="4"/>
      <c r="N1385" s="4"/>
      <c r="O1385" s="4"/>
      <c r="P1385" s="4"/>
      <c r="Q1385" s="4"/>
      <c r="R1385" s="4"/>
      <c r="S1385" s="4"/>
      <c r="T1385" s="4"/>
      <c r="U1385" s="4"/>
    </row>
    <row r="1386" spans="3:21" ht="19" x14ac:dyDescent="0.25">
      <c r="C1386" s="4"/>
      <c r="D1386" s="4"/>
      <c r="E1386" s="4"/>
      <c r="F1386" s="4"/>
      <c r="G1386" s="4"/>
      <c r="H1386" s="4"/>
      <c r="I1386" s="4"/>
      <c r="J1386" s="4"/>
      <c r="K1386" s="4"/>
      <c r="L1386" s="4"/>
      <c r="M1386" s="4"/>
      <c r="N1386" s="4"/>
      <c r="O1386" s="4"/>
      <c r="P1386" s="4"/>
      <c r="Q1386" s="4"/>
      <c r="R1386" s="4"/>
      <c r="S1386" s="4"/>
      <c r="T1386" s="4"/>
      <c r="U1386" s="4"/>
    </row>
    <row r="1387" spans="3:21" ht="19" x14ac:dyDescent="0.25">
      <c r="C1387" s="4"/>
      <c r="D1387" s="4"/>
      <c r="E1387" s="4"/>
      <c r="F1387" s="4"/>
      <c r="G1387" s="4"/>
      <c r="H1387" s="4"/>
      <c r="I1387" s="4"/>
      <c r="J1387" s="4"/>
      <c r="K1387" s="4"/>
      <c r="L1387" s="4"/>
      <c r="M1387" s="4"/>
      <c r="N1387" s="4"/>
      <c r="O1387" s="4"/>
      <c r="P1387" s="4"/>
      <c r="Q1387" s="4"/>
      <c r="R1387" s="4"/>
      <c r="S1387" s="4"/>
      <c r="T1387" s="4"/>
      <c r="U1387" s="4"/>
    </row>
    <row r="1388" spans="3:21" ht="19" x14ac:dyDescent="0.25">
      <c r="C1388" s="4"/>
      <c r="D1388" s="4"/>
      <c r="E1388" s="4"/>
      <c r="F1388" s="4"/>
      <c r="G1388" s="4"/>
      <c r="H1388" s="4"/>
      <c r="I1388" s="4"/>
      <c r="J1388" s="4"/>
      <c r="K1388" s="4"/>
      <c r="L1388" s="4"/>
      <c r="M1388" s="4"/>
      <c r="N1388" s="4"/>
      <c r="O1388" s="4"/>
      <c r="P1388" s="4"/>
      <c r="Q1388" s="4"/>
      <c r="R1388" s="4"/>
      <c r="S1388" s="4"/>
      <c r="T1388" s="4"/>
      <c r="U1388" s="4"/>
    </row>
    <row r="1389" spans="3:21" ht="19" x14ac:dyDescent="0.25">
      <c r="C1389" s="4"/>
      <c r="D1389" s="4"/>
      <c r="E1389" s="4"/>
      <c r="F1389" s="4"/>
      <c r="G1389" s="4"/>
      <c r="H1389" s="4"/>
      <c r="I1389" s="4"/>
      <c r="J1389" s="4"/>
      <c r="K1389" s="4"/>
      <c r="L1389" s="4"/>
      <c r="M1389" s="4"/>
      <c r="N1389" s="4"/>
      <c r="O1389" s="4"/>
      <c r="P1389" s="4"/>
      <c r="Q1389" s="4"/>
      <c r="R1389" s="4"/>
      <c r="S1389" s="4"/>
      <c r="T1389" s="4"/>
      <c r="U1389" s="4"/>
    </row>
    <row r="1390" spans="3:21" ht="19" x14ac:dyDescent="0.25">
      <c r="C1390" s="4"/>
      <c r="D1390" s="4"/>
      <c r="E1390" s="4"/>
      <c r="F1390" s="4"/>
      <c r="G1390" s="4"/>
      <c r="H1390" s="4"/>
      <c r="I1390" s="4"/>
      <c r="J1390" s="4"/>
      <c r="K1390" s="4"/>
      <c r="L1390" s="4"/>
      <c r="M1390" s="4"/>
      <c r="N1390" s="4"/>
      <c r="O1390" s="4"/>
      <c r="P1390" s="4"/>
      <c r="Q1390" s="4"/>
      <c r="R1390" s="4"/>
      <c r="S1390" s="4"/>
      <c r="T1390" s="4"/>
      <c r="U1390" s="4"/>
    </row>
    <row r="1391" spans="3:21" ht="19" x14ac:dyDescent="0.25">
      <c r="C1391" s="4"/>
      <c r="D1391" s="4"/>
      <c r="E1391" s="4"/>
      <c r="F1391" s="4"/>
      <c r="G1391" s="4"/>
      <c r="H1391" s="4"/>
      <c r="I1391" s="4"/>
      <c r="J1391" s="4"/>
      <c r="K1391" s="4"/>
      <c r="L1391" s="4"/>
      <c r="M1391" s="4"/>
      <c r="N1391" s="4"/>
      <c r="O1391" s="4"/>
      <c r="P1391" s="4"/>
      <c r="Q1391" s="4"/>
      <c r="R1391" s="4"/>
      <c r="S1391" s="4"/>
      <c r="T1391" s="4"/>
      <c r="U1391" s="4"/>
    </row>
    <row r="1392" spans="3:21" ht="19" x14ac:dyDescent="0.25">
      <c r="C1392" s="4"/>
      <c r="D1392" s="4"/>
      <c r="E1392" s="4"/>
      <c r="F1392" s="4"/>
      <c r="G1392" s="4"/>
      <c r="H1392" s="4"/>
      <c r="I1392" s="4"/>
      <c r="J1392" s="4"/>
      <c r="K1392" s="4"/>
      <c r="L1392" s="4"/>
      <c r="M1392" s="4"/>
      <c r="N1392" s="4"/>
      <c r="O1392" s="4"/>
      <c r="P1392" s="4"/>
      <c r="Q1392" s="4"/>
      <c r="R1392" s="4"/>
      <c r="S1392" s="4"/>
      <c r="T1392" s="4"/>
      <c r="U1392" s="4"/>
    </row>
    <row r="1393" spans="3:21" ht="19" x14ac:dyDescent="0.25">
      <c r="C1393" s="4"/>
      <c r="D1393" s="4"/>
      <c r="E1393" s="4"/>
      <c r="F1393" s="4"/>
      <c r="G1393" s="4"/>
      <c r="H1393" s="4"/>
      <c r="I1393" s="4"/>
      <c r="J1393" s="4"/>
      <c r="K1393" s="4"/>
      <c r="L1393" s="4"/>
      <c r="M1393" s="4"/>
      <c r="N1393" s="4"/>
      <c r="O1393" s="4"/>
      <c r="P1393" s="4"/>
      <c r="Q1393" s="4"/>
      <c r="R1393" s="4"/>
      <c r="S1393" s="4"/>
      <c r="T1393" s="4"/>
      <c r="U1393" s="4"/>
    </row>
    <row r="1394" spans="3:21" ht="19" x14ac:dyDescent="0.25">
      <c r="C1394" s="4"/>
      <c r="D1394" s="4"/>
      <c r="E1394" s="4"/>
      <c r="F1394" s="4"/>
      <c r="G1394" s="4"/>
      <c r="H1394" s="4"/>
      <c r="I1394" s="4"/>
      <c r="J1394" s="4"/>
      <c r="K1394" s="4"/>
      <c r="L1394" s="4"/>
      <c r="M1394" s="4"/>
      <c r="N1394" s="4"/>
      <c r="O1394" s="4"/>
      <c r="P1394" s="4"/>
      <c r="Q1394" s="4"/>
      <c r="R1394" s="4"/>
      <c r="S1394" s="4"/>
      <c r="T1394" s="4"/>
      <c r="U1394" s="4"/>
    </row>
    <row r="1395" spans="3:21" ht="19" x14ac:dyDescent="0.25">
      <c r="C1395" s="4"/>
      <c r="D1395" s="4"/>
      <c r="E1395" s="4"/>
      <c r="F1395" s="4"/>
      <c r="G1395" s="4"/>
      <c r="H1395" s="4"/>
      <c r="I1395" s="4"/>
      <c r="J1395" s="4"/>
      <c r="K1395" s="4"/>
      <c r="L1395" s="4"/>
      <c r="M1395" s="4"/>
      <c r="N1395" s="4"/>
      <c r="O1395" s="4"/>
      <c r="P1395" s="4"/>
      <c r="Q1395" s="4"/>
      <c r="R1395" s="4"/>
      <c r="S1395" s="4"/>
      <c r="T1395" s="4"/>
      <c r="U1395" s="4"/>
    </row>
    <row r="1396" spans="3:21" ht="19" x14ac:dyDescent="0.25">
      <c r="C1396" s="4"/>
      <c r="D1396" s="4"/>
      <c r="E1396" s="4"/>
      <c r="F1396" s="4"/>
      <c r="G1396" s="4"/>
      <c r="H1396" s="4"/>
      <c r="I1396" s="4"/>
      <c r="J1396" s="4"/>
      <c r="K1396" s="4"/>
      <c r="L1396" s="4"/>
      <c r="M1396" s="4"/>
      <c r="N1396" s="4"/>
      <c r="O1396" s="4"/>
      <c r="P1396" s="4"/>
      <c r="Q1396" s="4"/>
      <c r="R1396" s="4"/>
      <c r="S1396" s="4"/>
      <c r="T1396" s="4"/>
      <c r="U1396" s="4"/>
    </row>
    <row r="1397" spans="3:21" ht="19" x14ac:dyDescent="0.25">
      <c r="C1397" s="4"/>
      <c r="D1397" s="4"/>
      <c r="E1397" s="4"/>
      <c r="F1397" s="4"/>
      <c r="G1397" s="4"/>
      <c r="H1397" s="4"/>
      <c r="I1397" s="4"/>
      <c r="J1397" s="4"/>
      <c r="K1397" s="4"/>
      <c r="L1397" s="4"/>
      <c r="M1397" s="4"/>
      <c r="N1397" s="4"/>
      <c r="O1397" s="4"/>
      <c r="P1397" s="4"/>
      <c r="Q1397" s="4"/>
      <c r="R1397" s="4"/>
      <c r="S1397" s="4"/>
      <c r="T1397" s="4"/>
      <c r="U1397" s="4"/>
    </row>
    <row r="1398" spans="3:21" ht="19" x14ac:dyDescent="0.25">
      <c r="C1398" s="4"/>
      <c r="D1398" s="4"/>
      <c r="E1398" s="4"/>
      <c r="F1398" s="4"/>
      <c r="G1398" s="4"/>
      <c r="H1398" s="4"/>
      <c r="I1398" s="4"/>
      <c r="J1398" s="4"/>
      <c r="K1398" s="4"/>
      <c r="L1398" s="4"/>
      <c r="M1398" s="4"/>
      <c r="N1398" s="4"/>
      <c r="O1398" s="4"/>
      <c r="P1398" s="4"/>
      <c r="Q1398" s="4"/>
      <c r="R1398" s="4"/>
      <c r="S1398" s="4"/>
      <c r="T1398" s="4"/>
      <c r="U1398" s="4"/>
    </row>
    <row r="1399" spans="3:21" ht="19" x14ac:dyDescent="0.25">
      <c r="C1399" s="4"/>
      <c r="D1399" s="4"/>
      <c r="E1399" s="4"/>
      <c r="F1399" s="4"/>
      <c r="G1399" s="4"/>
      <c r="H1399" s="4"/>
      <c r="I1399" s="4"/>
      <c r="J1399" s="4"/>
      <c r="K1399" s="4"/>
      <c r="L1399" s="4"/>
      <c r="M1399" s="4"/>
      <c r="N1399" s="4"/>
      <c r="O1399" s="4"/>
      <c r="P1399" s="4"/>
      <c r="Q1399" s="4"/>
      <c r="R1399" s="4"/>
      <c r="S1399" s="4"/>
      <c r="T1399" s="4"/>
      <c r="U1399" s="4"/>
    </row>
    <row r="1400" spans="3:21" ht="19" x14ac:dyDescent="0.25">
      <c r="C1400" s="4"/>
      <c r="D1400" s="4"/>
      <c r="E1400" s="4"/>
      <c r="F1400" s="4"/>
      <c r="G1400" s="4"/>
      <c r="H1400" s="4"/>
      <c r="I1400" s="4"/>
      <c r="J1400" s="4"/>
      <c r="K1400" s="4"/>
      <c r="L1400" s="4"/>
      <c r="M1400" s="4"/>
      <c r="N1400" s="4"/>
      <c r="O1400" s="4"/>
      <c r="P1400" s="4"/>
      <c r="Q1400" s="4"/>
      <c r="R1400" s="4"/>
      <c r="S1400" s="4"/>
      <c r="T1400" s="4"/>
      <c r="U1400" s="4"/>
    </row>
    <row r="1401" spans="3:21" ht="19" x14ac:dyDescent="0.25">
      <c r="C1401" s="4"/>
      <c r="D1401" s="4"/>
      <c r="E1401" s="4"/>
      <c r="F1401" s="4"/>
      <c r="G1401" s="4"/>
      <c r="H1401" s="4"/>
      <c r="I1401" s="4"/>
      <c r="J1401" s="4"/>
      <c r="K1401" s="4"/>
      <c r="L1401" s="4"/>
      <c r="M1401" s="4"/>
      <c r="N1401" s="4"/>
      <c r="O1401" s="4"/>
      <c r="P1401" s="4"/>
      <c r="Q1401" s="4"/>
      <c r="R1401" s="4"/>
      <c r="S1401" s="4"/>
      <c r="T1401" s="4"/>
      <c r="U1401" s="4"/>
    </row>
    <row r="1402" spans="3:21" ht="19" x14ac:dyDescent="0.25">
      <c r="C1402" s="4"/>
      <c r="D1402" s="4"/>
      <c r="E1402" s="4"/>
      <c r="F1402" s="4"/>
      <c r="G1402" s="4"/>
      <c r="H1402" s="4"/>
      <c r="I1402" s="4"/>
      <c r="J1402" s="4"/>
      <c r="K1402" s="4"/>
      <c r="L1402" s="4"/>
      <c r="M1402" s="4"/>
      <c r="N1402" s="4"/>
      <c r="O1402" s="4"/>
      <c r="P1402" s="4"/>
      <c r="Q1402" s="4"/>
      <c r="R1402" s="4"/>
      <c r="S1402" s="4"/>
      <c r="T1402" s="4"/>
      <c r="U1402" s="4"/>
    </row>
    <row r="1403" spans="3:21" ht="19" x14ac:dyDescent="0.25">
      <c r="C1403" s="4"/>
      <c r="D1403" s="4"/>
      <c r="E1403" s="4"/>
      <c r="F1403" s="4"/>
      <c r="G1403" s="4"/>
      <c r="H1403" s="4"/>
      <c r="I1403" s="4"/>
      <c r="J1403" s="4"/>
      <c r="K1403" s="4"/>
      <c r="L1403" s="4"/>
      <c r="M1403" s="4"/>
      <c r="N1403" s="4"/>
      <c r="O1403" s="4"/>
      <c r="P1403" s="4"/>
      <c r="Q1403" s="4"/>
      <c r="R1403" s="4"/>
      <c r="S1403" s="4"/>
      <c r="T1403" s="4"/>
      <c r="U1403" s="4"/>
    </row>
    <row r="1404" spans="3:21" ht="19" x14ac:dyDescent="0.25">
      <c r="C1404" s="4"/>
      <c r="D1404" s="4"/>
      <c r="E1404" s="4"/>
      <c r="F1404" s="4"/>
      <c r="G1404" s="4"/>
      <c r="H1404" s="4"/>
      <c r="I1404" s="4"/>
      <c r="J1404" s="4"/>
      <c r="K1404" s="4"/>
      <c r="L1404" s="4"/>
      <c r="M1404" s="4"/>
      <c r="N1404" s="4"/>
      <c r="O1404" s="4"/>
      <c r="P1404" s="4"/>
      <c r="Q1404" s="4"/>
      <c r="R1404" s="4"/>
      <c r="S1404" s="4"/>
      <c r="T1404" s="4"/>
      <c r="U1404" s="4"/>
    </row>
    <row r="1405" spans="3:21" ht="19" x14ac:dyDescent="0.25">
      <c r="C1405" s="4"/>
      <c r="D1405" s="4"/>
      <c r="E1405" s="4"/>
      <c r="F1405" s="4"/>
      <c r="G1405" s="4"/>
      <c r="H1405" s="4"/>
      <c r="I1405" s="4"/>
      <c r="J1405" s="4"/>
      <c r="K1405" s="4"/>
      <c r="L1405" s="4"/>
      <c r="M1405" s="4"/>
      <c r="N1405" s="4"/>
      <c r="O1405" s="4"/>
      <c r="P1405" s="4"/>
      <c r="Q1405" s="4"/>
      <c r="R1405" s="4"/>
      <c r="S1405" s="4"/>
      <c r="T1405" s="4"/>
      <c r="U1405" s="4"/>
    </row>
    <row r="1406" spans="3:21" ht="19" x14ac:dyDescent="0.25">
      <c r="C1406" s="4"/>
      <c r="D1406" s="4"/>
      <c r="E1406" s="4"/>
      <c r="F1406" s="4"/>
      <c r="G1406" s="4"/>
      <c r="H1406" s="4"/>
      <c r="I1406" s="4"/>
      <c r="J1406" s="4"/>
      <c r="K1406" s="4"/>
      <c r="L1406" s="4"/>
      <c r="M1406" s="4"/>
      <c r="N1406" s="4"/>
      <c r="O1406" s="4"/>
      <c r="P1406" s="4"/>
      <c r="Q1406" s="4"/>
      <c r="R1406" s="4"/>
      <c r="S1406" s="4"/>
      <c r="T1406" s="4"/>
      <c r="U1406" s="4"/>
    </row>
    <row r="1407" spans="3:21" ht="19" x14ac:dyDescent="0.25">
      <c r="C1407" s="4"/>
      <c r="D1407" s="4"/>
      <c r="E1407" s="4"/>
      <c r="F1407" s="4"/>
      <c r="G1407" s="4"/>
      <c r="H1407" s="4"/>
      <c r="I1407" s="4"/>
      <c r="J1407" s="4"/>
      <c r="K1407" s="4"/>
      <c r="L1407" s="4"/>
      <c r="M1407" s="4"/>
      <c r="N1407" s="4"/>
      <c r="O1407" s="4"/>
      <c r="P1407" s="4"/>
      <c r="Q1407" s="4"/>
      <c r="R1407" s="4"/>
      <c r="S1407" s="4"/>
      <c r="T1407" s="4"/>
      <c r="U1407" s="4"/>
    </row>
    <row r="1408" spans="3:21" ht="19" x14ac:dyDescent="0.25">
      <c r="C1408" s="4"/>
      <c r="D1408" s="4"/>
      <c r="E1408" s="4"/>
      <c r="F1408" s="4"/>
      <c r="G1408" s="4"/>
      <c r="H1408" s="4"/>
      <c r="I1408" s="4"/>
      <c r="J1408" s="4"/>
      <c r="K1408" s="4"/>
      <c r="L1408" s="4"/>
      <c r="M1408" s="4"/>
      <c r="N1408" s="4"/>
      <c r="O1408" s="4"/>
      <c r="P1408" s="4"/>
      <c r="Q1408" s="4"/>
      <c r="R1408" s="4"/>
      <c r="S1408" s="4"/>
      <c r="T1408" s="4"/>
      <c r="U1408" s="4"/>
    </row>
    <row r="1409" spans="3:21" ht="19" x14ac:dyDescent="0.25">
      <c r="C1409" s="4"/>
      <c r="D1409" s="4"/>
      <c r="E1409" s="4"/>
      <c r="F1409" s="4"/>
      <c r="G1409" s="4"/>
      <c r="H1409" s="4"/>
      <c r="I1409" s="4"/>
      <c r="J1409" s="4"/>
      <c r="K1409" s="4"/>
      <c r="L1409" s="4"/>
      <c r="M1409" s="4"/>
      <c r="N1409" s="4"/>
      <c r="O1409" s="4"/>
      <c r="P1409" s="4"/>
      <c r="Q1409" s="4"/>
      <c r="R1409" s="4"/>
      <c r="S1409" s="4"/>
      <c r="T1409" s="4"/>
      <c r="U1409" s="4"/>
    </row>
    <row r="1410" spans="3:21" ht="19" x14ac:dyDescent="0.25">
      <c r="C1410" s="4"/>
      <c r="D1410" s="4"/>
      <c r="E1410" s="4"/>
      <c r="F1410" s="4"/>
      <c r="G1410" s="4"/>
      <c r="H1410" s="4"/>
      <c r="I1410" s="4"/>
      <c r="J1410" s="4"/>
      <c r="K1410" s="4"/>
      <c r="L1410" s="4"/>
      <c r="M1410" s="4"/>
      <c r="N1410" s="4"/>
      <c r="O1410" s="4"/>
      <c r="P1410" s="4"/>
      <c r="Q1410" s="4"/>
      <c r="R1410" s="4"/>
      <c r="S1410" s="4"/>
      <c r="T1410" s="4"/>
      <c r="U1410" s="4"/>
    </row>
    <row r="1411" spans="3:21" ht="19" x14ac:dyDescent="0.25">
      <c r="C1411" s="4"/>
      <c r="D1411" s="4"/>
      <c r="E1411" s="4"/>
      <c r="F1411" s="4"/>
      <c r="G1411" s="4"/>
      <c r="H1411" s="4"/>
      <c r="I1411" s="4"/>
      <c r="J1411" s="4"/>
      <c r="K1411" s="4"/>
      <c r="L1411" s="4"/>
      <c r="M1411" s="4"/>
      <c r="N1411" s="4"/>
      <c r="O1411" s="4"/>
      <c r="P1411" s="4"/>
      <c r="Q1411" s="4"/>
      <c r="R1411" s="4"/>
      <c r="S1411" s="4"/>
      <c r="T1411" s="4"/>
      <c r="U1411" s="4"/>
    </row>
    <row r="1412" spans="3:21" ht="19" x14ac:dyDescent="0.25">
      <c r="C1412" s="4"/>
      <c r="D1412" s="4"/>
      <c r="E1412" s="4"/>
      <c r="F1412" s="4"/>
      <c r="G1412" s="4"/>
      <c r="H1412" s="4"/>
      <c r="I1412" s="4"/>
      <c r="J1412" s="4"/>
      <c r="K1412" s="4"/>
      <c r="L1412" s="4"/>
      <c r="M1412" s="4"/>
      <c r="N1412" s="4"/>
      <c r="O1412" s="4"/>
      <c r="P1412" s="4"/>
      <c r="Q1412" s="4"/>
      <c r="R1412" s="4"/>
      <c r="S1412" s="4"/>
      <c r="T1412" s="4"/>
      <c r="U1412" s="4"/>
    </row>
    <row r="1413" spans="3:21" ht="19" x14ac:dyDescent="0.25">
      <c r="C1413" s="4"/>
      <c r="D1413" s="4"/>
      <c r="E1413" s="4"/>
      <c r="F1413" s="4"/>
      <c r="G1413" s="4"/>
      <c r="H1413" s="4"/>
      <c r="I1413" s="4"/>
      <c r="J1413" s="4"/>
      <c r="K1413" s="4"/>
      <c r="L1413" s="4"/>
      <c r="M1413" s="4"/>
      <c r="N1413" s="4"/>
      <c r="O1413" s="4"/>
      <c r="P1413" s="4"/>
      <c r="Q1413" s="4"/>
      <c r="R1413" s="4"/>
      <c r="S1413" s="4"/>
      <c r="T1413" s="4"/>
      <c r="U1413" s="4"/>
    </row>
    <row r="1414" spans="3:21" ht="19" x14ac:dyDescent="0.25">
      <c r="C1414" s="4"/>
      <c r="D1414" s="4"/>
      <c r="E1414" s="4"/>
      <c r="F1414" s="4"/>
      <c r="G1414" s="4"/>
      <c r="H1414" s="4"/>
      <c r="I1414" s="4"/>
      <c r="J1414" s="4"/>
      <c r="K1414" s="4"/>
      <c r="L1414" s="4"/>
      <c r="M1414" s="4"/>
      <c r="N1414" s="4"/>
      <c r="O1414" s="4"/>
      <c r="P1414" s="4"/>
      <c r="Q1414" s="4"/>
      <c r="R1414" s="4"/>
      <c r="S1414" s="4"/>
      <c r="T1414" s="4"/>
      <c r="U1414" s="4"/>
    </row>
    <row r="1415" spans="3:21" ht="19" x14ac:dyDescent="0.25">
      <c r="C1415" s="4"/>
      <c r="D1415" s="4"/>
      <c r="E1415" s="4"/>
      <c r="F1415" s="4"/>
      <c r="G1415" s="4"/>
      <c r="H1415" s="4"/>
      <c r="I1415" s="4"/>
      <c r="J1415" s="4"/>
      <c r="K1415" s="4"/>
      <c r="L1415" s="4"/>
      <c r="M1415" s="4"/>
      <c r="N1415" s="4"/>
      <c r="O1415" s="4"/>
      <c r="P1415" s="4"/>
      <c r="Q1415" s="4"/>
      <c r="R1415" s="4"/>
      <c r="S1415" s="4"/>
      <c r="T1415" s="4"/>
      <c r="U1415" s="4"/>
    </row>
    <row r="1416" spans="3:21" ht="19" x14ac:dyDescent="0.25">
      <c r="C1416" s="4"/>
      <c r="D1416" s="4"/>
      <c r="E1416" s="4"/>
      <c r="F1416" s="4"/>
      <c r="G1416" s="4"/>
      <c r="H1416" s="4"/>
      <c r="I1416" s="4"/>
      <c r="J1416" s="4"/>
      <c r="K1416" s="4"/>
      <c r="L1416" s="4"/>
      <c r="M1416" s="4"/>
      <c r="N1416" s="4"/>
      <c r="O1416" s="4"/>
      <c r="P1416" s="4"/>
      <c r="Q1416" s="4"/>
      <c r="R1416" s="4"/>
      <c r="S1416" s="4"/>
      <c r="T1416" s="4"/>
      <c r="U1416" s="4"/>
    </row>
    <row r="1417" spans="3:21" ht="19" x14ac:dyDescent="0.25">
      <c r="C1417" s="4"/>
      <c r="D1417" s="4"/>
      <c r="E1417" s="4"/>
      <c r="F1417" s="4"/>
      <c r="G1417" s="4"/>
      <c r="H1417" s="4"/>
      <c r="I1417" s="4"/>
      <c r="J1417" s="4"/>
      <c r="K1417" s="4"/>
      <c r="L1417" s="4"/>
      <c r="M1417" s="4"/>
      <c r="N1417" s="4"/>
      <c r="O1417" s="4"/>
      <c r="P1417" s="4"/>
      <c r="Q1417" s="4"/>
      <c r="R1417" s="4"/>
      <c r="S1417" s="4"/>
      <c r="T1417" s="4"/>
      <c r="U1417" s="4"/>
    </row>
    <row r="1418" spans="3:21" ht="19" x14ac:dyDescent="0.25">
      <c r="C1418" s="4"/>
      <c r="D1418" s="4"/>
      <c r="E1418" s="4"/>
      <c r="F1418" s="4"/>
      <c r="G1418" s="4"/>
      <c r="H1418" s="4"/>
      <c r="I1418" s="4"/>
      <c r="J1418" s="4"/>
      <c r="K1418" s="4"/>
      <c r="L1418" s="4"/>
      <c r="M1418" s="4"/>
      <c r="N1418" s="4"/>
      <c r="O1418" s="4"/>
      <c r="P1418" s="4"/>
      <c r="Q1418" s="4"/>
      <c r="R1418" s="4"/>
      <c r="S1418" s="4"/>
      <c r="T1418" s="4"/>
      <c r="U1418" s="4"/>
    </row>
    <row r="1419" spans="3:21" ht="19" x14ac:dyDescent="0.25">
      <c r="C1419" s="4"/>
      <c r="D1419" s="4"/>
      <c r="E1419" s="4"/>
      <c r="F1419" s="4"/>
      <c r="G1419" s="4"/>
      <c r="H1419" s="4"/>
      <c r="I1419" s="4"/>
      <c r="J1419" s="4"/>
      <c r="K1419" s="4"/>
      <c r="L1419" s="4"/>
      <c r="M1419" s="4"/>
      <c r="N1419" s="4"/>
      <c r="O1419" s="4"/>
      <c r="P1419" s="4"/>
      <c r="Q1419" s="4"/>
      <c r="R1419" s="4"/>
      <c r="S1419" s="4"/>
      <c r="T1419" s="4"/>
      <c r="U1419" s="4"/>
    </row>
    <row r="1420" spans="3:21" ht="19" x14ac:dyDescent="0.25">
      <c r="C1420" s="4"/>
      <c r="D1420" s="4"/>
      <c r="E1420" s="4"/>
      <c r="F1420" s="4"/>
      <c r="G1420" s="4"/>
      <c r="H1420" s="4"/>
      <c r="I1420" s="4"/>
      <c r="J1420" s="4"/>
      <c r="K1420" s="4"/>
      <c r="L1420" s="4"/>
      <c r="M1420" s="4"/>
      <c r="N1420" s="4"/>
      <c r="O1420" s="4"/>
      <c r="P1420" s="4"/>
      <c r="Q1420" s="4"/>
      <c r="R1420" s="4"/>
      <c r="S1420" s="4"/>
      <c r="T1420" s="4"/>
      <c r="U1420" s="4"/>
    </row>
    <row r="1421" spans="3:21" ht="19" x14ac:dyDescent="0.25">
      <c r="C1421" s="4"/>
      <c r="D1421" s="4"/>
      <c r="E1421" s="4"/>
      <c r="F1421" s="4"/>
      <c r="G1421" s="4"/>
      <c r="H1421" s="4"/>
      <c r="I1421" s="4"/>
      <c r="J1421" s="4"/>
      <c r="K1421" s="4"/>
      <c r="L1421" s="4"/>
      <c r="M1421" s="4"/>
      <c r="N1421" s="4"/>
      <c r="O1421" s="4"/>
      <c r="P1421" s="4"/>
      <c r="Q1421" s="4"/>
      <c r="R1421" s="4"/>
      <c r="S1421" s="4"/>
      <c r="T1421" s="4"/>
      <c r="U1421" s="4"/>
    </row>
    <row r="1422" spans="3:21" ht="19" x14ac:dyDescent="0.25">
      <c r="C1422" s="4"/>
      <c r="D1422" s="4"/>
      <c r="E1422" s="4"/>
      <c r="F1422" s="4"/>
      <c r="G1422" s="4"/>
      <c r="H1422" s="4"/>
      <c r="I1422" s="4"/>
      <c r="J1422" s="4"/>
      <c r="K1422" s="4"/>
      <c r="L1422" s="4"/>
      <c r="M1422" s="4"/>
      <c r="N1422" s="4"/>
      <c r="O1422" s="4"/>
      <c r="P1422" s="4"/>
      <c r="Q1422" s="4"/>
      <c r="R1422" s="4"/>
      <c r="S1422" s="4"/>
      <c r="T1422" s="4"/>
      <c r="U1422" s="4"/>
    </row>
    <row r="1423" spans="3:21" ht="19" x14ac:dyDescent="0.25">
      <c r="C1423" s="4"/>
      <c r="D1423" s="4"/>
      <c r="E1423" s="4"/>
      <c r="F1423" s="4"/>
      <c r="G1423" s="4"/>
      <c r="H1423" s="4"/>
      <c r="I1423" s="4"/>
      <c r="J1423" s="4"/>
      <c r="K1423" s="4"/>
      <c r="L1423" s="4"/>
      <c r="M1423" s="4"/>
      <c r="N1423" s="4"/>
      <c r="O1423" s="4"/>
      <c r="P1423" s="4"/>
      <c r="Q1423" s="4"/>
      <c r="R1423" s="4"/>
      <c r="S1423" s="4"/>
      <c r="T1423" s="4"/>
      <c r="U1423" s="4"/>
    </row>
    <row r="1424" spans="3:21" ht="19" x14ac:dyDescent="0.25">
      <c r="C1424" s="4"/>
      <c r="D1424" s="4"/>
      <c r="E1424" s="4"/>
      <c r="F1424" s="4"/>
      <c r="G1424" s="4"/>
      <c r="H1424" s="4"/>
      <c r="I1424" s="4"/>
      <c r="J1424" s="4"/>
      <c r="K1424" s="4"/>
      <c r="L1424" s="4"/>
      <c r="M1424" s="4"/>
      <c r="N1424" s="4"/>
      <c r="O1424" s="4"/>
      <c r="P1424" s="4"/>
      <c r="Q1424" s="4"/>
      <c r="R1424" s="4"/>
      <c r="S1424" s="4"/>
      <c r="T1424" s="4"/>
      <c r="U1424" s="4"/>
    </row>
    <row r="1425" spans="3:21" ht="19" x14ac:dyDescent="0.25">
      <c r="C1425" s="4"/>
      <c r="D1425" s="4"/>
      <c r="E1425" s="4"/>
      <c r="F1425" s="4"/>
      <c r="G1425" s="4"/>
      <c r="H1425" s="4"/>
      <c r="I1425" s="4"/>
      <c r="J1425" s="4"/>
      <c r="K1425" s="4"/>
      <c r="L1425" s="4"/>
      <c r="M1425" s="4"/>
      <c r="N1425" s="4"/>
      <c r="O1425" s="4"/>
      <c r="P1425" s="4"/>
      <c r="Q1425" s="4"/>
      <c r="R1425" s="4"/>
      <c r="S1425" s="4"/>
      <c r="T1425" s="4"/>
      <c r="U1425" s="4"/>
    </row>
    <row r="1426" spans="3:21" ht="19" x14ac:dyDescent="0.25">
      <c r="C1426" s="4"/>
      <c r="D1426" s="4"/>
      <c r="E1426" s="4"/>
      <c r="F1426" s="4"/>
      <c r="G1426" s="4"/>
      <c r="H1426" s="4"/>
      <c r="I1426" s="4"/>
      <c r="J1426" s="4"/>
      <c r="K1426" s="4"/>
      <c r="L1426" s="4"/>
      <c r="M1426" s="4"/>
      <c r="N1426" s="4"/>
      <c r="O1426" s="4"/>
      <c r="P1426" s="4"/>
      <c r="Q1426" s="4"/>
      <c r="R1426" s="4"/>
      <c r="S1426" s="4"/>
      <c r="T1426" s="4"/>
      <c r="U1426" s="4"/>
    </row>
    <row r="1427" spans="3:21" ht="19" x14ac:dyDescent="0.25">
      <c r="C1427" s="4"/>
      <c r="D1427" s="4"/>
      <c r="E1427" s="4"/>
      <c r="F1427" s="4"/>
      <c r="G1427" s="4"/>
      <c r="H1427" s="4"/>
      <c r="I1427" s="4"/>
      <c r="J1427" s="4"/>
      <c r="K1427" s="4"/>
      <c r="L1427" s="4"/>
      <c r="M1427" s="4"/>
      <c r="N1427" s="4"/>
      <c r="O1427" s="4"/>
      <c r="P1427" s="4"/>
      <c r="Q1427" s="4"/>
      <c r="R1427" s="4"/>
      <c r="S1427" s="4"/>
      <c r="T1427" s="4"/>
      <c r="U1427" s="4"/>
    </row>
  </sheetData>
  <mergeCells count="8">
    <mergeCell ref="Y290:Y293"/>
    <mergeCell ref="G301:H301"/>
    <mergeCell ref="R301:S301"/>
    <mergeCell ref="C2:I2"/>
    <mergeCell ref="C290:C293"/>
    <mergeCell ref="J290:J293"/>
    <mergeCell ref="O290:O293"/>
    <mergeCell ref="P290:P293"/>
  </mergeCells>
  <hyperlinks>
    <hyperlink ref="R35" r:id="rId1" location="bib49" display="https://www.sciencedirect.com/science/article/pii/S1364032122003471?via=ihub - bib49" xr:uid="{12A8D14F-C2B4-D448-8FEC-9C173DE9FABA}"/>
    <hyperlink ref="R30" r:id="rId2" location="bib10" display="https://www.sciencedirect.com/science/article/pii/S1364032122003471?via=ihub - bib10" xr:uid="{DBAC27E7-E30A-284F-BFB8-15D0D15B5571}"/>
    <hyperlink ref="R25" r:id="rId3" location="bib48" display="https://www.sciencedirect.com/science/article/pii/S1364032122003471?via=ihub - bib48" xr:uid="{BA686848-333F-E849-B933-255C3A71848E}"/>
    <hyperlink ref="R20" r:id="rId4" location="bib47" display="https://www.sciencedirect.com/science/article/pii/S1364032122003471?via=ihub - bib47" xr:uid="{05733356-C2CE-A443-A1ED-E9784634D301}"/>
    <hyperlink ref="R13" r:id="rId5" location="bib10" display="https://www.sciencedirect.com/science/article/pii/S1364032122003471?via=ihub - bib10" xr:uid="{475949D2-0FEF-224E-AD4D-7D861B3F620D}"/>
    <hyperlink ref="R40" r:id="rId6" location="bib50" display="https://www.sciencedirect.com/science/article/pii/S1364032122003471?via=ihub - bib50" xr:uid="{1ABA14F9-A1B7-9A46-BA91-54DFBD7533A9}"/>
    <hyperlink ref="R50" r:id="rId7" location="bib50" display="https://www.sciencedirect.com/science/article/pii/S1364032122003471?via=ihub - bib50" xr:uid="{93304EB9-47E2-F74C-8983-E7B090C43761}"/>
    <hyperlink ref="R55" r:id="rId8" location="bib52" display="https://www.sciencedirect.com/science/article/pii/S1364032122003471?via=ihub - bib52" xr:uid="{EC9857A7-4C75-CF4D-B28F-5931C89FA32F}"/>
    <hyperlink ref="R59" r:id="rId9" location="bib53" display="https://www.sciencedirect.com/science/article/pii/S1364032122003471?via=ihub - bib53" xr:uid="{36A4EE42-7264-5547-A4FF-69D38E53CD46}"/>
    <hyperlink ref="R61" r:id="rId10" location="bib54" display="https://www.sciencedirect.com/science/article/pii/S1364032122003471?via=ihub - bib54" xr:uid="{26ABB595-12ED-9044-BE9B-C14EE7C1EB65}"/>
    <hyperlink ref="R64" r:id="rId11" location="bib60" display="https://www.sciencedirect.com/science/article/pii/S1364032122003471?via=ihub - bib60" xr:uid="{1A2D7807-6727-0D43-B529-6A2E0B742D10}"/>
    <hyperlink ref="R66" r:id="rId12" location="bib62" display="https://www.sciencedirect.com/science/article/pii/S1364032122003471?via=ihub - bib62" xr:uid="{700F24F3-01BD-E142-A61E-FCD19C18F843}"/>
    <hyperlink ref="R71" r:id="rId13" location="bib21" display="https://www.sciencedirect.com/science/article/pii/S1364032122003471?via=ihub - bib21" xr:uid="{2CE3C232-EEE8-AC4B-9610-83A1FF524DE0}"/>
    <hyperlink ref="U80" r:id="rId14" location="b0230" display="https://www.sciencedirect.com/science/article/pii/S001085452300382X?via%3Dihub - b0230" xr:uid="{6387F424-56C6-9445-B187-0245307698D7}"/>
    <hyperlink ref="U83" r:id="rId15" location="b0235" display="https://www.sciencedirect.com/science/article/pii/S001085452300382X?via%3Dihub - b0235" xr:uid="{A70FDDAC-81FC-D349-B3FB-F1D0264CB760}"/>
    <hyperlink ref="U84" r:id="rId16" location="b0240" display="https://www.sciencedirect.com/science/article/pii/S001085452300382X?via%3Dihub - b0240" xr:uid="{EAF51AAD-051D-E34A-AA87-D2A00D8FA276}"/>
    <hyperlink ref="U85" r:id="rId17" location="b0250" display="https://www.sciencedirect.com/science/article/pii/S001085452300382X?via%3Dihub - b0250" xr:uid="{EA102FE1-2E99-2743-87BF-641B89C15B60}"/>
    <hyperlink ref="U88" r:id="rId18" location="b0275" display="https://www.sciencedirect.com/science/article/pii/S001085452300382X?via%3Dihub - b0275" xr:uid="{E05205CB-35E0-9945-8265-0BBC4D656D7C}"/>
    <hyperlink ref="U89" r:id="rId19" location="b0285" display="https://www.sciencedirect.com/science/article/pii/S001085452300382X?via%3Dihub - b0285" xr:uid="{5E8ADD15-45AF-3647-8B53-75A4AEB8FE11}"/>
    <hyperlink ref="U91" r:id="rId20" location="b0290" display="https://www.sciencedirect.com/science/article/pii/S001085452300382X?via%3Dihub - b0290" xr:uid="{F127CFCB-BFF0-E541-8DFA-3B16A4B11A86}"/>
    <hyperlink ref="U96" r:id="rId21" location="b0295" display="https://www.sciencedirect.com/science/article/pii/S001085452300382X?via%3Dihub - b0295" xr:uid="{80550181-C98A-A94C-967D-70204EA850D5}"/>
    <hyperlink ref="U97" r:id="rId22" location="b0310" display="https://www.sciencedirect.com/science/article/pii/S001085452300382X?via%3Dihub - b0310" xr:uid="{8A41CBD0-B83D-6549-AF27-598ECCF6353B}"/>
    <hyperlink ref="U98" r:id="rId23" location="b0320" display="https://www.sciencedirect.com/science/article/pii/S001085452300382X?via%3Dihub - b0320" xr:uid="{3B3E1AB0-16E6-EA49-A984-549B1D9A727A}"/>
    <hyperlink ref="U103" r:id="rId24" location="b0325" display="https://www.sciencedirect.com/science/article/pii/S001085452300382X?via%3Dihub - b0325" xr:uid="{F27893B6-DBF5-A048-ADE3-A5C16BD71E1E}"/>
    <hyperlink ref="U106" r:id="rId25" location="b0330" display="https://www.sciencedirect.com/science/article/pii/S001085452300382X?via%3Dihub - b0330" xr:uid="{D71451F8-C738-1C4A-9EA5-DEC759909C04}"/>
    <hyperlink ref="U108" r:id="rId26" location="b0335" display="https://www.sciencedirect.com/science/article/pii/S001085452300382X?via%3Dihub - b0335" xr:uid="{BE1D3892-B570-F643-B6EC-C42FEA5681CE}"/>
    <hyperlink ref="U113" r:id="rId27" location="b0370" display="https://www.sciencedirect.com/science/article/pii/S001085452300382X?via%3Dihub - b0370" xr:uid="{EBC44C3F-E6CD-3240-82DE-3A4AE15CBEC9}"/>
    <hyperlink ref="U115" r:id="rId28" location="b0360" display="https://www.sciencedirect.com/science/article/pii/S001085452300382X?via%3Dihub - b0360" xr:uid="{8C25B869-79D1-A14F-AFDF-9E1298992BEF}"/>
    <hyperlink ref="U118" r:id="rId29" location="b0375" display="https://www.sciencedirect.com/science/article/pii/S001085452300382X?via%3Dihub - b0375" xr:uid="{0AE57B15-27B2-8E42-A759-56062426A62D}"/>
    <hyperlink ref="U121" r:id="rId30" location="b0380" display="https://www.sciencedirect.com/science/article/pii/S001085452300382X?via%3Dihub - b0380" xr:uid="{1EB7DAFD-D1C6-EE4B-AE59-344C09D2D4C4}"/>
    <hyperlink ref="U123" r:id="rId31" location="b0395" display="https://www.sciencedirect.com/science/article/pii/S001085452300382X?via%3Dihub - b0395" xr:uid="{7492C3D3-AD60-8E45-932A-0A36D0D9B599}"/>
    <hyperlink ref="U126" r:id="rId32" location="b0420" display="https://www.sciencedirect.com/science/article/pii/S001085452300382X?via%3Dihub - b0420" xr:uid="{F30DA814-A5C3-9E4B-A961-3C93E65063D3}"/>
    <hyperlink ref="U127" r:id="rId33" location="b0425" display="https://www.sciencedirect.com/science/article/pii/S001085452300382X?via%3Dihub - b0425" xr:uid="{2BA7C3AC-38EA-434C-8B33-827DA353CBC2}"/>
    <hyperlink ref="U128" r:id="rId34" location="b0430" display="https://www.sciencedirect.com/science/article/pii/S001085452300382X?via%3Dihub - b0430" xr:uid="{CBD9C2ED-B5D5-224B-8523-1555AA4F6CD2}"/>
    <hyperlink ref="U129" r:id="rId35" location="b0435" display="https://www.sciencedirect.com/science/article/pii/S001085452300382X?via%3Dihub - b0435" xr:uid="{CACEFEB9-FA29-8241-BD86-C298311CD282}"/>
    <hyperlink ref="U130" r:id="rId36" location="b0440" display="https://www.sciencedirect.com/science/article/pii/S001085452300382X?via%3Dihub - b0440" xr:uid="{C70DF5BB-D57B-2E40-8179-EBD19FFF2C0C}"/>
    <hyperlink ref="Y172" r:id="rId37" location="b0635" display="https://www.sciencedirect.com/science/article/pii/S004896971935082X?via%3Dihub - b0635" xr:uid="{ED39BFCF-D457-7F41-A890-03674100EDAC}"/>
    <hyperlink ref="Y173" r:id="rId38" location="b0995" display="https://www.sciencedirect.com/science/article/pii/S004896971935082X?via%3Dihub - b0995" xr:uid="{E6035041-EC84-C54B-A95F-C16DB852DBB0}"/>
    <hyperlink ref="Y174" r:id="rId39" location="b0045" display="https://www.sciencedirect.com/science/article/pii/S004896971935082X?via%3Dihub - b0045" xr:uid="{7BE034ED-3077-C54D-A0EC-ACB9F878CC5B}"/>
    <hyperlink ref="Y175" r:id="rId40" location="b0760" display="https://www.sciencedirect.com/science/article/pii/S004896971935082X?via%3Dihub - b0760" xr:uid="{ACE34DCF-43F7-7044-8952-5C67A4DB729A}"/>
    <hyperlink ref="Y176" r:id="rId41" location="b0945" display="https://www.sciencedirect.com/science/article/pii/S004896971935082X?via%3Dihub - b0945" xr:uid="{0E4E9473-17C7-DF4D-9EB8-0D4F8DA9E268}"/>
    <hyperlink ref="Y177" r:id="rId42" location="b0895" display="https://www.sciencedirect.com/science/article/pii/S004896971935082X?via%3Dihub - b0895" xr:uid="{BBBD1CDF-4475-7A44-B62E-8F43692F97E8}"/>
    <hyperlink ref="Y178" r:id="rId43" location="b1030" display="https://www.sciencedirect.com/science/article/pii/S004896971935082X?via%3Dihub - b1030" xr:uid="{012F86C9-D644-3044-92A9-A4E7E1E256D6}"/>
    <hyperlink ref="Y179" r:id="rId44" location="b0035" display="https://www.sciencedirect.com/science/article/pii/S004896971935082X?via%3Dihub - b0035" xr:uid="{322E9B77-AC74-B94A-8632-02D7DCE7EB02}"/>
    <hyperlink ref="Y182" r:id="rId45" location="b0625" display="https://www.sciencedirect.com/science/article/pii/S004896971935082X?via%3Dihub - b0625" xr:uid="{6686F5B7-1154-A441-AD66-B3812BEF5D5E}"/>
    <hyperlink ref="Y183" r:id="rId46" location="b0150" display="https://www.sciencedirect.com/science/article/pii/S004896971935082X?via%3Dihub - b0150" xr:uid="{68B42AE6-2052-604A-ABEE-01B3745F46E8}"/>
    <hyperlink ref="Y184" r:id="rId47" location="b0180" display="https://www.sciencedirect.com/science/article/pii/S004896971935082X?via%3Dihub - b0180" xr:uid="{A9B9C848-0F13-0147-8CA0-BEBA6AF4820D}"/>
    <hyperlink ref="Y185" r:id="rId48" location="b0155" display="https://www.sciencedirect.com/science/article/pii/S004896971935082X?via%3Dihub - b0155" xr:uid="{502CD616-2AC6-8340-991A-8939D407ED50}"/>
    <hyperlink ref="Y186" r:id="rId49" location="b0665" display="https://www.sciencedirect.com/science/article/pii/S004896971935082X?via%3Dihub - b0665" xr:uid="{1CC89E60-4794-7C4F-8A15-FC6094D0DD0F}"/>
    <hyperlink ref="Y187" r:id="rId50" location="b0495" display="https://www.sciencedirect.com/science/article/pii/S004896971935082X?via%3Dihub - b0495" xr:uid="{A82C6C5F-2DBE-2A44-8227-8D97A1691BEA}"/>
    <hyperlink ref="Y188" r:id="rId51" location="b0495" display="https://www.sciencedirect.com/science/article/pii/S004896971935082X?via%3Dihub - b0495" xr:uid="{8D2AD127-293A-CE4A-9C59-CEBF250E7850}"/>
    <hyperlink ref="Y189" r:id="rId52" location="b0095" display="https://www.sciencedirect.com/science/article/pii/S004896971935082X?via%3Dihub - b0095" xr:uid="{EA467F37-5E2F-6A4F-AD7D-9A2449FC26EF}"/>
    <hyperlink ref="Y190" r:id="rId53" location="b0670" display="https://www.sciencedirect.com/science/article/pii/S004896971935082X?via%3Dihub - b0670" xr:uid="{68D4ACDD-6F25-9E4D-BE88-86CC2642703F}"/>
    <hyperlink ref="Y191" r:id="rId54" location="b0400" display="https://www.sciencedirect.com/science/article/pii/S004896971935082X?via%3Dihub - b0400" xr:uid="{45A15D27-2289-FF48-8CA6-5CE98FC77820}"/>
    <hyperlink ref="Y192" r:id="rId55" location="b0675" display="https://www.sciencedirect.com/science/article/pii/S004896971935082X?via%3Dihub - b0675" xr:uid="{AB26469C-6C89-FF4A-97D8-485DCE9BDF28}"/>
    <hyperlink ref="Y195" r:id="rId56" location="b0345" display="https://www.sciencedirect.com/science/article/pii/S004896971935082X?via%3Dihub - b0345" xr:uid="{C7564C91-A6B6-914F-BAAD-2E397CF07D2A}"/>
    <hyperlink ref="Y196" r:id="rId57" location="b0705" display="https://www.sciencedirect.com/science/article/pii/S004896971935082X?via%3Dihub - b0705" xr:uid="{E1ACB4B2-7C6F-154E-9D09-BFBC09DD96B4}"/>
    <hyperlink ref="Y197" r:id="rId58" location="b0705" display="https://www.sciencedirect.com/science/article/pii/S004896971935082X?via%3Dihub - b0705" xr:uid="{8C92A173-A9FD-1A4F-AFD9-9557701CB531}"/>
    <hyperlink ref="Y198" r:id="rId59" location="b0705" display="https://www.sciencedirect.com/science/article/pii/S004896971935082X?via%3Dihub - b0705" xr:uid="{2262853A-E7A2-A942-BE72-C8F48DF8FF38}"/>
    <hyperlink ref="Y199" r:id="rId60" location="b0705" display="https://www.sciencedirect.com/science/article/pii/S004896971935082X?via%3Dihub - b0705" xr:uid="{2A4B5A69-9211-DA42-9922-EC58C98080AA}"/>
    <hyperlink ref="Y200" r:id="rId61" location="b0705" display="https://www.sciencedirect.com/science/article/pii/S004896971935082X?via%3Dihub - b0705" xr:uid="{0D6FF5E9-53B9-1148-9876-966BDE19733A}"/>
    <hyperlink ref="Y201" r:id="rId62" location="b0705" display="https://www.sciencedirect.com/science/article/pii/S004896971935082X?via%3Dihub - b0705" xr:uid="{F351080A-DEED-274A-A868-6E225956E737}"/>
    <hyperlink ref="Y202" r:id="rId63" location="b0705" display="https://www.sciencedirect.com/science/article/pii/S004896971935082X?via%3Dihub - b0705" xr:uid="{0217EA99-2E21-6344-BE39-F527D8AC3CC8}"/>
    <hyperlink ref="Y203" r:id="rId64" location="b0705" display="https://www.sciencedirect.com/science/article/pii/S004896971935082X?via%3Dihub - b0705" xr:uid="{F8985FD7-2BBC-9341-A384-DE74B202C704}"/>
    <hyperlink ref="Y207" r:id="rId65" location="b0555" display="https://www.sciencedirect.com/science/article/pii/S004896971935082X?via%3Dihub - b0555" xr:uid="{1000A48B-C4F6-854C-98D7-B43022913493}"/>
    <hyperlink ref="Y208" r:id="rId66" location="b0655" display="https://www.sciencedirect.com/science/article/pii/S004896971935082X?via%3Dihub - b0655" xr:uid="{8974E2C4-82F4-6C44-997C-88766275041E}"/>
    <hyperlink ref="Y209" r:id="rId67" location="b0475" display="https://www.sciencedirect.com/science/article/pii/S004896971935082X?via%3Dihub - b0475" xr:uid="{8A161218-4295-434C-BC18-DF00C59DAE00}"/>
    <hyperlink ref="Y210" r:id="rId68" location="b0475" display="https://www.sciencedirect.com/science/article/pii/S004896971935082X?via%3Dihub - b0475" xr:uid="{57764181-4881-E74A-BD9C-F5786DBF76A6}"/>
    <hyperlink ref="Y211" r:id="rId69" location="b0125" display="https://www.sciencedirect.com/science/article/pii/S004896971935082X?via%3Dihub - b0125" xr:uid="{C4DB7951-AC1B-FF48-B1D2-8738DF7B6D13}"/>
    <hyperlink ref="Y212" r:id="rId70" location="b0405" display="https://www.sciencedirect.com/science/article/pii/S004896971935082X?via%3Dihub - b0405" xr:uid="{23EECD93-D83C-8B47-8420-273A253C6FD9}"/>
    <hyperlink ref="Y213" r:id="rId71" location="b0235" display="https://www.sciencedirect.com/science/article/pii/S004896971935082X?via%3Dihub - b0235" xr:uid="{3CC3C841-D9BE-F340-BAB5-4A528608CC74}"/>
    <hyperlink ref="Y214" r:id="rId72" location="b0235" display="https://www.sciencedirect.com/science/article/pii/S004896971935082X?via%3Dihub - b0235" xr:uid="{8C52EC8A-D212-D940-AAED-080700B1E16B}"/>
    <hyperlink ref="Y215" r:id="rId73" location="b0100" display="https://www.sciencedirect.com/science/article/pii/S004896971935082X?via%3Dihub - b0100" xr:uid="{7B8E1468-68F3-CF48-A38A-BE6213830FD1}"/>
    <hyperlink ref="Y216" r:id="rId74" location="b0100" display="https://www.sciencedirect.com/science/article/pii/S004896971935082X?via%3Dihub - b0100" xr:uid="{DE80787F-CAA0-ED42-99E4-B32C96397B2B}"/>
    <hyperlink ref="Y217" r:id="rId75" location="b0100" display="https://www.sciencedirect.com/science/article/pii/S004896971935082X?via%3Dihub - b0100" xr:uid="{18D7E135-0451-FF45-B4B1-76B2FB3675B9}"/>
    <hyperlink ref="Y218" r:id="rId76" location="b0100" display="https://www.sciencedirect.com/science/article/pii/S004896971935082X?via%3Dihub - b0100" xr:uid="{87625FBD-D914-6742-9D21-1AB9906862EE}"/>
    <hyperlink ref="Y219" r:id="rId77" location="b0100" display="https://www.sciencedirect.com/science/article/pii/S004896971935082X?via%3Dihub - b0100" xr:uid="{B6CEAB2D-EF94-654F-8F47-9E031D3C9D77}"/>
    <hyperlink ref="Y220" r:id="rId78" location="b0100" display="https://www.sciencedirect.com/science/article/pii/S004896971935082X?via%3Dihub - b0100" xr:uid="{4DE76B8A-D96F-304F-BED9-0D22E1D7A3CC}"/>
    <hyperlink ref="Y221" r:id="rId79" location="b0100" display="https://www.sciencedirect.com/science/article/pii/S004896971935082X?via%3Dihub - b0100" xr:uid="{C6646666-3A72-544E-B4B4-B35CCB913558}"/>
    <hyperlink ref="Y222" r:id="rId80" location="b0100" display="https://www.sciencedirect.com/science/article/pii/S004896971935082X?via%3Dihub - b0100" xr:uid="{9F9EF08D-6B4A-5D44-90D9-63C37A5B4A63}"/>
    <hyperlink ref="Y223" r:id="rId81" location="b0100" display="https://www.sciencedirect.com/science/article/pii/S004896971935082X?via%3Dihub - b0100" xr:uid="{95222BB4-6499-9D4D-8556-F38707657442}"/>
    <hyperlink ref="Y224" r:id="rId82" location="b1020" display="https://www.sciencedirect.com/science/article/pii/S004896971935082X?via%3Dihub - b1020" xr:uid="{C0EF886C-F4EB-2A4D-89A8-EB4FD702792A}"/>
    <hyperlink ref="Y225" r:id="rId83" location="b1020" display="https://www.sciencedirect.com/science/article/pii/S004896971935082X?via%3Dihub - b1020" xr:uid="{0CE74BFA-C405-2242-9EAE-CC5C995B8459}"/>
    <hyperlink ref="Y226" r:id="rId84" location="b0745" display="https://www.sciencedirect.com/science/article/pii/S004896971935082X?via%3Dihub - b0745" xr:uid="{8C3785BA-F843-4E4D-ACBF-0F5375F9B6AD}"/>
    <hyperlink ref="Y227" r:id="rId85" location="b0745" display="https://www.sciencedirect.com/science/article/pii/S004896971935082X?via%3Dihub - b0745" xr:uid="{F64B9EF0-12D7-034C-9EEB-4D2A77025AD9}"/>
    <hyperlink ref="Y230" r:id="rId86" location="b0555" display="https://www.sciencedirect.com/science/article/pii/S004896971935082X?via%3Dihub - b0555" xr:uid="{93B206B0-B710-3C4D-9C78-2747CD5299D9}"/>
    <hyperlink ref="Y231" r:id="rId87" location="b0475" display="https://www.sciencedirect.com/science/article/pii/S004896971935082X?via%3Dihub - b0475" xr:uid="{DEF3FC53-1C22-874C-9776-66840B00AAD0}"/>
    <hyperlink ref="Y232" r:id="rId88" location="b0475" display="https://www.sciencedirect.com/science/article/pii/S004896971935082X?via%3Dihub - b0475" xr:uid="{6C9AABBB-FD40-854B-A3EC-C31F148F3835}"/>
    <hyperlink ref="Y233" r:id="rId89" location="b0405" display="https://www.sciencedirect.com/science/article/pii/S004896971935082X?via%3Dihub - b0405" xr:uid="{D3DB225A-08A3-164A-AE66-B3D7279B5474}"/>
    <hyperlink ref="Y234" r:id="rId90" location="b0100" display="https://www.sciencedirect.com/science/article/pii/S004896971935082X?via%3Dihub - b0100" xr:uid="{2E790E5D-732E-2746-A5D9-27C273E108C2}"/>
    <hyperlink ref="Y235" r:id="rId91" location="b0100" display="https://www.sciencedirect.com/science/article/pii/S004896971935082X?via%3Dihub - b0100" xr:uid="{E6D1FD6F-66CE-3C45-A8F2-BE94B717E4F4}"/>
    <hyperlink ref="Y236" r:id="rId92" location="b0100" display="https://www.sciencedirect.com/science/article/pii/S004896971935082X?via%3Dihub - b0100" xr:uid="{5DAEBA9B-0618-8842-ADAC-02843F4CD569}"/>
    <hyperlink ref="Y237" r:id="rId93" location="b1020" display="https://www.sciencedirect.com/science/article/pii/S004896971935082X?via%3Dihub - b1020" xr:uid="{D3C72D53-CDFB-BB4F-BC41-4CDE2CEAE68D}"/>
    <hyperlink ref="Y238" r:id="rId94" location="b0965" display="https://www.sciencedirect.com/science/article/pii/S004896971935082X?via%3Dihub - b0965" xr:uid="{18F79588-4A0A-2F44-84C0-5D153E77BA39}"/>
    <hyperlink ref="Y239" r:id="rId95" location="b0965" display="https://www.sciencedirect.com/science/article/pii/S004896971935082X?via%3Dihub - b0965" xr:uid="{447657EE-AF36-7446-920D-799C34A8C505}"/>
    <hyperlink ref="Y240" r:id="rId96" location="b0560" display="https://www.sciencedirect.com/science/article/pii/S004896971935082X?via%3Dihub - b0560" xr:uid="{778EE2F0-11DE-3C4D-95D6-7544CD4A7619}"/>
    <hyperlink ref="Y241" r:id="rId97" location="b0560" display="https://www.sciencedirect.com/science/article/pii/S004896971935082X?via%3Dihub - b0560" xr:uid="{6C7CF755-465C-6046-84BA-6EE5F0282810}"/>
    <hyperlink ref="Y242" r:id="rId98" location="b0560" display="https://www.sciencedirect.com/science/article/pii/S004896971935082X?via%3Dihub - b0560" xr:uid="{3A9C2207-2648-864A-BE12-17648ACA4F07}"/>
    <hyperlink ref="Y243" r:id="rId99" location="b0560" display="https://www.sciencedirect.com/science/article/pii/S004896971935082X?via%3Dihub - b0560" xr:uid="{66EEE846-C61F-A644-90A5-734A087A5498}"/>
    <hyperlink ref="Y244" r:id="rId100" location="b0680" display="https://www.sciencedirect.com/science/article/pii/S004896971935082X?via%3Dihub - b0680" xr:uid="{58501BD2-8C45-E442-8722-425850756261}"/>
    <hyperlink ref="Y245" r:id="rId101" location="b0680" display="https://www.sciencedirect.com/science/article/pii/S004896971935082X?via%3Dihub - b0680" xr:uid="{57368813-B89D-574F-BA4D-7713ACE6F55E}"/>
    <hyperlink ref="Y246" r:id="rId102" location="b0680" display="https://www.sciencedirect.com/science/article/pii/S004896971935082X?via%3Dihub - b0680" xr:uid="{6AC7D3CD-1F40-9548-8FF1-7C417222A665}"/>
    <hyperlink ref="Y247" r:id="rId103" location="b0680" display="https://www.sciencedirect.com/science/article/pii/S004896971935082X?via%3Dihub - b0680" xr:uid="{0D9CE5C4-0B19-CD4A-B3DF-5006DF68FB9A}"/>
    <hyperlink ref="Y248" r:id="rId104" location="b0680" display="https://www.sciencedirect.com/science/article/pii/S004896971935082X?via%3Dihub - b0680" xr:uid="{3F1B5BCF-507B-EA43-BA8A-5564E56E82D3}"/>
    <hyperlink ref="Y249" r:id="rId105" location="b0680" display="https://www.sciencedirect.com/science/article/pii/S004896971935082X?via%3Dihub - b0680" xr:uid="{B0D1CD42-60D8-D14E-A51E-5B07DA3F14ED}"/>
    <hyperlink ref="Y250" r:id="rId106" location="b0090" display="https://www.sciencedirect.com/science/article/pii/S004896971935082X?via%3Dihub - b0090" xr:uid="{A9BDA657-0483-894A-B4D9-918CDDEBB9C0}"/>
    <hyperlink ref="Y251" r:id="rId107" location="b1085" display="https://www.sciencedirect.com/science/article/pii/S004896971935082X?via%3Dihub - b1085" xr:uid="{189DD36E-E809-8B47-B316-7A59725527FE}"/>
    <hyperlink ref="Y252" r:id="rId108" location="b1085" display="https://www.sciencedirect.com/science/article/pii/S004896971935082X?via%3Dihub - b1085" xr:uid="{CF3B56DE-AB94-244E-8391-2157C1678F46}"/>
    <hyperlink ref="Y253" r:id="rId109" location="b0615" display="https://www.sciencedirect.com/science/article/pii/S004896971935082X?via%3Dihub - b0615" xr:uid="{A0271933-58B0-8842-86F2-C82B33A72356}"/>
    <hyperlink ref="Y254" r:id="rId110" location="b0040" display="https://www.sciencedirect.com/science/article/pii/S004896971935082X?via%3Dihub - b0040" xr:uid="{6ABD49B1-8A7A-4649-BBD1-A8F60221F55F}"/>
    <hyperlink ref="Y255" r:id="rId111" location="b0040" display="https://www.sciencedirect.com/science/article/pii/S004896971935082X?via%3Dihub - b0040" xr:uid="{4CAF2C5C-38E4-1F43-A986-2D617E082790}"/>
    <hyperlink ref="Y256" r:id="rId112" location="b0865" display="https://www.sciencedirect.com/science/article/pii/S004896971935082X?via%3Dihub - b0865" xr:uid="{54D536B7-D56B-734F-B3D8-C52B97EACB60}"/>
    <hyperlink ref="Y257" r:id="rId113" location="b0950" display="https://www.sciencedirect.com/science/article/pii/S004896971935082X?via%3Dihub - b0950" xr:uid="{1F0E8B30-F72D-AC49-9620-AA7DEC117B4C}"/>
    <hyperlink ref="Y258" r:id="rId114" location="b0450" display="https://www.sciencedirect.com/science/article/pii/S004896971935082X?via%3Dihub - b0450" xr:uid="{E9FA9D62-3C87-5B45-9FE3-C36556F3FD87}"/>
    <hyperlink ref="Y259" r:id="rId115" location="b0980" display="https://www.sciencedirect.com/science/article/pii/S004896971935082X?via%3Dihub - b0980" xr:uid="{D7C22E24-D545-5941-B28F-233EA0BBD1CC}"/>
    <hyperlink ref="Y260" r:id="rId116" location="b0355" display="https://www.sciencedirect.com/science/article/pii/S004896971935082X?via%3Dihub - b0355" xr:uid="{2B479CAB-EE21-AE49-BBFA-64353434576B}"/>
    <hyperlink ref="Y261" r:id="rId117" location="b0355" display="https://www.sciencedirect.com/science/article/pii/S004896971935082X?via%3Dihub - b0355" xr:uid="{2280D0F9-326B-9E43-87E7-D8517D0592A4}"/>
    <hyperlink ref="Y262" r:id="rId118" location="b0460" display="https://www.sciencedirect.com/science/article/pii/S004896971935082X?via%3Dihub - b0460" xr:uid="{D37F61C7-EAD7-AC4F-8C21-8DB846B7F880}"/>
    <hyperlink ref="Y263" r:id="rId119" location="b0460" display="https://www.sciencedirect.com/science/article/pii/S004896971935082X?via%3Dihub - b0460" xr:uid="{85965A1D-39B8-004D-9C9A-6DB89C82787B}"/>
    <hyperlink ref="Y264" r:id="rId120" location="b0575" display="https://www.sciencedirect.com/science/article/pii/S004896971935082X?via%3Dihub - b0575" xr:uid="{73F9B857-71E9-BF45-AA68-76BEA7E4D536}"/>
    <hyperlink ref="Y265" r:id="rId121" location="b0210" display="https://www.sciencedirect.com/science/article/pii/S004896971935082X?via%3Dihub - b0210" xr:uid="{800AE55E-C45E-BB49-9DF8-F0247F7B634F}"/>
    <hyperlink ref="Y266" r:id="rId122" location="b0320" display="https://www.sciencedirect.com/science/article/pii/S004896971935082X?via%3Dihub - b0320" xr:uid="{504EC33C-7B36-6849-8588-244172E3F40F}"/>
    <hyperlink ref="Y267" r:id="rId123" location="b0320" display="https://www.sciencedirect.com/science/article/pii/S004896971935082X?via%3Dihub - b0320" xr:uid="{A6588530-22D3-0E4B-96C3-BBA4EFD221DC}"/>
    <hyperlink ref="Y268" r:id="rId124" location="b0320" display="https://www.sciencedirect.com/science/article/pii/S004896971935082X?via%3Dihub - b0320" xr:uid="{8DFD315E-68A8-A648-9783-F0C4CFA6D38A}"/>
    <hyperlink ref="Y269" r:id="rId125" location="b0280" display="https://www.sciencedirect.com/science/article/pii/S004896971935082X?via%3Dihub - b0280" xr:uid="{A0E91FB4-544A-EB47-8414-9E48E703366F}"/>
    <hyperlink ref="Y270" r:id="rId126" location="b0280" display="https://www.sciencedirect.com/science/article/pii/S004896971935082X?via%3Dihub - b0280" xr:uid="{64795647-7A58-5345-9510-94AB222EC403}"/>
    <hyperlink ref="Y271" r:id="rId127" location="b0280" display="https://www.sciencedirect.com/science/article/pii/S004896971935082X?via%3Dihub - b0280" xr:uid="{5B653A68-2D69-F945-9686-E248A84BE601}"/>
    <hyperlink ref="Y272" r:id="rId128" location="b0565" display="https://www.sciencedirect.com/science/article/pii/S004896971935082X?via%3Dihub - b0565" xr:uid="{15C71667-D22F-E24C-85DC-0B662258FEF3}"/>
    <hyperlink ref="Y273" r:id="rId129" location="b0970" display="https://www.sciencedirect.com/science/article/pii/S004896971935082X?via%3Dihub - b0970" xr:uid="{71C6729D-0113-0443-8E76-5EBE3EDD7795}"/>
    <hyperlink ref="Y274" r:id="rId130" location="b0510" display="https://www.sciencedirect.com/science/article/pii/S004896971935082X?via%3Dihub - b0510" xr:uid="{E7012420-466E-FD4F-94FE-4EFA593F9335}"/>
    <hyperlink ref="Y275" r:id="rId131" location="b0800" display="https://www.sciencedirect.com/science/article/pii/S004896971935082X?via%3Dihub - b0800" xr:uid="{88AC21EF-E6CA-6D43-931D-1C557CCBF70D}"/>
    <hyperlink ref="Y276" r:id="rId132" location="b0130" display="https://www.sciencedirect.com/science/article/pii/S004896971935082X?via%3Dihub - b0130" xr:uid="{6EA000D6-9A29-2740-8218-67CDE8C8EA80}"/>
    <hyperlink ref="Y277" r:id="rId133" location="b0955" display="https://www.sciencedirect.com/science/article/pii/S004896971935082X?via%3Dihub - b0955" xr:uid="{9345ED69-4FA3-AD4C-A682-D4B6D3435E71}"/>
    <hyperlink ref="Y278" r:id="rId134" location="b0255" display="https://www.sciencedirect.com/science/article/pii/S004896971935082X?via%3Dihub - b0255" xr:uid="{7A0D3F94-D7AB-EC49-BD07-4D533E153EDA}"/>
    <hyperlink ref="Y279" r:id="rId135" location="b0140" display="https://www.sciencedirect.com/science/article/pii/S004896971935082X?via%3Dihub - b0140" xr:uid="{330A6809-6345-304E-A723-1359C841770B}"/>
    <hyperlink ref="Y284" r:id="rId136" location="b0530" display="https://www.sciencedirect.com/science/article/pii/S004896971935082X?via%3Dihub - b0530" xr:uid="{7261AABE-273E-3342-AC0A-BCF54A1960BD}"/>
    <hyperlink ref="Y285" r:id="rId137" location="b0630" display="https://www.sciencedirect.com/science/article/pii/S004896971935082X?via%3Dihub - b0630" xr:uid="{F7C60516-F530-AC4A-ADCD-7B54CB3F9F1F}"/>
    <hyperlink ref="Y286" r:id="rId138" location="b0630" display="https://www.sciencedirect.com/science/article/pii/S004896971935082X?via%3Dihub - b0630" xr:uid="{5C6967B0-29D1-164C-AA32-86F81D3DE951}"/>
    <hyperlink ref="Y287" r:id="rId139" location="b0630" display="https://www.sciencedirect.com/science/article/pii/S004896971935082X?via%3Dihub - b0630" xr:uid="{3C0A203A-930D-794A-ADDA-FFB02B831647}"/>
    <hyperlink ref="Y288" r:id="rId140" location="b0640" display="https://www.sciencedirect.com/science/article/pii/S004896971935082X?via%3Dihub - b0640" xr:uid="{F74FB3D8-64F3-8B49-A70F-AF53E8FDCDCD}"/>
    <hyperlink ref="Y289" r:id="rId141" location="b1015" display="https://www.sciencedirect.com/science/article/pii/S004896971935082X?via%3Dihub - b1015" xr:uid="{4AB4A5C3-9A86-974C-B85D-624D22E9B50B}"/>
    <hyperlink ref="Y290" r:id="rId142" location="b0120" display="https://www.sciencedirect.com/science/article/pii/S004896971935082X?via%3Dihub - b0120" xr:uid="{58014E80-CABB-684E-8F92-F9FC403AC5A4}"/>
    <hyperlink ref="Y295" r:id="rId143" location="b0605" display="https://www.sciencedirect.com/science/article/pii/S004896971935082X?via%3Dihub - b0605" xr:uid="{ADDA2D5C-5D69-4B43-ADB9-3BA095A25812}"/>
    <hyperlink ref="Y296" r:id="rId144" location="b0605" display="https://www.sciencedirect.com/science/article/pii/S004896971935082X?via%3Dihub - b0605" xr:uid="{D6BFEF1F-D0B0-F74B-8499-6B9FCFD4AC09}"/>
    <hyperlink ref="Y297" r:id="rId145" location="b0605" display="https://www.sciencedirect.com/science/article/pii/S004896971935082X?via%3Dihub - b0605" xr:uid="{53B0E724-C948-C340-89ED-1E7E78720FE5}"/>
    <hyperlink ref="AA302" r:id="rId146" location="b0040" display="https://www.sciencedirect.com/science/article/pii/S004896971935082X?via%3Dihub - b0040" xr:uid="{A98E5983-9C6B-2848-97D3-B5FDE6C41C87}"/>
    <hyperlink ref="AA303" r:id="rId147" location="b0320" display="https://www.sciencedirect.com/science/article/pii/S004896971935082X?via%3Dihub - b0320" xr:uid="{A663E717-2102-B248-B1DB-A9106DC8A967}"/>
    <hyperlink ref="AA304" r:id="rId148" location="b0520" display="https://www.sciencedirect.com/science/article/pii/S004896971935082X?via%3Dihub - b0520" xr:uid="{87976E4D-5E3A-2A40-89D5-3A221FFDAD9C}"/>
    <hyperlink ref="AA305" r:id="rId149" location="b0350" display="https://www.sciencedirect.com/science/article/pii/S004896971935082X?via%3Dihub - b0350" xr:uid="{16BE723A-F8BA-7546-BC4B-9872BA2583A0}"/>
    <hyperlink ref="AA306" r:id="rId150" location="b0590" display="https://www.sciencedirect.com/science/article/pii/S004896971935082X?via%3Dihub - b0590" xr:uid="{2D76287F-2326-DB4E-8D4E-D10D9ADF6175}"/>
    <hyperlink ref="AA307" r:id="rId151" location="b0885" display="https://www.sciencedirect.com/science/article/pii/S004896971935082X?via%3Dihub - b0885" xr:uid="{641AFF40-6945-5F4C-8A05-C28F60228DF9}"/>
    <hyperlink ref="J11" r:id="rId152" xr:uid="{BAC13EBA-B9FC-6149-82DC-007936451D3F}"/>
    <hyperlink ref="J78" r:id="rId153" xr:uid="{91B4ABBB-862A-684F-91EE-EBB9B66311F9}"/>
    <hyperlink ref="C123" r:id="rId154" xr:uid="{F11F9400-D9C5-A045-AC95-25B99292BB26}"/>
    <hyperlink ref="C126" r:id="rId155" xr:uid="{432FD925-DD6C-8047-BBED-CFFB23B6D66E}"/>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DD03E-346A-BD46-88EE-E7CEAC4D2F39}">
  <dimension ref="C1:M123"/>
  <sheetViews>
    <sheetView workbookViewId="0">
      <selection activeCell="M114" sqref="M114"/>
    </sheetView>
  </sheetViews>
  <sheetFormatPr baseColWidth="10" defaultRowHeight="16" x14ac:dyDescent="0.2"/>
  <cols>
    <col min="1" max="2" width="10.83203125" style="12"/>
    <col min="3" max="3" width="25" style="125" bestFit="1" customWidth="1"/>
    <col min="4" max="4" width="43" style="125" bestFit="1" customWidth="1"/>
    <col min="5" max="5" width="32.1640625" style="125" customWidth="1"/>
    <col min="6" max="6" width="31.1640625" style="125" customWidth="1"/>
    <col min="7" max="8" width="32.83203125" style="125" customWidth="1"/>
    <col min="9" max="9" width="25.33203125" style="125" customWidth="1"/>
    <col min="10" max="10" width="25.1640625" style="125" customWidth="1"/>
    <col min="11" max="11" width="22.1640625" style="126" customWidth="1"/>
    <col min="12" max="12" width="15.5" style="126" customWidth="1"/>
    <col min="13" max="13" width="254.33203125" style="125" bestFit="1" customWidth="1"/>
    <col min="14" max="16384" width="10.83203125" style="12"/>
  </cols>
  <sheetData>
    <row r="1" spans="3:13" x14ac:dyDescent="0.2">
      <c r="C1" s="12"/>
      <c r="D1" s="12"/>
      <c r="E1" s="12"/>
      <c r="F1" s="12"/>
      <c r="G1" s="12"/>
      <c r="H1" s="12"/>
      <c r="I1" s="12"/>
      <c r="J1" s="12"/>
      <c r="K1" s="12"/>
      <c r="L1" s="12"/>
      <c r="M1" s="12"/>
    </row>
    <row r="2" spans="3:13" x14ac:dyDescent="0.2">
      <c r="C2" s="12"/>
      <c r="D2" s="12"/>
      <c r="E2" s="12"/>
      <c r="F2" s="12"/>
      <c r="G2" s="12"/>
      <c r="H2" s="12"/>
      <c r="I2" s="12"/>
      <c r="J2" s="12"/>
      <c r="K2" s="12"/>
      <c r="L2" s="12"/>
      <c r="M2" s="12"/>
    </row>
    <row r="3" spans="3:13" ht="17" thickBot="1" x14ac:dyDescent="0.25">
      <c r="C3" s="12"/>
      <c r="D3" s="12"/>
      <c r="E3" s="12"/>
      <c r="F3" s="12"/>
      <c r="G3" s="12"/>
      <c r="H3" s="12"/>
      <c r="I3" s="12"/>
      <c r="J3" s="12"/>
      <c r="K3" s="12"/>
      <c r="L3" s="12"/>
      <c r="M3" s="12"/>
    </row>
    <row r="4" spans="3:13" ht="25" thickBot="1" x14ac:dyDescent="0.35">
      <c r="C4" s="124" t="s">
        <v>119</v>
      </c>
      <c r="D4" s="124" t="s">
        <v>18</v>
      </c>
      <c r="E4" s="124" t="s">
        <v>6915</v>
      </c>
      <c r="F4" s="124" t="s">
        <v>26</v>
      </c>
      <c r="G4" s="124" t="s">
        <v>27</v>
      </c>
      <c r="H4" s="124" t="s">
        <v>28</v>
      </c>
      <c r="I4" s="124" t="s">
        <v>29</v>
      </c>
      <c r="J4" s="124" t="s">
        <v>24</v>
      </c>
      <c r="K4" s="123" t="s">
        <v>25</v>
      </c>
      <c r="L4" s="123" t="s">
        <v>4</v>
      </c>
      <c r="M4" s="124" t="s">
        <v>6918</v>
      </c>
    </row>
    <row r="5" spans="3:13" x14ac:dyDescent="0.2">
      <c r="C5" s="125" t="str">
        <f>'Raw Data'!E13</f>
        <v>/</v>
      </c>
      <c r="D5" s="125" t="str">
        <f>'Raw Data'!C13</f>
        <v>Zeolite 13X</v>
      </c>
      <c r="E5" s="125">
        <f>'Raw Data'!I13</f>
        <v>7.4</v>
      </c>
      <c r="F5" s="125" t="str">
        <f>'Raw Data'!N13</f>
        <v>ND</v>
      </c>
      <c r="G5" s="125" t="str">
        <f>'Raw Data'!O13</f>
        <v>ND</v>
      </c>
      <c r="H5" s="125" t="str">
        <f>'Raw Data'!P13</f>
        <v>/</v>
      </c>
      <c r="I5" s="125" t="str">
        <f>'Raw Data'!Q13</f>
        <v>/</v>
      </c>
      <c r="J5" s="125">
        <f>'Raw Data'!L13</f>
        <v>298</v>
      </c>
      <c r="K5" s="126" t="str">
        <f>'Raw Data'!M13</f>
        <v>32 bar</v>
      </c>
      <c r="M5" s="125" t="str">
        <f>'Raw Data'!U13</f>
        <v>A.R. Millward, O.M. Yaghi
Metal-organic frameworks with exceptionally high capacity for storage of carbon dioxide at room temperature
J Am Chem Soc, 127 (51) (2005), pp. 17998-17999</v>
      </c>
    </row>
    <row r="6" spans="3:13" x14ac:dyDescent="0.2">
      <c r="C6" s="125" t="str">
        <f>'Raw Data'!E14</f>
        <v>ADUWON</v>
      </c>
      <c r="D6" s="125" t="str">
        <f>'Raw Data'!C14</f>
        <v>MOF-2</v>
      </c>
      <c r="E6" s="125">
        <f>'Raw Data'!I14</f>
        <v>3.2</v>
      </c>
      <c r="F6" s="125">
        <f>'Raw Data'!N14</f>
        <v>345</v>
      </c>
      <c r="G6" s="125" t="str">
        <f>'Raw Data'!O14</f>
        <v>/</v>
      </c>
      <c r="H6" s="125" t="str">
        <f>'Raw Data'!P14</f>
        <v>/</v>
      </c>
      <c r="I6" s="125" t="str">
        <f>'Raw Data'!Q14</f>
        <v>/</v>
      </c>
      <c r="J6" s="125">
        <f>'Raw Data'!L14</f>
        <v>298</v>
      </c>
      <c r="K6" s="126" t="str">
        <f>'Raw Data'!M14</f>
        <v>32 bar</v>
      </c>
      <c r="M6" s="125" t="str">
        <f>'Raw Data'!U14</f>
        <v>^^^</v>
      </c>
    </row>
    <row r="7" spans="3:13" x14ac:dyDescent="0.2">
      <c r="C7" s="125" t="str">
        <f>'Raw Data'!E15</f>
        <v>ORIVOC</v>
      </c>
      <c r="D7" s="125" t="str">
        <f>'Raw Data'!C15</f>
        <v>MOF-74 (Zn)</v>
      </c>
      <c r="E7" s="125">
        <f>'Raw Data'!I15</f>
        <v>10.4</v>
      </c>
      <c r="F7" s="125">
        <f>'Raw Data'!N15</f>
        <v>816</v>
      </c>
      <c r="G7" s="125" t="str">
        <f>'Raw Data'!O15</f>
        <v>/</v>
      </c>
      <c r="H7" s="125" t="str">
        <f>'Raw Data'!P15</f>
        <v>/</v>
      </c>
      <c r="I7" s="125" t="str">
        <f>'Raw Data'!Q15</f>
        <v>/</v>
      </c>
      <c r="J7" s="125">
        <f>'Raw Data'!L15</f>
        <v>298</v>
      </c>
      <c r="K7" s="126" t="str">
        <f>'Raw Data'!M15</f>
        <v>32 bar</v>
      </c>
      <c r="M7" s="125" t="str">
        <f>'Raw Data'!U15</f>
        <v>^^^</v>
      </c>
    </row>
    <row r="8" spans="3:13" x14ac:dyDescent="0.2">
      <c r="C8" s="125" t="str">
        <f>'Raw Data'!E16</f>
        <v>LASYOU/RUVKAV</v>
      </c>
      <c r="D8" s="125" t="str">
        <f>'Raw Data'!C16</f>
        <v>MOF-505</v>
      </c>
      <c r="E8" s="125">
        <f>'Raw Data'!I16</f>
        <v>10.199999999999999</v>
      </c>
      <c r="F8" s="125">
        <f>'Raw Data'!N16</f>
        <v>1547</v>
      </c>
      <c r="G8" s="125" t="str">
        <f>'Raw Data'!O16</f>
        <v>/</v>
      </c>
      <c r="H8" s="125" t="str">
        <f>'Raw Data'!P16</f>
        <v>/</v>
      </c>
      <c r="I8" s="125" t="str">
        <f>'Raw Data'!Q16</f>
        <v>/</v>
      </c>
      <c r="J8" s="125">
        <f>'Raw Data'!L16</f>
        <v>298</v>
      </c>
      <c r="K8" s="126" t="str">
        <f>'Raw Data'!M16</f>
        <v>32 bar</v>
      </c>
      <c r="M8" s="125" t="str">
        <f>'Raw Data'!U16</f>
        <v>^^^</v>
      </c>
    </row>
    <row r="9" spans="3:13" x14ac:dyDescent="0.2">
      <c r="C9" s="125" t="str">
        <f>'Raw Data'!E17</f>
        <v xml:space="preserve">DOTSOV 42 </v>
      </c>
      <c r="D9" s="125" t="str">
        <f>'Raw Data'!C17</f>
        <v>Cu3(BTC)2 (HKUST-1)</v>
      </c>
      <c r="E9" s="125">
        <f>'Raw Data'!I17</f>
        <v>10.7</v>
      </c>
      <c r="F9" s="125">
        <f>'Raw Data'!N17</f>
        <v>1781</v>
      </c>
      <c r="G9" s="125" t="str">
        <f>'Raw Data'!O17</f>
        <v>/</v>
      </c>
      <c r="H9" s="125" t="str">
        <f>'Raw Data'!P17</f>
        <v>/</v>
      </c>
      <c r="I9" s="125" t="str">
        <f>'Raw Data'!Q17</f>
        <v>/</v>
      </c>
      <c r="J9" s="125">
        <f>'Raw Data'!L17</f>
        <v>298</v>
      </c>
      <c r="K9" s="126" t="str">
        <f>'Raw Data'!M17</f>
        <v>32 bar</v>
      </c>
      <c r="M9" s="125" t="str">
        <f>'Raw Data'!U17</f>
        <v>^^^</v>
      </c>
    </row>
    <row r="10" spans="3:13" x14ac:dyDescent="0.2">
      <c r="C10" s="125" t="str">
        <f>'Raw Data'!E18</f>
        <v>BABRII</v>
      </c>
      <c r="D10" s="125" t="str">
        <f>'Raw Data'!C18</f>
        <v>MOF-177</v>
      </c>
      <c r="E10" s="125">
        <f>'Raw Data'!I18</f>
        <v>33.5</v>
      </c>
      <c r="F10" s="125">
        <f>'Raw Data'!N18</f>
        <v>4508</v>
      </c>
      <c r="G10" s="125" t="str">
        <f>'Raw Data'!O18</f>
        <v>/</v>
      </c>
      <c r="H10" s="125" t="str">
        <f>'Raw Data'!P18</f>
        <v>/</v>
      </c>
      <c r="I10" s="125" t="str">
        <f>'Raw Data'!Q18</f>
        <v>/</v>
      </c>
      <c r="J10" s="125">
        <f>'Raw Data'!L18</f>
        <v>298</v>
      </c>
      <c r="K10" s="126" t="str">
        <f>'Raw Data'!M18</f>
        <v>32 bar</v>
      </c>
      <c r="M10" s="125" t="str">
        <f>'Raw Data'!U18</f>
        <v>^^^</v>
      </c>
    </row>
    <row r="11" spans="3:13" x14ac:dyDescent="0.2">
      <c r="C11" s="125">
        <f>'Raw Data'!E19</f>
        <v>0</v>
      </c>
      <c r="D11" s="125">
        <f>'Raw Data'!C19</f>
        <v>0</v>
      </c>
      <c r="E11" s="125">
        <f>'Raw Data'!I19</f>
        <v>0</v>
      </c>
      <c r="F11" s="125">
        <f>'Raw Data'!N19</f>
        <v>0</v>
      </c>
      <c r="G11" s="125">
        <f>'Raw Data'!O19</f>
        <v>0</v>
      </c>
      <c r="H11" s="125">
        <f>'Raw Data'!P19</f>
        <v>0</v>
      </c>
      <c r="I11" s="125">
        <f>'Raw Data'!Q19</f>
        <v>0</v>
      </c>
      <c r="J11" s="125">
        <f>'Raw Data'!L19</f>
        <v>0</v>
      </c>
      <c r="K11" s="126">
        <f>'Raw Data'!M19</f>
        <v>0</v>
      </c>
      <c r="M11" s="125">
        <f>'Raw Data'!U19</f>
        <v>0</v>
      </c>
    </row>
    <row r="12" spans="3:13" x14ac:dyDescent="0.2">
      <c r="C12" s="125" t="str">
        <f>'Raw Data'!E20</f>
        <v>CIGXIA</v>
      </c>
      <c r="D12" s="125" t="str">
        <f>'Raw Data'!C20</f>
        <v>MIL-100 (Fe)</v>
      </c>
      <c r="E12" s="125">
        <f>'Raw Data'!I20</f>
        <v>18</v>
      </c>
      <c r="F12" s="125">
        <f>'Raw Data'!N20</f>
        <v>1900</v>
      </c>
      <c r="G12" s="125">
        <f>'Raw Data'!O20</f>
        <v>1.1000000000000001</v>
      </c>
      <c r="H12" s="125" t="str">
        <f>'Raw Data'!P20</f>
        <v>/</v>
      </c>
      <c r="I12" s="125" t="str">
        <f>'Raw Data'!Q20</f>
        <v>/</v>
      </c>
      <c r="J12" s="125">
        <f>'Raw Data'!L20</f>
        <v>304</v>
      </c>
      <c r="K12" s="126" t="str">
        <f>'Raw Data'!M20</f>
        <v>50 bar</v>
      </c>
      <c r="M12" s="125" t="str">
        <f>'Raw Data'!U20</f>
        <v>P.L. Llewellyn, S. Bourrelly, C. Serre, A. Vimont, M. Daturi, I. Hamon, L.S. Hwa Jhung
High uptakes of CO2 and CH4 in mesoporous metal-organic frameworks MIL-100 and MIL-101
Langmuir, 24 (14) (2008), pp. 7245-7250</v>
      </c>
    </row>
    <row r="13" spans="3:13" x14ac:dyDescent="0.2">
      <c r="C13" s="125" t="str">
        <f>'Raw Data'!E21</f>
        <v>OCUNAC</v>
      </c>
      <c r="D13" s="125" t="str">
        <f>'Raw Data'!C21</f>
        <v>MIL-101a</v>
      </c>
      <c r="E13" s="125">
        <f>'Raw Data'!I21</f>
        <v>28</v>
      </c>
      <c r="F13" s="125">
        <f>'Raw Data'!N21</f>
        <v>2800</v>
      </c>
      <c r="G13" s="125">
        <f>'Raw Data'!O21</f>
        <v>1.37</v>
      </c>
      <c r="H13" s="125" t="str">
        <f>'Raw Data'!P21</f>
        <v>/</v>
      </c>
      <c r="I13" s="125" t="str">
        <f>'Raw Data'!Q21</f>
        <v>/</v>
      </c>
      <c r="J13" s="125">
        <f>'Raw Data'!L21</f>
        <v>304</v>
      </c>
      <c r="K13" s="126" t="str">
        <f>'Raw Data'!M21</f>
        <v>50 bar</v>
      </c>
      <c r="M13" s="125" t="str">
        <f>'Raw Data'!U21</f>
        <v>^^^</v>
      </c>
    </row>
    <row r="14" spans="3:13" x14ac:dyDescent="0.2">
      <c r="C14" s="125" t="str">
        <f>'Raw Data'!E22</f>
        <v>OCUNAC</v>
      </c>
      <c r="D14" s="125" t="str">
        <f>'Raw Data'!C22</f>
        <v>MIL-101b</v>
      </c>
      <c r="E14" s="125">
        <f>'Raw Data'!I22</f>
        <v>34</v>
      </c>
      <c r="F14" s="125">
        <f>'Raw Data'!N22</f>
        <v>3780</v>
      </c>
      <c r="G14" s="125">
        <f>'Raw Data'!O22</f>
        <v>1.74</v>
      </c>
      <c r="H14" s="125" t="str">
        <f>'Raw Data'!P22</f>
        <v>/</v>
      </c>
      <c r="I14" s="125" t="str">
        <f>'Raw Data'!Q22</f>
        <v>/</v>
      </c>
      <c r="J14" s="125">
        <f>'Raw Data'!L22</f>
        <v>304</v>
      </c>
      <c r="K14" s="126" t="str">
        <f>'Raw Data'!M22</f>
        <v>50 bar</v>
      </c>
      <c r="M14" s="125" t="str">
        <f>'Raw Data'!U22</f>
        <v>^^^</v>
      </c>
    </row>
    <row r="15" spans="3:13" x14ac:dyDescent="0.2">
      <c r="C15" s="125" t="str">
        <f>'Raw Data'!E23</f>
        <v>OCUNAC</v>
      </c>
      <c r="D15" s="125" t="str">
        <f>'Raw Data'!C23</f>
        <v>MIL-101c</v>
      </c>
      <c r="E15" s="125">
        <f>'Raw Data'!I23</f>
        <v>40</v>
      </c>
      <c r="F15" s="125">
        <f>'Raw Data'!N23</f>
        <v>4230</v>
      </c>
      <c r="G15" s="125">
        <f>'Raw Data'!O23</f>
        <v>2.15</v>
      </c>
      <c r="H15" s="125" t="str">
        <f>'Raw Data'!P23</f>
        <v>/</v>
      </c>
      <c r="I15" s="125" t="str">
        <f>'Raw Data'!Q23</f>
        <v>/</v>
      </c>
      <c r="J15" s="125">
        <f>'Raw Data'!L23</f>
        <v>304</v>
      </c>
      <c r="K15" s="126" t="str">
        <f>'Raw Data'!M23</f>
        <v>50 bar</v>
      </c>
      <c r="M15" s="125" t="str">
        <f>'Raw Data'!U23</f>
        <v>^^^</v>
      </c>
    </row>
    <row r="16" spans="3:13" x14ac:dyDescent="0.2">
      <c r="C16" s="125">
        <f>'Raw Data'!E24</f>
        <v>0</v>
      </c>
      <c r="D16" s="125">
        <f>'Raw Data'!C24</f>
        <v>0</v>
      </c>
      <c r="E16" s="125">
        <f>'Raw Data'!I24</f>
        <v>0</v>
      </c>
      <c r="F16" s="125">
        <f>'Raw Data'!N24</f>
        <v>0</v>
      </c>
      <c r="G16" s="125">
        <f>'Raw Data'!O24</f>
        <v>0</v>
      </c>
      <c r="H16" s="125">
        <f>'Raw Data'!P24</f>
        <v>0</v>
      </c>
      <c r="I16" s="125">
        <f>'Raw Data'!Q24</f>
        <v>0</v>
      </c>
      <c r="J16" s="125">
        <f>'Raw Data'!L24</f>
        <v>0</v>
      </c>
      <c r="K16" s="126">
        <f>'Raw Data'!M24</f>
        <v>0</v>
      </c>
      <c r="M16" s="125">
        <f>'Raw Data'!U24</f>
        <v>0</v>
      </c>
    </row>
    <row r="17" spans="3:13" x14ac:dyDescent="0.2">
      <c r="C17" s="125" t="str">
        <f>'Raw Data'!E25</f>
        <v>BABRII</v>
      </c>
      <c r="D17" s="125" t="str">
        <f>'Raw Data'!C25</f>
        <v>MOF-177</v>
      </c>
      <c r="E17" s="125">
        <f>'Raw Data'!I25</f>
        <v>35.200000000000003</v>
      </c>
      <c r="F17" s="125">
        <f>'Raw Data'!N25</f>
        <v>4500</v>
      </c>
      <c r="G17" s="125">
        <f>'Raw Data'!O25</f>
        <v>1.89</v>
      </c>
      <c r="H17" s="125" t="str">
        <f>'Raw Data'!P25</f>
        <v>/</v>
      </c>
      <c r="I17" s="125" t="str">
        <f>'Raw Data'!Q25</f>
        <v>/</v>
      </c>
      <c r="J17" s="125">
        <f>'Raw Data'!L25</f>
        <v>298</v>
      </c>
      <c r="K17" s="126" t="str">
        <f>'Raw Data'!M25</f>
        <v>50 bar</v>
      </c>
      <c r="M17" s="125" t="str">
        <f>'Raw Data'!U25</f>
        <v>H. Furukawa, N. Ko, Y.B. Go, N. Aratani, S.B. Choi, E. Choi, O.M. Yaghi
Ultrahigh porosity in metal-organic frameworks
Science, 329 (5990) (2010), pp. 424-428</v>
      </c>
    </row>
    <row r="18" spans="3:13" x14ac:dyDescent="0.2">
      <c r="C18" s="125" t="str">
        <f>'Raw Data'!E26</f>
        <v>SUKXUS01</v>
      </c>
      <c r="D18" s="125" t="str">
        <f>'Raw Data'!C26</f>
        <v>MOF-205</v>
      </c>
      <c r="E18" s="125">
        <f>'Raw Data'!I26</f>
        <v>38.1</v>
      </c>
      <c r="F18" s="125">
        <f>'Raw Data'!N26</f>
        <v>4460</v>
      </c>
      <c r="G18" s="125">
        <f>'Raw Data'!O26</f>
        <v>2.16</v>
      </c>
      <c r="H18" s="125" t="str">
        <f>'Raw Data'!P26</f>
        <v>/</v>
      </c>
      <c r="I18" s="125" t="str">
        <f>'Raw Data'!Q26</f>
        <v>/</v>
      </c>
      <c r="J18" s="125">
        <f>'Raw Data'!L26</f>
        <v>298</v>
      </c>
      <c r="K18" s="126" t="str">
        <f>'Raw Data'!M26</f>
        <v>50 bar</v>
      </c>
      <c r="M18" s="125" t="str">
        <f>'Raw Data'!U26</f>
        <v>^^^</v>
      </c>
    </row>
    <row r="19" spans="3:13" x14ac:dyDescent="0.2">
      <c r="C19" s="125" t="str">
        <f>'Raw Data'!E27</f>
        <v>CUSXOE</v>
      </c>
      <c r="D19" s="125" t="str">
        <f>'Raw Data'!C27</f>
        <v>MOF-200</v>
      </c>
      <c r="E19" s="125">
        <f>'Raw Data'!I27</f>
        <v>64.3</v>
      </c>
      <c r="F19" s="125">
        <f>'Raw Data'!N27</f>
        <v>4530</v>
      </c>
      <c r="G19" s="125">
        <f>'Raw Data'!O27</f>
        <v>3.59</v>
      </c>
      <c r="H19" s="125" t="str">
        <f>'Raw Data'!P27</f>
        <v>/</v>
      </c>
      <c r="I19" s="125" t="str">
        <f>'Raw Data'!Q27</f>
        <v>/</v>
      </c>
      <c r="J19" s="125">
        <f>'Raw Data'!L27</f>
        <v>298</v>
      </c>
      <c r="K19" s="126" t="str">
        <f>'Raw Data'!M27</f>
        <v>50 bar</v>
      </c>
      <c r="M19" s="125" t="str">
        <f>'Raw Data'!U27</f>
        <v>^^^</v>
      </c>
    </row>
    <row r="20" spans="3:13" x14ac:dyDescent="0.2">
      <c r="C20" s="125" t="str">
        <f>'Raw Data'!E28</f>
        <v>CUSYAR</v>
      </c>
      <c r="D20" s="125" t="str">
        <f>'Raw Data'!C28</f>
        <v>MOF-210</v>
      </c>
      <c r="E20" s="125">
        <f>'Raw Data'!I28</f>
        <v>65.2</v>
      </c>
      <c r="F20" s="125">
        <f>'Raw Data'!N28</f>
        <v>6240</v>
      </c>
      <c r="G20" s="125">
        <f>'Raw Data'!O28</f>
        <v>3.6</v>
      </c>
      <c r="H20" s="125" t="str">
        <f>'Raw Data'!P28</f>
        <v>/</v>
      </c>
      <c r="I20" s="125" t="str">
        <f>'Raw Data'!Q28</f>
        <v>/</v>
      </c>
      <c r="J20" s="125">
        <f>'Raw Data'!L28</f>
        <v>298</v>
      </c>
      <c r="K20" s="126" t="str">
        <f>'Raw Data'!M28</f>
        <v>50 bar</v>
      </c>
      <c r="M20" s="125" t="str">
        <f>'Raw Data'!U28</f>
        <v>^^^</v>
      </c>
    </row>
    <row r="21" spans="3:13" x14ac:dyDescent="0.2">
      <c r="C21" s="125">
        <f>'Raw Data'!E29</f>
        <v>0</v>
      </c>
      <c r="D21" s="125">
        <f>'Raw Data'!C29</f>
        <v>0</v>
      </c>
      <c r="E21" s="125">
        <f>'Raw Data'!I29</f>
        <v>0</v>
      </c>
      <c r="F21" s="125">
        <f>'Raw Data'!N29</f>
        <v>0</v>
      </c>
      <c r="G21" s="125">
        <f>'Raw Data'!O29</f>
        <v>0</v>
      </c>
      <c r="H21" s="125">
        <f>'Raw Data'!P29</f>
        <v>0</v>
      </c>
      <c r="I21" s="125">
        <f>'Raw Data'!Q29</f>
        <v>0</v>
      </c>
      <c r="J21" s="125">
        <f>'Raw Data'!L29</f>
        <v>0</v>
      </c>
      <c r="K21" s="126">
        <f>'Raw Data'!M29</f>
        <v>0</v>
      </c>
      <c r="M21" s="125">
        <f>'Raw Data'!U29</f>
        <v>0</v>
      </c>
    </row>
    <row r="22" spans="3:13" x14ac:dyDescent="0.2">
      <c r="C22" s="125" t="str">
        <f>'Raw Data'!E30</f>
        <v>EDUVEE</v>
      </c>
      <c r="D22" s="125" t="str">
        <f>'Raw Data'!C30</f>
        <v>IRMOF-11</v>
      </c>
      <c r="E22" s="125">
        <f>'Raw Data'!I30</f>
        <v>14.7</v>
      </c>
      <c r="F22" s="125">
        <f>'Raw Data'!N30</f>
        <v>2096</v>
      </c>
      <c r="G22" s="125" t="str">
        <f>'Raw Data'!O30</f>
        <v>ND</v>
      </c>
      <c r="H22" s="125" t="str">
        <f>'Raw Data'!P30</f>
        <v>/</v>
      </c>
      <c r="I22" s="125" t="str">
        <f>'Raw Data'!Q30</f>
        <v>/</v>
      </c>
      <c r="J22" s="125">
        <f>'Raw Data'!L30</f>
        <v>298</v>
      </c>
      <c r="K22" s="126" t="str">
        <f>'Raw Data'!M30</f>
        <v>32 bar</v>
      </c>
      <c r="M22" s="125" t="str">
        <f>'Raw Data'!U30</f>
        <v>A.R. Millward, O.M. Yaghi
Metal-organic frameworks with exceptionally high capacity for storage of carbon dioxide at room temperature
J Am Chem Soc, 127 (51) (2005), pp. 17998-17999</v>
      </c>
    </row>
    <row r="23" spans="3:13" x14ac:dyDescent="0.2">
      <c r="C23" s="125" t="str">
        <f>'Raw Data'!E31</f>
        <v>EDUSUR</v>
      </c>
      <c r="D23" s="125" t="str">
        <f>'Raw Data'!C31</f>
        <v>IRMOF-3</v>
      </c>
      <c r="E23" s="125">
        <f>'Raw Data'!I31</f>
        <v>18.7</v>
      </c>
      <c r="F23" s="125">
        <f>'Raw Data'!N31</f>
        <v>2160</v>
      </c>
      <c r="G23" s="125" t="str">
        <f>'Raw Data'!O31</f>
        <v>/</v>
      </c>
      <c r="H23" s="125" t="str">
        <f>'Raw Data'!P31</f>
        <v>/</v>
      </c>
      <c r="I23" s="125" t="str">
        <f>'Raw Data'!Q31</f>
        <v>/</v>
      </c>
      <c r="J23" s="125">
        <f>'Raw Data'!L31</f>
        <v>298</v>
      </c>
      <c r="K23" s="126" t="str">
        <f>'Raw Data'!M31</f>
        <v>32 bar</v>
      </c>
      <c r="M23" s="125" t="str">
        <f>'Raw Data'!U31</f>
        <v>^^^</v>
      </c>
    </row>
    <row r="24" spans="3:13" x14ac:dyDescent="0.2">
      <c r="C24" s="125" t="str">
        <f>'Raw Data'!E32</f>
        <v>EDUTIG</v>
      </c>
      <c r="D24" s="125" t="str">
        <f>'Raw Data'!C32</f>
        <v>IRMOF-6</v>
      </c>
      <c r="E24" s="125">
        <f>'Raw Data'!I32</f>
        <v>19.5</v>
      </c>
      <c r="F24" s="125">
        <f>'Raw Data'!N32</f>
        <v>2516</v>
      </c>
      <c r="G24" s="125" t="str">
        <f>'Raw Data'!O32</f>
        <v>/</v>
      </c>
      <c r="H24" s="125" t="str">
        <f>'Raw Data'!P32</f>
        <v>/</v>
      </c>
      <c r="I24" s="125" t="str">
        <f>'Raw Data'!Q32</f>
        <v>/</v>
      </c>
      <c r="J24" s="125">
        <f>'Raw Data'!L32</f>
        <v>298</v>
      </c>
      <c r="K24" s="126" t="str">
        <f>'Raw Data'!M32</f>
        <v>32 bar</v>
      </c>
      <c r="M24" s="125" t="str">
        <f>'Raw Data'!U32</f>
        <v>^^^</v>
      </c>
    </row>
    <row r="25" spans="3:13" x14ac:dyDescent="0.2">
      <c r="C25" s="125" t="str">
        <f>'Raw Data'!E33</f>
        <v>EDUSIF</v>
      </c>
      <c r="D25" s="125" t="str">
        <f>'Raw Data'!C33</f>
        <v>IRMOF-1</v>
      </c>
      <c r="E25" s="125">
        <f>'Raw Data'!I33</f>
        <v>21.7</v>
      </c>
      <c r="F25" s="125">
        <f>'Raw Data'!N33</f>
        <v>2833</v>
      </c>
      <c r="G25" s="125" t="str">
        <f>'Raw Data'!O33</f>
        <v>/</v>
      </c>
      <c r="H25" s="125" t="str">
        <f>'Raw Data'!P33</f>
        <v>/</v>
      </c>
      <c r="I25" s="125" t="str">
        <f>'Raw Data'!Q33</f>
        <v>/</v>
      </c>
      <c r="J25" s="125">
        <f>'Raw Data'!L33</f>
        <v>298</v>
      </c>
      <c r="K25" s="126" t="str">
        <f>'Raw Data'!M33</f>
        <v>32 bar</v>
      </c>
      <c r="M25" s="125" t="str">
        <f>'Raw Data'!U33</f>
        <v>^^^</v>
      </c>
    </row>
    <row r="26" spans="3:13" x14ac:dyDescent="0.2">
      <c r="C26" s="125">
        <f>'Raw Data'!E34</f>
        <v>0</v>
      </c>
      <c r="D26" s="125">
        <f>'Raw Data'!C34</f>
        <v>0</v>
      </c>
      <c r="E26" s="125">
        <f>'Raw Data'!I34</f>
        <v>0</v>
      </c>
      <c r="F26" s="125">
        <f>'Raw Data'!N34</f>
        <v>0</v>
      </c>
      <c r="G26" s="125">
        <f>'Raw Data'!O34</f>
        <v>0</v>
      </c>
      <c r="H26" s="125">
        <f>'Raw Data'!P34</f>
        <v>0</v>
      </c>
      <c r="I26" s="125">
        <f>'Raw Data'!Q34</f>
        <v>0</v>
      </c>
      <c r="J26" s="125">
        <f>'Raw Data'!L34</f>
        <v>0</v>
      </c>
      <c r="K26" s="126">
        <f>'Raw Data'!M34</f>
        <v>0</v>
      </c>
      <c r="M26" s="125">
        <f>'Raw Data'!U34</f>
        <v>0</v>
      </c>
    </row>
    <row r="27" spans="3:13" x14ac:dyDescent="0.2">
      <c r="C27" s="125" t="str">
        <f>'Raw Data'!E35</f>
        <v>VUJBIM</v>
      </c>
      <c r="D27" s="125" t="str">
        <f>'Raw Data'!C35</f>
        <v>PCN-61</v>
      </c>
      <c r="E27" s="125">
        <f>'Raw Data'!I35</f>
        <v>23.5</v>
      </c>
      <c r="F27" s="125">
        <f>'Raw Data'!N35</f>
        <v>3000</v>
      </c>
      <c r="G27" s="125">
        <f>'Raw Data'!O35</f>
        <v>1.36</v>
      </c>
      <c r="H27" s="125" t="str">
        <f>'Raw Data'!P35</f>
        <v>/</v>
      </c>
      <c r="I27" s="125" t="str">
        <f>'Raw Data'!Q35</f>
        <v>/</v>
      </c>
      <c r="J27" s="125">
        <f>'Raw Data'!L35</f>
        <v>298</v>
      </c>
      <c r="K27" s="126" t="str">
        <f>'Raw Data'!M35</f>
        <v>35 bar</v>
      </c>
      <c r="M27" s="125" t="str">
        <f>'Raw Data'!U35</f>
        <v>D. Yuan, D. Zhao, D. Sun, H.C. Zhou
An isoreticular series of metal–organic frameworks with dendritic hexacarboxylate ligands and exceptionally high gas-uptake capacity
Angew Chem, 122 (31) (2010), pp. 5485-548</v>
      </c>
    </row>
    <row r="28" spans="3:13" x14ac:dyDescent="0.2">
      <c r="C28" s="125" t="str">
        <f>'Raw Data'!E36</f>
        <v>VUJBOS</v>
      </c>
      <c r="D28" s="125" t="str">
        <f>'Raw Data'!C36</f>
        <v>PCN-66</v>
      </c>
      <c r="E28" s="125">
        <f>'Raw Data'!I36</f>
        <v>26.3</v>
      </c>
      <c r="F28" s="125">
        <f>'Raw Data'!N36</f>
        <v>4000</v>
      </c>
      <c r="G28" s="125">
        <f>'Raw Data'!O36</f>
        <v>1.63</v>
      </c>
      <c r="H28" s="125" t="str">
        <f>'Raw Data'!P36</f>
        <v>/</v>
      </c>
      <c r="I28" s="125" t="str">
        <f>'Raw Data'!Q36</f>
        <v>/</v>
      </c>
      <c r="J28" s="125">
        <f>'Raw Data'!L36</f>
        <v>298</v>
      </c>
      <c r="K28" s="126" t="str">
        <f>'Raw Data'!M36</f>
        <v>35 bar</v>
      </c>
      <c r="M28" s="125" t="str">
        <f>'Raw Data'!U36</f>
        <v>^^^</v>
      </c>
    </row>
    <row r="29" spans="3:13" x14ac:dyDescent="0.2">
      <c r="C29" s="125" t="str">
        <f>'Raw Data'!E37</f>
        <v>HABRAF</v>
      </c>
      <c r="D29" s="125" t="str">
        <f>'Raw Data'!C37</f>
        <v>PCN-68</v>
      </c>
      <c r="E29" s="125">
        <f>'Raw Data'!I37</f>
        <v>30.4</v>
      </c>
      <c r="F29" s="125">
        <f>'Raw Data'!N37</f>
        <v>5109</v>
      </c>
      <c r="G29" s="125">
        <f>'Raw Data'!O37</f>
        <v>2.13</v>
      </c>
      <c r="H29" s="125" t="str">
        <f>'Raw Data'!P37</f>
        <v>/</v>
      </c>
      <c r="I29" s="125" t="str">
        <f>'Raw Data'!Q37</f>
        <v>/</v>
      </c>
      <c r="J29" s="125">
        <f>'Raw Data'!L37</f>
        <v>298</v>
      </c>
      <c r="K29" s="126" t="str">
        <f>'Raw Data'!M37</f>
        <v>35 bar</v>
      </c>
      <c r="M29" s="125" t="str">
        <f>'Raw Data'!U37</f>
        <v>^^^</v>
      </c>
    </row>
    <row r="30" spans="3:13" x14ac:dyDescent="0.2">
      <c r="C30" s="125">
        <f>'Raw Data'!E38</f>
        <v>0</v>
      </c>
      <c r="D30" s="125">
        <f>'Raw Data'!C38</f>
        <v>0</v>
      </c>
      <c r="E30" s="125">
        <f>'Raw Data'!I38</f>
        <v>0</v>
      </c>
      <c r="F30" s="125">
        <f>'Raw Data'!N38</f>
        <v>0</v>
      </c>
      <c r="G30" s="125">
        <f>'Raw Data'!O38</f>
        <v>0</v>
      </c>
      <c r="H30" s="125">
        <f>'Raw Data'!P38</f>
        <v>0</v>
      </c>
      <c r="I30" s="125">
        <f>'Raw Data'!Q38</f>
        <v>0</v>
      </c>
      <c r="J30" s="125">
        <f>'Raw Data'!L38</f>
        <v>0</v>
      </c>
      <c r="K30" s="126">
        <f>'Raw Data'!M38</f>
        <v>0</v>
      </c>
      <c r="M30" s="125">
        <f>'Raw Data'!U38</f>
        <v>0</v>
      </c>
    </row>
    <row r="31" spans="3:13" x14ac:dyDescent="0.2">
      <c r="C31" s="125">
        <f>'Raw Data'!E39</f>
        <v>0</v>
      </c>
      <c r="D31" s="125">
        <f>'Raw Data'!C39</f>
        <v>0</v>
      </c>
      <c r="E31" s="125">
        <f>'Raw Data'!I39</f>
        <v>0</v>
      </c>
      <c r="F31" s="125">
        <f>'Raw Data'!N39</f>
        <v>0</v>
      </c>
      <c r="G31" s="125">
        <f>'Raw Data'!O39</f>
        <v>0</v>
      </c>
      <c r="H31" s="125">
        <f>'Raw Data'!P39</f>
        <v>0</v>
      </c>
      <c r="I31" s="125">
        <f>'Raw Data'!Q39</f>
        <v>0</v>
      </c>
      <c r="J31" s="125">
        <f>'Raw Data'!L39</f>
        <v>0</v>
      </c>
      <c r="K31" s="126">
        <f>'Raw Data'!M39</f>
        <v>0</v>
      </c>
      <c r="M31" s="125">
        <f>'Raw Data'!U39</f>
        <v>0</v>
      </c>
    </row>
    <row r="32" spans="3:13" x14ac:dyDescent="0.2">
      <c r="C32" s="125" t="str">
        <f>'Raw Data'!E40</f>
        <v>DOTSOV42</v>
      </c>
      <c r="D32" s="125" t="str">
        <f>'Raw Data'!C40</f>
        <v>HKUST-1</v>
      </c>
      <c r="E32" s="125">
        <f>'Raw Data'!I40</f>
        <v>5.0999999999999996</v>
      </c>
      <c r="F32" s="125">
        <f>'Raw Data'!N40</f>
        <v>2134</v>
      </c>
      <c r="G32" s="125" t="str">
        <f>'Raw Data'!O40</f>
        <v>/</v>
      </c>
      <c r="H32" s="125" t="str">
        <f>'Raw Data'!P40</f>
        <v>5.05/10.45/12.4</v>
      </c>
      <c r="I32" s="125" t="str">
        <f>'Raw Data'!Q40</f>
        <v>/</v>
      </c>
      <c r="J32" s="125">
        <f>'Raw Data'!L40</f>
        <v>295</v>
      </c>
      <c r="K32" s="126">
        <f>'Raw Data'!M40</f>
        <v>1</v>
      </c>
      <c r="M32" s="125" t="str">
        <f>'Raw Data'!U40</f>
        <v>A.O. Yazaydin, R.Q. Snurr, T.H. Park, K. Koh, J. Liu, M.D. LeVan, A.I. Benin, P. Jakubczak, M. Lanuza, D.B. Galloway, J.J. Low
Screening of metal-organic frameworks for carbon dioxide capture from flue gas using a combined experimental and modeling approach
J Am Chem Soc, 131 (51) (2009), pp. 18198-18199</v>
      </c>
    </row>
    <row r="33" spans="3:13" x14ac:dyDescent="0.2">
      <c r="C33" s="125" t="str">
        <f>'Raw Data'!E41</f>
        <v>OKABEI</v>
      </c>
      <c r="D33" s="125" t="str">
        <f>'Raw Data'!C41</f>
        <v>UMCM-150</v>
      </c>
      <c r="E33" s="125">
        <f>'Raw Data'!I41</f>
        <v>2.6</v>
      </c>
      <c r="F33" s="125">
        <f>'Raw Data'!N41</f>
        <v>3236</v>
      </c>
      <c r="G33" s="125" t="str">
        <f>'Raw Data'!O41</f>
        <v>/</v>
      </c>
      <c r="H33" s="125" t="str">
        <f>'Raw Data'!P41</f>
        <v>9.25/10.55/13.25</v>
      </c>
      <c r="I33" s="125" t="str">
        <f>'Raw Data'!Q41</f>
        <v>/</v>
      </c>
      <c r="J33" s="125">
        <f>'Raw Data'!L41</f>
        <v>298</v>
      </c>
      <c r="K33" s="126">
        <f>'Raw Data'!M41</f>
        <v>1</v>
      </c>
      <c r="M33" s="125" t="str">
        <f>'Raw Data'!U41</f>
        <v>^^^</v>
      </c>
    </row>
    <row r="34" spans="3:13" x14ac:dyDescent="0.2">
      <c r="C34" s="125" t="str">
        <f>'Raw Data'!E42</f>
        <v>OKABAE</v>
      </c>
      <c r="D34" s="125" t="str">
        <f>'Raw Data'!C42</f>
        <v>UMCM-150(N)2</v>
      </c>
      <c r="E34" s="125">
        <f>'Raw Data'!I42</f>
        <v>2.7</v>
      </c>
      <c r="F34" s="125">
        <f>'Raw Data'!N42</f>
        <v>3110</v>
      </c>
      <c r="G34" s="125" t="str">
        <f>'Raw Data'!O42</f>
        <v>/</v>
      </c>
      <c r="H34" s="125" t="str">
        <f>'Raw Data'!P42</f>
        <v>9.45/11.55/13.35</v>
      </c>
      <c r="I34" s="125" t="str">
        <f>'Raw Data'!Q42</f>
        <v>/</v>
      </c>
      <c r="J34" s="125">
        <f>'Raw Data'!L42</f>
        <v>298</v>
      </c>
      <c r="K34" s="126">
        <f>'Raw Data'!M42</f>
        <v>1</v>
      </c>
      <c r="M34" s="125" t="str">
        <f>'Raw Data'!U42</f>
        <v>^^^</v>
      </c>
    </row>
    <row r="35" spans="3:13" x14ac:dyDescent="0.2">
      <c r="C35" s="125" t="str">
        <f>'Raw Data'!E43</f>
        <v>HEJPIZ</v>
      </c>
      <c r="D35" s="125" t="str">
        <f>'Raw Data'!C43</f>
        <v>MIL-47</v>
      </c>
      <c r="E35" s="125">
        <f>'Raw Data'!I43</f>
        <v>2</v>
      </c>
      <c r="F35" s="125">
        <f>'Raw Data'!N43</f>
        <v>1511</v>
      </c>
      <c r="G35" s="125" t="str">
        <f>'Raw Data'!O43</f>
        <v>/</v>
      </c>
      <c r="H35" s="125">
        <f>'Raw Data'!P43</f>
        <v>7.35</v>
      </c>
      <c r="I35" s="125" t="str">
        <f>'Raw Data'!Q43</f>
        <v>/</v>
      </c>
      <c r="J35" s="125">
        <f>'Raw Data'!L43</f>
        <v>298</v>
      </c>
      <c r="K35" s="126">
        <f>'Raw Data'!M43</f>
        <v>1</v>
      </c>
      <c r="M35" s="125" t="str">
        <f>'Raw Data'!U43</f>
        <v>^^^</v>
      </c>
    </row>
    <row r="36" spans="3:13" x14ac:dyDescent="0.2">
      <c r="C36" s="125" t="str">
        <f>'Raw Data'!E44</f>
        <v>BABRII</v>
      </c>
      <c r="D36" s="125" t="str">
        <f>'Raw Data'!C44</f>
        <v>MOF-177</v>
      </c>
      <c r="E36" s="125">
        <f>'Raw Data'!I44</f>
        <v>1.6</v>
      </c>
      <c r="F36" s="125">
        <f>'Raw Data'!N44</f>
        <v>4833</v>
      </c>
      <c r="G36" s="125" t="str">
        <f>'Raw Data'!O44</f>
        <v>/</v>
      </c>
      <c r="H36" s="125">
        <f>'Raw Data'!P44</f>
        <v>10.45</v>
      </c>
      <c r="I36" s="125" t="str">
        <f>'Raw Data'!Q44</f>
        <v>/</v>
      </c>
      <c r="J36" s="125">
        <f>'Raw Data'!L44</f>
        <v>298</v>
      </c>
      <c r="K36" s="126">
        <f>'Raw Data'!M44</f>
        <v>1</v>
      </c>
      <c r="M36" s="125" t="str">
        <f>'Raw Data'!U44</f>
        <v>^^^</v>
      </c>
    </row>
    <row r="37" spans="3:13" x14ac:dyDescent="0.2">
      <c r="C37" s="125" t="str">
        <f>'Raw Data'!E45</f>
        <v>EDUSUR</v>
      </c>
      <c r="D37" s="125" t="str">
        <f>'Raw Data'!C45</f>
        <v>IRMOF-3</v>
      </c>
      <c r="E37" s="125">
        <f>'Raw Data'!I45</f>
        <v>1.1000000000000001</v>
      </c>
      <c r="F37" s="125">
        <f>'Raw Data'!N45</f>
        <v>3365</v>
      </c>
      <c r="G37" s="125" t="str">
        <f>'Raw Data'!O45</f>
        <v>/</v>
      </c>
      <c r="H37" s="125" t="str">
        <f>'Raw Data'!P45</f>
        <v>8.65/14.25</v>
      </c>
      <c r="I37" s="125" t="str">
        <f>'Raw Data'!Q45</f>
        <v>/</v>
      </c>
      <c r="J37" s="125">
        <f>'Raw Data'!L45</f>
        <v>298</v>
      </c>
      <c r="K37" s="126">
        <f>'Raw Data'!M45</f>
        <v>1</v>
      </c>
      <c r="M37" s="125" t="str">
        <f>'Raw Data'!U45</f>
        <v>^^^</v>
      </c>
    </row>
    <row r="38" spans="3:13" x14ac:dyDescent="0.2">
      <c r="C38" s="125" t="str">
        <f>'Raw Data'!E46</f>
        <v>KISXIU</v>
      </c>
      <c r="D38" s="125" t="str">
        <f>'Raw Data'!C46</f>
        <v>UMCM-1</v>
      </c>
      <c r="E38" s="125">
        <f>'Raw Data'!I46</f>
        <v>0.9</v>
      </c>
      <c r="F38" s="125">
        <f>'Raw Data'!N46</f>
        <v>4972</v>
      </c>
      <c r="G38" s="125" t="str">
        <f>'Raw Data'!O46</f>
        <v>/</v>
      </c>
      <c r="H38" s="125" t="str">
        <f>'Raw Data'!P46</f>
        <v>10.45/14.05/23.75</v>
      </c>
      <c r="I38" s="125" t="str">
        <f>'Raw Data'!Q46</f>
        <v>/</v>
      </c>
      <c r="J38" s="125">
        <f>'Raw Data'!L46</f>
        <v>298</v>
      </c>
      <c r="K38" s="126">
        <f>'Raw Data'!M46</f>
        <v>1</v>
      </c>
      <c r="M38" s="125" t="str">
        <f>'Raw Data'!U46</f>
        <v>^^^</v>
      </c>
    </row>
    <row r="39" spans="3:13" x14ac:dyDescent="0.2">
      <c r="C39" s="125" t="str">
        <f>'Raw Data'!E47</f>
        <v>EDUSIF</v>
      </c>
      <c r="D39" s="125" t="str">
        <f>'Raw Data'!C47</f>
        <v>IRMOF-1</v>
      </c>
      <c r="E39" s="125">
        <f>'Raw Data'!I47</f>
        <v>0.8</v>
      </c>
      <c r="F39" s="125">
        <f>'Raw Data'!N47</f>
        <v>3562</v>
      </c>
      <c r="G39" s="125" t="str">
        <f>'Raw Data'!O47</f>
        <v>/</v>
      </c>
      <c r="H39" s="125" t="str">
        <f>'Raw Data'!P47</f>
        <v>11.25/14.45</v>
      </c>
      <c r="I39" s="125" t="str">
        <f>'Raw Data'!Q47</f>
        <v>/</v>
      </c>
      <c r="J39" s="125">
        <f>'Raw Data'!L47</f>
        <v>298</v>
      </c>
      <c r="K39" s="126">
        <f>'Raw Data'!M47</f>
        <v>1</v>
      </c>
      <c r="M39" s="125" t="str">
        <f>'Raw Data'!U47</f>
        <v>^^^</v>
      </c>
    </row>
    <row r="40" spans="3:13" x14ac:dyDescent="0.2">
      <c r="C40" s="125">
        <f>'Raw Data'!E48</f>
        <v>0</v>
      </c>
      <c r="D40" s="125">
        <f>'Raw Data'!C48</f>
        <v>0</v>
      </c>
      <c r="E40" s="125">
        <f>'Raw Data'!I48</f>
        <v>0</v>
      </c>
      <c r="F40" s="125">
        <f>'Raw Data'!N48</f>
        <v>0</v>
      </c>
      <c r="G40" s="125">
        <f>'Raw Data'!O48</f>
        <v>0</v>
      </c>
      <c r="H40" s="125">
        <f>'Raw Data'!P48</f>
        <v>0</v>
      </c>
      <c r="I40" s="125">
        <f>'Raw Data'!Q48</f>
        <v>0</v>
      </c>
      <c r="J40" s="125">
        <f>'Raw Data'!L48</f>
        <v>0</v>
      </c>
      <c r="K40" s="126">
        <f>'Raw Data'!M48</f>
        <v>0</v>
      </c>
      <c r="M40" s="125">
        <f>'Raw Data'!U48</f>
        <v>0</v>
      </c>
    </row>
    <row r="41" spans="3:13" x14ac:dyDescent="0.2">
      <c r="C41" s="125">
        <f>'Raw Data'!E49</f>
        <v>0</v>
      </c>
      <c r="D41" s="125">
        <f>'Raw Data'!C49</f>
        <v>0</v>
      </c>
      <c r="E41" s="125">
        <f>'Raw Data'!I49</f>
        <v>0</v>
      </c>
      <c r="F41" s="125">
        <f>'Raw Data'!N49</f>
        <v>0</v>
      </c>
      <c r="G41" s="125">
        <f>'Raw Data'!O49</f>
        <v>0</v>
      </c>
      <c r="H41" s="125">
        <f>'Raw Data'!P49</f>
        <v>0</v>
      </c>
      <c r="I41" s="125">
        <f>'Raw Data'!Q49</f>
        <v>0</v>
      </c>
      <c r="J41" s="125">
        <f>'Raw Data'!L49</f>
        <v>0</v>
      </c>
      <c r="K41" s="126">
        <f>'Raw Data'!M49</f>
        <v>0</v>
      </c>
      <c r="M41" s="125">
        <f>'Raw Data'!U49</f>
        <v>0</v>
      </c>
    </row>
    <row r="42" spans="3:13" x14ac:dyDescent="0.2">
      <c r="C42" s="125" t="str">
        <f>'Raw Data'!E50</f>
        <v>ORIVOC</v>
      </c>
      <c r="D42" s="125" t="str">
        <f>'Raw Data'!C50</f>
        <v>Zn-MOF-74</v>
      </c>
      <c r="E42" s="125">
        <f>'Raw Data'!I50</f>
        <v>5.5</v>
      </c>
      <c r="F42" s="125">
        <f>'Raw Data'!N50</f>
        <v>816</v>
      </c>
      <c r="G42" s="125" t="str">
        <f>'Raw Data'!O50</f>
        <v>ND</v>
      </c>
      <c r="H42" s="125" t="str">
        <f>'Raw Data'!P50</f>
        <v>/</v>
      </c>
      <c r="I42" s="125" t="str">
        <f>'Raw Data'!Q50</f>
        <v>/</v>
      </c>
      <c r="J42" s="125">
        <f>'Raw Data'!L50</f>
        <v>298</v>
      </c>
      <c r="K42" s="126">
        <f>'Raw Data'!M50</f>
        <v>1.0129999999999999</v>
      </c>
      <c r="M42" s="125" t="str">
        <f>'Raw Data'!U50</f>
        <v>A.O. Yazaydin, R.Q. Snurr, T.H. Park, K. Koh, J. Liu, M.D. LeVan, A.I. Benin, P. Jakubczak, M. Lanuza, D.B. Galloway, J.J. Low
Screening of metal-organic frameworks for carbon dioxide capture from flue gas using a combined experimental and modeling approach
J Am Chem Soc, 131 (51) (2009), pp. 18198-18199</v>
      </c>
    </row>
    <row r="43" spans="3:13" x14ac:dyDescent="0.2">
      <c r="C43" s="125" t="str">
        <f>'Raw Data'!E51</f>
        <v>ORIVUI</v>
      </c>
      <c r="D43" s="125" t="str">
        <f>'Raw Data'!C51</f>
        <v>Ni-MOF-74</v>
      </c>
      <c r="E43" s="125">
        <f>'Raw Data'!I51</f>
        <v>5.8</v>
      </c>
      <c r="F43" s="125">
        <f>'Raw Data'!N51</f>
        <v>1070</v>
      </c>
      <c r="G43" s="125" t="str">
        <f>'Raw Data'!O51</f>
        <v>/</v>
      </c>
      <c r="H43" s="125" t="str">
        <f>'Raw Data'!P51</f>
        <v>/</v>
      </c>
      <c r="I43" s="125" t="str">
        <f>'Raw Data'!Q51</f>
        <v>/</v>
      </c>
      <c r="J43" s="125">
        <f>'Raw Data'!L51</f>
        <v>298</v>
      </c>
      <c r="K43" s="126">
        <f>'Raw Data'!M51</f>
        <v>1.0129999999999999</v>
      </c>
      <c r="M43" s="125" t="str">
        <f>'Raw Data'!U51</f>
        <v>^^^</v>
      </c>
    </row>
    <row r="44" spans="3:13" x14ac:dyDescent="0.2">
      <c r="C44" s="125" t="str">
        <f>'Raw Data'!E52</f>
        <v>ORIWAP</v>
      </c>
      <c r="D44" s="125" t="str">
        <f>'Raw Data'!C52</f>
        <v>Co-MOF-74</v>
      </c>
      <c r="E44" s="125">
        <f>'Raw Data'!I52</f>
        <v>7</v>
      </c>
      <c r="F44" s="125">
        <f>'Raw Data'!N52</f>
        <v>1080</v>
      </c>
      <c r="G44" s="125" t="str">
        <f>'Raw Data'!O52</f>
        <v>/</v>
      </c>
      <c r="H44" s="125" t="str">
        <f>'Raw Data'!P52</f>
        <v>/</v>
      </c>
      <c r="I44" s="125" t="str">
        <f>'Raw Data'!Q52</f>
        <v>/</v>
      </c>
      <c r="J44" s="125">
        <f>'Raw Data'!L52</f>
        <v>298</v>
      </c>
      <c r="K44" s="126">
        <f>'Raw Data'!M52</f>
        <v>1.0129999999999999</v>
      </c>
      <c r="M44" s="125" t="str">
        <f>'Raw Data'!U52</f>
        <v>^^^</v>
      </c>
    </row>
    <row r="45" spans="3:13" x14ac:dyDescent="0.2">
      <c r="C45" s="125" t="str">
        <f>'Raw Data'!E53</f>
        <v>/</v>
      </c>
      <c r="D45" s="125" t="str">
        <f>'Raw Data'!C53</f>
        <v>Mg-MOF-74</v>
      </c>
      <c r="E45" s="125">
        <f>'Raw Data'!I53</f>
        <v>8.5</v>
      </c>
      <c r="F45" s="125">
        <f>'Raw Data'!N53</f>
        <v>1495</v>
      </c>
      <c r="G45" s="125" t="str">
        <f>'Raw Data'!O53</f>
        <v>/</v>
      </c>
      <c r="H45" s="125" t="str">
        <f>'Raw Data'!P53</f>
        <v>/</v>
      </c>
      <c r="I45" s="125" t="str">
        <f>'Raw Data'!Q53</f>
        <v>/</v>
      </c>
      <c r="J45" s="125">
        <f>'Raw Data'!L53</f>
        <v>298</v>
      </c>
      <c r="K45" s="126">
        <f>'Raw Data'!M53</f>
        <v>1.0129999999999999</v>
      </c>
      <c r="M45" s="125" t="str">
        <f>'Raw Data'!U53</f>
        <v>^^^</v>
      </c>
    </row>
    <row r="46" spans="3:13" x14ac:dyDescent="0.2">
      <c r="C46" s="125">
        <f>'Raw Data'!E54</f>
        <v>0</v>
      </c>
      <c r="D46" s="125">
        <f>'Raw Data'!C54</f>
        <v>0</v>
      </c>
      <c r="E46" s="125">
        <f>'Raw Data'!I54</f>
        <v>0</v>
      </c>
      <c r="F46" s="125">
        <f>'Raw Data'!N54</f>
        <v>0</v>
      </c>
      <c r="G46" s="125" t="str">
        <f>'Raw Data'!O54</f>
        <v>/</v>
      </c>
      <c r="H46" s="125" t="str">
        <f>'Raw Data'!P54</f>
        <v>/</v>
      </c>
      <c r="I46" s="125" t="str">
        <f>'Raw Data'!Q54</f>
        <v>/</v>
      </c>
      <c r="J46" s="125">
        <f>'Raw Data'!L54</f>
        <v>298</v>
      </c>
      <c r="K46" s="126">
        <f>'Raw Data'!M54</f>
        <v>1.0129999999999999</v>
      </c>
      <c r="M46" s="125">
        <f>'Raw Data'!U54</f>
        <v>0</v>
      </c>
    </row>
    <row r="47" spans="3:13" x14ac:dyDescent="0.2">
      <c r="C47" s="125" t="str">
        <f>'Raw Data'!E55</f>
        <v>ORIWAP</v>
      </c>
      <c r="D47" s="125" t="str">
        <f>'Raw Data'!C55</f>
        <v>MOF-74-Co1</v>
      </c>
      <c r="E47" s="125">
        <f>'Raw Data'!I55</f>
        <v>3.4</v>
      </c>
      <c r="F47" s="125">
        <f>'Raw Data'!N55</f>
        <v>2941</v>
      </c>
      <c r="G47" s="125">
        <f>'Raw Data'!O55</f>
        <v>1.77</v>
      </c>
      <c r="H47" s="125" t="str">
        <f>'Raw Data'!P55</f>
        <v>/</v>
      </c>
      <c r="I47" s="125" t="str">
        <f>'Raw Data'!Q55</f>
        <v>/</v>
      </c>
      <c r="J47" s="125">
        <f>'Raw Data'!L55</f>
        <v>298</v>
      </c>
      <c r="K47" s="126">
        <f>'Raw Data'!M55</f>
        <v>1.0129999999999999</v>
      </c>
      <c r="M47" s="125" t="str">
        <f>'Raw Data'!U55</f>
        <v>D. Britt, H. Furukawa, B. Wang, T.G. Glover, O.M. Yaghi
Highly efficient separation of carbon dioxide by a metal-organic framework replete with open metal sites
P Natl A Sci, 106 (49) (2009), pp. 20637-20640</v>
      </c>
    </row>
    <row r="48" spans="3:13" x14ac:dyDescent="0.2">
      <c r="C48" s="125" t="str">
        <f>'Raw Data'!E56</f>
        <v>ORIWAP</v>
      </c>
      <c r="D48" s="125" t="str">
        <f>'Raw Data'!C56</f>
        <v>MOF-74-Co2</v>
      </c>
      <c r="E48" s="125">
        <f>'Raw Data'!I56</f>
        <v>4.0999999999999996</v>
      </c>
      <c r="F48" s="125">
        <f>'Raw Data'!N56</f>
        <v>2712</v>
      </c>
      <c r="G48" s="125">
        <f>'Raw Data'!O56</f>
        <v>1.38</v>
      </c>
      <c r="H48" s="125" t="str">
        <f>'Raw Data'!P56</f>
        <v>/</v>
      </c>
      <c r="I48" s="125" t="str">
        <f>'Raw Data'!Q56</f>
        <v>/</v>
      </c>
      <c r="J48" s="125">
        <f>'Raw Data'!L56</f>
        <v>298</v>
      </c>
      <c r="K48" s="126">
        <f>'Raw Data'!M56</f>
        <v>1.0129999999999999</v>
      </c>
      <c r="M48" s="125" t="str">
        <f>'Raw Data'!U56</f>
        <v>^^^</v>
      </c>
    </row>
    <row r="49" spans="3:13" x14ac:dyDescent="0.2">
      <c r="C49" s="125" t="str">
        <f>'Raw Data'!E57</f>
        <v>ORIWAP</v>
      </c>
      <c r="D49" s="125" t="str">
        <f>'Raw Data'!C57</f>
        <v>MOF-74-Co3</v>
      </c>
      <c r="E49" s="125">
        <f>'Raw Data'!I57</f>
        <v>3.9</v>
      </c>
      <c r="F49" s="125">
        <f>'Raw Data'!N57</f>
        <v>2065</v>
      </c>
      <c r="G49" s="125">
        <f>'Raw Data'!O57</f>
        <v>1.1499999999999999</v>
      </c>
      <c r="H49" s="125" t="str">
        <f>'Raw Data'!P57</f>
        <v>/</v>
      </c>
      <c r="I49" s="125" t="str">
        <f>'Raw Data'!Q57</f>
        <v>/</v>
      </c>
      <c r="J49" s="125">
        <f>'Raw Data'!L57</f>
        <v>298</v>
      </c>
      <c r="K49" s="126">
        <f>'Raw Data'!M57</f>
        <v>1.0129999999999999</v>
      </c>
      <c r="M49" s="125" t="str">
        <f>'Raw Data'!U57</f>
        <v>^^^</v>
      </c>
    </row>
    <row r="50" spans="3:13" x14ac:dyDescent="0.2">
      <c r="C50" s="125">
        <f>'Raw Data'!E58</f>
        <v>0</v>
      </c>
      <c r="D50" s="125">
        <f>'Raw Data'!C58</f>
        <v>0</v>
      </c>
      <c r="E50" s="125">
        <f>'Raw Data'!I58</f>
        <v>0</v>
      </c>
      <c r="F50" s="125">
        <f>'Raw Data'!N58</f>
        <v>0</v>
      </c>
      <c r="G50" s="125">
        <f>'Raw Data'!O58</f>
        <v>0</v>
      </c>
      <c r="H50" s="125">
        <f>'Raw Data'!P58</f>
        <v>0</v>
      </c>
      <c r="I50" s="125">
        <f>'Raw Data'!Q58</f>
        <v>0</v>
      </c>
      <c r="J50" s="125">
        <f>'Raw Data'!L58</f>
        <v>0</v>
      </c>
      <c r="K50" s="126">
        <f>'Raw Data'!M58</f>
        <v>0</v>
      </c>
      <c r="M50" s="125">
        <f>'Raw Data'!U58</f>
        <v>0</v>
      </c>
    </row>
    <row r="51" spans="3:13" x14ac:dyDescent="0.2">
      <c r="C51" s="125" t="str">
        <f>'Raw Data'!E59</f>
        <v>HEJPAR</v>
      </c>
      <c r="D51" s="125" t="str">
        <f>'Raw Data'!C59</f>
        <v>AMINO-MIL-53 (AI)</v>
      </c>
      <c r="E51" s="125">
        <f>'Raw Data'!I59</f>
        <v>6.7</v>
      </c>
      <c r="F51" s="125">
        <f>'Raw Data'!N59</f>
        <v>675</v>
      </c>
      <c r="G51" s="125">
        <f>'Raw Data'!O59</f>
        <v>0.22</v>
      </c>
      <c r="H51" s="125" t="str">
        <f>'Raw Data'!P59</f>
        <v>/</v>
      </c>
      <c r="I51" s="125" t="str">
        <f>'Raw Data'!Q59</f>
        <v>/</v>
      </c>
      <c r="J51" s="125">
        <f>'Raw Data'!L59</f>
        <v>313</v>
      </c>
      <c r="K51" s="126" t="str">
        <f>'Raw Data'!M59</f>
        <v>ND</v>
      </c>
      <c r="M51" s="125" t="str">
        <f>'Raw Data'!U59</f>
        <v>W. Meng, Y. Zeng, Z. Liang, W. Guo, C. Zhi, Y. Wu, R. Zhong, C. Qu, R. Zou
Tuning expanded pores in metal–organic frameworks for selective capture and catalytic conversion of carbon dioxide
ChemSusChem, 11 (21) (2018), pp. 3751-3757</v>
      </c>
    </row>
    <row r="52" spans="3:13" x14ac:dyDescent="0.2">
      <c r="C52" s="125">
        <f>'Raw Data'!E60</f>
        <v>0</v>
      </c>
      <c r="D52" s="125">
        <f>'Raw Data'!C60</f>
        <v>0</v>
      </c>
      <c r="E52" s="125">
        <f>'Raw Data'!I60</f>
        <v>0</v>
      </c>
      <c r="F52" s="125">
        <f>'Raw Data'!N60</f>
        <v>0</v>
      </c>
      <c r="G52" s="125">
        <f>'Raw Data'!O60</f>
        <v>0</v>
      </c>
      <c r="H52" s="125">
        <f>'Raw Data'!P60</f>
        <v>0</v>
      </c>
      <c r="I52" s="125">
        <f>'Raw Data'!Q60</f>
        <v>0</v>
      </c>
      <c r="J52" s="125">
        <f>'Raw Data'!L60</f>
        <v>0</v>
      </c>
      <c r="K52" s="126">
        <f>'Raw Data'!M60</f>
        <v>0</v>
      </c>
      <c r="M52" s="125">
        <f>'Raw Data'!U60</f>
        <v>0</v>
      </c>
    </row>
    <row r="53" spans="3:13" x14ac:dyDescent="0.2">
      <c r="C53" s="125" t="str">
        <f>'Raw Data'!E61</f>
        <v>YUVSUE</v>
      </c>
      <c r="D53" s="125" t="str">
        <f>'Raw Data'!C61</f>
        <v>BIO_MOF-11</v>
      </c>
      <c r="E53" s="125">
        <f>'Raw Data'!I61</f>
        <v>6</v>
      </c>
      <c r="F53" s="125" t="str">
        <f>'Raw Data'!N61</f>
        <v>ND</v>
      </c>
      <c r="G53" s="125" t="str">
        <f>'Raw Data'!O61</f>
        <v>ND</v>
      </c>
      <c r="H53" s="125" t="str">
        <f>'Raw Data'!P61</f>
        <v>/</v>
      </c>
      <c r="I53" s="125" t="str">
        <f>'Raw Data'!Q61</f>
        <v>/</v>
      </c>
      <c r="J53" s="125">
        <f>'Raw Data'!L61</f>
        <v>273</v>
      </c>
      <c r="K53" s="126">
        <f>'Raw Data'!M61</f>
        <v>1.0129999999999999</v>
      </c>
      <c r="M53" s="125" t="str">
        <f>'Raw Data'!U61</f>
        <v>J. Gascon, U. Aktay, M.D. Hernandez-Alonso, G.P. van Klink, F. Kapteijn
Amino-based metal-organic frameworks as stable, highly active basic catalysts
J Catal, 261 (1) (2009), pp. 75-87</v>
      </c>
    </row>
    <row r="54" spans="3:13" x14ac:dyDescent="0.2">
      <c r="C54" s="125">
        <f>'Raw Data'!E62</f>
        <v>0</v>
      </c>
      <c r="D54" s="125">
        <f>'Raw Data'!C62</f>
        <v>0</v>
      </c>
      <c r="E54" s="125">
        <f>'Raw Data'!I62</f>
        <v>0</v>
      </c>
      <c r="F54" s="125">
        <f>'Raw Data'!N62</f>
        <v>0</v>
      </c>
      <c r="G54" s="125">
        <f>'Raw Data'!O62</f>
        <v>0</v>
      </c>
      <c r="H54" s="125">
        <f>'Raw Data'!P62</f>
        <v>0</v>
      </c>
      <c r="I54" s="125">
        <f>'Raw Data'!Q62</f>
        <v>0</v>
      </c>
      <c r="J54" s="125">
        <f>'Raw Data'!L62</f>
        <v>0</v>
      </c>
      <c r="K54" s="126">
        <f>'Raw Data'!M62</f>
        <v>0</v>
      </c>
      <c r="M54" s="125">
        <f>'Raw Data'!U62</f>
        <v>0</v>
      </c>
    </row>
    <row r="55" spans="3:13" x14ac:dyDescent="0.2">
      <c r="C55" s="125">
        <f>'Raw Data'!E63</f>
        <v>0</v>
      </c>
      <c r="D55" s="125">
        <f>'Raw Data'!C63</f>
        <v>0</v>
      </c>
      <c r="E55" s="125">
        <f>'Raw Data'!I63</f>
        <v>0</v>
      </c>
      <c r="F55" s="125">
        <f>'Raw Data'!N63</f>
        <v>0</v>
      </c>
      <c r="G55" s="125">
        <f>'Raw Data'!O63</f>
        <v>0</v>
      </c>
      <c r="H55" s="125">
        <f>'Raw Data'!P63</f>
        <v>0</v>
      </c>
      <c r="I55" s="125">
        <f>'Raw Data'!Q63</f>
        <v>0</v>
      </c>
      <c r="J55" s="125">
        <f>'Raw Data'!L63</f>
        <v>0</v>
      </c>
      <c r="K55" s="126">
        <f>'Raw Data'!M63</f>
        <v>0</v>
      </c>
      <c r="M55" s="125">
        <f>'Raw Data'!U63</f>
        <v>0</v>
      </c>
    </row>
    <row r="56" spans="3:13" x14ac:dyDescent="0.2">
      <c r="C56" s="125" t="str">
        <f>'Raw Data'!E64</f>
        <v>CUBYAD</v>
      </c>
      <c r="D56" s="125" t="str">
        <f>'Raw Data'!C64</f>
        <v>ZIF-8</v>
      </c>
      <c r="E56" s="125">
        <f>'Raw Data'!I64</f>
        <v>1</v>
      </c>
      <c r="F56" s="125">
        <f>'Raw Data'!N64</f>
        <v>1135</v>
      </c>
      <c r="G56" s="125" t="str">
        <f>'Raw Data'!O64</f>
        <v>/</v>
      </c>
      <c r="H56" s="125" t="str">
        <f>'Raw Data'!P64</f>
        <v>1.16nm</v>
      </c>
      <c r="I56" s="125" t="str">
        <f>'Raw Data'!Q64</f>
        <v>/</v>
      </c>
      <c r="J56" s="125">
        <f>'Raw Data'!L64</f>
        <v>298</v>
      </c>
      <c r="K56" s="126">
        <f>'Raw Data'!M64</f>
        <v>1</v>
      </c>
      <c r="M56" s="125" t="str">
        <f>'Raw Data'!U64</f>
        <v>R. Banerjee, A. Phan, B. Wang, C. Knobler, H. Furukawa, M. O'Keeffe, O.M. Yaghi
High-throughput synthesis of zeolitic imidazolate frameworks and application to CO2 capture
Science, 319 (5865) (2008), pp. 939-943</v>
      </c>
    </row>
    <row r="57" spans="3:13" x14ac:dyDescent="0.2">
      <c r="C57" s="125">
        <f>'Raw Data'!E65</f>
        <v>0</v>
      </c>
      <c r="D57" s="125">
        <f>'Raw Data'!C65</f>
        <v>0</v>
      </c>
      <c r="E57" s="125">
        <f>'Raw Data'!I65</f>
        <v>0</v>
      </c>
      <c r="F57" s="125">
        <f>'Raw Data'!N65</f>
        <v>0</v>
      </c>
      <c r="G57" s="125">
        <f>'Raw Data'!O65</f>
        <v>0</v>
      </c>
      <c r="H57" s="125">
        <f>'Raw Data'!P65</f>
        <v>0</v>
      </c>
      <c r="I57" s="125">
        <f>'Raw Data'!Q65</f>
        <v>0</v>
      </c>
      <c r="J57" s="125">
        <f>'Raw Data'!L65</f>
        <v>0</v>
      </c>
      <c r="K57" s="126">
        <f>'Raw Data'!M65</f>
        <v>0</v>
      </c>
      <c r="M57" s="125">
        <f>'Raw Data'!U65</f>
        <v>0</v>
      </c>
    </row>
    <row r="58" spans="3:13" x14ac:dyDescent="0.2">
      <c r="C58" s="125" t="str">
        <f>'Raw Data'!E66</f>
        <v>QOVXAC</v>
      </c>
      <c r="D58" s="125" t="str">
        <f>'Raw Data'!C66</f>
        <v>ZIF-7</v>
      </c>
      <c r="E58" s="125">
        <f>'Raw Data'!I66</f>
        <v>2.2999999999999998</v>
      </c>
      <c r="F58" s="125">
        <f>'Raw Data'!N66</f>
        <v>240</v>
      </c>
      <c r="G58" s="125" t="str">
        <f>'Raw Data'!O66</f>
        <v>/</v>
      </c>
      <c r="H58" s="125" t="str">
        <f>'Raw Data'!P66</f>
        <v>0.29nm</v>
      </c>
      <c r="I58" s="125" t="str">
        <f>'Raw Data'!Q66</f>
        <v>/</v>
      </c>
      <c r="J58" s="125">
        <f>'Raw Data'!L66</f>
        <v>273</v>
      </c>
      <c r="K58" s="126">
        <f>'Raw Data'!M66</f>
        <v>0.1</v>
      </c>
      <c r="M58" s="125" t="str">
        <f>'Raw Data'!U66</f>
        <v>A. Noguera‐Díaz, J. Villarroel‐Rocha, V.P. Ting, N. Bimbo, K. Sapag, T.J. Mays
Flexible ZIFs: probing guest‐induced flexibility with CO2, N2 and Ar adsorption
J Chem Technol Biotechnol, 94 (12) (2019), pp. 3787-3792</v>
      </c>
    </row>
    <row r="59" spans="3:13" x14ac:dyDescent="0.2">
      <c r="C59" s="125" t="str">
        <f>'Raw Data'!E67</f>
        <v>QOVXEG</v>
      </c>
      <c r="D59" s="125" t="str">
        <f>'Raw Data'!C67</f>
        <v>ZIF-9</v>
      </c>
      <c r="E59" s="125">
        <f>'Raw Data'!I67</f>
        <v>2</v>
      </c>
      <c r="F59" s="125">
        <f>'Raw Data'!N67</f>
        <v>224</v>
      </c>
      <c r="G59" s="125" t="str">
        <f>'Raw Data'!O67</f>
        <v>/</v>
      </c>
      <c r="H59" s="125" t="str">
        <f>'Raw Data'!P67</f>
        <v>0.29nm</v>
      </c>
      <c r="I59" s="125" t="str">
        <f>'Raw Data'!Q67</f>
        <v>/</v>
      </c>
      <c r="J59" s="125">
        <f>'Raw Data'!L67</f>
        <v>273</v>
      </c>
      <c r="K59" s="126">
        <f>'Raw Data'!M67</f>
        <v>0.1</v>
      </c>
      <c r="M59" s="125" t="str">
        <f>'Raw Data'!U67</f>
        <v>^^^</v>
      </c>
    </row>
    <row r="60" spans="3:13" x14ac:dyDescent="0.2">
      <c r="C60" s="125" t="str">
        <f>'Raw Data'!E68</f>
        <v>VEJZUG</v>
      </c>
      <c r="D60" s="125" t="str">
        <f>'Raw Data'!C68</f>
        <v>ZIF-12</v>
      </c>
      <c r="E60" s="125">
        <f>'Raw Data'!I68</f>
        <v>2.1</v>
      </c>
      <c r="F60" s="125">
        <f>'Raw Data'!N68</f>
        <v>671</v>
      </c>
      <c r="G60" s="125" t="str">
        <f>'Raw Data'!O68</f>
        <v>/</v>
      </c>
      <c r="H60" s="125" t="str">
        <f>'Raw Data'!P68</f>
        <v>0.32nm</v>
      </c>
      <c r="I60" s="125" t="str">
        <f>'Raw Data'!Q68</f>
        <v>/</v>
      </c>
      <c r="J60" s="125">
        <f>'Raw Data'!L68</f>
        <v>273</v>
      </c>
      <c r="K60" s="126">
        <f>'Raw Data'!M68</f>
        <v>0.1</v>
      </c>
      <c r="M60" s="125" t="str">
        <f>'Raw Data'!U68</f>
        <v>^^^</v>
      </c>
    </row>
    <row r="61" spans="3:13" x14ac:dyDescent="0.2">
      <c r="C61" s="125" t="str">
        <f>'Raw Data'!E69</f>
        <v>GITVAH</v>
      </c>
      <c r="D61" s="125" t="str">
        <f>'Raw Data'!C69</f>
        <v>ZIF-69</v>
      </c>
      <c r="E61" s="125" t="str">
        <f>'Raw Data'!I69</f>
        <v>~3.1</v>
      </c>
      <c r="F61" s="125">
        <f>'Raw Data'!N69</f>
        <v>950</v>
      </c>
      <c r="G61" s="125" t="str">
        <f>'Raw Data'!O69</f>
        <v>/</v>
      </c>
      <c r="H61" s="125" t="str">
        <f>'Raw Data'!P69</f>
        <v>0.78nm</v>
      </c>
      <c r="I61" s="125" t="str">
        <f>'Raw Data'!Q69</f>
        <v>/</v>
      </c>
      <c r="J61" s="125">
        <f>'Raw Data'!L69</f>
        <v>273</v>
      </c>
      <c r="K61" s="126" t="str">
        <f>'Raw Data'!M69</f>
        <v>~1</v>
      </c>
      <c r="M61" s="125" t="str">
        <f>'Raw Data'!U69</f>
        <v>^^^</v>
      </c>
    </row>
    <row r="62" spans="3:13" x14ac:dyDescent="0.2">
      <c r="C62" s="125">
        <f>'Raw Data'!E70</f>
        <v>0</v>
      </c>
      <c r="D62" s="125">
        <f>'Raw Data'!C70</f>
        <v>0</v>
      </c>
      <c r="E62" s="125">
        <f>'Raw Data'!I70</f>
        <v>0</v>
      </c>
      <c r="F62" s="125">
        <f>'Raw Data'!N70</f>
        <v>0</v>
      </c>
      <c r="G62" s="125">
        <f>'Raw Data'!O70</f>
        <v>0</v>
      </c>
      <c r="H62" s="125">
        <f>'Raw Data'!P70</f>
        <v>0</v>
      </c>
      <c r="I62" s="125">
        <f>'Raw Data'!Q70</f>
        <v>0</v>
      </c>
      <c r="J62" s="125">
        <f>'Raw Data'!L70</f>
        <v>0</v>
      </c>
      <c r="K62" s="126">
        <f>'Raw Data'!M70</f>
        <v>0</v>
      </c>
      <c r="M62" s="125">
        <f>'Raw Data'!U70</f>
        <v>0</v>
      </c>
    </row>
    <row r="63" spans="3:13" x14ac:dyDescent="0.2">
      <c r="C63" s="125" t="str">
        <f>'Raw Data'!E71</f>
        <v>CIZTEO</v>
      </c>
      <c r="D63" s="125" t="str">
        <f>'Raw Data'!C71</f>
        <v>ZIF-78</v>
      </c>
      <c r="E63" s="125" t="str">
        <f>'Raw Data'!I71</f>
        <v>look</v>
      </c>
      <c r="F63" s="125">
        <f>'Raw Data'!N71</f>
        <v>620</v>
      </c>
      <c r="G63" s="125" t="str">
        <f>'Raw Data'!O71</f>
        <v>/</v>
      </c>
      <c r="H63" s="125" t="str">
        <f>'Raw Data'!P71</f>
        <v>0.71nm</v>
      </c>
      <c r="I63" s="125" t="str">
        <f>'Raw Data'!Q71</f>
        <v>/</v>
      </c>
      <c r="J63" s="125">
        <f>'Raw Data'!L71</f>
        <v>298</v>
      </c>
      <c r="K63" s="126">
        <f>'Raw Data'!M71</f>
        <v>1</v>
      </c>
      <c r="M63" s="125" t="str">
        <f>'Raw Data'!U71</f>
        <v>R. Banerjee, H. Furukawa, D. Britt, C. Knobler, M. O'Keeffe, O.M. Yaghi
Control of pore size and functionality in isoreticular zeolitic imidazolate frameworks and their carbon dioxide selective capture properties
J Am Chem Soc, 131 (11) (2009), pp. 3875-3877</v>
      </c>
    </row>
    <row r="64" spans="3:13" x14ac:dyDescent="0.2">
      <c r="C64" s="125" t="str">
        <f>'Raw Data'!E72</f>
        <v>RIRDIH</v>
      </c>
      <c r="D64" s="125" t="str">
        <f>'Raw Data'!C72</f>
        <v>ZIF-81</v>
      </c>
      <c r="E64" s="125" t="str">
        <f>'Raw Data'!I72</f>
        <v>look</v>
      </c>
      <c r="F64" s="125">
        <f>'Raw Data'!N72</f>
        <v>760</v>
      </c>
      <c r="G64" s="125" t="str">
        <f>'Raw Data'!O72</f>
        <v>/</v>
      </c>
      <c r="H64" s="125" t="str">
        <f>'Raw Data'!P72</f>
        <v>0.74nm</v>
      </c>
      <c r="I64" s="125" t="str">
        <f>'Raw Data'!Q72</f>
        <v>/</v>
      </c>
      <c r="J64" s="125">
        <f>'Raw Data'!L72</f>
        <v>298</v>
      </c>
      <c r="K64" s="126">
        <f>'Raw Data'!M72</f>
        <v>1</v>
      </c>
      <c r="M64" s="125" t="str">
        <f>'Raw Data'!U72</f>
        <v>^^^</v>
      </c>
    </row>
    <row r="65" spans="3:13" x14ac:dyDescent="0.2">
      <c r="C65" s="125" t="str">
        <f>'Raw Data'!E73</f>
        <v>CIZTOY</v>
      </c>
      <c r="D65" s="125" t="str">
        <f>'Raw Data'!C73</f>
        <v>ZIF-79</v>
      </c>
      <c r="E65" s="125" t="str">
        <f>'Raw Data'!I73</f>
        <v>look</v>
      </c>
      <c r="F65" s="125">
        <f>'Raw Data'!N73</f>
        <v>810</v>
      </c>
      <c r="G65" s="125" t="str">
        <f>'Raw Data'!O73</f>
        <v>/</v>
      </c>
      <c r="H65" s="125" t="str">
        <f>'Raw Data'!P73</f>
        <v>0.75nm</v>
      </c>
      <c r="I65" s="125" t="str">
        <f>'Raw Data'!Q73</f>
        <v>/</v>
      </c>
      <c r="J65" s="125">
        <f>'Raw Data'!L73</f>
        <v>298</v>
      </c>
      <c r="K65" s="126">
        <f>'Raw Data'!M73</f>
        <v>1</v>
      </c>
      <c r="M65" s="125" t="str">
        <f>'Raw Data'!U73</f>
        <v>^^^</v>
      </c>
    </row>
    <row r="66" spans="3:13" x14ac:dyDescent="0.2">
      <c r="C66" s="125" t="str">
        <f>'Raw Data'!E74</f>
        <v>GITVAH</v>
      </c>
      <c r="D66" s="125" t="str">
        <f>'Raw Data'!C74</f>
        <v>ZIF-69</v>
      </c>
      <c r="E66" s="125" t="str">
        <f>'Raw Data'!I74</f>
        <v>look</v>
      </c>
      <c r="F66" s="125">
        <f>'Raw Data'!N74</f>
        <v>950</v>
      </c>
      <c r="G66" s="125" t="str">
        <f>'Raw Data'!O74</f>
        <v>/</v>
      </c>
      <c r="H66" s="125" t="str">
        <f>'Raw Data'!P74</f>
        <v>0.78nm</v>
      </c>
      <c r="I66" s="125" t="str">
        <f>'Raw Data'!Q74</f>
        <v>/</v>
      </c>
      <c r="J66" s="125">
        <f>'Raw Data'!L74</f>
        <v>298</v>
      </c>
      <c r="K66" s="126">
        <f>'Raw Data'!M74</f>
        <v>1</v>
      </c>
      <c r="M66" s="125" t="str">
        <f>'Raw Data'!U74</f>
        <v>^^^</v>
      </c>
    </row>
    <row r="67" spans="3:13" x14ac:dyDescent="0.2">
      <c r="C67" s="125" t="str">
        <f>'Raw Data'!E75</f>
        <v>CIZSUD</v>
      </c>
      <c r="D67" s="125" t="str">
        <f>'Raw Data'!C75</f>
        <v>ZIF-68</v>
      </c>
      <c r="E67" s="125" t="str">
        <f>'Raw Data'!I75</f>
        <v>look</v>
      </c>
      <c r="F67" s="125">
        <f>'Raw Data'!N75</f>
        <v>1090</v>
      </c>
      <c r="G67" s="125" t="str">
        <f>'Raw Data'!O75</f>
        <v>/</v>
      </c>
      <c r="H67" s="125" t="str">
        <f>'Raw Data'!P75</f>
        <v>1.03nm</v>
      </c>
      <c r="I67" s="125" t="str">
        <f>'Raw Data'!Q75</f>
        <v>/</v>
      </c>
      <c r="J67" s="125">
        <f>'Raw Data'!L75</f>
        <v>298</v>
      </c>
      <c r="K67" s="126">
        <f>'Raw Data'!M75</f>
        <v>1</v>
      </c>
      <c r="M67" s="125" t="str">
        <f>'Raw Data'!U75</f>
        <v>^^^</v>
      </c>
    </row>
    <row r="68" spans="3:13" x14ac:dyDescent="0.2">
      <c r="C68" s="125" t="str">
        <f>'Raw Data'!E76</f>
        <v>/</v>
      </c>
      <c r="D68" s="125" t="str">
        <f>'Raw Data'!C76</f>
        <v>ZIF-82</v>
      </c>
      <c r="E68" s="125" t="str">
        <f>'Raw Data'!I76</f>
        <v>look</v>
      </c>
      <c r="F68" s="125">
        <f>'Raw Data'!N76</f>
        <v>1300</v>
      </c>
      <c r="G68" s="125" t="str">
        <f>'Raw Data'!O76</f>
        <v>/</v>
      </c>
      <c r="H68" s="125" t="str">
        <f>'Raw Data'!P76</f>
        <v>1.23nm</v>
      </c>
      <c r="I68" s="125" t="str">
        <f>'Raw Data'!Q76</f>
        <v>/</v>
      </c>
      <c r="J68" s="125">
        <f>'Raw Data'!L76</f>
        <v>298</v>
      </c>
      <c r="K68" s="126">
        <f>'Raw Data'!M76</f>
        <v>1</v>
      </c>
      <c r="M68" s="125" t="str">
        <f>'Raw Data'!U76</f>
        <v>^^^</v>
      </c>
    </row>
    <row r="69" spans="3:13" x14ac:dyDescent="0.2">
      <c r="C69" s="125">
        <f>'Raw Data'!E77</f>
        <v>0</v>
      </c>
      <c r="D69" s="125">
        <f>'Raw Data'!C77</f>
        <v>0</v>
      </c>
      <c r="E69" s="125">
        <f>'Raw Data'!I77</f>
        <v>0</v>
      </c>
      <c r="F69" s="125">
        <f>'Raw Data'!Q77</f>
        <v>0</v>
      </c>
      <c r="G69" s="125">
        <f>'Raw Data'!R77</f>
        <v>0</v>
      </c>
      <c r="H69" s="125">
        <f>'Raw Data'!S77</f>
        <v>0</v>
      </c>
      <c r="I69" s="125">
        <f>'Raw Data'!T77</f>
        <v>0</v>
      </c>
      <c r="J69" s="125">
        <f>'Raw Data'!O77</f>
        <v>0</v>
      </c>
      <c r="K69" s="126">
        <f>'Raw Data'!P77</f>
        <v>0</v>
      </c>
      <c r="M69" s="125">
        <f>'Raw Data'!X77</f>
        <v>0</v>
      </c>
    </row>
    <row r="70" spans="3:13" x14ac:dyDescent="0.2">
      <c r="C70" s="125">
        <f>'Raw Data'!E78</f>
        <v>0</v>
      </c>
      <c r="D70" s="125">
        <f>'Raw Data'!C78</f>
        <v>0</v>
      </c>
      <c r="E70" s="125">
        <f>'Raw Data'!I78</f>
        <v>0</v>
      </c>
      <c r="F70" s="125">
        <f>'Raw Data'!Q78</f>
        <v>0</v>
      </c>
      <c r="G70" s="125">
        <f>'Raw Data'!R78</f>
        <v>0</v>
      </c>
      <c r="H70" s="125">
        <f>'Raw Data'!S78</f>
        <v>0</v>
      </c>
      <c r="I70" s="125">
        <f>'Raw Data'!T78</f>
        <v>0</v>
      </c>
      <c r="J70" s="125">
        <f>'Raw Data'!O78</f>
        <v>0</v>
      </c>
      <c r="K70" s="126">
        <f>'Raw Data'!P78</f>
        <v>0</v>
      </c>
      <c r="M70" s="125">
        <f>'Raw Data'!X78</f>
        <v>0</v>
      </c>
    </row>
    <row r="71" spans="3:13" x14ac:dyDescent="0.2">
      <c r="C71" s="125" t="str">
        <f>'Raw Data'!E79</f>
        <v>CSD Code from Lit.</v>
      </c>
      <c r="D71" s="125" t="str">
        <f>'Raw Data'!C79</f>
        <v>Common Name</v>
      </c>
      <c r="E71" s="125" t="str">
        <f>'Raw Data'!I79</f>
        <v>CO2 Adsorption Capacity, mmol/g</v>
      </c>
      <c r="F71" s="125" t="str">
        <f>'Raw Data'!Q79</f>
        <v>Surface Area, m2/g</v>
      </c>
      <c r="G71" s="125" t="str">
        <f>'Raw Data'!R79</f>
        <v>Pore Volume, cm3/g</v>
      </c>
      <c r="H71" s="125" t="str">
        <f>'Raw Data'!S79</f>
        <v>Pore Size Diameter, A</v>
      </c>
      <c r="I71" s="125" t="str">
        <f>'Raw Data'!T79</f>
        <v>Density, g/cm3</v>
      </c>
      <c r="J71" s="125" t="str">
        <f>'Raw Data'!O79</f>
        <v>Temperature, K</v>
      </c>
      <c r="K71" s="126" t="str">
        <f>'Raw Data'!P79</f>
        <v>Pressure, bar</v>
      </c>
      <c r="M71" s="125" t="str">
        <f>'Raw Data'!X79</f>
        <v>Reference DOI</v>
      </c>
    </row>
    <row r="72" spans="3:13" x14ac:dyDescent="0.2">
      <c r="C72" s="125" t="str">
        <f>'Raw Data'!E80</f>
        <v>/</v>
      </c>
      <c r="D72" s="125" t="str">
        <f>'Raw Data'!C80</f>
        <v>Mg-MOF-74</v>
      </c>
      <c r="E72" s="125">
        <f>'Raw Data'!I80</f>
        <v>1.49</v>
      </c>
      <c r="F72" s="125" t="str">
        <f>'Raw Data'!Q80</f>
        <v>/</v>
      </c>
      <c r="G72" s="125" t="str">
        <f>'Raw Data'!R80</f>
        <v>/</v>
      </c>
      <c r="H72" s="125" t="str">
        <f>'Raw Data'!S80</f>
        <v>/</v>
      </c>
      <c r="I72" s="125" t="str">
        <f>'Raw Data'!T80</f>
        <v>/</v>
      </c>
      <c r="J72" s="125" t="str">
        <f>'Raw Data'!O80</f>
        <v>273,1</v>
      </c>
      <c r="K72" s="126" t="str">
        <f>'Raw Data'!P80</f>
        <v>/</v>
      </c>
      <c r="M72" s="125" t="str">
        <f>'Raw Data'!X80</f>
        <v>Z.Y. Gao, L. Liang, X. Zhang, P. Xu, J.M. Sun
Facile one-pot synthesis of zn/mg-MOF-74 with unsaturated coordination metal centers for efficient CO2 adsorption and conversion to cyclic carbonates
ACS Appl. Mater. Interfaces, 13 (2021), pp. 61334-61345, 10.1021/acsami.1c20878</v>
      </c>
    </row>
    <row r="73" spans="3:13" x14ac:dyDescent="0.2">
      <c r="C73" s="125" t="str">
        <f>'Raw Data'!E81</f>
        <v>ORIVOC</v>
      </c>
      <c r="D73" s="125" t="str">
        <f>'Raw Data'!C81</f>
        <v>Zn-MOF-74</v>
      </c>
      <c r="E73" s="125">
        <f>'Raw Data'!I81</f>
        <v>2.44</v>
      </c>
      <c r="F73" s="125" t="str">
        <f>'Raw Data'!Q81</f>
        <v>/</v>
      </c>
      <c r="G73" s="125" t="str">
        <f>'Raw Data'!R81</f>
        <v>/</v>
      </c>
      <c r="H73" s="125" t="str">
        <f>'Raw Data'!S81</f>
        <v>/</v>
      </c>
      <c r="I73" s="125" t="str">
        <f>'Raw Data'!T81</f>
        <v>/</v>
      </c>
      <c r="J73" s="125" t="str">
        <f>'Raw Data'!O81</f>
        <v>273,1</v>
      </c>
      <c r="K73" s="126" t="str">
        <f>'Raw Data'!P81</f>
        <v>/</v>
      </c>
      <c r="M73" s="125" t="str">
        <f>'Raw Data'!X81</f>
        <v>^^^</v>
      </c>
    </row>
    <row r="74" spans="3:13" x14ac:dyDescent="0.2">
      <c r="C74" s="125" t="str">
        <f>'Raw Data'!E82</f>
        <v>ORIVOC</v>
      </c>
      <c r="D74" s="125" t="str">
        <f>'Raw Data'!C82</f>
        <v>Zn0.75Mg0.25-MOF-74</v>
      </c>
      <c r="E74" s="125">
        <f>'Raw Data'!I82</f>
        <v>3.99</v>
      </c>
      <c r="F74" s="125">
        <f>'Raw Data'!Q82</f>
        <v>667.6</v>
      </c>
      <c r="G74" s="125" t="str">
        <f>'Raw Data'!R82</f>
        <v>/</v>
      </c>
      <c r="H74" s="125" t="str">
        <f>'Raw Data'!S82</f>
        <v>/</v>
      </c>
      <c r="I74" s="125" t="str">
        <f>'Raw Data'!T82</f>
        <v>/</v>
      </c>
      <c r="J74" s="125" t="str">
        <f>'Raw Data'!O82</f>
        <v>273,1</v>
      </c>
      <c r="K74" s="126" t="str">
        <f>'Raw Data'!P82</f>
        <v>/</v>
      </c>
      <c r="M74" s="125" t="str">
        <f>'Raw Data'!X82</f>
        <v>^^^</v>
      </c>
    </row>
    <row r="75" spans="3:13" x14ac:dyDescent="0.2">
      <c r="C75" s="125" t="str">
        <f>'Raw Data'!E83</f>
        <v>/</v>
      </c>
      <c r="D75" s="125" t="str">
        <f>'Raw Data'!C83</f>
        <v>Cu-OATA</v>
      </c>
      <c r="E75" s="125">
        <f>'Raw Data'!I83</f>
        <v>2.2400000000000002</v>
      </c>
      <c r="F75" s="125" t="str">
        <f>'Raw Data'!Q83</f>
        <v>/</v>
      </c>
      <c r="G75" s="125" t="str">
        <f>'Raw Data'!R83</f>
        <v>/</v>
      </c>
      <c r="H75" s="125" t="str">
        <f>'Raw Data'!S83</f>
        <v>/</v>
      </c>
      <c r="I75" s="125" t="str">
        <f>'Raw Data'!T83</f>
        <v>/</v>
      </c>
      <c r="J75" s="125" t="str">
        <f>'Raw Data'!O83</f>
        <v>298,1</v>
      </c>
      <c r="K75" s="126" t="str">
        <f>'Raw Data'!P83</f>
        <v>/</v>
      </c>
      <c r="M75" s="125" t="str">
        <f>'Raw Data'!X83</f>
        <v>Y. Guclu, H. Erer, H. Demiral, C. Altintas, S. Keskin, N. Tumanov, B.L. Su, F. Semerci
Oxalamide-functionalized metal organic frameworks for CO2 adsorption
ACS Appl. Mater. Interfaces, 13 (2021), pp. 33188-33198</v>
      </c>
    </row>
    <row r="76" spans="3:13" x14ac:dyDescent="0.2">
      <c r="C76" s="125" t="str">
        <f>'Raw Data'!E84</f>
        <v>/</v>
      </c>
      <c r="D76" s="125" t="str">
        <f>'Raw Data'!C84</f>
        <v>Cu(I)Zn@MIL-100(Fe)-10</v>
      </c>
      <c r="E76" s="125">
        <f>'Raw Data'!I84</f>
        <v>0.4</v>
      </c>
      <c r="F76" s="125" t="str">
        <f>'Raw Data'!Q84</f>
        <v>/</v>
      </c>
      <c r="G76" s="125" t="str">
        <f>'Raw Data'!R84</f>
        <v>/</v>
      </c>
      <c r="H76" s="125" t="str">
        <f>'Raw Data'!S84</f>
        <v>/</v>
      </c>
      <c r="I76" s="125" t="str">
        <f>'Raw Data'!T84</f>
        <v>/</v>
      </c>
      <c r="J76" s="125" t="str">
        <f>'Raw Data'!O84</f>
        <v>298,1</v>
      </c>
      <c r="K76" s="126" t="str">
        <f>'Raw Data'!P84</f>
        <v>/</v>
      </c>
      <c r="M76" s="125" t="str">
        <f>'Raw Data'!X84</f>
        <v>V.N. Le, T.K. Vo, J.H. Lee, J.C. Kim, T.H. Kim, K.H. Oh, Y.S. Bae, S.K. Kwak, J. Kim
A novel approach to prepare Cu(i)Zn@MIL-100(Fe) adsorbent with high co adsorption capacity, CO/CO2 selectivity and stability via controlled host-guest redox reaction
Chem. Eng. J., 404 (2021), Article 126492</v>
      </c>
    </row>
    <row r="77" spans="3:13" x14ac:dyDescent="0.2">
      <c r="C77" s="125" t="str">
        <f>'Raw Data'!E85</f>
        <v>BOHWUS</v>
      </c>
      <c r="D77" s="125" t="str">
        <f>'Raw Data'!C85</f>
        <v>MOF-808</v>
      </c>
      <c r="E77" s="125">
        <f>'Raw Data'!I85</f>
        <v>1.36</v>
      </c>
      <c r="F77" s="125" t="str">
        <f>'Raw Data'!Q85</f>
        <v>/</v>
      </c>
      <c r="G77" s="125" t="str">
        <f>'Raw Data'!R85</f>
        <v>/</v>
      </c>
      <c r="H77" s="125" t="str">
        <f>'Raw Data'!S85</f>
        <v>/</v>
      </c>
      <c r="I77" s="125" t="str">
        <f>'Raw Data'!T85</f>
        <v>/</v>
      </c>
      <c r="J77" s="125" t="str">
        <f>'Raw Data'!O85</f>
        <v>298,1</v>
      </c>
      <c r="K77" s="126" t="str">
        <f>'Raw Data'!P85</f>
        <v>/</v>
      </c>
      <c r="M77" s="125" t="str">
        <f>'Raw Data'!X85</f>
        <v>J.M. Park, D.K. Yoo, S.H. Jhung
Selective CO2 adsorption over functionalized Zr-based metal organic framework under atmospheric or lower pressure: Contribution of functional groups to adsorption
Chem. Eng. J., 402 (2020), Article 126254</v>
      </c>
    </row>
    <row r="78" spans="3:13" x14ac:dyDescent="0.2">
      <c r="C78" s="125" t="str">
        <f>'Raw Data'!E86</f>
        <v>BOHWUS</v>
      </c>
      <c r="D78" s="125" t="str">
        <f>'Raw Data'!C86</f>
        <v>MOF-808-EDTA</v>
      </c>
      <c r="E78" s="125">
        <f>'Raw Data'!I86</f>
        <v>1.48</v>
      </c>
      <c r="F78" s="125" t="str">
        <f>'Raw Data'!Q86</f>
        <v>/</v>
      </c>
      <c r="G78" s="125" t="str">
        <f>'Raw Data'!R86</f>
        <v>/</v>
      </c>
      <c r="H78" s="125" t="str">
        <f>'Raw Data'!S86</f>
        <v>/</v>
      </c>
      <c r="I78" s="125" t="str">
        <f>'Raw Data'!T86</f>
        <v>/</v>
      </c>
      <c r="J78" s="125" t="str">
        <f>'Raw Data'!O86</f>
        <v>298,1</v>
      </c>
      <c r="K78" s="126" t="str">
        <f>'Raw Data'!P86</f>
        <v>/</v>
      </c>
      <c r="M78" s="125" t="str">
        <f>'Raw Data'!X86</f>
        <v>^^^</v>
      </c>
    </row>
    <row r="79" spans="3:13" x14ac:dyDescent="0.2">
      <c r="C79" s="125" t="str">
        <f>'Raw Data'!E87</f>
        <v>BOHWUS</v>
      </c>
      <c r="D79" s="125" t="str">
        <f>'Raw Data'!C87</f>
        <v>MOF-808-EDTA-ED-1.2</v>
      </c>
      <c r="E79" s="125">
        <f>'Raw Data'!I87</f>
        <v>1.62</v>
      </c>
      <c r="F79" s="125" t="str">
        <f>'Raw Data'!Q87</f>
        <v>/</v>
      </c>
      <c r="G79" s="125" t="str">
        <f>'Raw Data'!R87</f>
        <v>/</v>
      </c>
      <c r="H79" s="125" t="str">
        <f>'Raw Data'!S87</f>
        <v>/</v>
      </c>
      <c r="I79" s="125" t="str">
        <f>'Raw Data'!T87</f>
        <v>/</v>
      </c>
      <c r="J79" s="125" t="str">
        <f>'Raw Data'!O87</f>
        <v>298,1</v>
      </c>
      <c r="K79" s="126" t="str">
        <f>'Raw Data'!P87</f>
        <v>/</v>
      </c>
      <c r="M79" s="125" t="str">
        <f>'Raw Data'!X87</f>
        <v>^^^</v>
      </c>
    </row>
    <row r="80" spans="3:13" x14ac:dyDescent="0.2">
      <c r="C80" s="125" t="str">
        <f>'Raw Data'!E88</f>
        <v>/</v>
      </c>
      <c r="D80" s="125" t="str">
        <f>'Raw Data'!C88</f>
        <v>Mg2(dobpdc)(3-4-3)</v>
      </c>
      <c r="E80" s="125">
        <f>'Raw Data'!I88</f>
        <v>2</v>
      </c>
      <c r="F80" s="125" t="str">
        <f>'Raw Data'!Q88</f>
        <v>/</v>
      </c>
      <c r="G80" s="125" t="str">
        <f>'Raw Data'!R88</f>
        <v>/</v>
      </c>
      <c r="H80" s="125" t="str">
        <f>'Raw Data'!S88</f>
        <v>/</v>
      </c>
      <c r="I80" s="125" t="str">
        <f>'Raw Data'!T88</f>
        <v>/</v>
      </c>
      <c r="J80" s="125" t="str">
        <f>'Raw Data'!O88</f>
        <v>273,0.04</v>
      </c>
      <c r="K80" s="126" t="str">
        <f>'Raw Data'!P88</f>
        <v>/</v>
      </c>
      <c r="M80" s="125" t="str">
        <f>'Raw Data'!X88</f>
        <v>E.J. Kim, R.L. Siegelman, H.Z.H. Jiang, A.C. Forse, J.H. Lee, J.D. Martell, P.J. Milner, J.M. Falkowski, J.B. Neaton, J.A. Reimer, S.C. Weston, J.R. Long
Cooperative carbon capture and steam regeneration with tetraamine-appended metal-organic frameworks
Science, 369 (2020), p. 392-+</v>
      </c>
    </row>
    <row r="81" spans="3:13" x14ac:dyDescent="0.2">
      <c r="C81" s="125" t="str">
        <f>'Raw Data'!E89</f>
        <v>BOWHUS</v>
      </c>
      <c r="D81" s="125" t="str">
        <f>'Raw Data'!C89</f>
        <v>MOF-808-DL-Lys</v>
      </c>
      <c r="E81" s="125">
        <f>'Raw Data'!I89</f>
        <v>1.04</v>
      </c>
      <c r="F81" s="125" t="str">
        <f>'Raw Data'!Q89</f>
        <v>/</v>
      </c>
      <c r="G81" s="125" t="str">
        <f>'Raw Data'!R89</f>
        <v>/</v>
      </c>
      <c r="H81" s="125" t="str">
        <f>'Raw Data'!S89</f>
        <v>/</v>
      </c>
      <c r="I81" s="125" t="str">
        <f>'Raw Data'!T89</f>
        <v>/</v>
      </c>
      <c r="J81" s="125" t="str">
        <f>'Raw Data'!O89</f>
        <v>298,0.15</v>
      </c>
      <c r="K81" s="126" t="str">
        <f>'Raw Data'!P89</f>
        <v>/</v>
      </c>
      <c r="M81" s="125" t="str">
        <f>'Raw Data'!X89</f>
        <v>H. Lyu, O.I.F. Chen, N. Hanikel, M.I. Hossain, R.W. Flaig, X.K. Pei, A. Amin, M.D. Doherty, R.K. Impastato, T.G. Glover, D.R. Moore, O.M. Yaghi
Carbon dioxide capture chemistry of amino acid functionalized metal-organic frameworks in humid flue gas
J. Am. Chem. Soc., 144 (2022), pp. 2387-2396</v>
      </c>
    </row>
    <row r="82" spans="3:13" x14ac:dyDescent="0.2">
      <c r="C82" s="125" t="str">
        <f>'Raw Data'!E90</f>
        <v>QAYBOL</v>
      </c>
      <c r="D82" s="125" t="str">
        <f>'Raw Data'!C90</f>
        <v>MOF-808-Gly</v>
      </c>
      <c r="E82" s="125">
        <f>'Raw Data'!I90</f>
        <v>0.54</v>
      </c>
      <c r="F82" s="125" t="str">
        <f>'Raw Data'!Q90</f>
        <v>/</v>
      </c>
      <c r="G82" s="125" t="str">
        <f>'Raw Data'!R90</f>
        <v>/</v>
      </c>
      <c r="H82" s="125" t="str">
        <f>'Raw Data'!S90</f>
        <v>/</v>
      </c>
      <c r="I82" s="125" t="str">
        <f>'Raw Data'!T90</f>
        <v>/</v>
      </c>
      <c r="J82" s="125" t="str">
        <f>'Raw Data'!O90</f>
        <v>298,0.15</v>
      </c>
      <c r="K82" s="126" t="str">
        <f>'Raw Data'!P90</f>
        <v>/</v>
      </c>
      <c r="M82" s="125" t="str">
        <f>'Raw Data'!X90</f>
        <v>^^^</v>
      </c>
    </row>
    <row r="83" spans="3:13" x14ac:dyDescent="0.2">
      <c r="C83" s="125" t="str">
        <f>'Raw Data'!E91</f>
        <v>WEJBAS</v>
      </c>
      <c r="D83" s="125" t="str">
        <f>'Raw Data'!C91</f>
        <v>NaOH CDMOF</v>
      </c>
      <c r="E83" s="125">
        <f>'Raw Data'!I91</f>
        <v>1.98</v>
      </c>
      <c r="F83" s="125" t="str">
        <f>'Raw Data'!Q91</f>
        <v>/</v>
      </c>
      <c r="G83" s="125" t="str">
        <f>'Raw Data'!R91</f>
        <v>/</v>
      </c>
      <c r="H83" s="125" t="str">
        <f>'Raw Data'!S91</f>
        <v>/</v>
      </c>
      <c r="I83" s="125" t="str">
        <f>'Raw Data'!T91</f>
        <v>/</v>
      </c>
      <c r="J83" s="125" t="str">
        <f>'Raw Data'!O91</f>
        <v>313,1</v>
      </c>
      <c r="K83" s="126" t="str">
        <f>'Raw Data'!P91</f>
        <v>/</v>
      </c>
      <c r="M83" s="125" t="str">
        <f>'Raw Data'!X91</f>
        <v>M.E. Zick, S.M. Pugh, J.-H. Lee, A.C. Forse, P.J. Milner, Carbon dioxide capture at nucleophilic hydroxide sites in oxidation-resistant cyclodextrin-based metal–organic frameworks**, Angew. Chem. Int. Ed. 61(2022) e202206718. http://dx.doi.org/https://doi.org/10.1002/anie.202206718.</v>
      </c>
    </row>
    <row r="84" spans="3:13" x14ac:dyDescent="0.2">
      <c r="C84" s="125" t="str">
        <f>'Raw Data'!E92</f>
        <v>WEJBAS</v>
      </c>
      <c r="D84" s="125" t="str">
        <f>'Raw Data'!C92</f>
        <v>RbOH CDMOF</v>
      </c>
      <c r="E84" s="125">
        <f>'Raw Data'!I92</f>
        <v>2.15</v>
      </c>
      <c r="F84" s="125" t="str">
        <f>'Raw Data'!Q92</f>
        <v>/</v>
      </c>
      <c r="G84" s="125" t="str">
        <f>'Raw Data'!R92</f>
        <v>/</v>
      </c>
      <c r="H84" s="125" t="str">
        <f>'Raw Data'!S92</f>
        <v>/</v>
      </c>
      <c r="I84" s="125" t="str">
        <f>'Raw Data'!T92</f>
        <v>/</v>
      </c>
      <c r="J84" s="125" t="str">
        <f>'Raw Data'!O92</f>
        <v>313,1</v>
      </c>
      <c r="K84" s="126" t="str">
        <f>'Raw Data'!P92</f>
        <v>/</v>
      </c>
      <c r="M84" s="125" t="str">
        <f>'Raw Data'!X92</f>
        <v>^^^</v>
      </c>
    </row>
    <row r="85" spans="3:13" x14ac:dyDescent="0.2">
      <c r="C85" s="125" t="str">
        <f>'Raw Data'!E93</f>
        <v>WEJBAS</v>
      </c>
      <c r="D85" s="125" t="str">
        <f>'Raw Data'!C93</f>
        <v>CsOH CDMOF</v>
      </c>
      <c r="E85" s="125">
        <f>'Raw Data'!I93</f>
        <v>2.65</v>
      </c>
      <c r="F85" s="125" t="str">
        <f>'Raw Data'!Q93</f>
        <v>/</v>
      </c>
      <c r="G85" s="125" t="str">
        <f>'Raw Data'!R93</f>
        <v>/</v>
      </c>
      <c r="H85" s="125" t="str">
        <f>'Raw Data'!S93</f>
        <v>/</v>
      </c>
      <c r="I85" s="125" t="str">
        <f>'Raw Data'!T93</f>
        <v>/</v>
      </c>
      <c r="J85" s="125" t="str">
        <f>'Raw Data'!O93</f>
        <v>313,1</v>
      </c>
      <c r="K85" s="126" t="str">
        <f>'Raw Data'!P93</f>
        <v>/</v>
      </c>
      <c r="M85" s="125" t="str">
        <f>'Raw Data'!X93</f>
        <v>^^^</v>
      </c>
    </row>
    <row r="86" spans="3:13" x14ac:dyDescent="0.2">
      <c r="C86" s="125" t="str">
        <f>'Raw Data'!E94</f>
        <v>WEJBAS</v>
      </c>
      <c r="D86" s="125" t="str">
        <f>'Raw Data'!C94</f>
        <v>KOH CDMOF</v>
      </c>
      <c r="E86" s="125">
        <f>'Raw Data'!I94</f>
        <v>2.04</v>
      </c>
      <c r="F86" s="125" t="str">
        <f>'Raw Data'!Q94</f>
        <v>/</v>
      </c>
      <c r="G86" s="125" t="str">
        <f>'Raw Data'!R94</f>
        <v>/</v>
      </c>
      <c r="H86" s="125" t="str">
        <f>'Raw Data'!S94</f>
        <v>/</v>
      </c>
      <c r="I86" s="125" t="str">
        <f>'Raw Data'!T94</f>
        <v>/</v>
      </c>
      <c r="J86" s="125" t="str">
        <f>'Raw Data'!O94</f>
        <v>313,1</v>
      </c>
      <c r="K86" s="126" t="str">
        <f>'Raw Data'!P94</f>
        <v>/</v>
      </c>
      <c r="M86" s="125" t="str">
        <f>'Raw Data'!X94</f>
        <v>^^^</v>
      </c>
    </row>
    <row r="87" spans="3:13" x14ac:dyDescent="0.2">
      <c r="C87" s="125" t="str">
        <f>'Raw Data'!E95</f>
        <v>WEJBAS</v>
      </c>
      <c r="D87" s="125" t="str">
        <f>'Raw Data'!C95</f>
        <v>KHCO3 CD-MOF</v>
      </c>
      <c r="E87" s="125">
        <f>'Raw Data'!I95</f>
        <v>2.5</v>
      </c>
      <c r="F87" s="125" t="str">
        <f>'Raw Data'!Q95</f>
        <v>/</v>
      </c>
      <c r="G87" s="125" t="str">
        <f>'Raw Data'!R95</f>
        <v>/</v>
      </c>
      <c r="H87" s="125" t="str">
        <f>'Raw Data'!S95</f>
        <v>/</v>
      </c>
      <c r="I87" s="125" t="str">
        <f>'Raw Data'!T95</f>
        <v>/</v>
      </c>
      <c r="J87" s="125" t="str">
        <f>'Raw Data'!O95</f>
        <v>313,1</v>
      </c>
      <c r="K87" s="126" t="str">
        <f>'Raw Data'!P95</f>
        <v>/</v>
      </c>
      <c r="M87" s="125" t="str">
        <f>'Raw Data'!X95</f>
        <v>^^^</v>
      </c>
    </row>
    <row r="88" spans="3:13" x14ac:dyDescent="0.2">
      <c r="C88" s="125" t="str">
        <f>'Raw Data'!E96</f>
        <v>UPOZAB</v>
      </c>
      <c r="D88" s="125" t="str">
        <f>'Raw Data'!C96</f>
        <v>[Zn5(OH)2.1(NHPh)1.9(btdd)3 (MFU-4I framework)</v>
      </c>
      <c r="E88" s="125">
        <f>'Raw Data'!I96</f>
        <v>0.95</v>
      </c>
      <c r="F88" s="125">
        <f>'Raw Data'!Q96</f>
        <v>2816</v>
      </c>
      <c r="G88" s="125" t="str">
        <f>'Raw Data'!R96</f>
        <v>/</v>
      </c>
      <c r="H88" s="125" t="str">
        <f>'Raw Data'!S96</f>
        <v>/</v>
      </c>
      <c r="I88" s="125" t="str">
        <f>'Raw Data'!T96</f>
        <v>/</v>
      </c>
      <c r="J88" s="125" t="str">
        <f>'Raw Data'!O96</f>
        <v>300,1</v>
      </c>
      <c r="K88" s="126" t="str">
        <f>'Raw Data'!P96</f>
        <v>/</v>
      </c>
      <c r="M88" s="125" t="str">
        <f>'Raw Data'!X96</f>
        <v>C.E. Bien, Z.Z. Cai, C.R. Wade
Using postsynthetic x-type ligand exchange to enhance CO2 adsorption in metal-organic frameworks with kuratowski-type building units
Inorg. Chem., 60 (2021), pp. 11784-11794</v>
      </c>
    </row>
    <row r="89" spans="3:13" x14ac:dyDescent="0.2">
      <c r="C89" s="125" t="str">
        <f>'Raw Data'!E97</f>
        <v>UPOZAB</v>
      </c>
      <c r="D89" s="125" t="str">
        <f>'Raw Data'!C97</f>
        <v>MFU-4l (2a-NiOH)  (MFU-4I framework)</v>
      </c>
      <c r="E89" s="125">
        <f>'Raw Data'!I97</f>
        <v>4.1500000000000004</v>
      </c>
      <c r="F89" s="125">
        <f>'Raw Data'!Q97</f>
        <v>3204</v>
      </c>
      <c r="G89" s="125" t="str">
        <f>'Raw Data'!R97</f>
        <v>/</v>
      </c>
      <c r="H89" s="125" t="str">
        <f>'Raw Data'!S97</f>
        <v>/</v>
      </c>
      <c r="I89" s="125" t="str">
        <f>'Raw Data'!T97</f>
        <v>/</v>
      </c>
      <c r="J89" s="125" t="str">
        <f>'Raw Data'!O97</f>
        <v>298,1</v>
      </c>
      <c r="K89" s="126" t="str">
        <f>'Raw Data'!P97</f>
        <v>/</v>
      </c>
      <c r="M89" s="125" t="str">
        <f>'Raw Data'!X97</f>
        <v>Z. Cai, C.E. Bien, Q. Liu, C.R. Wade
Insights into CO2 adsorption in M-OH functionalized MOFs
Chem. Mater., 32 (2020), pp. 4257-4264</v>
      </c>
    </row>
    <row r="90" spans="3:13" x14ac:dyDescent="0.2">
      <c r="C90" s="125" t="str">
        <f>'Raw Data'!E98</f>
        <v>AJECIE</v>
      </c>
      <c r="D90" s="125" t="str">
        <f>'Raw Data'!C98</f>
        <v>pyMOF-74a (MOF-74 derivatives)</v>
      </c>
      <c r="E90" s="125">
        <f>'Raw Data'!I98</f>
        <v>2.3199999999999998</v>
      </c>
      <c r="F90" s="125">
        <f>'Raw Data'!Q98</f>
        <v>605</v>
      </c>
      <c r="G90" s="125" t="str">
        <f>'Raw Data'!R98</f>
        <v>/</v>
      </c>
      <c r="H90" s="125" t="str">
        <f>'Raw Data'!S98</f>
        <v>/</v>
      </c>
      <c r="I90" s="125" t="str">
        <f>'Raw Data'!T98</f>
        <v>/</v>
      </c>
      <c r="J90" s="125" t="str">
        <f>'Raw Data'!O98</f>
        <v>298,1</v>
      </c>
      <c r="K90" s="126" t="str">
        <f>'Raw Data'!P98</f>
        <v>/</v>
      </c>
      <c r="M90" s="125" t="str">
        <f>'Raw Data'!X98</f>
        <v>M. Zhao, Y. Ban, Z. Chang, Y. Zhou, K. Yang, Y. Wang, N. Cao, W. Yang
Pyrazine-interior-embodied MOF-74 for selective CO2 adsorption
AIChE J, 68 (2022)</v>
      </c>
    </row>
    <row r="91" spans="3:13" x14ac:dyDescent="0.2">
      <c r="C91" s="125" t="str">
        <f>'Raw Data'!E99</f>
        <v>AJECIE</v>
      </c>
      <c r="D91" s="125" t="str">
        <f>'Raw Data'!C99</f>
        <v>pyMOF-74b</v>
      </c>
      <c r="E91" s="125">
        <f>'Raw Data'!I99</f>
        <v>1.35</v>
      </c>
      <c r="F91" s="125">
        <f>'Raw Data'!Q99</f>
        <v>300</v>
      </c>
      <c r="G91" s="125" t="str">
        <f>'Raw Data'!R99</f>
        <v>/</v>
      </c>
      <c r="H91" s="125" t="str">
        <f>'Raw Data'!S99</f>
        <v>/</v>
      </c>
      <c r="I91" s="125" t="str">
        <f>'Raw Data'!T99</f>
        <v>/</v>
      </c>
      <c r="J91" s="125" t="str">
        <f>'Raw Data'!O99</f>
        <v>298,1</v>
      </c>
      <c r="K91" s="126" t="str">
        <f>'Raw Data'!P99</f>
        <v>/</v>
      </c>
      <c r="M91" s="125" t="str">
        <f>'Raw Data'!X99</f>
        <v>^^^</v>
      </c>
    </row>
    <row r="92" spans="3:13" x14ac:dyDescent="0.2">
      <c r="C92" s="125" t="str">
        <f>'Raw Data'!E100</f>
        <v>AJECIE</v>
      </c>
      <c r="D92" s="125" t="str">
        <f>'Raw Data'!C100</f>
        <v>pyMOF-74c</v>
      </c>
      <c r="E92" s="125">
        <f>'Raw Data'!I100</f>
        <v>1.07</v>
      </c>
      <c r="F92" s="125">
        <f>'Raw Data'!Q100</f>
        <v>42</v>
      </c>
      <c r="G92" s="125" t="str">
        <f>'Raw Data'!R100</f>
        <v>/</v>
      </c>
      <c r="H92" s="125" t="str">
        <f>'Raw Data'!S100</f>
        <v>/</v>
      </c>
      <c r="I92" s="125" t="str">
        <f>'Raw Data'!T100</f>
        <v>/</v>
      </c>
      <c r="J92" s="125" t="str">
        <f>'Raw Data'!O100</f>
        <v>298,1</v>
      </c>
      <c r="K92" s="126" t="str">
        <f>'Raw Data'!P100</f>
        <v>/</v>
      </c>
      <c r="M92" s="125" t="str">
        <f>'Raw Data'!X100</f>
        <v>^^^</v>
      </c>
    </row>
    <row r="93" spans="3:13" x14ac:dyDescent="0.2">
      <c r="C93" s="125">
        <f>'Raw Data'!E101</f>
        <v>0</v>
      </c>
      <c r="D93" s="125">
        <f>'Raw Data'!C101</f>
        <v>0</v>
      </c>
      <c r="E93" s="125">
        <f>'Raw Data'!I101</f>
        <v>0</v>
      </c>
      <c r="F93" s="125">
        <f>'Raw Data'!Q101</f>
        <v>0</v>
      </c>
      <c r="G93" s="125">
        <f>'Raw Data'!R101</f>
        <v>0</v>
      </c>
      <c r="H93" s="125">
        <f>'Raw Data'!S101</f>
        <v>0</v>
      </c>
      <c r="I93" s="125">
        <f>'Raw Data'!T101</f>
        <v>0</v>
      </c>
      <c r="J93" s="125">
        <f>'Raw Data'!O101</f>
        <v>0</v>
      </c>
      <c r="K93" s="126">
        <f>'Raw Data'!P101</f>
        <v>0</v>
      </c>
      <c r="M93" s="125">
        <f>'Raw Data'!X101</f>
        <v>0</v>
      </c>
    </row>
    <row r="94" spans="3:13" x14ac:dyDescent="0.2">
      <c r="C94" s="125">
        <f>'Raw Data'!E102</f>
        <v>0</v>
      </c>
      <c r="D94" s="125">
        <f>'Raw Data'!C102</f>
        <v>0</v>
      </c>
      <c r="E94" s="125">
        <f>'Raw Data'!I102</f>
        <v>0</v>
      </c>
      <c r="F94" s="125">
        <f>'Raw Data'!Q102</f>
        <v>0</v>
      </c>
      <c r="G94" s="125">
        <f>'Raw Data'!R102</f>
        <v>0</v>
      </c>
      <c r="H94" s="125">
        <f>'Raw Data'!S102</f>
        <v>0</v>
      </c>
      <c r="I94" s="125">
        <f>'Raw Data'!T102</f>
        <v>0</v>
      </c>
      <c r="J94" s="125">
        <f>'Raw Data'!O102</f>
        <v>0</v>
      </c>
      <c r="K94" s="126">
        <f>'Raw Data'!P102</f>
        <v>0</v>
      </c>
      <c r="M94" s="125">
        <f>'Raw Data'!X102</f>
        <v>0</v>
      </c>
    </row>
    <row r="95" spans="3:13" x14ac:dyDescent="0.2">
      <c r="C95" s="125" t="str">
        <f>'Raw Data'!E103</f>
        <v>FEDFOM</v>
      </c>
      <c r="D95" s="125" t="str">
        <f>'Raw Data'!C103</f>
        <v>HHU-2-Cl</v>
      </c>
      <c r="E95" s="125">
        <f>'Raw Data'!I103</f>
        <v>3.28</v>
      </c>
      <c r="F95" s="125">
        <f>'Raw Data'!Q103</f>
        <v>852</v>
      </c>
      <c r="G95" s="125" t="str">
        <f>'Raw Data'!R103</f>
        <v>/</v>
      </c>
      <c r="H95" s="125" t="str">
        <f>'Raw Data'!S103</f>
        <v>/</v>
      </c>
      <c r="I95" s="125" t="str">
        <f>'Raw Data'!T103</f>
        <v>/</v>
      </c>
      <c r="J95" s="125">
        <f>'Raw Data'!O103</f>
        <v>293.10000000000002</v>
      </c>
      <c r="K95" s="126" t="str">
        <f>'Raw Data'!P103</f>
        <v>/</v>
      </c>
      <c r="M95" s="125" t="str">
        <f>'Raw Data'!X103</f>
        <v>T.M.M. Ntep, H. Breitzke, L. Schmolke, C. Schlusener, B. Moll, S. Millan, N. Tannert, I. El Aita, G. Buntkowsky, C. Janiak
Facile in situ halogen functionalization via triple-bond hydrohalogenation: Enhancing sorption capacities through halogenation to halofumarate-based zr(iv)-metal-organic frameworks
Chem. Mater., 31 (2019), pp. 8629-8638</v>
      </c>
    </row>
    <row r="96" spans="3:13" x14ac:dyDescent="0.2">
      <c r="C96" s="125" t="str">
        <f>'Raw Data'!E104</f>
        <v>FEDFOM</v>
      </c>
      <c r="D96" s="125" t="str">
        <f>'Raw Data'!C104</f>
        <v>HHU-2-Br</v>
      </c>
      <c r="E96" s="125">
        <f>'Raw Data'!I104</f>
        <v>1.83</v>
      </c>
      <c r="F96" s="125">
        <f>'Raw Data'!Q104</f>
        <v>620</v>
      </c>
      <c r="G96" s="125" t="str">
        <f>'Raw Data'!R104</f>
        <v>/</v>
      </c>
      <c r="H96" s="125" t="str">
        <f>'Raw Data'!S104</f>
        <v>/</v>
      </c>
      <c r="I96" s="125" t="str">
        <f>'Raw Data'!T104</f>
        <v>/</v>
      </c>
      <c r="J96" s="125">
        <f>'Raw Data'!O104</f>
        <v>291.10000000000002</v>
      </c>
      <c r="K96" s="126" t="str">
        <f>'Raw Data'!P104</f>
        <v>/</v>
      </c>
      <c r="M96" s="125" t="str">
        <f>'Raw Data'!X104</f>
        <v>^^^</v>
      </c>
    </row>
    <row r="97" spans="3:13" x14ac:dyDescent="0.2">
      <c r="C97" s="125" t="str">
        <f>'Raw Data'!E105</f>
        <v>BOHKAM</v>
      </c>
      <c r="D97" s="125" t="str">
        <f>'Raw Data'!C105</f>
        <v>MOF-801</v>
      </c>
      <c r="E97" s="125">
        <f>'Raw Data'!I105</f>
        <v>2.2799999999999998</v>
      </c>
      <c r="F97" s="125">
        <f>'Raw Data'!Q105</f>
        <v>939</v>
      </c>
      <c r="G97" s="125" t="str">
        <f>'Raw Data'!R105</f>
        <v>/</v>
      </c>
      <c r="H97" s="125" t="str">
        <f>'Raw Data'!S105</f>
        <v>/</v>
      </c>
      <c r="I97" s="125" t="str">
        <f>'Raw Data'!T105</f>
        <v>/</v>
      </c>
      <c r="J97" s="125">
        <f>'Raw Data'!O105</f>
        <v>293.10000000000002</v>
      </c>
      <c r="K97" s="126" t="str">
        <f>'Raw Data'!P105</f>
        <v>/</v>
      </c>
      <c r="M97" s="125" t="str">
        <f>'Raw Data'!X105</f>
        <v>^^^</v>
      </c>
    </row>
    <row r="98" spans="3:13" x14ac:dyDescent="0.2">
      <c r="C98" s="125" t="str">
        <f>'Raw Data'!E106</f>
        <v>SEFWIN</v>
      </c>
      <c r="D98" s="125" t="str">
        <f>'Raw Data'!C106</f>
        <v>β-CD-MOF</v>
      </c>
      <c r="E98" s="125">
        <f>'Raw Data'!I106</f>
        <v>0.05</v>
      </c>
      <c r="F98" s="125" t="str">
        <f>'Raw Data'!Q106</f>
        <v>/</v>
      </c>
      <c r="G98" s="125" t="str">
        <f>'Raw Data'!R106</f>
        <v>/</v>
      </c>
      <c r="H98" s="125" t="str">
        <f>'Raw Data'!S106</f>
        <v>/</v>
      </c>
      <c r="I98" s="125" t="str">
        <f>'Raw Data'!T106</f>
        <v>/</v>
      </c>
      <c r="J98" s="125">
        <f>'Raw Data'!O106</f>
        <v>273.10000000000002</v>
      </c>
      <c r="K98" s="126" t="str">
        <f>'Raw Data'!P106</f>
        <v>/</v>
      </c>
      <c r="M98" s="125" t="str">
        <f>'Raw Data'!X106</f>
        <v>L. Xu, C.-Y. Xing, D. Ke, L. Chen, Z.-J. Qiu, S.-L. Zeng, B.-J. Li, S. Zhang
Amino-functionalized β-cyclodextrin to construct green metal–organic framework materials for CO2 capture
ACS Appl. Mater. Interfaces, 12 (2020), pp. 3032-3041</v>
      </c>
    </row>
    <row r="99" spans="3:13" x14ac:dyDescent="0.2">
      <c r="C99" s="125" t="str">
        <f>'Raw Data'!E107</f>
        <v>ZUTNOU</v>
      </c>
      <c r="D99" s="125" t="str">
        <f>'Raw Data'!C107</f>
        <v>NH2-β-CD-MOF</v>
      </c>
      <c r="E99" s="125">
        <f>'Raw Data'!I107</f>
        <v>0.55000000000000004</v>
      </c>
      <c r="F99" s="125" t="str">
        <f>'Raw Data'!Q107</f>
        <v>/</v>
      </c>
      <c r="G99" s="125" t="str">
        <f>'Raw Data'!R107</f>
        <v>/</v>
      </c>
      <c r="H99" s="125" t="str">
        <f>'Raw Data'!S107</f>
        <v>/</v>
      </c>
      <c r="I99" s="125" t="str">
        <f>'Raw Data'!T107</f>
        <v>/</v>
      </c>
      <c r="J99" s="125">
        <f>'Raw Data'!O107</f>
        <v>273.10000000000002</v>
      </c>
      <c r="K99" s="126" t="str">
        <f>'Raw Data'!P107</f>
        <v>/</v>
      </c>
      <c r="M99" s="125" t="str">
        <f>'Raw Data'!X107</f>
        <v>^^^</v>
      </c>
    </row>
    <row r="100" spans="3:13" x14ac:dyDescent="0.2">
      <c r="C100" s="125" t="str">
        <f>'Raw Data'!E108</f>
        <v>OCUNAC</v>
      </c>
      <c r="D100" s="125" t="str">
        <f>'Raw Data'!C108</f>
        <v>MIL-101(Cr)</v>
      </c>
      <c r="E100" s="125">
        <f>'Raw Data'!I108</f>
        <v>2.2000000000000002</v>
      </c>
      <c r="F100" s="125">
        <f>'Raw Data'!Q108</f>
        <v>3195</v>
      </c>
      <c r="G100" s="125" t="str">
        <f>'Raw Data'!R108</f>
        <v>/</v>
      </c>
      <c r="H100" s="125" t="str">
        <f>'Raw Data'!S108</f>
        <v>/</v>
      </c>
      <c r="I100" s="125" t="str">
        <f>'Raw Data'!T108</f>
        <v>/</v>
      </c>
      <c r="J100" s="125">
        <f>'Raw Data'!O108</f>
        <v>293.10000000000002</v>
      </c>
      <c r="K100" s="126" t="str">
        <f>'Raw Data'!P108</f>
        <v>/</v>
      </c>
      <c r="M100" s="125" t="str">
        <f>'Raw Data'!X108</f>
        <v>J.M. Park, G.-Y. Cha, D. Jo, K.H. Cho, J.W. Yoon, Y.K. Hwang, S.-K. Lee, U.H. Lee
Amine and fluorine co-functionalized MIL-101(Cr) synthesized via a mixed-ligand strategy for CO2 capture under humid conditions
Chem. Eng. J., 444 (2022), Article 136476</v>
      </c>
    </row>
    <row r="101" spans="3:13" x14ac:dyDescent="0.2">
      <c r="C101" s="125" t="str">
        <f>'Raw Data'!E109</f>
        <v>OCUNAC</v>
      </c>
      <c r="D101" s="125" t="str">
        <f>'Raw Data'!C109</f>
        <v>MIL-101(Cr)–NH2</v>
      </c>
      <c r="E101" s="125">
        <f>'Raw Data'!I109</f>
        <v>3</v>
      </c>
      <c r="F101" s="125">
        <f>'Raw Data'!Q109</f>
        <v>2909</v>
      </c>
      <c r="G101" s="125" t="str">
        <f>'Raw Data'!R109</f>
        <v>/</v>
      </c>
      <c r="H101" s="125" t="str">
        <f>'Raw Data'!S109</f>
        <v>/</v>
      </c>
      <c r="I101" s="125" t="str">
        <f>'Raw Data'!T109</f>
        <v>/</v>
      </c>
      <c r="J101" s="125">
        <f>'Raw Data'!O109</f>
        <v>293.10000000000002</v>
      </c>
      <c r="K101" s="126" t="str">
        <f>'Raw Data'!P109</f>
        <v>/</v>
      </c>
      <c r="M101" s="125" t="str">
        <f>'Raw Data'!X109</f>
        <v>^^^</v>
      </c>
    </row>
    <row r="102" spans="3:13" x14ac:dyDescent="0.2">
      <c r="C102" s="125" t="str">
        <f>'Raw Data'!E110</f>
        <v>OCUNAC</v>
      </c>
      <c r="D102" s="125" t="str">
        <f>'Raw Data'!C110</f>
        <v>MIL-101(Cr)–NH2-F0.5</v>
      </c>
      <c r="E102" s="125">
        <f>'Raw Data'!I110</f>
        <v>3.6</v>
      </c>
      <c r="F102" s="125">
        <f>'Raw Data'!Q110</f>
        <v>2385</v>
      </c>
      <c r="G102" s="125" t="str">
        <f>'Raw Data'!R110</f>
        <v>/</v>
      </c>
      <c r="H102" s="125" t="str">
        <f>'Raw Data'!S110</f>
        <v>/</v>
      </c>
      <c r="I102" s="125" t="str">
        <f>'Raw Data'!T110</f>
        <v>/</v>
      </c>
      <c r="J102" s="125">
        <f>'Raw Data'!O110</f>
        <v>293.10000000000002</v>
      </c>
      <c r="K102" s="126" t="str">
        <f>'Raw Data'!P110</f>
        <v>/</v>
      </c>
      <c r="M102" s="125" t="str">
        <f>'Raw Data'!X110</f>
        <v>^^^</v>
      </c>
    </row>
    <row r="103" spans="3:13" x14ac:dyDescent="0.2">
      <c r="C103" s="125">
        <f>'Raw Data'!E111</f>
        <v>0</v>
      </c>
      <c r="D103" s="125">
        <f>'Raw Data'!C111</f>
        <v>0</v>
      </c>
      <c r="E103" s="125">
        <f>'Raw Data'!I111</f>
        <v>0</v>
      </c>
      <c r="F103" s="125">
        <f>'Raw Data'!Q111</f>
        <v>0</v>
      </c>
      <c r="G103" s="125">
        <f>'Raw Data'!R111</f>
        <v>0</v>
      </c>
      <c r="H103" s="125">
        <f>'Raw Data'!S111</f>
        <v>0</v>
      </c>
      <c r="I103" s="125">
        <f>'Raw Data'!T111</f>
        <v>0</v>
      </c>
      <c r="J103" s="125">
        <f>'Raw Data'!O111</f>
        <v>0</v>
      </c>
      <c r="K103" s="126">
        <f>'Raw Data'!P111</f>
        <v>0</v>
      </c>
      <c r="M103" s="125">
        <f>'Raw Data'!X111</f>
        <v>0</v>
      </c>
    </row>
    <row r="104" spans="3:13" x14ac:dyDescent="0.2">
      <c r="C104" s="125">
        <f>'Raw Data'!E112</f>
        <v>0</v>
      </c>
      <c r="D104" s="125">
        <f>'Raw Data'!C112</f>
        <v>0</v>
      </c>
      <c r="E104" s="125">
        <f>'Raw Data'!I112</f>
        <v>0</v>
      </c>
      <c r="F104" s="125">
        <f>'Raw Data'!Q112</f>
        <v>0</v>
      </c>
      <c r="G104" s="125">
        <f>'Raw Data'!R112</f>
        <v>0</v>
      </c>
      <c r="H104" s="125">
        <f>'Raw Data'!S112</f>
        <v>0</v>
      </c>
      <c r="I104" s="125">
        <f>'Raw Data'!T112</f>
        <v>0</v>
      </c>
      <c r="J104" s="125">
        <f>'Raw Data'!O112</f>
        <v>0</v>
      </c>
      <c r="K104" s="126">
        <f>'Raw Data'!P112</f>
        <v>0</v>
      </c>
      <c r="M104" s="125">
        <f>'Raw Data'!X112</f>
        <v>0</v>
      </c>
    </row>
    <row r="105" spans="3:13" x14ac:dyDescent="0.2">
      <c r="C105" s="125" t="str">
        <f>'Raw Data'!E113</f>
        <v>DOTSOV42</v>
      </c>
      <c r="D105" s="125" t="str">
        <f>'Raw Data'!C113</f>
        <v>Cu BTC (HKUST-1)</v>
      </c>
      <c r="E105" s="125">
        <f>'Raw Data'!I113</f>
        <v>3.4</v>
      </c>
      <c r="F105" s="125">
        <f>'Raw Data'!Q113</f>
        <v>526.51</v>
      </c>
      <c r="G105" s="125" t="str">
        <f>'Raw Data'!R113</f>
        <v>/</v>
      </c>
      <c r="H105" s="125" t="str">
        <f>'Raw Data'!S113</f>
        <v>/</v>
      </c>
      <c r="I105" s="125" t="str">
        <f>'Raw Data'!T113</f>
        <v>/</v>
      </c>
      <c r="J105" s="125">
        <f>'Raw Data'!O113</f>
        <v>298.10000000000002</v>
      </c>
      <c r="K105" s="126" t="str">
        <f>'Raw Data'!P113</f>
        <v>/</v>
      </c>
      <c r="M105" s="125" t="str">
        <f>'Raw Data'!X113</f>
        <v>R. Pan, Y.N. Guo, Y.N. Tang, D. Wei, L. Mengli, D.L. He
Dicationic liquid containing alkenyl modified cubtc improves the performance of the composites: Increasing the CO2 adsorption effect
Chem. Eng. J., 430 (2022), Article 132127</v>
      </c>
    </row>
    <row r="106" spans="3:13" x14ac:dyDescent="0.2">
      <c r="C106" s="125" t="str">
        <f>'Raw Data'!E114</f>
        <v>DOTSOV42</v>
      </c>
      <c r="D106" s="125" t="str">
        <f>'Raw Data'!C114</f>
        <v>DIL-2/Cu BTC</v>
      </c>
      <c r="E106" s="125">
        <f>'Raw Data'!I114</f>
        <v>3.83</v>
      </c>
      <c r="F106" s="125">
        <f>'Raw Data'!Q114</f>
        <v>841.1</v>
      </c>
      <c r="G106" s="125" t="str">
        <f>'Raw Data'!R114</f>
        <v>/</v>
      </c>
      <c r="H106" s="125" t="str">
        <f>'Raw Data'!S114</f>
        <v>/</v>
      </c>
      <c r="I106" s="125" t="str">
        <f>'Raw Data'!T114</f>
        <v>/</v>
      </c>
      <c r="J106" s="125">
        <f>'Raw Data'!O114</f>
        <v>298.10000000000002</v>
      </c>
      <c r="K106" s="126" t="str">
        <f>'Raw Data'!P114</f>
        <v>/</v>
      </c>
      <c r="M106" s="125" t="str">
        <f>'Raw Data'!X114</f>
        <v>^^^</v>
      </c>
    </row>
    <row r="107" spans="3:13" x14ac:dyDescent="0.2">
      <c r="C107" s="125" t="str">
        <f>'Raw Data'!E115</f>
        <v>HEKFOW</v>
      </c>
      <c r="D107" s="125" t="str">
        <f>'Raw Data'!C115</f>
        <v>UiO-67</v>
      </c>
      <c r="E107" s="125">
        <f>'Raw Data'!I115</f>
        <v>1.06</v>
      </c>
      <c r="F107" s="125">
        <f>'Raw Data'!Q115</f>
        <v>2407</v>
      </c>
      <c r="G107" s="125" t="str">
        <f>'Raw Data'!R115</f>
        <v>/</v>
      </c>
      <c r="H107" s="125" t="str">
        <f>'Raw Data'!S115</f>
        <v>/</v>
      </c>
      <c r="I107" s="125" t="str">
        <f>'Raw Data'!T115</f>
        <v>/</v>
      </c>
      <c r="J107" s="125">
        <f>'Raw Data'!O115</f>
        <v>273.10000000000002</v>
      </c>
      <c r="K107" s="126" t="str">
        <f>'Raw Data'!P115</f>
        <v>/</v>
      </c>
      <c r="M107" s="125" t="str">
        <f>'Raw Data'!X115</f>
        <v>W.L. Xue, L. Wang, Y.K. Li, H. Chen, K.X. Fu, F. Zhang, T. He, Y.H. Deng, J.R. Li, C.Q. Wan
Reticular chemistry for ionic liquid-functionalized metal-organic frameworks with high selectivity for CO2
ACS Sustain. Chem. Eng., 8 (2020), pp. 18558-18567</v>
      </c>
    </row>
    <row r="108" spans="3:13" x14ac:dyDescent="0.2">
      <c r="C108" s="125" t="str">
        <f>'Raw Data'!E116</f>
        <v>HEKFOW</v>
      </c>
      <c r="D108" s="125" t="str">
        <f>'Raw Data'!C116</f>
        <v>UiO-67-MIMS(0.25)</v>
      </c>
      <c r="E108" s="125">
        <f>'Raw Data'!I116</f>
        <v>0.8</v>
      </c>
      <c r="F108" s="125">
        <f>'Raw Data'!Q116</f>
        <v>1627</v>
      </c>
      <c r="G108" s="125" t="str">
        <f>'Raw Data'!R116</f>
        <v>/</v>
      </c>
      <c r="H108" s="125" t="str">
        <f>'Raw Data'!S116</f>
        <v>/</v>
      </c>
      <c r="I108" s="125" t="str">
        <f>'Raw Data'!T116</f>
        <v>/</v>
      </c>
      <c r="J108" s="125">
        <f>'Raw Data'!O116</f>
        <v>273.10000000000002</v>
      </c>
      <c r="K108" s="126" t="str">
        <f>'Raw Data'!P116</f>
        <v>/</v>
      </c>
      <c r="M108" s="125" t="str">
        <f>'Raw Data'!X116</f>
        <v>^^^</v>
      </c>
    </row>
    <row r="109" spans="3:13" x14ac:dyDescent="0.2">
      <c r="C109" s="125" t="str">
        <f>'Raw Data'!E117</f>
        <v>HEKFOW</v>
      </c>
      <c r="D109" s="125" t="str">
        <f>'Raw Data'!C117</f>
        <v>UiO-67-ILs-Cl</v>
      </c>
      <c r="E109" s="125">
        <f>'Raw Data'!I117</f>
        <v>3.8</v>
      </c>
      <c r="F109" s="125">
        <f>'Raw Data'!Q117</f>
        <v>1403</v>
      </c>
      <c r="G109" s="125" t="str">
        <f>'Raw Data'!R117</f>
        <v>/</v>
      </c>
      <c r="H109" s="125" t="str">
        <f>'Raw Data'!S117</f>
        <v>/</v>
      </c>
      <c r="I109" s="125" t="str">
        <f>'Raw Data'!T117</f>
        <v>/</v>
      </c>
      <c r="J109" s="125">
        <f>'Raw Data'!O117</f>
        <v>273.10000000000002</v>
      </c>
      <c r="K109" s="126" t="str">
        <f>'Raw Data'!P117</f>
        <v>/</v>
      </c>
      <c r="M109" s="125" t="str">
        <f>'Raw Data'!X117</f>
        <v>^^^</v>
      </c>
    </row>
    <row r="110" spans="3:13" x14ac:dyDescent="0.2">
      <c r="C110" s="125" t="str">
        <f>'Raw Data'!E118</f>
        <v>/</v>
      </c>
      <c r="D110" s="125" t="str">
        <f>'Raw Data'!C118</f>
        <v>MFM-102</v>
      </c>
      <c r="E110" s="125">
        <f>'Raw Data'!I118</f>
        <v>6.03</v>
      </c>
      <c r="F110" s="125">
        <f>'Raw Data'!Q118</f>
        <v>3412</v>
      </c>
      <c r="G110" s="125" t="str">
        <f>'Raw Data'!R118</f>
        <v>/</v>
      </c>
      <c r="H110" s="125" t="str">
        <f>'Raw Data'!S118</f>
        <v>/</v>
      </c>
      <c r="I110" s="125" t="str">
        <f>'Raw Data'!T118</f>
        <v>/</v>
      </c>
      <c r="J110" s="125">
        <f>'Raw Data'!O118</f>
        <v>273.10000000000002</v>
      </c>
      <c r="K110" s="126" t="str">
        <f>'Raw Data'!P118</f>
        <v>/</v>
      </c>
      <c r="M110" s="125" t="str">
        <f>'Raw Data'!X118</f>
        <v>T.D. Duong, S.A. Sapchenko, I. da Silva, H.G.W. Godfrey, Y. Cheng, L.L. Daemen, P. Manuel, M.D. Frogley, G. Cinque, A.J. Ramirez-Cuesta, S. Yang, M. Schröder
Observation of binding of carbon dioxide to nitro-decorated metal–organic frameworks
Chem. Sci., 11 (2020), pp. 5339-5346</v>
      </c>
    </row>
    <row r="111" spans="3:13" x14ac:dyDescent="0.2">
      <c r="C111" s="125" t="str">
        <f>'Raw Data'!E119</f>
        <v>/</v>
      </c>
      <c r="D111" s="125" t="str">
        <f>'Raw Data'!C119</f>
        <v>MFM-102-NO2</v>
      </c>
      <c r="E111" s="125">
        <f>'Raw Data'!I119</f>
        <v>8.2100000000000009</v>
      </c>
      <c r="F111" s="125">
        <f>'Raw Data'!Q119</f>
        <v>2893</v>
      </c>
      <c r="G111" s="125" t="str">
        <f>'Raw Data'!R119</f>
        <v>/</v>
      </c>
      <c r="H111" s="125" t="str">
        <f>'Raw Data'!S119</f>
        <v>/</v>
      </c>
      <c r="I111" s="125" t="str">
        <f>'Raw Data'!T119</f>
        <v>/</v>
      </c>
      <c r="J111" s="125">
        <f>'Raw Data'!O119</f>
        <v>273.10000000000002</v>
      </c>
      <c r="K111" s="126" t="str">
        <f>'Raw Data'!P119</f>
        <v>/</v>
      </c>
      <c r="M111" s="125" t="str">
        <f>'Raw Data'!X119</f>
        <v>^^^</v>
      </c>
    </row>
    <row r="112" spans="3:13" x14ac:dyDescent="0.2">
      <c r="C112" s="125" t="str">
        <f>'Raw Data'!E120</f>
        <v>/</v>
      </c>
      <c r="D112" s="125" t="str">
        <f>'Raw Data'!C120</f>
        <v>MFM-102-NH2</v>
      </c>
      <c r="E112" s="125">
        <f>'Raw Data'!I120</f>
        <v>8.0399999999999991</v>
      </c>
      <c r="F112" s="125">
        <f>'Raw Data'!Q120</f>
        <v>2923</v>
      </c>
      <c r="G112" s="125" t="str">
        <f>'Raw Data'!R120</f>
        <v>/</v>
      </c>
      <c r="H112" s="125" t="str">
        <f>'Raw Data'!S120</f>
        <v>/</v>
      </c>
      <c r="I112" s="125" t="str">
        <f>'Raw Data'!T120</f>
        <v>/</v>
      </c>
      <c r="J112" s="125">
        <f>'Raw Data'!O120</f>
        <v>273.10000000000002</v>
      </c>
      <c r="K112" s="126" t="str">
        <f>'Raw Data'!P120</f>
        <v>/</v>
      </c>
      <c r="M112" s="125" t="str">
        <f>'Raw Data'!X120</f>
        <v>^^^</v>
      </c>
    </row>
    <row r="113" spans="3:13" x14ac:dyDescent="0.2">
      <c r="C113" s="125" t="str">
        <f>'Raw Data'!E121</f>
        <v>SURKAT</v>
      </c>
      <c r="D113" s="125" t="str">
        <f>'Raw Data'!C121</f>
        <v>UiO-66-NH2</v>
      </c>
      <c r="E113" s="125">
        <f>'Raw Data'!I121</f>
        <v>2.8</v>
      </c>
      <c r="F113" s="125">
        <f>'Raw Data'!Q121</f>
        <v>1169.43</v>
      </c>
      <c r="G113" s="125" t="str">
        <f>'Raw Data'!R121</f>
        <v>/</v>
      </c>
      <c r="H113" s="125" t="str">
        <f>'Raw Data'!S121</f>
        <v>/</v>
      </c>
      <c r="I113" s="125" t="str">
        <f>'Raw Data'!T121</f>
        <v>/</v>
      </c>
      <c r="J113" s="125">
        <f>'Raw Data'!O121</f>
        <v>298.3</v>
      </c>
      <c r="K113" s="126" t="str">
        <f>'Raw Data'!P121</f>
        <v>/</v>
      </c>
      <c r="M113" s="125" t="str">
        <f>'Raw Data'!X121</f>
        <v>H. Ning, Z. Yang, Z. Yin, D. Wang, Z. Meng, C. Wang, Y. Zhang, Z. Chen
A novel strategy to enhance the performance of co2 adsorption separation: Grafting hyper-cross-linked polyimide onto composites of UiO-66-NH2 and GO
ACS Appl. Mater. Interfaces, 13 (2021), pp. 17781-17790</v>
      </c>
    </row>
    <row r="114" spans="3:13" x14ac:dyDescent="0.2">
      <c r="C114" s="125" t="str">
        <f>'Raw Data'!E122</f>
        <v>SURKAT</v>
      </c>
      <c r="D114" s="125" t="str">
        <f>'Raw Data'!C122</f>
        <v>PI-UiO/GO-1</v>
      </c>
      <c r="E114" s="125">
        <f>'Raw Data'!I122</f>
        <v>8.24</v>
      </c>
      <c r="F114" s="125">
        <f>'Raw Data'!Q122</f>
        <v>917.57</v>
      </c>
      <c r="G114" s="125" t="str">
        <f>'Raw Data'!R122</f>
        <v>/</v>
      </c>
      <c r="H114" s="125" t="str">
        <f>'Raw Data'!S122</f>
        <v>/</v>
      </c>
      <c r="I114" s="125" t="str">
        <f>'Raw Data'!T122</f>
        <v>/</v>
      </c>
      <c r="J114" s="125">
        <f>'Raw Data'!O122</f>
        <v>298.3</v>
      </c>
      <c r="K114" s="126" t="str">
        <f>'Raw Data'!P122</f>
        <v>/</v>
      </c>
      <c r="M114" s="125" t="str">
        <f>'Raw Data'!X122</f>
        <v>^^^</v>
      </c>
    </row>
    <row r="115" spans="3:13" x14ac:dyDescent="0.2">
      <c r="C115" s="125" t="str">
        <f>'Raw Data'!E123</f>
        <v>RUBTAK</v>
      </c>
      <c r="D115" s="125" t="str">
        <f>'Raw Data'!C123</f>
        <v>Li+@PAA@UiO-66</v>
      </c>
      <c r="E115" s="125">
        <f>'Raw Data'!I123</f>
        <v>0.94</v>
      </c>
      <c r="F115" s="125">
        <f>'Raw Data'!Q123</f>
        <v>238</v>
      </c>
      <c r="G115" s="125" t="str">
        <f>'Raw Data'!R123</f>
        <v>/</v>
      </c>
      <c r="H115" s="125" t="str">
        <f>'Raw Data'!S123</f>
        <v>/</v>
      </c>
      <c r="I115" s="125" t="str">
        <f>'Raw Data'!T123</f>
        <v>/</v>
      </c>
      <c r="J115" s="125">
        <f>'Raw Data'!O123</f>
        <v>298.10000000000002</v>
      </c>
      <c r="K115" s="126" t="str">
        <f>'Raw Data'!P123</f>
        <v>/</v>
      </c>
      <c r="M115" s="125" t="str">
        <f>'Raw Data'!X123</f>
        <v>Y.J. Chang, H.L. Huang, L. Wang, Y. Li, C.L. Zhong
Synergistic dual-Li+ sites for CO2 separation in metal-organic framework composites
Chem. Eng. J., 402 (2020), Article 126201</v>
      </c>
    </row>
    <row r="116" spans="3:13" x14ac:dyDescent="0.2">
      <c r="C116" s="125">
        <f>'Raw Data'!E124</f>
        <v>0</v>
      </c>
      <c r="D116" s="125">
        <f>'Raw Data'!C124</f>
        <v>0</v>
      </c>
      <c r="E116" s="125">
        <f>'Raw Data'!I124</f>
        <v>0</v>
      </c>
      <c r="F116" s="125">
        <f>'Raw Data'!Q124</f>
        <v>0</v>
      </c>
      <c r="G116" s="125">
        <f>'Raw Data'!R124</f>
        <v>0</v>
      </c>
      <c r="H116" s="125">
        <f>'Raw Data'!S124</f>
        <v>0</v>
      </c>
      <c r="I116" s="125">
        <f>'Raw Data'!T124</f>
        <v>0</v>
      </c>
      <c r="J116" s="125">
        <f>'Raw Data'!O124</f>
        <v>0</v>
      </c>
      <c r="K116" s="126">
        <f>'Raw Data'!P124</f>
        <v>0</v>
      </c>
      <c r="M116" s="125">
        <f>'Raw Data'!X124</f>
        <v>0</v>
      </c>
    </row>
    <row r="117" spans="3:13" x14ac:dyDescent="0.2">
      <c r="C117" s="125">
        <f>'Raw Data'!E125</f>
        <v>0</v>
      </c>
      <c r="D117" s="125">
        <f>'Raw Data'!C125</f>
        <v>0</v>
      </c>
      <c r="E117" s="125">
        <f>'Raw Data'!I125</f>
        <v>0</v>
      </c>
      <c r="F117" s="125">
        <f>'Raw Data'!Q125</f>
        <v>0</v>
      </c>
      <c r="G117" s="125">
        <f>'Raw Data'!R125</f>
        <v>0</v>
      </c>
      <c r="H117" s="125">
        <f>'Raw Data'!S125</f>
        <v>0</v>
      </c>
      <c r="I117" s="125">
        <f>'Raw Data'!T125</f>
        <v>0</v>
      </c>
      <c r="J117" s="125">
        <f>'Raw Data'!O125</f>
        <v>0</v>
      </c>
      <c r="K117" s="126">
        <f>'Raw Data'!P125</f>
        <v>0</v>
      </c>
      <c r="M117" s="125">
        <f>'Raw Data'!X125</f>
        <v>0</v>
      </c>
    </row>
    <row r="118" spans="3:13" x14ac:dyDescent="0.2">
      <c r="C118" s="125" t="str">
        <f>'Raw Data'!E126</f>
        <v>RUBTAK</v>
      </c>
      <c r="D118" s="125" t="str">
        <f>'Raw Data'!C126</f>
        <v>50PEI@meso-UiO-66–0.2Cu</v>
      </c>
      <c r="E118" s="125">
        <f>'Raw Data'!I126</f>
        <v>1.39</v>
      </c>
      <c r="F118" s="125">
        <f>'Raw Data'!Q126</f>
        <v>92</v>
      </c>
      <c r="G118" s="125" t="str">
        <f>'Raw Data'!R126</f>
        <v>/</v>
      </c>
      <c r="H118" s="125" t="str">
        <f>'Raw Data'!S126</f>
        <v>/</v>
      </c>
      <c r="I118" s="125" t="str">
        <f>'Raw Data'!T126</f>
        <v>/</v>
      </c>
      <c r="J118" s="125">
        <f>'Raw Data'!O126</f>
        <v>298.10000000000002</v>
      </c>
      <c r="K118" s="126" t="str">
        <f>'Raw Data'!P126</f>
        <v>/</v>
      </c>
      <c r="M118" s="125" t="str">
        <f>'Raw Data'!X126</f>
        <v>Z. Li, H.F. Chen, C. Chen, Q.R. Guo, X. Li, Y.T. He, H.J. Wang, N.J. Feng, H. Wan, G.F. Guan
High dispersion of polyethyleneimine within mesoporous uio-66s through pore size engineering for selective CO2 capture
Chem. Eng. J., 375 (2019), Article 121962</v>
      </c>
    </row>
    <row r="119" spans="3:13" x14ac:dyDescent="0.2">
      <c r="C119" s="125" t="str">
        <f>'Raw Data'!E127</f>
        <v>/</v>
      </c>
      <c r="D119" s="125" t="str">
        <f>'Raw Data'!C127</f>
        <v>[Co3(L)2(2,2′-bipy)2](DMF)3 (H2O)3</v>
      </c>
      <c r="E119" s="125">
        <f>'Raw Data'!I127</f>
        <v>2.23</v>
      </c>
      <c r="F119" s="125" t="str">
        <f>'Raw Data'!Q127</f>
        <v>/</v>
      </c>
      <c r="G119" s="125" t="str">
        <f>'Raw Data'!R127</f>
        <v>/</v>
      </c>
      <c r="H119" s="125" t="str">
        <f>'Raw Data'!S127</f>
        <v>/</v>
      </c>
      <c r="I119" s="125" t="str">
        <f>'Raw Data'!T127</f>
        <v>/</v>
      </c>
      <c r="J119" s="125">
        <f>'Raw Data'!O127</f>
        <v>298.10000000000002</v>
      </c>
      <c r="K119" s="126" t="str">
        <f>'Raw Data'!P127</f>
        <v>/</v>
      </c>
      <c r="M119" s="125" t="str">
        <f>'Raw Data'!X127</f>
        <v>X. Zhou, L. Liu, H. Kou, S. Zheng, M. Song, J. Lu, X. Tai
A multifunctional 3D supermolecular co coordination polymer with potential for CO2 adsorption, antibacterial activity, and selective sensing of Fe3+/Cr3+ ions and tnp
Front. Chem., 9 (2021), Article 678993</v>
      </c>
    </row>
    <row r="120" spans="3:13" x14ac:dyDescent="0.2">
      <c r="C120" s="125" t="str">
        <f>'Raw Data'!E128</f>
        <v>/</v>
      </c>
      <c r="D120" s="125" t="str">
        <f>'Raw Data'!C128</f>
        <v>ZnDATZBDC</v>
      </c>
      <c r="E120" s="125">
        <f>'Raw Data'!I128</f>
        <v>2.6</v>
      </c>
      <c r="F120" s="125" t="str">
        <f>'Raw Data'!Q128</f>
        <v>/</v>
      </c>
      <c r="G120" s="125" t="str">
        <f>'Raw Data'!R128</f>
        <v>/</v>
      </c>
      <c r="H120" s="125" t="str">
        <f>'Raw Data'!S128</f>
        <v>/</v>
      </c>
      <c r="I120" s="125" t="str">
        <f>'Raw Data'!T128</f>
        <v>/</v>
      </c>
      <c r="J120" s="125">
        <f>'Raw Data'!O128</f>
        <v>298.10000000000002</v>
      </c>
      <c r="K120" s="126" t="str">
        <f>'Raw Data'!P128</f>
        <v>/</v>
      </c>
      <c r="M120" s="125" t="str">
        <f>'Raw Data'!X128</f>
        <v>J. Peng, Z. Liu, Y. Wu, S. Xian, Z. Li
High-performance selective CO2 capture on a stable and flexible metal–organic framework via discriminatory gate-opening effect
ACS Appl. Mater. Interfaces, 14 (2022), pp. 21089-21097,</v>
      </c>
    </row>
    <row r="121" spans="3:13" x14ac:dyDescent="0.2">
      <c r="C121" s="125" t="str">
        <f>'Raw Data'!E129</f>
        <v>FAZPEF</v>
      </c>
      <c r="D121" s="125" t="str">
        <f>'Raw Data'!C129</f>
        <v>JLU-MOF107</v>
      </c>
      <c r="E121" s="125">
        <f>'Raw Data'!I129</f>
        <v>7.63</v>
      </c>
      <c r="F121" s="125" t="str">
        <f>'Raw Data'!Q129</f>
        <v>/</v>
      </c>
      <c r="G121" s="125" t="str">
        <f>'Raw Data'!R129</f>
        <v>/</v>
      </c>
      <c r="H121" s="125" t="str">
        <f>'Raw Data'!S129</f>
        <v>/</v>
      </c>
      <c r="I121" s="125" t="str">
        <f>'Raw Data'!T129</f>
        <v>/</v>
      </c>
      <c r="J121" s="125">
        <f>'Raw Data'!O129</f>
        <v>273.10000000000002</v>
      </c>
      <c r="K121" s="126" t="str">
        <f>'Raw Data'!P129</f>
        <v>/</v>
      </c>
      <c r="M121" s="125" t="str">
        <f>'Raw Data'!X129</f>
        <v>T. Xu, M. Jia, X. Liu, J. Li, Y. Liu
Designing multicomponent metal–organic frameworks with hierarchical structure-mimicking distribution for high CO2 capture performance
Inorg. Chem., 61 (2022), pp. 7663-7670</v>
      </c>
    </row>
    <row r="122" spans="3:13" x14ac:dyDescent="0.2">
      <c r="C122" s="125" t="str">
        <f>'Raw Data'!E130</f>
        <v>FEGDEE</v>
      </c>
      <c r="D122" s="125" t="str">
        <f>'Raw Data'!C130</f>
        <v>FJU-27a</v>
      </c>
      <c r="E122" s="125">
        <f>'Raw Data'!I130</f>
        <v>2.54</v>
      </c>
      <c r="F122" s="125">
        <f>'Raw Data'!Q130</f>
        <v>750</v>
      </c>
      <c r="G122" s="125" t="str">
        <f>'Raw Data'!R130</f>
        <v>/</v>
      </c>
      <c r="H122" s="125" t="str">
        <f>'Raw Data'!S130</f>
        <v>/</v>
      </c>
      <c r="I122" s="125" t="str">
        <f>'Raw Data'!T130</f>
        <v>/</v>
      </c>
      <c r="J122" s="125">
        <f>'Raw Data'!O130</f>
        <v>296.10000000000002</v>
      </c>
      <c r="K122" s="126" t="str">
        <f>'Raw Data'!P130</f>
        <v>/</v>
      </c>
      <c r="M122" s="125" t="str">
        <f>'Raw Data'!X130</f>
        <v>Z. Li, Y. Ye, C. Shi, Z. Yao, Z. Zhang, S. Xiang
Isoreticular double interpenetrating copper–pyrazolate–carboxylate frameworks for efficient CO2 capture
Cryst. Growth Des., 22 (2022), pp. 3853-3861</v>
      </c>
    </row>
    <row r="123" spans="3:13" x14ac:dyDescent="0.2">
      <c r="C123" s="125">
        <f>'Raw Data'!E131</f>
        <v>0</v>
      </c>
      <c r="D123" s="125">
        <f>'Raw Data'!C131</f>
        <v>0</v>
      </c>
      <c r="E123" s="125">
        <f>'Raw Data'!I131</f>
        <v>0</v>
      </c>
      <c r="F123" s="125">
        <f>'Raw Data'!Q131</f>
        <v>0</v>
      </c>
      <c r="G123" s="125">
        <f>'Raw Data'!R131</f>
        <v>0</v>
      </c>
      <c r="H123" s="125">
        <f>'Raw Data'!S131</f>
        <v>0</v>
      </c>
      <c r="I123" s="125">
        <f>'Raw Data'!T131</f>
        <v>0</v>
      </c>
      <c r="J123" s="125">
        <f>'Raw Data'!O131</f>
        <v>0</v>
      </c>
      <c r="K123" s="126">
        <f>'Raw Data'!P131</f>
        <v>0</v>
      </c>
      <c r="M123" s="125">
        <f>'Raw Data'!X131</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D084-458E-E647-A01A-7AFEB61E1E25}">
  <dimension ref="A1:AA98"/>
  <sheetViews>
    <sheetView tabSelected="1" zoomScale="62" zoomScaleNormal="80" workbookViewId="0">
      <pane xSplit="2" ySplit="4" topLeftCell="I62" activePane="bottomRight" state="frozen"/>
      <selection pane="topRight" activeCell="C1" sqref="C1"/>
      <selection pane="bottomLeft" activeCell="A5" sqref="A5"/>
      <selection pane="bottomRight" activeCell="V6" sqref="V6"/>
    </sheetView>
  </sheetViews>
  <sheetFormatPr baseColWidth="10" defaultRowHeight="27" x14ac:dyDescent="0.35"/>
  <cols>
    <col min="1" max="1" width="26" style="155" bestFit="1" customWidth="1"/>
    <col min="2" max="2" width="39.5" style="156" customWidth="1"/>
    <col min="3" max="3" width="25" style="146" customWidth="1"/>
    <col min="4" max="4" width="26.6640625" style="145" bestFit="1" customWidth="1"/>
    <col min="5" max="5" width="40.33203125" style="145" bestFit="1" customWidth="1"/>
    <col min="6" max="6" width="40.1640625" style="145" bestFit="1" customWidth="1"/>
    <col min="7" max="7" width="58.1640625" style="145" bestFit="1" customWidth="1"/>
    <col min="8" max="8" width="51.5" style="145" bestFit="1" customWidth="1"/>
    <col min="9" max="9" width="25" style="145" customWidth="1"/>
    <col min="10" max="10" width="34.83203125" style="145" bestFit="1" customWidth="1"/>
    <col min="11" max="11" width="100.1640625" style="146" bestFit="1" customWidth="1"/>
    <col min="12" max="12" width="7.5" style="143" customWidth="1"/>
    <col min="13" max="13" width="43" style="149" bestFit="1" customWidth="1"/>
    <col min="14" max="14" width="35.5" style="145" bestFit="1" customWidth="1"/>
    <col min="15" max="15" width="32.33203125" style="145" bestFit="1" customWidth="1"/>
    <col min="16" max="16" width="34.6640625" style="145" bestFit="1" customWidth="1"/>
    <col min="17" max="17" width="36.33203125" style="145" bestFit="1" customWidth="1"/>
    <col min="18" max="18" width="26.1640625" style="145" bestFit="1" customWidth="1"/>
    <col min="19" max="19" width="26.83203125" style="145" bestFit="1" customWidth="1"/>
    <col min="20" max="20" width="23.33203125" style="146" bestFit="1" customWidth="1"/>
    <col min="21" max="21" width="15.5" style="146" customWidth="1"/>
    <col min="22" max="22" width="39.5" style="193" customWidth="1"/>
    <col min="23" max="23" width="2.33203125" style="200" customWidth="1"/>
    <col min="24" max="24" width="32.33203125" style="197" bestFit="1" customWidth="1"/>
    <col min="25" max="25" width="33.33203125" style="193" customWidth="1"/>
    <col min="26" max="26" width="31" style="193" customWidth="1"/>
    <col min="27" max="27" width="30.33203125" style="194" customWidth="1"/>
    <col min="28" max="16384" width="10.83203125" style="173"/>
  </cols>
  <sheetData>
    <row r="1" spans="1:27" s="189" customFormat="1" ht="16" customHeight="1" x14ac:dyDescent="0.55000000000000004">
      <c r="A1" s="185" t="s">
        <v>6973</v>
      </c>
      <c r="B1" s="186"/>
      <c r="C1" s="186"/>
      <c r="D1" s="186"/>
      <c r="E1" s="186"/>
      <c r="F1" s="186"/>
      <c r="G1" s="186"/>
      <c r="H1" s="186"/>
      <c r="I1" s="186"/>
      <c r="J1" s="186"/>
      <c r="K1" s="187"/>
      <c r="L1" s="188"/>
      <c r="M1" s="169" t="s">
        <v>6974</v>
      </c>
      <c r="N1" s="169"/>
      <c r="O1" s="169"/>
      <c r="P1" s="169"/>
      <c r="Q1" s="169"/>
      <c r="R1" s="169"/>
      <c r="S1" s="169"/>
      <c r="T1" s="169"/>
      <c r="U1" s="169"/>
      <c r="V1" s="169"/>
      <c r="W1" s="198"/>
      <c r="X1" s="174" t="s">
        <v>6999</v>
      </c>
      <c r="Y1" s="175"/>
      <c r="Z1" s="175"/>
      <c r="AA1" s="176"/>
    </row>
    <row r="2" spans="1:27" ht="16" customHeight="1" x14ac:dyDescent="0.55000000000000004">
      <c r="A2" s="190"/>
      <c r="B2" s="150"/>
      <c r="C2" s="150"/>
      <c r="D2" s="150"/>
      <c r="E2" s="150"/>
      <c r="F2" s="150"/>
      <c r="G2" s="150"/>
      <c r="H2" s="150"/>
      <c r="I2" s="150"/>
      <c r="J2" s="150"/>
      <c r="K2" s="151"/>
      <c r="M2" s="153"/>
      <c r="N2" s="153"/>
      <c r="O2" s="153"/>
      <c r="P2" s="153"/>
      <c r="Q2" s="153"/>
      <c r="R2" s="153"/>
      <c r="S2" s="153"/>
      <c r="T2" s="153"/>
      <c r="U2" s="153"/>
      <c r="V2" s="153"/>
      <c r="W2" s="198"/>
      <c r="X2" s="177"/>
      <c r="Y2" s="178"/>
      <c r="Z2" s="178"/>
      <c r="AA2" s="179"/>
    </row>
    <row r="3" spans="1:27" ht="17" customHeight="1" thickBot="1" x14ac:dyDescent="0.6">
      <c r="A3" s="191"/>
      <c r="B3" s="152"/>
      <c r="C3" s="152"/>
      <c r="D3" s="152"/>
      <c r="E3" s="152"/>
      <c r="F3" s="152"/>
      <c r="G3" s="152"/>
      <c r="H3" s="152"/>
      <c r="I3" s="152"/>
      <c r="J3" s="152"/>
      <c r="K3" s="152"/>
      <c r="M3" s="154"/>
      <c r="N3" s="154"/>
      <c r="O3" s="154"/>
      <c r="P3" s="154"/>
      <c r="Q3" s="154"/>
      <c r="R3" s="154"/>
      <c r="S3" s="154"/>
      <c r="T3" s="154"/>
      <c r="U3" s="154"/>
      <c r="V3" s="154"/>
      <c r="W3" s="198"/>
      <c r="X3" s="180"/>
      <c r="Y3" s="181"/>
      <c r="Z3" s="181"/>
      <c r="AA3" s="182"/>
    </row>
    <row r="4" spans="1:27" s="192" customFormat="1" ht="34" thickBot="1" x14ac:dyDescent="0.4">
      <c r="A4" s="157" t="s">
        <v>119</v>
      </c>
      <c r="B4" s="158" t="s">
        <v>18</v>
      </c>
      <c r="C4" s="159" t="s">
        <v>6052</v>
      </c>
      <c r="D4" s="160" t="s">
        <v>6980</v>
      </c>
      <c r="E4" s="161" t="s">
        <v>6976</v>
      </c>
      <c r="F4" s="161" t="s">
        <v>6979</v>
      </c>
      <c r="G4" s="161" t="s">
        <v>6977</v>
      </c>
      <c r="H4" s="161" t="s">
        <v>6978</v>
      </c>
      <c r="I4" s="162" t="s">
        <v>6975</v>
      </c>
      <c r="J4" s="163" t="s">
        <v>6981</v>
      </c>
      <c r="K4" s="164" t="s">
        <v>6971</v>
      </c>
      <c r="L4" s="165"/>
      <c r="M4" s="166" t="s">
        <v>18</v>
      </c>
      <c r="N4" s="167" t="s">
        <v>6915</v>
      </c>
      <c r="O4" s="167" t="s">
        <v>26</v>
      </c>
      <c r="P4" s="167" t="s">
        <v>27</v>
      </c>
      <c r="Q4" s="167" t="s">
        <v>28</v>
      </c>
      <c r="R4" s="167" t="s">
        <v>29</v>
      </c>
      <c r="S4" s="167" t="s">
        <v>24</v>
      </c>
      <c r="T4" s="168" t="s">
        <v>25</v>
      </c>
      <c r="U4" s="168" t="s">
        <v>4</v>
      </c>
      <c r="V4" s="195" t="s">
        <v>6918</v>
      </c>
      <c r="W4" s="199"/>
      <c r="X4" s="196" t="s">
        <v>26</v>
      </c>
      <c r="Y4" s="183" t="s">
        <v>27</v>
      </c>
      <c r="Z4" s="183" t="s">
        <v>6994</v>
      </c>
      <c r="AA4" s="184" t="s">
        <v>29</v>
      </c>
    </row>
    <row r="5" spans="1:27" ht="156" x14ac:dyDescent="0.35">
      <c r="A5" s="155" t="str">
        <f>'Raw Data'!E13</f>
        <v>/</v>
      </c>
      <c r="B5" s="156" t="str">
        <f>M5</f>
        <v>Zeolite 13X</v>
      </c>
      <c r="C5" s="146" t="e">
        <f>VLOOKUP($A5, Table_S1!$B$10:$K$5118, 2, FALSE)</f>
        <v>#N/A</v>
      </c>
      <c r="D5" s="147" t="e">
        <f>VLOOKUP($A5, Table_S1!$B$10:$K$5118, 3, FALSE)</f>
        <v>#N/A</v>
      </c>
      <c r="E5" s="147" t="e">
        <f>VLOOKUP($A5, Table_S1!$B$10:$K$5118, 4, FALSE)</f>
        <v>#N/A</v>
      </c>
      <c r="F5" s="147" t="e">
        <f>VLOOKUP($A5, Table_S1!$B$10:$K$5118, 5, FALSE)</f>
        <v>#N/A</v>
      </c>
      <c r="G5" s="147" t="e">
        <f>VLOOKUP($A5, Table_S1!$B$10:$K$5118, 6, FALSE)</f>
        <v>#N/A</v>
      </c>
      <c r="H5" s="147" t="e">
        <f>VLOOKUP($A5, Table_S1!$B$10:$K$5118, 7, FALSE)</f>
        <v>#N/A</v>
      </c>
      <c r="I5" s="147" t="e">
        <f>VLOOKUP($A5, Table_S1!$B$10:$K$5118, 8, FALSE)</f>
        <v>#N/A</v>
      </c>
      <c r="J5" s="147" t="e">
        <f>VLOOKUP($A5, Table_S1!$B$10:$K$5118, 9, FALSE)</f>
        <v>#N/A</v>
      </c>
      <c r="K5" s="148" t="e">
        <f>VLOOKUP($A5, Table_S1!$B$10:$K$5118, 10, FALSE)</f>
        <v>#N/A</v>
      </c>
      <c r="L5" s="144"/>
      <c r="M5" s="149" t="str">
        <f>'Raw Data'!C13</f>
        <v>Zeolite 13X</v>
      </c>
      <c r="N5" s="145">
        <f>'Raw Data'!I13</f>
        <v>7.4</v>
      </c>
      <c r="O5" s="170">
        <v>625.29999999999995</v>
      </c>
      <c r="P5" s="170">
        <v>0.3</v>
      </c>
      <c r="Q5" s="170" t="s">
        <v>6982</v>
      </c>
      <c r="R5" s="145" t="str">
        <f>'Raw Data'!Q13</f>
        <v>/</v>
      </c>
      <c r="S5" s="145">
        <f>'Raw Data'!L13</f>
        <v>298</v>
      </c>
      <c r="T5" s="146" t="str">
        <f>'Raw Data'!M13</f>
        <v>32 bar</v>
      </c>
      <c r="V5" s="193" t="str">
        <f>'Raw Data'!U13</f>
        <v>A.R. Millward, O.M. Yaghi
Metal-organic frameworks with exceptionally high capacity for storage of carbon dioxide at room temperature
J Am Chem Soc, 127 (51) (2005), pp. 17998-17999</v>
      </c>
      <c r="X5" s="197" t="s">
        <v>6995</v>
      </c>
      <c r="Y5" s="193" t="s">
        <v>6995</v>
      </c>
      <c r="Z5" s="193" t="s">
        <v>6995</v>
      </c>
    </row>
    <row r="6" spans="1:27" ht="139" x14ac:dyDescent="0.35">
      <c r="A6" s="155" t="str">
        <f>'Raw Data'!E14</f>
        <v>ADUWON</v>
      </c>
      <c r="B6" s="156" t="str">
        <f t="shared" ref="B6:B69" si="0">M6</f>
        <v>MOF-2</v>
      </c>
      <c r="C6" s="146" t="e">
        <f>VLOOKUP($A6, Table_S1!$B$10:$K$5118, 2, FALSE)</f>
        <v>#N/A</v>
      </c>
      <c r="D6" s="147" t="e">
        <f>VLOOKUP($A6, Table_S1!$B$10:$K$5118, 3, FALSE)</f>
        <v>#N/A</v>
      </c>
      <c r="E6" s="147" t="e">
        <f>VLOOKUP($A6, Table_S1!$B$10:$K$5118, 4, FALSE)</f>
        <v>#N/A</v>
      </c>
      <c r="F6" s="147" t="e">
        <f>VLOOKUP($A6, Table_S1!$B$10:$K$5118, 5, FALSE)</f>
        <v>#N/A</v>
      </c>
      <c r="G6" s="147" t="e">
        <f>VLOOKUP($A6, Table_S1!$B$10:$K$5118, 6, FALSE)</f>
        <v>#N/A</v>
      </c>
      <c r="H6" s="147" t="e">
        <f>VLOOKUP($A6, Table_S1!$B$10:$K$5118, 7, FALSE)</f>
        <v>#N/A</v>
      </c>
      <c r="I6" s="147" t="e">
        <f>VLOOKUP($A6, Table_S1!$B$10:$K$5118, 8, FALSE)</f>
        <v>#N/A</v>
      </c>
      <c r="J6" s="147" t="e">
        <f>VLOOKUP($A6, Table_S1!$B$10:$K$5118, 9, FALSE)</f>
        <v>#N/A</v>
      </c>
      <c r="K6" s="148" t="e">
        <f>VLOOKUP($A6, Table_S1!$B$10:$K$5118, 10, FALSE)</f>
        <v>#N/A</v>
      </c>
      <c r="L6" s="144"/>
      <c r="M6" s="149" t="str">
        <f>'Raw Data'!C14</f>
        <v>MOF-2</v>
      </c>
      <c r="N6" s="145">
        <f>'Raw Data'!I14</f>
        <v>3.2</v>
      </c>
      <c r="O6" s="145">
        <f>'Raw Data'!N14</f>
        <v>345</v>
      </c>
      <c r="P6" s="170">
        <v>0.22700000000000001</v>
      </c>
      <c r="Q6" s="170" t="s">
        <v>6983</v>
      </c>
      <c r="R6" s="145" t="str">
        <f>'Raw Data'!Q14</f>
        <v>/</v>
      </c>
      <c r="S6" s="145">
        <f>'Raw Data'!L14</f>
        <v>298</v>
      </c>
      <c r="T6" s="146" t="str">
        <f>'Raw Data'!M14</f>
        <v>32 bar</v>
      </c>
      <c r="V6" s="193" t="str">
        <f>'Raw Data'!U14</f>
        <v>^^^</v>
      </c>
      <c r="Y6" s="193" t="s">
        <v>6996</v>
      </c>
      <c r="Z6" s="193" t="s">
        <v>6896</v>
      </c>
    </row>
    <row r="7" spans="1:27" ht="122" x14ac:dyDescent="0.35">
      <c r="A7" s="155" t="str">
        <f>'Raw Data'!E15</f>
        <v>ORIVOC</v>
      </c>
      <c r="B7" s="156" t="str">
        <f t="shared" si="0"/>
        <v>MOF-74 (Zn)</v>
      </c>
      <c r="C7" s="146" t="e">
        <f>VLOOKUP($A7, Table_S1!$B$10:$K$5118, 2, FALSE)</f>
        <v>#N/A</v>
      </c>
      <c r="D7" s="147" t="e">
        <f>VLOOKUP($A7, Table_S1!$B$10:$K$5118, 3, FALSE)</f>
        <v>#N/A</v>
      </c>
      <c r="E7" s="147" t="e">
        <f>VLOOKUP($A7, Table_S1!$B$10:$K$5118, 4, FALSE)</f>
        <v>#N/A</v>
      </c>
      <c r="F7" s="147" t="e">
        <f>VLOOKUP($A7, Table_S1!$B$10:$K$5118, 5, FALSE)</f>
        <v>#N/A</v>
      </c>
      <c r="G7" s="147" t="e">
        <f>VLOOKUP($A7, Table_S1!$B$10:$K$5118, 6, FALSE)</f>
        <v>#N/A</v>
      </c>
      <c r="H7" s="147" t="e">
        <f>VLOOKUP($A7, Table_S1!$B$10:$K$5118, 7, FALSE)</f>
        <v>#N/A</v>
      </c>
      <c r="I7" s="147" t="e">
        <f>VLOOKUP($A7, Table_S1!$B$10:$K$5118, 8, FALSE)</f>
        <v>#N/A</v>
      </c>
      <c r="J7" s="147" t="e">
        <f>VLOOKUP($A7, Table_S1!$B$10:$K$5118, 9, FALSE)</f>
        <v>#N/A</v>
      </c>
      <c r="K7" s="148" t="e">
        <f>VLOOKUP($A7, Table_S1!$B$10:$K$5118, 10, FALSE)</f>
        <v>#N/A</v>
      </c>
      <c r="L7" s="144"/>
      <c r="M7" s="149" t="str">
        <f>'Raw Data'!C15</f>
        <v>MOF-74 (Zn)</v>
      </c>
      <c r="N7" s="145">
        <f>'Raw Data'!I15</f>
        <v>10.4</v>
      </c>
      <c r="O7" s="145">
        <f>'Raw Data'!N15</f>
        <v>816</v>
      </c>
      <c r="P7" s="145" t="str">
        <f>'Raw Data'!O15</f>
        <v>/</v>
      </c>
      <c r="Q7" s="170" t="s">
        <v>6990</v>
      </c>
      <c r="R7" s="145" t="str">
        <f>'Raw Data'!Q15</f>
        <v>/</v>
      </c>
      <c r="S7" s="145">
        <f>'Raw Data'!L15</f>
        <v>298</v>
      </c>
      <c r="T7" s="146" t="str">
        <f>'Raw Data'!M15</f>
        <v>32 bar</v>
      </c>
      <c r="V7" s="193" t="str">
        <f>'Raw Data'!U15</f>
        <v>^^^</v>
      </c>
      <c r="Z7" s="193" t="s">
        <v>6896</v>
      </c>
    </row>
    <row r="8" spans="1:27" ht="122" x14ac:dyDescent="0.35">
      <c r="A8" s="155" t="str">
        <f>'Raw Data'!E16</f>
        <v>LASYOU/RUVKAV</v>
      </c>
      <c r="B8" s="156" t="str">
        <f t="shared" si="0"/>
        <v>MOF-505</v>
      </c>
      <c r="C8" s="146" t="e">
        <f>VLOOKUP($A8, Table_S1!$B$10:$K$5118, 2, FALSE)</f>
        <v>#N/A</v>
      </c>
      <c r="D8" s="147" t="e">
        <f>VLOOKUP($A8, Table_S1!$B$10:$K$5118, 3, FALSE)</f>
        <v>#N/A</v>
      </c>
      <c r="E8" s="147" t="e">
        <f>VLOOKUP($A8, Table_S1!$B$10:$K$5118, 4, FALSE)</f>
        <v>#N/A</v>
      </c>
      <c r="F8" s="147" t="e">
        <f>VLOOKUP($A8, Table_S1!$B$10:$K$5118, 5, FALSE)</f>
        <v>#N/A</v>
      </c>
      <c r="G8" s="147" t="e">
        <f>VLOOKUP($A8, Table_S1!$B$10:$K$5118, 6, FALSE)</f>
        <v>#N/A</v>
      </c>
      <c r="H8" s="147" t="e">
        <f>VLOOKUP($A8, Table_S1!$B$10:$K$5118, 7, FALSE)</f>
        <v>#N/A</v>
      </c>
      <c r="I8" s="147" t="e">
        <f>VLOOKUP($A8, Table_S1!$B$10:$K$5118, 8, FALSE)</f>
        <v>#N/A</v>
      </c>
      <c r="J8" s="147" t="e">
        <f>VLOOKUP($A8, Table_S1!$B$10:$K$5118, 9, FALSE)</f>
        <v>#N/A</v>
      </c>
      <c r="K8" s="148" t="e">
        <f>VLOOKUP($A8, Table_S1!$B$10:$K$5118, 10, FALSE)</f>
        <v>#N/A</v>
      </c>
      <c r="L8" s="144"/>
      <c r="M8" s="149" t="str">
        <f>'Raw Data'!C16</f>
        <v>MOF-505</v>
      </c>
      <c r="N8" s="145">
        <f>'Raw Data'!I16</f>
        <v>10.199999999999999</v>
      </c>
      <c r="O8" s="145">
        <f>'Raw Data'!N16</f>
        <v>1547</v>
      </c>
      <c r="P8" s="145" t="str">
        <f>'Raw Data'!O16</f>
        <v>/</v>
      </c>
      <c r="Q8" s="170" t="s">
        <v>6984</v>
      </c>
      <c r="R8" s="145" t="str">
        <f>'Raw Data'!Q16</f>
        <v>/</v>
      </c>
      <c r="S8" s="145">
        <f>'Raw Data'!L16</f>
        <v>298</v>
      </c>
      <c r="T8" s="146" t="str">
        <f>'Raw Data'!M16</f>
        <v>32 bar</v>
      </c>
      <c r="V8" s="193" t="str">
        <f>'Raw Data'!U16</f>
        <v>^^^</v>
      </c>
      <c r="Z8" s="193" t="s">
        <v>6896</v>
      </c>
    </row>
    <row r="9" spans="1:27" ht="122" x14ac:dyDescent="0.35">
      <c r="A9" s="155" t="str">
        <f>'Raw Data'!E17</f>
        <v xml:space="preserve">DOTSOV 42 </v>
      </c>
      <c r="B9" s="156" t="str">
        <f t="shared" si="0"/>
        <v>Cu3(BTC)2 (HKUST-1)</v>
      </c>
      <c r="C9" s="146" t="e">
        <f>VLOOKUP($A9, Table_S1!$B$10:$K$5118, 2, FALSE)</f>
        <v>#N/A</v>
      </c>
      <c r="D9" s="147" t="e">
        <f>VLOOKUP($A9, Table_S1!$B$10:$K$5118, 3, FALSE)</f>
        <v>#N/A</v>
      </c>
      <c r="E9" s="147" t="e">
        <f>VLOOKUP($A9, Table_S1!$B$10:$K$5118, 4, FALSE)</f>
        <v>#N/A</v>
      </c>
      <c r="F9" s="147" t="e">
        <f>VLOOKUP($A9, Table_S1!$B$10:$K$5118, 5, FALSE)</f>
        <v>#N/A</v>
      </c>
      <c r="G9" s="147" t="e">
        <f>VLOOKUP($A9, Table_S1!$B$10:$K$5118, 6, FALSE)</f>
        <v>#N/A</v>
      </c>
      <c r="H9" s="147" t="e">
        <f>VLOOKUP($A9, Table_S1!$B$10:$K$5118, 7, FALSE)</f>
        <v>#N/A</v>
      </c>
      <c r="I9" s="147" t="e">
        <f>VLOOKUP($A9, Table_S1!$B$10:$K$5118, 8, FALSE)</f>
        <v>#N/A</v>
      </c>
      <c r="J9" s="147" t="e">
        <f>VLOOKUP($A9, Table_S1!$B$10:$K$5118, 9, FALSE)</f>
        <v>#N/A</v>
      </c>
      <c r="K9" s="148" t="e">
        <f>VLOOKUP($A9, Table_S1!$B$10:$K$5118, 10, FALSE)</f>
        <v>#N/A</v>
      </c>
      <c r="L9" s="144"/>
      <c r="M9" s="149" t="str">
        <f>'Raw Data'!C17</f>
        <v>Cu3(BTC)2 (HKUST-1)</v>
      </c>
      <c r="N9" s="145">
        <f>'Raw Data'!I17</f>
        <v>10.7</v>
      </c>
      <c r="O9" s="145">
        <f>'Raw Data'!N17</f>
        <v>1781</v>
      </c>
      <c r="P9" s="172">
        <v>0.80100000000000005</v>
      </c>
      <c r="Q9" s="170" t="s">
        <v>6986</v>
      </c>
      <c r="R9" s="145" t="str">
        <f>'Raw Data'!Q17</f>
        <v>/</v>
      </c>
      <c r="S9" s="145">
        <f>'Raw Data'!L17</f>
        <v>298</v>
      </c>
      <c r="T9" s="146" t="str">
        <f>'Raw Data'!M17</f>
        <v>32 bar</v>
      </c>
      <c r="V9" s="193" t="str">
        <f>'Raw Data'!U17</f>
        <v>^^^</v>
      </c>
      <c r="Y9" s="193" t="s">
        <v>6991</v>
      </c>
      <c r="Z9" s="193" t="s">
        <v>6896</v>
      </c>
    </row>
    <row r="10" spans="1:27" ht="122" x14ac:dyDescent="0.35">
      <c r="A10" s="155" t="str">
        <f>'Raw Data'!E18</f>
        <v>BABRII</v>
      </c>
      <c r="B10" s="156" t="str">
        <f t="shared" si="0"/>
        <v>MOF-177</v>
      </c>
      <c r="C10" s="146" t="e">
        <f>VLOOKUP($A10, Table_S1!$B$10:$K$5118, 2, FALSE)</f>
        <v>#N/A</v>
      </c>
      <c r="D10" s="147" t="e">
        <f>VLOOKUP($A10, Table_S1!$B$10:$K$5118, 3, FALSE)</f>
        <v>#N/A</v>
      </c>
      <c r="E10" s="147" t="e">
        <f>VLOOKUP($A10, Table_S1!$B$10:$K$5118, 4, FALSE)</f>
        <v>#N/A</v>
      </c>
      <c r="F10" s="147" t="e">
        <f>VLOOKUP($A10, Table_S1!$B$10:$K$5118, 5, FALSE)</f>
        <v>#N/A</v>
      </c>
      <c r="G10" s="147" t="e">
        <f>VLOOKUP($A10, Table_S1!$B$10:$K$5118, 6, FALSE)</f>
        <v>#N/A</v>
      </c>
      <c r="H10" s="147" t="e">
        <f>VLOOKUP($A10, Table_S1!$B$10:$K$5118, 7, FALSE)</f>
        <v>#N/A</v>
      </c>
      <c r="I10" s="147" t="e">
        <f>VLOOKUP($A10, Table_S1!$B$10:$K$5118, 8, FALSE)</f>
        <v>#N/A</v>
      </c>
      <c r="J10" s="147" t="e">
        <f>VLOOKUP($A10, Table_S1!$B$10:$K$5118, 9, FALSE)</f>
        <v>#N/A</v>
      </c>
      <c r="K10" s="148" t="e">
        <f>VLOOKUP($A10, Table_S1!$B$10:$K$5118, 10, FALSE)</f>
        <v>#N/A</v>
      </c>
      <c r="L10" s="144"/>
      <c r="M10" s="149" t="str">
        <f>'Raw Data'!C18</f>
        <v>MOF-177</v>
      </c>
      <c r="N10" s="145">
        <f>'Raw Data'!I18</f>
        <v>33.5</v>
      </c>
      <c r="O10" s="145">
        <f>'Raw Data'!N18</f>
        <v>4508</v>
      </c>
      <c r="P10" s="170">
        <v>1.89</v>
      </c>
      <c r="Q10" s="170" t="s">
        <v>6987</v>
      </c>
      <c r="R10" s="170">
        <v>0.43</v>
      </c>
      <c r="S10" s="145">
        <f>'Raw Data'!L18</f>
        <v>298</v>
      </c>
      <c r="T10" s="146" t="str">
        <f>'Raw Data'!M18</f>
        <v>32 bar</v>
      </c>
      <c r="V10" s="193" t="str">
        <f>'Raw Data'!U18</f>
        <v>^^^</v>
      </c>
      <c r="Y10" s="193" t="s">
        <v>6991</v>
      </c>
      <c r="Z10" s="193" t="s">
        <v>6896</v>
      </c>
      <c r="AA10" s="194" t="s">
        <v>6991</v>
      </c>
    </row>
    <row r="11" spans="1:27" ht="139" x14ac:dyDescent="0.35">
      <c r="A11" s="155" t="str">
        <f>'Raw Data'!E20</f>
        <v>CIGXIA</v>
      </c>
      <c r="B11" s="156" t="str">
        <f t="shared" si="0"/>
        <v>MIL-100 (Fe)</v>
      </c>
      <c r="C11" s="146" t="str">
        <f>VLOOKUP($A11, Table_S1!$B$10:$K$5118, 2, FALSE)</f>
        <v>Fe</v>
      </c>
      <c r="D11" s="147">
        <f>VLOOKUP($A11, Table_S1!$B$10:$K$5118, 3, FALSE)</f>
        <v>0.68442499999999995</v>
      </c>
      <c r="E11" s="147">
        <f>VLOOKUP($A11, Table_S1!$B$10:$K$5118, 4, FALSE)</f>
        <v>11.8329</v>
      </c>
      <c r="F11" s="147">
        <f>VLOOKUP($A11, Table_S1!$B$10:$K$5118, 5, FALSE)</f>
        <v>28.49654</v>
      </c>
      <c r="G11" s="147">
        <f>VLOOKUP($A11, Table_S1!$B$10:$K$5118, 6, FALSE)</f>
        <v>1304.1600000000001</v>
      </c>
      <c r="H11" s="147">
        <f>VLOOKUP($A11, Table_S1!$B$10:$K$5118, 7, FALSE)</f>
        <v>1905.48</v>
      </c>
      <c r="I11" s="147">
        <f>VLOOKUP($A11, Table_S1!$B$10:$K$5118, 8, FALSE)</f>
        <v>0.77425500000000003</v>
      </c>
      <c r="J11" s="147">
        <f>VLOOKUP($A11, Table_S1!$B$10:$K$5118, 9, FALSE)</f>
        <v>1.11547</v>
      </c>
      <c r="K11" s="148" t="str">
        <f>VLOOKUP($A11, Table_S1!$B$10:$K$5118, 10, FALSE)</f>
        <v>removed free oxygen atoms + bound oxygen atoms + hydrogenation + geom. Minimization (fine/cg)</v>
      </c>
      <c r="L11" s="144"/>
      <c r="M11" s="149" t="str">
        <f>'Raw Data'!C20</f>
        <v>MIL-100 (Fe)</v>
      </c>
      <c r="N11" s="145">
        <f>'Raw Data'!I20</f>
        <v>18</v>
      </c>
      <c r="O11" s="145">
        <f>'Raw Data'!N20</f>
        <v>1900</v>
      </c>
      <c r="P11" s="145">
        <f>'Raw Data'!O20</f>
        <v>1.1000000000000001</v>
      </c>
      <c r="Q11" s="145" t="str">
        <f>'Raw Data'!P20</f>
        <v>/</v>
      </c>
      <c r="R11" s="170">
        <v>0.7</v>
      </c>
      <c r="S11" s="145">
        <f>'Raw Data'!L20</f>
        <v>304</v>
      </c>
      <c r="T11" s="146" t="str">
        <f>'Raw Data'!M20</f>
        <v>50 bar</v>
      </c>
      <c r="V11" s="193" t="str">
        <f>'Raw Data'!U20</f>
        <v>P.L. Llewellyn, S. Bourrelly, C. Serre, A. Vimont, M. Daturi, I. Hamon, L.S. Hwa Jhung
High uptakes of CO2 and CH4 in mesoporous metal-organic frameworks MIL-100 and MIL-101
Langmuir, 24 (14) (2008), pp. 7245-7250</v>
      </c>
      <c r="AA11" s="194" t="s">
        <v>6897</v>
      </c>
    </row>
    <row r="12" spans="1:27" ht="139" x14ac:dyDescent="0.35">
      <c r="A12" s="155" t="str">
        <f>'Raw Data'!E21</f>
        <v>OCUNAC</v>
      </c>
      <c r="B12" s="156" t="str">
        <f t="shared" si="0"/>
        <v>MIL-101a</v>
      </c>
      <c r="C12" s="146" t="str">
        <f>VLOOKUP($A12, Table_S1!$B$10:$K$5118, 2, FALSE)</f>
        <v>Cr</v>
      </c>
      <c r="D12" s="147">
        <f>VLOOKUP($A12, Table_S1!$B$10:$K$5118, 3, FALSE)</f>
        <v>0.42751699999999998</v>
      </c>
      <c r="E12" s="147">
        <f>VLOOKUP($A12, Table_S1!$B$10:$K$5118, 4, FALSE)</f>
        <v>14.04664</v>
      </c>
      <c r="F12" s="147">
        <f>VLOOKUP($A12, Table_S1!$B$10:$K$5118, 5, FALSE)</f>
        <v>36.150599999999997</v>
      </c>
      <c r="G12" s="147">
        <f>VLOOKUP($A12, Table_S1!$B$10:$K$5118, 6, FALSE)</f>
        <v>1345.1</v>
      </c>
      <c r="H12" s="147">
        <f>VLOOKUP($A12, Table_S1!$B$10:$K$5118, 7, FALSE)</f>
        <v>3146.31</v>
      </c>
      <c r="I12" s="147">
        <f>VLOOKUP($A12, Table_S1!$B$10:$K$5118, 8, FALSE)</f>
        <v>0.84486899999999998</v>
      </c>
      <c r="J12" s="147">
        <f>VLOOKUP($A12, Table_S1!$B$10:$K$5118, 9, FALSE)</f>
        <v>1.96082</v>
      </c>
      <c r="K12" s="148" t="str">
        <f>VLOOKUP($A12, Table_S1!$B$10:$K$5118, 10, FALSE)</f>
        <v>hydrogenation + geom. Minimization (fine setting/cg)</v>
      </c>
      <c r="L12" s="144"/>
      <c r="M12" s="149" t="str">
        <f>'Raw Data'!C21</f>
        <v>MIL-101a</v>
      </c>
      <c r="N12" s="145">
        <f>'Raw Data'!I21</f>
        <v>28</v>
      </c>
      <c r="O12" s="145">
        <f>'Raw Data'!N21</f>
        <v>2800</v>
      </c>
      <c r="P12" s="145">
        <f>'Raw Data'!O21</f>
        <v>1.37</v>
      </c>
      <c r="Q12" s="145" t="str">
        <f>'Raw Data'!P21</f>
        <v>/</v>
      </c>
      <c r="R12" s="170">
        <v>0.4</v>
      </c>
      <c r="S12" s="145">
        <f>'Raw Data'!L21</f>
        <v>304</v>
      </c>
      <c r="T12" s="146" t="str">
        <f>'Raw Data'!M21</f>
        <v>50 bar</v>
      </c>
      <c r="V12" s="193" t="str">
        <f>'Raw Data'!U21</f>
        <v>^^^</v>
      </c>
      <c r="AA12" s="194" t="s">
        <v>6897</v>
      </c>
    </row>
    <row r="13" spans="1:27" ht="139" x14ac:dyDescent="0.35">
      <c r="A13" s="155" t="str">
        <f>'Raw Data'!E22</f>
        <v>OCUNAC</v>
      </c>
      <c r="B13" s="156" t="str">
        <f t="shared" si="0"/>
        <v>MIL-101b</v>
      </c>
      <c r="C13" s="146" t="str">
        <f>VLOOKUP($A13, Table_S1!$B$10:$K$5118, 2, FALSE)</f>
        <v>Cr</v>
      </c>
      <c r="D13" s="147">
        <f>VLOOKUP($A13, Table_S1!$B$10:$K$5118, 3, FALSE)</f>
        <v>0.42751699999999998</v>
      </c>
      <c r="E13" s="147">
        <f>VLOOKUP($A13, Table_S1!$B$10:$K$5118, 4, FALSE)</f>
        <v>14.04664</v>
      </c>
      <c r="F13" s="147">
        <f>VLOOKUP($A13, Table_S1!$B$10:$K$5118, 5, FALSE)</f>
        <v>36.150599999999997</v>
      </c>
      <c r="G13" s="147">
        <f>VLOOKUP($A13, Table_S1!$B$10:$K$5118, 6, FALSE)</f>
        <v>1345.1</v>
      </c>
      <c r="H13" s="147">
        <f>VLOOKUP($A13, Table_S1!$B$10:$K$5118, 7, FALSE)</f>
        <v>3146.31</v>
      </c>
      <c r="I13" s="147">
        <f>VLOOKUP($A13, Table_S1!$B$10:$K$5118, 8, FALSE)</f>
        <v>0.84486899999999998</v>
      </c>
      <c r="J13" s="147">
        <f>VLOOKUP($A13, Table_S1!$B$10:$K$5118, 9, FALSE)</f>
        <v>1.96082</v>
      </c>
      <c r="K13" s="148" t="str">
        <f>VLOOKUP($A13, Table_S1!$B$10:$K$5118, 10, FALSE)</f>
        <v>hydrogenation + geom. Minimization (fine setting/cg)</v>
      </c>
      <c r="L13" s="144"/>
      <c r="M13" s="149" t="str">
        <f>'Raw Data'!C22</f>
        <v>MIL-101b</v>
      </c>
      <c r="N13" s="145">
        <f>'Raw Data'!I22</f>
        <v>34</v>
      </c>
      <c r="O13" s="145">
        <f>'Raw Data'!N22</f>
        <v>3780</v>
      </c>
      <c r="P13" s="145">
        <f>'Raw Data'!O22</f>
        <v>1.74</v>
      </c>
      <c r="Q13" s="145" t="str">
        <f>'Raw Data'!P22</f>
        <v>/</v>
      </c>
      <c r="R13" s="170">
        <v>0.4</v>
      </c>
      <c r="S13" s="145">
        <f>'Raw Data'!L22</f>
        <v>304</v>
      </c>
      <c r="T13" s="146" t="str">
        <f>'Raw Data'!M22</f>
        <v>50 bar</v>
      </c>
      <c r="V13" s="193" t="str">
        <f>'Raw Data'!U22</f>
        <v>^^^</v>
      </c>
      <c r="AA13" s="194" t="s">
        <v>6897</v>
      </c>
    </row>
    <row r="14" spans="1:27" ht="139" x14ac:dyDescent="0.35">
      <c r="A14" s="155" t="str">
        <f>'Raw Data'!E23</f>
        <v>OCUNAC</v>
      </c>
      <c r="B14" s="156" t="str">
        <f t="shared" si="0"/>
        <v>MIL-101c</v>
      </c>
      <c r="C14" s="146" t="str">
        <f>VLOOKUP($A14, Table_S1!$B$10:$K$5118, 2, FALSE)</f>
        <v>Cr</v>
      </c>
      <c r="D14" s="147">
        <f>VLOOKUP($A14, Table_S1!$B$10:$K$5118, 3, FALSE)</f>
        <v>0.42751699999999998</v>
      </c>
      <c r="E14" s="147">
        <f>VLOOKUP($A14, Table_S1!$B$10:$K$5118, 4, FALSE)</f>
        <v>14.04664</v>
      </c>
      <c r="F14" s="147">
        <f>VLOOKUP($A14, Table_S1!$B$10:$K$5118, 5, FALSE)</f>
        <v>36.150599999999997</v>
      </c>
      <c r="G14" s="147">
        <f>VLOOKUP($A14, Table_S1!$B$10:$K$5118, 6, FALSE)</f>
        <v>1345.1</v>
      </c>
      <c r="H14" s="147">
        <f>VLOOKUP($A14, Table_S1!$B$10:$K$5118, 7, FALSE)</f>
        <v>3146.31</v>
      </c>
      <c r="I14" s="147">
        <f>VLOOKUP($A14, Table_S1!$B$10:$K$5118, 8, FALSE)</f>
        <v>0.84486899999999998</v>
      </c>
      <c r="J14" s="147">
        <f>VLOOKUP($A14, Table_S1!$B$10:$K$5118, 9, FALSE)</f>
        <v>1.96082</v>
      </c>
      <c r="K14" s="148" t="str">
        <f>VLOOKUP($A14, Table_S1!$B$10:$K$5118, 10, FALSE)</f>
        <v>hydrogenation + geom. Minimization (fine setting/cg)</v>
      </c>
      <c r="L14" s="144"/>
      <c r="M14" s="149" t="str">
        <f>'Raw Data'!C23</f>
        <v>MIL-101c</v>
      </c>
      <c r="N14" s="145">
        <f>'Raw Data'!I23</f>
        <v>40</v>
      </c>
      <c r="O14" s="145">
        <f>'Raw Data'!N23</f>
        <v>4230</v>
      </c>
      <c r="P14" s="145">
        <f>'Raw Data'!O23</f>
        <v>2.15</v>
      </c>
      <c r="Q14" s="145" t="str">
        <f>'Raw Data'!P23</f>
        <v>/</v>
      </c>
      <c r="R14" s="170">
        <v>0.4</v>
      </c>
      <c r="S14" s="145">
        <f>'Raw Data'!L23</f>
        <v>304</v>
      </c>
      <c r="T14" s="146" t="str">
        <f>'Raw Data'!M23</f>
        <v>50 bar</v>
      </c>
      <c r="V14" s="193" t="str">
        <f>'Raw Data'!U23</f>
        <v>^^^</v>
      </c>
      <c r="AA14" s="194" t="s">
        <v>6997</v>
      </c>
    </row>
    <row r="15" spans="1:27" ht="139" x14ac:dyDescent="0.35">
      <c r="A15" s="155" t="str">
        <f>'Raw Data'!E25</f>
        <v>BABRII</v>
      </c>
      <c r="B15" s="156" t="str">
        <f t="shared" si="0"/>
        <v>MOF-177</v>
      </c>
      <c r="C15" s="146" t="e">
        <f>VLOOKUP($A15, Table_S1!$B$10:$K$5118, 2, FALSE)</f>
        <v>#N/A</v>
      </c>
      <c r="D15" s="147" t="e">
        <f>VLOOKUP($A15, Table_S1!$B$10:$K$5118, 3, FALSE)</f>
        <v>#N/A</v>
      </c>
      <c r="E15" s="147" t="e">
        <f>VLOOKUP($A15, Table_S1!$B$10:$K$5118, 4, FALSE)</f>
        <v>#N/A</v>
      </c>
      <c r="F15" s="147" t="e">
        <f>VLOOKUP($A15, Table_S1!$B$10:$K$5118, 5, FALSE)</f>
        <v>#N/A</v>
      </c>
      <c r="G15" s="147" t="e">
        <f>VLOOKUP($A15, Table_S1!$B$10:$K$5118, 6, FALSE)</f>
        <v>#N/A</v>
      </c>
      <c r="H15" s="147" t="e">
        <f>VLOOKUP($A15, Table_S1!$B$10:$K$5118, 7, FALSE)</f>
        <v>#N/A</v>
      </c>
      <c r="I15" s="147" t="e">
        <f>VLOOKUP($A15, Table_S1!$B$10:$K$5118, 8, FALSE)</f>
        <v>#N/A</v>
      </c>
      <c r="J15" s="147" t="e">
        <f>VLOOKUP($A15, Table_S1!$B$10:$K$5118, 9, FALSE)</f>
        <v>#N/A</v>
      </c>
      <c r="K15" s="148" t="e">
        <f>VLOOKUP($A15, Table_S1!$B$10:$K$5118, 10, FALSE)</f>
        <v>#N/A</v>
      </c>
      <c r="L15" s="144"/>
      <c r="M15" s="149" t="str">
        <f>'Raw Data'!C25</f>
        <v>MOF-177</v>
      </c>
      <c r="N15" s="145">
        <f>'Raw Data'!I25</f>
        <v>35.200000000000003</v>
      </c>
      <c r="O15" s="145">
        <f>'Raw Data'!N25</f>
        <v>4500</v>
      </c>
      <c r="P15" s="145">
        <f>'Raw Data'!O25</f>
        <v>1.89</v>
      </c>
      <c r="Q15" s="170" t="s">
        <v>6993</v>
      </c>
      <c r="R15" s="170">
        <v>0.43</v>
      </c>
      <c r="S15" s="145">
        <f>'Raw Data'!L25</f>
        <v>298</v>
      </c>
      <c r="T15" s="146" t="str">
        <f>'Raw Data'!M25</f>
        <v>50 bar</v>
      </c>
      <c r="V15" s="193" t="str">
        <f>'Raw Data'!U25</f>
        <v>H. Furukawa, N. Ko, Y.B. Go, N. Aratani, S.B. Choi, E. Choi, O.M. Yaghi
Ultrahigh porosity in metal-organic frameworks
Science, 329 (5990) (2010), pp. 424-428</v>
      </c>
      <c r="Z15" s="193" t="s">
        <v>6896</v>
      </c>
      <c r="AA15" s="194" t="s">
        <v>6998</v>
      </c>
    </row>
    <row r="16" spans="1:27" ht="90" customHeight="1" x14ac:dyDescent="0.35">
      <c r="A16" s="155" t="str">
        <f>'Raw Data'!E26</f>
        <v>SUKXUS01</v>
      </c>
      <c r="B16" s="156" t="str">
        <f t="shared" si="0"/>
        <v>MOF-205</v>
      </c>
      <c r="C16" s="146" t="e">
        <f>VLOOKUP($A16, Table_S1!$B$10:$K$5118, 2, FALSE)</f>
        <v>#N/A</v>
      </c>
      <c r="D16" s="147" t="e">
        <f>VLOOKUP($A16, Table_S1!$B$10:$K$5118, 3, FALSE)</f>
        <v>#N/A</v>
      </c>
      <c r="E16" s="147" t="e">
        <f>VLOOKUP($A16, Table_S1!$B$10:$K$5118, 4, FALSE)</f>
        <v>#N/A</v>
      </c>
      <c r="F16" s="147" t="e">
        <f>VLOOKUP($A16, Table_S1!$B$10:$K$5118, 5, FALSE)</f>
        <v>#N/A</v>
      </c>
      <c r="G16" s="147" t="e">
        <f>VLOOKUP($A16, Table_S1!$B$10:$K$5118, 6, FALSE)</f>
        <v>#N/A</v>
      </c>
      <c r="H16" s="147" t="e">
        <f>VLOOKUP($A16, Table_S1!$B$10:$K$5118, 7, FALSE)</f>
        <v>#N/A</v>
      </c>
      <c r="I16" s="147" t="e">
        <f>VLOOKUP($A16, Table_S1!$B$10:$K$5118, 8, FALSE)</f>
        <v>#N/A</v>
      </c>
      <c r="J16" s="147" t="e">
        <f>VLOOKUP($A16, Table_S1!$B$10:$K$5118, 9, FALSE)</f>
        <v>#N/A</v>
      </c>
      <c r="K16" s="148" t="e">
        <f>VLOOKUP($A16, Table_S1!$B$10:$K$5118, 10, FALSE)</f>
        <v>#N/A</v>
      </c>
      <c r="L16" s="144"/>
      <c r="M16" s="149" t="str">
        <f>'Raw Data'!C26</f>
        <v>MOF-205</v>
      </c>
      <c r="N16" s="145">
        <f>'Raw Data'!I26</f>
        <v>38.1</v>
      </c>
      <c r="O16" s="145">
        <f>'Raw Data'!N26</f>
        <v>4460</v>
      </c>
      <c r="P16" s="145">
        <f>'Raw Data'!O26</f>
        <v>2.16</v>
      </c>
      <c r="Q16" s="145" t="str">
        <f>'Raw Data'!P26</f>
        <v>/</v>
      </c>
      <c r="R16" s="170">
        <v>0.38</v>
      </c>
      <c r="S16" s="145">
        <f>'Raw Data'!L26</f>
        <v>298</v>
      </c>
      <c r="T16" s="146" t="str">
        <f>'Raw Data'!M26</f>
        <v>50 bar</v>
      </c>
      <c r="V16" s="193" t="str">
        <f>'Raw Data'!U26</f>
        <v>^^^</v>
      </c>
      <c r="AA16" s="194" t="s">
        <v>6992</v>
      </c>
    </row>
    <row r="17" spans="1:27" ht="87" customHeight="1" x14ac:dyDescent="0.35">
      <c r="A17" s="155" t="str">
        <f>'Raw Data'!E27</f>
        <v>CUSXOE</v>
      </c>
      <c r="B17" s="156" t="str">
        <f>M17</f>
        <v>MOF-200</v>
      </c>
      <c r="C17" s="146" t="e">
        <f>VLOOKUP($A17, Table_S1!$B$10:$K$5118, 2, FALSE)</f>
        <v>#N/A</v>
      </c>
      <c r="D17" s="147" t="e">
        <f>VLOOKUP($A17, Table_S1!$B$10:$K$5118, 3, FALSE)</f>
        <v>#N/A</v>
      </c>
      <c r="E17" s="147" t="e">
        <f>VLOOKUP($A17, Table_S1!$B$10:$K$5118, 4, FALSE)</f>
        <v>#N/A</v>
      </c>
      <c r="F17" s="147" t="e">
        <f>VLOOKUP($A17, Table_S1!$B$10:$K$5118, 5, FALSE)</f>
        <v>#N/A</v>
      </c>
      <c r="G17" s="147" t="e">
        <f>VLOOKUP($A17, Table_S1!$B$10:$K$5118, 6, FALSE)</f>
        <v>#N/A</v>
      </c>
      <c r="H17" s="147" t="e">
        <f>VLOOKUP($A17, Table_S1!$B$10:$K$5118, 7, FALSE)</f>
        <v>#N/A</v>
      </c>
      <c r="I17" s="147" t="e">
        <f>VLOOKUP($A17, Table_S1!$B$10:$K$5118, 8, FALSE)</f>
        <v>#N/A</v>
      </c>
      <c r="J17" s="147" t="e">
        <f>VLOOKUP($A17, Table_S1!$B$10:$K$5118, 9, FALSE)</f>
        <v>#N/A</v>
      </c>
      <c r="K17" s="148" t="e">
        <f>VLOOKUP($A17, Table_S1!$B$10:$K$5118, 10, FALSE)</f>
        <v>#N/A</v>
      </c>
      <c r="L17" s="144"/>
      <c r="M17" s="149" t="str">
        <f>'Raw Data'!C27</f>
        <v>MOF-200</v>
      </c>
      <c r="N17" s="145">
        <f>'Raw Data'!I27</f>
        <v>64.3</v>
      </c>
      <c r="O17" s="145">
        <f>'Raw Data'!N27</f>
        <v>4530</v>
      </c>
      <c r="P17" s="145">
        <f>'Raw Data'!O27</f>
        <v>3.59</v>
      </c>
      <c r="Q17" s="145" t="str">
        <f>'Raw Data'!P27</f>
        <v>/</v>
      </c>
      <c r="R17" s="170">
        <v>0.22</v>
      </c>
      <c r="S17" s="145">
        <f>'Raw Data'!L27</f>
        <v>298</v>
      </c>
      <c r="T17" s="146" t="str">
        <f>'Raw Data'!M27</f>
        <v>50 bar</v>
      </c>
      <c r="V17" s="193" t="str">
        <f>'Raw Data'!U27</f>
        <v>^^^</v>
      </c>
      <c r="AA17" s="194" t="s">
        <v>6992</v>
      </c>
    </row>
    <row r="18" spans="1:27" ht="102" customHeight="1" x14ac:dyDescent="0.35">
      <c r="A18" s="155" t="str">
        <f>'Raw Data'!E28</f>
        <v>CUSYAR</v>
      </c>
      <c r="B18" s="156" t="str">
        <f t="shared" si="0"/>
        <v>MOF-210</v>
      </c>
      <c r="C18" s="146" t="e">
        <f>VLOOKUP($A18, Table_S1!$B$10:$K$5118, 2, FALSE)</f>
        <v>#N/A</v>
      </c>
      <c r="D18" s="147" t="e">
        <f>VLOOKUP($A18, Table_S1!$B$10:$K$5118, 3, FALSE)</f>
        <v>#N/A</v>
      </c>
      <c r="E18" s="147" t="e">
        <f>VLOOKUP($A18, Table_S1!$B$10:$K$5118, 4, FALSE)</f>
        <v>#N/A</v>
      </c>
      <c r="F18" s="147" t="e">
        <f>VLOOKUP($A18, Table_S1!$B$10:$K$5118, 5, FALSE)</f>
        <v>#N/A</v>
      </c>
      <c r="G18" s="147" t="e">
        <f>VLOOKUP($A18, Table_S1!$B$10:$K$5118, 6, FALSE)</f>
        <v>#N/A</v>
      </c>
      <c r="H18" s="147" t="e">
        <f>VLOOKUP($A18, Table_S1!$B$10:$K$5118, 7, FALSE)</f>
        <v>#N/A</v>
      </c>
      <c r="I18" s="147" t="e">
        <f>VLOOKUP($A18, Table_S1!$B$10:$K$5118, 8, FALSE)</f>
        <v>#N/A</v>
      </c>
      <c r="J18" s="147" t="e">
        <f>VLOOKUP($A18, Table_S1!$B$10:$K$5118, 9, FALSE)</f>
        <v>#N/A</v>
      </c>
      <c r="K18" s="148" t="e">
        <f>VLOOKUP($A18, Table_S1!$B$10:$K$5118, 10, FALSE)</f>
        <v>#N/A</v>
      </c>
      <c r="L18" s="144"/>
      <c r="M18" s="149" t="str">
        <f>'Raw Data'!C28</f>
        <v>MOF-210</v>
      </c>
      <c r="N18" s="145">
        <f>'Raw Data'!I28</f>
        <v>65.2</v>
      </c>
      <c r="O18" s="145">
        <f>'Raw Data'!N28</f>
        <v>6240</v>
      </c>
      <c r="P18" s="145">
        <f>'Raw Data'!O28</f>
        <v>3.6</v>
      </c>
      <c r="Q18" s="145" t="str">
        <f>'Raw Data'!P28</f>
        <v>/</v>
      </c>
      <c r="R18" s="170">
        <v>0.25</v>
      </c>
      <c r="S18" s="145">
        <f>'Raw Data'!L28</f>
        <v>298</v>
      </c>
      <c r="T18" s="146" t="str">
        <f>'Raw Data'!M28</f>
        <v>50 bar</v>
      </c>
      <c r="V18" s="193" t="str">
        <f>'Raw Data'!U28</f>
        <v>^^^</v>
      </c>
      <c r="AA18" s="194" t="s">
        <v>6992</v>
      </c>
    </row>
    <row r="19" spans="1:27" ht="109" customHeight="1" x14ac:dyDescent="0.35">
      <c r="A19" s="155" t="str">
        <f>'Raw Data'!E30</f>
        <v>EDUVEE</v>
      </c>
      <c r="B19" s="156" t="str">
        <f t="shared" si="0"/>
        <v>IRMOF-11</v>
      </c>
      <c r="C19" s="146" t="e">
        <f>VLOOKUP($A19, Table_S1!$B$10:$K$5118, 2, FALSE)</f>
        <v>#N/A</v>
      </c>
      <c r="D19" s="147" t="e">
        <f>VLOOKUP($A19, Table_S1!$B$10:$K$5118, 3, FALSE)</f>
        <v>#N/A</v>
      </c>
      <c r="E19" s="147" t="e">
        <f>VLOOKUP($A19, Table_S1!$B$10:$K$5118, 4, FALSE)</f>
        <v>#N/A</v>
      </c>
      <c r="F19" s="147" t="e">
        <f>VLOOKUP($A19, Table_S1!$B$10:$K$5118, 5, FALSE)</f>
        <v>#N/A</v>
      </c>
      <c r="G19" s="147" t="e">
        <f>VLOOKUP($A19, Table_S1!$B$10:$K$5118, 6, FALSE)</f>
        <v>#N/A</v>
      </c>
      <c r="H19" s="147" t="e">
        <f>VLOOKUP($A19, Table_S1!$B$10:$K$5118, 7, FALSE)</f>
        <v>#N/A</v>
      </c>
      <c r="I19" s="147" t="e">
        <f>VLOOKUP($A19, Table_S1!$B$10:$K$5118, 8, FALSE)</f>
        <v>#N/A</v>
      </c>
      <c r="J19" s="147" t="e">
        <f>VLOOKUP($A19, Table_S1!$B$10:$K$5118, 9, FALSE)</f>
        <v>#N/A</v>
      </c>
      <c r="K19" s="148" t="e">
        <f>VLOOKUP($A19, Table_S1!$B$10:$K$5118, 10, FALSE)</f>
        <v>#N/A</v>
      </c>
      <c r="L19" s="144"/>
      <c r="M19" s="149" t="str">
        <f>'Raw Data'!C30</f>
        <v>IRMOF-11</v>
      </c>
      <c r="N19" s="145">
        <f>'Raw Data'!I30</f>
        <v>14.7</v>
      </c>
      <c r="O19" s="145">
        <f>'Raw Data'!N30</f>
        <v>2096</v>
      </c>
      <c r="P19" s="145" t="str">
        <f>'Raw Data'!O30</f>
        <v>ND</v>
      </c>
      <c r="Q19" s="145" t="str">
        <f>'Raw Data'!P30</f>
        <v>/</v>
      </c>
      <c r="R19" s="145" t="str">
        <f>'Raw Data'!Q30</f>
        <v>/</v>
      </c>
      <c r="S19" s="145">
        <f>'Raw Data'!L30</f>
        <v>298</v>
      </c>
      <c r="T19" s="146" t="str">
        <f>'Raw Data'!M30</f>
        <v>32 bar</v>
      </c>
      <c r="V19" s="193" t="str">
        <f>'Raw Data'!U30</f>
        <v>A.R. Millward, O.M. Yaghi
Metal-organic frameworks with exceptionally high capacity for storage of carbon dioxide at room temperature
J Am Chem Soc, 127 (51) (2005), pp. 17998-17999</v>
      </c>
    </row>
    <row r="20" spans="1:27" ht="122" x14ac:dyDescent="0.35">
      <c r="A20" s="155" t="str">
        <f>'Raw Data'!E31</f>
        <v>EDUSUR</v>
      </c>
      <c r="B20" s="156" t="str">
        <f t="shared" si="0"/>
        <v>IRMOF-3</v>
      </c>
      <c r="C20" s="146" t="e">
        <f>VLOOKUP($A20, Table_S1!$B$10:$K$5118, 2, FALSE)</f>
        <v>#N/A</v>
      </c>
      <c r="D20" s="147" t="e">
        <f>VLOOKUP($A20, Table_S1!$B$10:$K$5118, 3, FALSE)</f>
        <v>#N/A</v>
      </c>
      <c r="E20" s="147" t="e">
        <f>VLOOKUP($A20, Table_S1!$B$10:$K$5118, 4, FALSE)</f>
        <v>#N/A</v>
      </c>
      <c r="F20" s="147" t="e">
        <f>VLOOKUP($A20, Table_S1!$B$10:$K$5118, 5, FALSE)</f>
        <v>#N/A</v>
      </c>
      <c r="G20" s="147" t="e">
        <f>VLOOKUP($A20, Table_S1!$B$10:$K$5118, 6, FALSE)</f>
        <v>#N/A</v>
      </c>
      <c r="H20" s="147" t="e">
        <f>VLOOKUP($A20, Table_S1!$B$10:$K$5118, 7, FALSE)</f>
        <v>#N/A</v>
      </c>
      <c r="I20" s="147" t="e">
        <f>VLOOKUP($A20, Table_S1!$B$10:$K$5118, 8, FALSE)</f>
        <v>#N/A</v>
      </c>
      <c r="J20" s="147" t="e">
        <f>VLOOKUP($A20, Table_S1!$B$10:$K$5118, 9, FALSE)</f>
        <v>#N/A</v>
      </c>
      <c r="K20" s="148" t="e">
        <f>VLOOKUP($A20, Table_S1!$B$10:$K$5118, 10, FALSE)</f>
        <v>#N/A</v>
      </c>
      <c r="L20" s="144"/>
      <c r="M20" s="149" t="str">
        <f>'Raw Data'!C31</f>
        <v>IRMOF-3</v>
      </c>
      <c r="N20" s="145">
        <f>'Raw Data'!I31</f>
        <v>18.7</v>
      </c>
      <c r="O20" s="145">
        <f>'Raw Data'!N31</f>
        <v>2160</v>
      </c>
      <c r="P20" s="172">
        <v>1.204</v>
      </c>
      <c r="Q20" s="170" t="s">
        <v>6988</v>
      </c>
      <c r="R20" s="145" t="str">
        <f>'Raw Data'!Q31</f>
        <v>/</v>
      </c>
      <c r="S20" s="145">
        <f>'Raw Data'!L31</f>
        <v>298</v>
      </c>
      <c r="T20" s="146" t="str">
        <f>'Raw Data'!M31</f>
        <v>32 bar</v>
      </c>
      <c r="V20" s="193" t="str">
        <f>'Raw Data'!U31</f>
        <v>^^^</v>
      </c>
      <c r="Y20" s="193" t="s">
        <v>6991</v>
      </c>
      <c r="Z20" s="193" t="s">
        <v>6985</v>
      </c>
    </row>
    <row r="21" spans="1:27" ht="122" x14ac:dyDescent="0.35">
      <c r="A21" s="155" t="str">
        <f>'Raw Data'!E32</f>
        <v>EDUTIG</v>
      </c>
      <c r="B21" s="156" t="str">
        <f t="shared" si="0"/>
        <v>IRMOF-6</v>
      </c>
      <c r="C21" s="146" t="e">
        <f>VLOOKUP($A21, Table_S1!$B$10:$K$5118, 2, FALSE)</f>
        <v>#N/A</v>
      </c>
      <c r="D21" s="147" t="e">
        <f>VLOOKUP($A21, Table_S1!$B$10:$K$5118, 3, FALSE)</f>
        <v>#N/A</v>
      </c>
      <c r="E21" s="147" t="e">
        <f>VLOOKUP($A21, Table_S1!$B$10:$K$5118, 4, FALSE)</f>
        <v>#N/A</v>
      </c>
      <c r="F21" s="147" t="e">
        <f>VLOOKUP($A21, Table_S1!$B$10:$K$5118, 5, FALSE)</f>
        <v>#N/A</v>
      </c>
      <c r="G21" s="147" t="e">
        <f>VLOOKUP($A21, Table_S1!$B$10:$K$5118, 6, FALSE)</f>
        <v>#N/A</v>
      </c>
      <c r="H21" s="147" t="e">
        <f>VLOOKUP($A21, Table_S1!$B$10:$K$5118, 7, FALSE)</f>
        <v>#N/A</v>
      </c>
      <c r="I21" s="147" t="e">
        <f>VLOOKUP($A21, Table_S1!$B$10:$K$5118, 8, FALSE)</f>
        <v>#N/A</v>
      </c>
      <c r="J21" s="147" t="e">
        <f>VLOOKUP($A21, Table_S1!$B$10:$K$5118, 9, FALSE)</f>
        <v>#N/A</v>
      </c>
      <c r="K21" s="148" t="e">
        <f>VLOOKUP($A21, Table_S1!$B$10:$K$5118, 10, FALSE)</f>
        <v>#N/A</v>
      </c>
      <c r="L21" s="144"/>
      <c r="M21" s="149" t="str">
        <f>'Raw Data'!C32</f>
        <v>IRMOF-6</v>
      </c>
      <c r="N21" s="145">
        <f>'Raw Data'!I32</f>
        <v>19.5</v>
      </c>
      <c r="O21" s="145">
        <f>'Raw Data'!N32</f>
        <v>2516</v>
      </c>
      <c r="P21" s="145" t="str">
        <f>'Raw Data'!O32</f>
        <v>/</v>
      </c>
      <c r="Q21" s="170" t="s">
        <v>6988</v>
      </c>
      <c r="R21" s="145" t="str">
        <f>'Raw Data'!Q32</f>
        <v>/</v>
      </c>
      <c r="S21" s="145">
        <f>'Raw Data'!L32</f>
        <v>298</v>
      </c>
      <c r="T21" s="146" t="str">
        <f>'Raw Data'!M32</f>
        <v>32 bar</v>
      </c>
      <c r="V21" s="193" t="str">
        <f>'Raw Data'!U32</f>
        <v>^^^</v>
      </c>
      <c r="Z21" s="193" t="s">
        <v>6985</v>
      </c>
    </row>
    <row r="22" spans="1:27" ht="292" x14ac:dyDescent="0.35">
      <c r="A22" s="155" t="str">
        <f>'Raw Data'!E33</f>
        <v>EDUSIF</v>
      </c>
      <c r="B22" s="156" t="str">
        <f t="shared" si="0"/>
        <v>IRMOF-1</v>
      </c>
      <c r="C22" s="146" t="str">
        <f>VLOOKUP($A22, Table_S1!$B$10:$K$5118, 2, FALSE)</f>
        <v>Zn</v>
      </c>
      <c r="D22" s="147">
        <f>VLOOKUP($A22, Table_S1!$B$10:$K$5118, 3, FALSE)</f>
        <v>0.59333800000000003</v>
      </c>
      <c r="E22" s="147">
        <f>VLOOKUP($A22, Table_S1!$B$10:$K$5118, 4, FALSE)</f>
        <v>7.9158299999999997</v>
      </c>
      <c r="F22" s="147">
        <f>VLOOKUP($A22, Table_S1!$B$10:$K$5118, 5, FALSE)</f>
        <v>15.06639</v>
      </c>
      <c r="G22" s="147">
        <f>VLOOKUP($A22, Table_S1!$B$10:$K$5118, 6, FALSE)</f>
        <v>2156.27</v>
      </c>
      <c r="H22" s="147">
        <f>VLOOKUP($A22, Table_S1!$B$10:$K$5118, 7, FALSE)</f>
        <v>3634.13</v>
      </c>
      <c r="I22" s="147">
        <f>VLOOKUP($A22, Table_S1!$B$10:$K$5118, 8, FALSE)</f>
        <v>0.82919200000000004</v>
      </c>
      <c r="J22" s="147">
        <f>VLOOKUP($A22, Table_S1!$B$10:$K$5118, 9, FALSE)</f>
        <v>1.36205</v>
      </c>
      <c r="K22" s="148">
        <f>VLOOKUP($A22, Table_S1!$B$10:$K$5118, 10, FALSE)</f>
        <v>0</v>
      </c>
      <c r="L22" s="144"/>
      <c r="M22" s="149" t="str">
        <f>'Raw Data'!C33</f>
        <v>IRMOF-1</v>
      </c>
      <c r="N22" s="145">
        <f>'Raw Data'!I33</f>
        <v>21.7</v>
      </c>
      <c r="O22" s="145">
        <f>'Raw Data'!N33</f>
        <v>2833</v>
      </c>
      <c r="P22" s="172">
        <v>1.319</v>
      </c>
      <c r="Q22" s="170" t="s">
        <v>6989</v>
      </c>
      <c r="R22" s="145" t="str">
        <f>'Raw Data'!Q33</f>
        <v>/</v>
      </c>
      <c r="S22" s="145">
        <f>'Raw Data'!L33</f>
        <v>298</v>
      </c>
      <c r="T22" s="146" t="str">
        <f>'Raw Data'!M33</f>
        <v>32 bar</v>
      </c>
      <c r="V22" s="193" t="str">
        <f>'Raw Data'!U33</f>
        <v>^^^</v>
      </c>
      <c r="Y22" s="193" t="s">
        <v>6991</v>
      </c>
      <c r="Z22" s="193" t="s">
        <v>7000</v>
      </c>
    </row>
    <row r="23" spans="1:27" ht="105" x14ac:dyDescent="0.35">
      <c r="A23" s="155" t="str">
        <f>'Raw Data'!E35</f>
        <v>VUJBIM</v>
      </c>
      <c r="B23" s="156" t="str">
        <f t="shared" si="0"/>
        <v>PCN-61</v>
      </c>
      <c r="C23" s="146" t="str">
        <f>VLOOKUP($A23, Table_S1!$B$10:$K$5118, 2, FALSE)</f>
        <v>Cu</v>
      </c>
      <c r="D23" s="147">
        <f>VLOOKUP($A23, Table_S1!$B$10:$K$5118, 3, FALSE)</f>
        <v>0.56074199999999996</v>
      </c>
      <c r="E23" s="147">
        <f>VLOOKUP($A23, Table_S1!$B$10:$K$5118, 4, FALSE)</f>
        <v>6.6218700000000004</v>
      </c>
      <c r="F23" s="147">
        <f>VLOOKUP($A23, Table_S1!$B$10:$K$5118, 5, FALSE)</f>
        <v>18.706679999999999</v>
      </c>
      <c r="G23" s="147">
        <f>VLOOKUP($A23, Table_S1!$B$10:$K$5118, 6, FALSE)</f>
        <v>2086.69</v>
      </c>
      <c r="H23" s="147">
        <f>VLOOKUP($A23, Table_S1!$B$10:$K$5118, 7, FALSE)</f>
        <v>3721.31</v>
      </c>
      <c r="I23" s="147">
        <f>VLOOKUP($A23, Table_S1!$B$10:$K$5118, 8, FALSE)</f>
        <v>0.84698799999999996</v>
      </c>
      <c r="J23" s="147">
        <f>VLOOKUP($A23, Table_S1!$B$10:$K$5118, 9, FALSE)</f>
        <v>1.4141300000000001</v>
      </c>
      <c r="K23" s="148">
        <f>VLOOKUP($A23, Table_S1!$B$10:$K$5118, 10, FALSE)</f>
        <v>0</v>
      </c>
      <c r="L23" s="144"/>
      <c r="M23" s="149" t="str">
        <f>'Raw Data'!C35</f>
        <v>PCN-61</v>
      </c>
      <c r="N23" s="145">
        <f>'Raw Data'!I35</f>
        <v>23.5</v>
      </c>
      <c r="O23" s="145">
        <f>'Raw Data'!N35</f>
        <v>3000</v>
      </c>
      <c r="P23" s="145">
        <f>'Raw Data'!O35</f>
        <v>1.36</v>
      </c>
      <c r="Q23" s="145" t="str">
        <f>'Raw Data'!P35</f>
        <v>/</v>
      </c>
      <c r="R23" s="145" t="str">
        <f>'Raw Data'!Q35</f>
        <v>/</v>
      </c>
      <c r="S23" s="145">
        <f>'Raw Data'!L35</f>
        <v>298</v>
      </c>
      <c r="T23" s="146" t="str">
        <f>'Raw Data'!M35</f>
        <v>35 bar</v>
      </c>
      <c r="V23" s="193" t="str">
        <f>'Raw Data'!U35</f>
        <v>D. Yuan, D. Zhao, D. Sun, H.C. Zhou
An isoreticular series of metal–organic frameworks with dendritic hexacarboxylate ligands and exceptionally high gas-uptake capacity
Angew Chem, 122 (31) (2010), pp. 5485-548</v>
      </c>
    </row>
    <row r="24" spans="1:27" x14ac:dyDescent="0.35">
      <c r="A24" s="155" t="str">
        <f>'Raw Data'!E36</f>
        <v>VUJBOS</v>
      </c>
      <c r="B24" s="156" t="str">
        <f t="shared" si="0"/>
        <v>PCN-66</v>
      </c>
      <c r="C24" s="146" t="e">
        <f>VLOOKUP($A24, Table_S1!$B$10:$K$5118, 2, FALSE)</f>
        <v>#N/A</v>
      </c>
      <c r="D24" s="147" t="e">
        <f>VLOOKUP($A24, Table_S1!$B$10:$K$5118, 3, FALSE)</f>
        <v>#N/A</v>
      </c>
      <c r="E24" s="147" t="e">
        <f>VLOOKUP($A24, Table_S1!$B$10:$K$5118, 4, FALSE)</f>
        <v>#N/A</v>
      </c>
      <c r="F24" s="147" t="e">
        <f>VLOOKUP($A24, Table_S1!$B$10:$K$5118, 5, FALSE)</f>
        <v>#N/A</v>
      </c>
      <c r="G24" s="147" t="e">
        <f>VLOOKUP($A24, Table_S1!$B$10:$K$5118, 6, FALSE)</f>
        <v>#N/A</v>
      </c>
      <c r="H24" s="147" t="e">
        <f>VLOOKUP($A24, Table_S1!$B$10:$K$5118, 7, FALSE)</f>
        <v>#N/A</v>
      </c>
      <c r="I24" s="147" t="e">
        <f>VLOOKUP($A24, Table_S1!$B$10:$K$5118, 8, FALSE)</f>
        <v>#N/A</v>
      </c>
      <c r="J24" s="147" t="e">
        <f>VLOOKUP($A24, Table_S1!$B$10:$K$5118, 9, FALSE)</f>
        <v>#N/A</v>
      </c>
      <c r="K24" s="148" t="e">
        <f>VLOOKUP($A24, Table_S1!$B$10:$K$5118, 10, FALSE)</f>
        <v>#N/A</v>
      </c>
      <c r="L24" s="144"/>
      <c r="M24" s="149" t="str">
        <f>'Raw Data'!C36</f>
        <v>PCN-66</v>
      </c>
      <c r="N24" s="145">
        <f>'Raw Data'!I36</f>
        <v>26.3</v>
      </c>
      <c r="O24" s="145">
        <f>'Raw Data'!N36</f>
        <v>4000</v>
      </c>
      <c r="P24" s="145">
        <f>'Raw Data'!O36</f>
        <v>1.63</v>
      </c>
      <c r="Q24" s="145" t="str">
        <f>'Raw Data'!P36</f>
        <v>/</v>
      </c>
      <c r="R24" s="145" t="str">
        <f>'Raw Data'!Q36</f>
        <v>/</v>
      </c>
      <c r="S24" s="145">
        <f>'Raw Data'!L36</f>
        <v>298</v>
      </c>
      <c r="T24" s="146" t="str">
        <f>'Raw Data'!M36</f>
        <v>35 bar</v>
      </c>
      <c r="V24" s="193" t="str">
        <f>'Raw Data'!U36</f>
        <v>^^^</v>
      </c>
    </row>
    <row r="25" spans="1:27" x14ac:dyDescent="0.35">
      <c r="A25" s="155" t="str">
        <f>'Raw Data'!E37</f>
        <v>HABRAF</v>
      </c>
      <c r="B25" s="156" t="str">
        <f t="shared" si="0"/>
        <v>PCN-68</v>
      </c>
      <c r="C25" s="146" t="str">
        <f>VLOOKUP($A25, Table_S1!$B$10:$K$5118, 2, FALSE)</f>
        <v>Cu</v>
      </c>
      <c r="D25" s="147">
        <f>VLOOKUP($A25, Table_S1!$B$10:$K$5118, 3, FALSE)</f>
        <v>0.38234000000000001</v>
      </c>
      <c r="E25" s="147">
        <f>VLOOKUP($A25, Table_S1!$B$10:$K$5118, 4, FALSE)</f>
        <v>9.0354700000000001</v>
      </c>
      <c r="F25" s="147">
        <f>VLOOKUP($A25, Table_S1!$B$10:$K$5118, 5, FALSE)</f>
        <v>24.300249999999998</v>
      </c>
      <c r="G25" s="147">
        <f>VLOOKUP($A25, Table_S1!$B$10:$K$5118, 6, FALSE)</f>
        <v>1854.22</v>
      </c>
      <c r="H25" s="147">
        <f>VLOOKUP($A25, Table_S1!$B$10:$K$5118, 7, FALSE)</f>
        <v>4849.67</v>
      </c>
      <c r="I25" s="147">
        <f>VLOOKUP($A25, Table_S1!$B$10:$K$5118, 8, FALSE)</f>
        <v>0.88994600000000001</v>
      </c>
      <c r="J25" s="147">
        <f>VLOOKUP($A25, Table_S1!$B$10:$K$5118, 9, FALSE)</f>
        <v>2.21088</v>
      </c>
      <c r="K25" s="148" t="str">
        <f>VLOOKUP($A25, Table_S1!$B$10:$K$5118, 10, FALSE)</f>
        <v>removed duplicates + geom. Minimization</v>
      </c>
      <c r="L25" s="144"/>
      <c r="M25" s="149" t="str">
        <f>'Raw Data'!C37</f>
        <v>PCN-68</v>
      </c>
      <c r="N25" s="145">
        <f>'Raw Data'!I37</f>
        <v>30.4</v>
      </c>
      <c r="O25" s="145">
        <f>'Raw Data'!N37</f>
        <v>5109</v>
      </c>
      <c r="P25" s="145">
        <f>'Raw Data'!O37</f>
        <v>2.13</v>
      </c>
      <c r="Q25" s="145" t="str">
        <f>'Raw Data'!P37</f>
        <v>/</v>
      </c>
      <c r="R25" s="145" t="str">
        <f>'Raw Data'!Q37</f>
        <v>/</v>
      </c>
      <c r="S25" s="145">
        <f>'Raw Data'!L37</f>
        <v>298</v>
      </c>
      <c r="T25" s="146" t="str">
        <f>'Raw Data'!M37</f>
        <v>35 bar</v>
      </c>
      <c r="V25" s="193" t="str">
        <f>'Raw Data'!U37</f>
        <v>^^^</v>
      </c>
    </row>
    <row r="26" spans="1:27" ht="156" x14ac:dyDescent="0.35">
      <c r="A26" s="155" t="str">
        <f>'Raw Data'!E40</f>
        <v>DOTSOV42</v>
      </c>
      <c r="B26" s="156" t="str">
        <f t="shared" si="0"/>
        <v>HKUST-1</v>
      </c>
      <c r="C26" s="146" t="str">
        <f>VLOOKUP($A26, Table_S1!$B$10:$K$5118, 2, FALSE)</f>
        <v>Cu</v>
      </c>
      <c r="D26" s="147">
        <f>VLOOKUP($A26, Table_S1!$B$10:$K$5118, 3, FALSE)</f>
        <v>0.88463000000000003</v>
      </c>
      <c r="E26" s="147">
        <f>VLOOKUP($A26, Table_S1!$B$10:$K$5118, 4, FALSE)</f>
        <v>6.6823699999999997</v>
      </c>
      <c r="F26" s="147">
        <f>VLOOKUP($A26, Table_S1!$B$10:$K$5118, 5, FALSE)</f>
        <v>13.281969999999999</v>
      </c>
      <c r="G26" s="147">
        <f>VLOOKUP($A26, Table_S1!$B$10:$K$5118, 6, FALSE)</f>
        <v>1832.89</v>
      </c>
      <c r="H26" s="147">
        <f>VLOOKUP($A26, Table_S1!$B$10:$K$5118, 7, FALSE)</f>
        <v>2070.8200000000002</v>
      </c>
      <c r="I26" s="147">
        <f>VLOOKUP($A26, Table_S1!$B$10:$K$5118, 8, FALSE)</f>
        <v>0.75181699999999996</v>
      </c>
      <c r="J26" s="147">
        <f>VLOOKUP($A26, Table_S1!$B$10:$K$5118, 9, FALSE)</f>
        <v>0.81218299999999999</v>
      </c>
      <c r="K26" s="148">
        <f>VLOOKUP($A26, Table_S1!$B$10:$K$5118, 10, FALSE)</f>
        <v>0</v>
      </c>
      <c r="L26" s="144"/>
      <c r="M26" s="149" t="str">
        <f>'Raw Data'!C40</f>
        <v>HKUST-1</v>
      </c>
      <c r="N26" s="145">
        <f>'Raw Data'!I40</f>
        <v>5.0999999999999996</v>
      </c>
      <c r="O26" s="145">
        <f>'Raw Data'!N40</f>
        <v>2134</v>
      </c>
      <c r="P26" s="172">
        <v>0.80100000000000005</v>
      </c>
      <c r="Q26" s="145" t="str">
        <f>'Raw Data'!P40</f>
        <v>5.05/10.45/12.4</v>
      </c>
      <c r="R26" s="145" t="str">
        <f>'Raw Data'!Q40</f>
        <v>/</v>
      </c>
      <c r="S26" s="145">
        <f>'Raw Data'!L40</f>
        <v>295</v>
      </c>
      <c r="T26" s="146">
        <f>'Raw Data'!M40</f>
        <v>1</v>
      </c>
      <c r="V26" s="193" t="str">
        <f>'Raw Data'!U40</f>
        <v>A.O. Yazaydin, R.Q. Snurr, T.H. Park, K. Koh, J. Liu, M.D. LeVan, A.I. Benin, P. Jakubczak, M. Lanuza, D.B. Galloway, J.J. Low
Screening of metal-organic frameworks for carbon dioxide capture from flue gas using a combined experimental and modeling approach
J Am Chem Soc, 131 (51) (2009), pp. 18198-18199</v>
      </c>
      <c r="Y26" s="193" t="s">
        <v>6991</v>
      </c>
    </row>
    <row r="27" spans="1:27" ht="173" x14ac:dyDescent="0.35">
      <c r="A27" s="155" t="str">
        <f>'Raw Data'!E41</f>
        <v>OKABEI</v>
      </c>
      <c r="B27" s="156" t="str">
        <f t="shared" si="0"/>
        <v>UMCM-150</v>
      </c>
      <c r="C27" s="146" t="str">
        <f>VLOOKUP($A27, Table_S1!$B$10:$K$5118, 2, FALSE)</f>
        <v>Cu</v>
      </c>
      <c r="D27" s="147">
        <f>VLOOKUP($A27, Table_S1!$B$10:$K$5118, 3, FALSE)</f>
        <v>0.65301699999999996</v>
      </c>
      <c r="E27" s="147">
        <f>VLOOKUP($A27, Table_S1!$B$10:$K$5118, 4, FALSE)</f>
        <v>9.4228400000000008</v>
      </c>
      <c r="F27" s="147">
        <f>VLOOKUP($A27, Table_S1!$B$10:$K$5118, 5, FALSE)</f>
        <v>13.869870000000001</v>
      </c>
      <c r="G27" s="147">
        <f>VLOOKUP($A27, Table_S1!$B$10:$K$5118, 6, FALSE)</f>
        <v>2030.48</v>
      </c>
      <c r="H27" s="147">
        <f>VLOOKUP($A27, Table_S1!$B$10:$K$5118, 7, FALSE)</f>
        <v>3109.38</v>
      </c>
      <c r="I27" s="147">
        <f>VLOOKUP($A27, Table_S1!$B$10:$K$5118, 8, FALSE)</f>
        <v>0.82552099999999995</v>
      </c>
      <c r="J27" s="147">
        <f>VLOOKUP($A27, Table_S1!$B$10:$K$5118, 9, FALSE)</f>
        <v>1.1881200000000001</v>
      </c>
      <c r="K27" s="148">
        <f>VLOOKUP($A27, Table_S1!$B$10:$K$5118, 10, FALSE)</f>
        <v>0</v>
      </c>
      <c r="L27" s="144"/>
      <c r="M27" s="149" t="str">
        <f>'Raw Data'!C41</f>
        <v>UMCM-150</v>
      </c>
      <c r="N27" s="145">
        <f>'Raw Data'!I41</f>
        <v>2.6</v>
      </c>
      <c r="O27" s="145">
        <f>'Raw Data'!N41</f>
        <v>3236</v>
      </c>
      <c r="P27" s="172">
        <v>1.1859999999999999</v>
      </c>
      <c r="Q27" s="145" t="str">
        <f>'Raw Data'!P41</f>
        <v>9.25/10.55/13.25</v>
      </c>
      <c r="R27" s="145" t="str">
        <f>'Raw Data'!Q41</f>
        <v>/</v>
      </c>
      <c r="S27" s="145">
        <f>'Raw Data'!L41</f>
        <v>298</v>
      </c>
      <c r="T27" s="146">
        <f>'Raw Data'!M41</f>
        <v>1</v>
      </c>
      <c r="V27" s="193" t="str">
        <f>'Raw Data'!U41</f>
        <v>^^^</v>
      </c>
      <c r="Y27" s="193" t="s">
        <v>6900</v>
      </c>
    </row>
    <row r="28" spans="1:27" x14ac:dyDescent="0.35">
      <c r="A28" s="155" t="str">
        <f>'Raw Data'!E42</f>
        <v>OKABAE</v>
      </c>
      <c r="B28" s="156" t="str">
        <f t="shared" si="0"/>
        <v>UMCM-150(N)2</v>
      </c>
      <c r="C28" s="146" t="str">
        <f>VLOOKUP($A28, Table_S1!$B$10:$K$5118, 2, FALSE)</f>
        <v>Cu</v>
      </c>
      <c r="D28" s="147">
        <f>VLOOKUP($A28, Table_S1!$B$10:$K$5118, 3, FALSE)</f>
        <v>0.65084500000000001</v>
      </c>
      <c r="E28" s="147">
        <f>VLOOKUP($A28, Table_S1!$B$10:$K$5118, 4, FALSE)</f>
        <v>9.5348400000000009</v>
      </c>
      <c r="F28" s="147">
        <f>VLOOKUP($A28, Table_S1!$B$10:$K$5118, 5, FALSE)</f>
        <v>14.074170000000001</v>
      </c>
      <c r="G28" s="147">
        <f>VLOOKUP($A28, Table_S1!$B$10:$K$5118, 6, FALSE)</f>
        <v>2034.36</v>
      </c>
      <c r="H28" s="147">
        <f>VLOOKUP($A28, Table_S1!$B$10:$K$5118, 7, FALSE)</f>
        <v>3125.73</v>
      </c>
      <c r="I28" s="147">
        <f>VLOOKUP($A28, Table_S1!$B$10:$K$5118, 8, FALSE)</f>
        <v>0.82232700000000003</v>
      </c>
      <c r="J28" s="147">
        <f>VLOOKUP($A28, Table_S1!$B$10:$K$5118, 9, FALSE)</f>
        <v>1.1959299999999999</v>
      </c>
      <c r="K28" s="148">
        <f>VLOOKUP($A28, Table_S1!$B$10:$K$5118, 10, FALSE)</f>
        <v>0</v>
      </c>
      <c r="L28" s="144"/>
      <c r="M28" s="149" t="str">
        <f>'Raw Data'!C42</f>
        <v>UMCM-150(N)2</v>
      </c>
      <c r="N28" s="145">
        <f>'Raw Data'!I42</f>
        <v>2.7</v>
      </c>
      <c r="O28" s="145">
        <f>'Raw Data'!N42</f>
        <v>3110</v>
      </c>
      <c r="P28" s="172">
        <v>1.1679999999999999</v>
      </c>
      <c r="Q28" s="145" t="str">
        <f>'Raw Data'!P42</f>
        <v>9.45/11.55/13.35</v>
      </c>
      <c r="R28" s="145" t="str">
        <f>'Raw Data'!Q42</f>
        <v>/</v>
      </c>
      <c r="S28" s="145">
        <f>'Raw Data'!L42</f>
        <v>298</v>
      </c>
      <c r="T28" s="146">
        <f>'Raw Data'!M42</f>
        <v>1</v>
      </c>
      <c r="V28" s="193" t="str">
        <f>'Raw Data'!U42</f>
        <v>^^^</v>
      </c>
    </row>
    <row r="29" spans="1:27" x14ac:dyDescent="0.35">
      <c r="A29" s="155" t="str">
        <f>'Raw Data'!E43</f>
        <v>HEJPIZ</v>
      </c>
      <c r="B29" s="156" t="str">
        <f t="shared" si="0"/>
        <v>MIL-47</v>
      </c>
      <c r="C29" s="146" t="e">
        <f>VLOOKUP($A29, Table_S1!$B$10:$K$5118, 2, FALSE)</f>
        <v>#N/A</v>
      </c>
      <c r="D29" s="147" t="e">
        <f>VLOOKUP($A29, Table_S1!$B$10:$K$5118, 3, FALSE)</f>
        <v>#N/A</v>
      </c>
      <c r="E29" s="147" t="e">
        <f>VLOOKUP($A29, Table_S1!$B$10:$K$5118, 4, FALSE)</f>
        <v>#N/A</v>
      </c>
      <c r="F29" s="147" t="e">
        <f>VLOOKUP($A29, Table_S1!$B$10:$K$5118, 5, FALSE)</f>
        <v>#N/A</v>
      </c>
      <c r="G29" s="147" t="e">
        <f>VLOOKUP($A29, Table_S1!$B$10:$K$5118, 6, FALSE)</f>
        <v>#N/A</v>
      </c>
      <c r="H29" s="147" t="e">
        <f>VLOOKUP($A29, Table_S1!$B$10:$K$5118, 7, FALSE)</f>
        <v>#N/A</v>
      </c>
      <c r="I29" s="147" t="e">
        <f>VLOOKUP($A29, Table_S1!$B$10:$K$5118, 8, FALSE)</f>
        <v>#N/A</v>
      </c>
      <c r="J29" s="147" t="e">
        <f>VLOOKUP($A29, Table_S1!$B$10:$K$5118, 9, FALSE)</f>
        <v>#N/A</v>
      </c>
      <c r="K29" s="148" t="e">
        <f>VLOOKUP($A29, Table_S1!$B$10:$K$5118, 10, FALSE)</f>
        <v>#N/A</v>
      </c>
      <c r="L29" s="144"/>
      <c r="M29" s="149" t="str">
        <f>'Raw Data'!C43</f>
        <v>MIL-47</v>
      </c>
      <c r="N29" s="145">
        <f>'Raw Data'!I43</f>
        <v>2</v>
      </c>
      <c r="O29" s="145">
        <f>'Raw Data'!N43</f>
        <v>1511</v>
      </c>
      <c r="P29" s="172">
        <v>0.60399999999999998</v>
      </c>
      <c r="Q29" s="145">
        <f>'Raw Data'!P43</f>
        <v>7.35</v>
      </c>
      <c r="R29" s="145" t="str">
        <f>'Raw Data'!Q43</f>
        <v>/</v>
      </c>
      <c r="S29" s="145">
        <f>'Raw Data'!L43</f>
        <v>298</v>
      </c>
      <c r="T29" s="146">
        <f>'Raw Data'!M43</f>
        <v>1</v>
      </c>
      <c r="V29" s="193" t="str">
        <f>'Raw Data'!U43</f>
        <v>^^^</v>
      </c>
    </row>
    <row r="30" spans="1:27" ht="122" x14ac:dyDescent="0.35">
      <c r="A30" s="155" t="str">
        <f>'Raw Data'!E44</f>
        <v>BABRII</v>
      </c>
      <c r="B30" s="156" t="str">
        <f t="shared" si="0"/>
        <v>MOF-177</v>
      </c>
      <c r="C30" s="146" t="e">
        <f>VLOOKUP($A30, Table_S1!$B$10:$K$5118, 2, FALSE)</f>
        <v>#N/A</v>
      </c>
      <c r="D30" s="147" t="e">
        <f>VLOOKUP($A30, Table_S1!$B$10:$K$5118, 3, FALSE)</f>
        <v>#N/A</v>
      </c>
      <c r="E30" s="147" t="e">
        <f>VLOOKUP($A30, Table_S1!$B$10:$K$5118, 4, FALSE)</f>
        <v>#N/A</v>
      </c>
      <c r="F30" s="147" t="e">
        <f>VLOOKUP($A30, Table_S1!$B$10:$K$5118, 5, FALSE)</f>
        <v>#N/A</v>
      </c>
      <c r="G30" s="147" t="e">
        <f>VLOOKUP($A30, Table_S1!$B$10:$K$5118, 6, FALSE)</f>
        <v>#N/A</v>
      </c>
      <c r="H30" s="147" t="e">
        <f>VLOOKUP($A30, Table_S1!$B$10:$K$5118, 7, FALSE)</f>
        <v>#N/A</v>
      </c>
      <c r="I30" s="147" t="e">
        <f>VLOOKUP($A30, Table_S1!$B$10:$K$5118, 8, FALSE)</f>
        <v>#N/A</v>
      </c>
      <c r="J30" s="147" t="e">
        <f>VLOOKUP($A30, Table_S1!$B$10:$K$5118, 9, FALSE)</f>
        <v>#N/A</v>
      </c>
      <c r="K30" s="148" t="e">
        <f>VLOOKUP($A30, Table_S1!$B$10:$K$5118, 10, FALSE)</f>
        <v>#N/A</v>
      </c>
      <c r="L30" s="144"/>
      <c r="M30" s="149" t="str">
        <f>'Raw Data'!C44</f>
        <v>MOF-177</v>
      </c>
      <c r="N30" s="145">
        <f>'Raw Data'!I44</f>
        <v>1.6</v>
      </c>
      <c r="O30" s="145">
        <f>'Raw Data'!N44</f>
        <v>4833</v>
      </c>
      <c r="P30" s="170">
        <v>1.89</v>
      </c>
      <c r="Q30" s="145">
        <f>'Raw Data'!P44</f>
        <v>10.45</v>
      </c>
      <c r="R30" s="170">
        <v>0.43</v>
      </c>
      <c r="S30" s="145">
        <f>'Raw Data'!L44</f>
        <v>298</v>
      </c>
      <c r="T30" s="146">
        <f>'Raw Data'!M44</f>
        <v>1</v>
      </c>
      <c r="V30" s="193" t="str">
        <f>'Raw Data'!U44</f>
        <v>^^^</v>
      </c>
      <c r="Y30" s="193" t="s">
        <v>6991</v>
      </c>
      <c r="AA30" s="194" t="s">
        <v>6991</v>
      </c>
    </row>
    <row r="31" spans="1:27" x14ac:dyDescent="0.35">
      <c r="A31" s="155" t="str">
        <f>'Raw Data'!E45</f>
        <v>EDUSUR</v>
      </c>
      <c r="B31" s="156" t="str">
        <f t="shared" si="0"/>
        <v>IRMOF-3</v>
      </c>
      <c r="C31" s="146" t="e">
        <f>VLOOKUP($A31, Table_S1!$B$10:$K$5118, 2, FALSE)</f>
        <v>#N/A</v>
      </c>
      <c r="D31" s="147" t="e">
        <f>VLOOKUP($A31, Table_S1!$B$10:$K$5118, 3, FALSE)</f>
        <v>#N/A</v>
      </c>
      <c r="E31" s="147" t="e">
        <f>VLOOKUP($A31, Table_S1!$B$10:$K$5118, 4, FALSE)</f>
        <v>#N/A</v>
      </c>
      <c r="F31" s="147" t="e">
        <f>VLOOKUP($A31, Table_S1!$B$10:$K$5118, 5, FALSE)</f>
        <v>#N/A</v>
      </c>
      <c r="G31" s="147" t="e">
        <f>VLOOKUP($A31, Table_S1!$B$10:$K$5118, 6, FALSE)</f>
        <v>#N/A</v>
      </c>
      <c r="H31" s="147" t="e">
        <f>VLOOKUP($A31, Table_S1!$B$10:$K$5118, 7, FALSE)</f>
        <v>#N/A</v>
      </c>
      <c r="I31" s="147" t="e">
        <f>VLOOKUP($A31, Table_S1!$B$10:$K$5118, 8, FALSE)</f>
        <v>#N/A</v>
      </c>
      <c r="J31" s="147" t="e">
        <f>VLOOKUP($A31, Table_S1!$B$10:$K$5118, 9, FALSE)</f>
        <v>#N/A</v>
      </c>
      <c r="K31" s="148" t="e">
        <f>VLOOKUP($A31, Table_S1!$B$10:$K$5118, 10, FALSE)</f>
        <v>#N/A</v>
      </c>
      <c r="L31" s="144"/>
      <c r="M31" s="149" t="str">
        <f>'Raw Data'!C45</f>
        <v>IRMOF-3</v>
      </c>
      <c r="N31" s="145">
        <f>'Raw Data'!I45</f>
        <v>1.1000000000000001</v>
      </c>
      <c r="O31" s="145">
        <f>'Raw Data'!N45</f>
        <v>3365</v>
      </c>
      <c r="P31" s="172">
        <v>1.204</v>
      </c>
      <c r="Q31" s="145" t="str">
        <f>'Raw Data'!P45</f>
        <v>8.65/14.25</v>
      </c>
      <c r="R31" s="145" t="str">
        <f>'Raw Data'!Q45</f>
        <v>/</v>
      </c>
      <c r="S31" s="145">
        <f>'Raw Data'!L45</f>
        <v>298</v>
      </c>
      <c r="T31" s="146">
        <f>'Raw Data'!M45</f>
        <v>1</v>
      </c>
      <c r="V31" s="193" t="str">
        <f>'Raw Data'!U45</f>
        <v>^^^</v>
      </c>
    </row>
    <row r="32" spans="1:27" ht="122" x14ac:dyDescent="0.35">
      <c r="A32" s="155" t="str">
        <f>'Raw Data'!E46</f>
        <v>KISXIU</v>
      </c>
      <c r="B32" s="156" t="str">
        <f t="shared" si="0"/>
        <v>UMCM-1</v>
      </c>
      <c r="C32" s="146" t="e">
        <f>VLOOKUP($A32, Table_S1!$B$10:$K$5118, 2, FALSE)</f>
        <v>#N/A</v>
      </c>
      <c r="D32" s="147" t="e">
        <f>VLOOKUP($A32, Table_S1!$B$10:$K$5118, 3, FALSE)</f>
        <v>#N/A</v>
      </c>
      <c r="E32" s="147" t="e">
        <f>VLOOKUP($A32, Table_S1!$B$10:$K$5118, 4, FALSE)</f>
        <v>#N/A</v>
      </c>
      <c r="F32" s="147" t="e">
        <f>VLOOKUP($A32, Table_S1!$B$10:$K$5118, 5, FALSE)</f>
        <v>#N/A</v>
      </c>
      <c r="G32" s="147" t="e">
        <f>VLOOKUP($A32, Table_S1!$B$10:$K$5118, 6, FALSE)</f>
        <v>#N/A</v>
      </c>
      <c r="H32" s="147" t="e">
        <f>VLOOKUP($A32, Table_S1!$B$10:$K$5118, 7, FALSE)</f>
        <v>#N/A</v>
      </c>
      <c r="I32" s="147" t="e">
        <f>VLOOKUP($A32, Table_S1!$B$10:$K$5118, 8, FALSE)</f>
        <v>#N/A</v>
      </c>
      <c r="J32" s="147" t="e">
        <f>VLOOKUP($A32, Table_S1!$B$10:$K$5118, 9, FALSE)</f>
        <v>#N/A</v>
      </c>
      <c r="K32" s="148" t="e">
        <f>VLOOKUP($A32, Table_S1!$B$10:$K$5118, 10, FALSE)</f>
        <v>#N/A</v>
      </c>
      <c r="L32" s="144"/>
      <c r="M32" s="149" t="str">
        <f>'Raw Data'!C46</f>
        <v>UMCM-1</v>
      </c>
      <c r="N32" s="145">
        <f>'Raw Data'!I46</f>
        <v>0.9</v>
      </c>
      <c r="O32" s="145">
        <f>'Raw Data'!N46</f>
        <v>4972</v>
      </c>
      <c r="P32" s="172">
        <v>2.1459999999999999</v>
      </c>
      <c r="Q32" s="145" t="str">
        <f>'Raw Data'!P46</f>
        <v>10.45/14.05/23.75</v>
      </c>
      <c r="R32" s="145" t="str">
        <f>'Raw Data'!Q46</f>
        <v>/</v>
      </c>
      <c r="S32" s="145">
        <f>'Raw Data'!L46</f>
        <v>298</v>
      </c>
      <c r="T32" s="146">
        <f>'Raw Data'!M46</f>
        <v>1</v>
      </c>
      <c r="V32" s="193" t="str">
        <f>'Raw Data'!U46</f>
        <v>^^^</v>
      </c>
      <c r="Y32" s="193" t="s">
        <v>6991</v>
      </c>
    </row>
    <row r="33" spans="1:27" ht="122" x14ac:dyDescent="0.35">
      <c r="A33" s="155" t="str">
        <f>'Raw Data'!E47</f>
        <v>EDUSIF</v>
      </c>
      <c r="B33" s="156" t="str">
        <f t="shared" si="0"/>
        <v>IRMOF-1</v>
      </c>
      <c r="C33" s="146" t="str">
        <f>VLOOKUP($A33, Table_S1!$B$10:$K$5118, 2, FALSE)</f>
        <v>Zn</v>
      </c>
      <c r="D33" s="147">
        <f>VLOOKUP($A33, Table_S1!$B$10:$K$5118, 3, FALSE)</f>
        <v>0.59333800000000003</v>
      </c>
      <c r="E33" s="147">
        <f>VLOOKUP($A33, Table_S1!$B$10:$K$5118, 4, FALSE)</f>
        <v>7.9158299999999997</v>
      </c>
      <c r="F33" s="147">
        <f>VLOOKUP($A33, Table_S1!$B$10:$K$5118, 5, FALSE)</f>
        <v>15.06639</v>
      </c>
      <c r="G33" s="147">
        <f>VLOOKUP($A33, Table_S1!$B$10:$K$5118, 6, FALSE)</f>
        <v>2156.27</v>
      </c>
      <c r="H33" s="147">
        <f>VLOOKUP($A33, Table_S1!$B$10:$K$5118, 7, FALSE)</f>
        <v>3634.13</v>
      </c>
      <c r="I33" s="147">
        <f>VLOOKUP($A33, Table_S1!$B$10:$K$5118, 8, FALSE)</f>
        <v>0.82919200000000004</v>
      </c>
      <c r="J33" s="147">
        <f>VLOOKUP($A33, Table_S1!$B$10:$K$5118, 9, FALSE)</f>
        <v>1.36205</v>
      </c>
      <c r="K33" s="148">
        <f>VLOOKUP($A33, Table_S1!$B$10:$K$5118, 10, FALSE)</f>
        <v>0</v>
      </c>
      <c r="L33" s="144"/>
      <c r="M33" s="149" t="str">
        <f>'Raw Data'!C47</f>
        <v>IRMOF-1</v>
      </c>
      <c r="N33" s="145">
        <f>'Raw Data'!I47</f>
        <v>0.8</v>
      </c>
      <c r="O33" s="145">
        <f>'Raw Data'!N47</f>
        <v>3562</v>
      </c>
      <c r="P33" s="172">
        <v>1.319</v>
      </c>
      <c r="Q33" s="145" t="str">
        <f>'Raw Data'!P47</f>
        <v>11.25/14.45</v>
      </c>
      <c r="R33" s="145" t="str">
        <f>'Raw Data'!Q47</f>
        <v>/</v>
      </c>
      <c r="S33" s="145">
        <f>'Raw Data'!L47</f>
        <v>298</v>
      </c>
      <c r="T33" s="146">
        <f>'Raw Data'!M47</f>
        <v>1</v>
      </c>
      <c r="V33" s="193" t="str">
        <f>'Raw Data'!U47</f>
        <v>^^^</v>
      </c>
      <c r="Y33" s="193" t="s">
        <v>6991</v>
      </c>
    </row>
    <row r="34" spans="1:27" ht="156" x14ac:dyDescent="0.35">
      <c r="A34" s="155" t="str">
        <f>'Raw Data'!E50</f>
        <v>ORIVOC</v>
      </c>
      <c r="B34" s="156" t="str">
        <f t="shared" si="0"/>
        <v>Zn-MOF-74</v>
      </c>
      <c r="C34" s="146" t="e">
        <f>VLOOKUP($A34, Table_S1!$B$10:$K$5118, 2, FALSE)</f>
        <v>#N/A</v>
      </c>
      <c r="D34" s="147" t="e">
        <f>VLOOKUP($A34, Table_S1!$B$10:$K$5118, 3, FALSE)</f>
        <v>#N/A</v>
      </c>
      <c r="E34" s="147" t="e">
        <f>VLOOKUP($A34, Table_S1!$B$10:$K$5118, 4, FALSE)</f>
        <v>#N/A</v>
      </c>
      <c r="F34" s="147" t="e">
        <f>VLOOKUP($A34, Table_S1!$B$10:$K$5118, 5, FALSE)</f>
        <v>#N/A</v>
      </c>
      <c r="G34" s="147" t="e">
        <f>VLOOKUP($A34, Table_S1!$B$10:$K$5118, 6, FALSE)</f>
        <v>#N/A</v>
      </c>
      <c r="H34" s="147" t="e">
        <f>VLOOKUP($A34, Table_S1!$B$10:$K$5118, 7, FALSE)</f>
        <v>#N/A</v>
      </c>
      <c r="I34" s="147" t="e">
        <f>VLOOKUP($A34, Table_S1!$B$10:$K$5118, 8, FALSE)</f>
        <v>#N/A</v>
      </c>
      <c r="J34" s="147" t="e">
        <f>VLOOKUP($A34, Table_S1!$B$10:$K$5118, 9, FALSE)</f>
        <v>#N/A</v>
      </c>
      <c r="K34" s="148" t="e">
        <f>VLOOKUP($A34, Table_S1!$B$10:$K$5118, 10, FALSE)</f>
        <v>#N/A</v>
      </c>
      <c r="L34" s="144"/>
      <c r="M34" s="149" t="str">
        <f>'Raw Data'!C50</f>
        <v>Zn-MOF-74</v>
      </c>
      <c r="N34" s="145">
        <f>'Raw Data'!I50</f>
        <v>5.5</v>
      </c>
      <c r="O34" s="145">
        <f>'Raw Data'!N50</f>
        <v>816</v>
      </c>
      <c r="P34" s="145" t="str">
        <f>'Raw Data'!O50</f>
        <v>ND</v>
      </c>
      <c r="Q34" s="145" t="str">
        <f>'Raw Data'!P50</f>
        <v>/</v>
      </c>
      <c r="R34" s="145" t="str">
        <f>'Raw Data'!Q50</f>
        <v>/</v>
      </c>
      <c r="S34" s="145">
        <f>'Raw Data'!L50</f>
        <v>298</v>
      </c>
      <c r="T34" s="146">
        <f>'Raw Data'!M50</f>
        <v>1.0129999999999999</v>
      </c>
      <c r="V34" s="193" t="str">
        <f>'Raw Data'!U50</f>
        <v>A.O. Yazaydin, R.Q. Snurr, T.H. Park, K. Koh, J. Liu, M.D. LeVan, A.I. Benin, P. Jakubczak, M. Lanuza, D.B. Galloway, J.J. Low
Screening of metal-organic frameworks for carbon dioxide capture from flue gas using a combined experimental and modeling approach
J Am Chem Soc, 131 (51) (2009), pp. 18198-18199</v>
      </c>
    </row>
    <row r="35" spans="1:27" x14ac:dyDescent="0.35">
      <c r="A35" s="155" t="str">
        <f>'Raw Data'!E51</f>
        <v>ORIVUI</v>
      </c>
      <c r="B35" s="156" t="str">
        <f t="shared" si="0"/>
        <v>Ni-MOF-74</v>
      </c>
      <c r="C35" s="146" t="e">
        <f>VLOOKUP($A35, Table_S1!$B$10:$K$5118, 2, FALSE)</f>
        <v>#N/A</v>
      </c>
      <c r="D35" s="147" t="e">
        <f>VLOOKUP($A35, Table_S1!$B$10:$K$5118, 3, FALSE)</f>
        <v>#N/A</v>
      </c>
      <c r="E35" s="147" t="e">
        <f>VLOOKUP($A35, Table_S1!$B$10:$K$5118, 4, FALSE)</f>
        <v>#N/A</v>
      </c>
      <c r="F35" s="147" t="e">
        <f>VLOOKUP($A35, Table_S1!$B$10:$K$5118, 5, FALSE)</f>
        <v>#N/A</v>
      </c>
      <c r="G35" s="147" t="e">
        <f>VLOOKUP($A35, Table_S1!$B$10:$K$5118, 6, FALSE)</f>
        <v>#N/A</v>
      </c>
      <c r="H35" s="147" t="e">
        <f>VLOOKUP($A35, Table_S1!$B$10:$K$5118, 7, FALSE)</f>
        <v>#N/A</v>
      </c>
      <c r="I35" s="147" t="e">
        <f>VLOOKUP($A35, Table_S1!$B$10:$K$5118, 8, FALSE)</f>
        <v>#N/A</v>
      </c>
      <c r="J35" s="147" t="e">
        <f>VLOOKUP($A35, Table_S1!$B$10:$K$5118, 9, FALSE)</f>
        <v>#N/A</v>
      </c>
      <c r="K35" s="148" t="e">
        <f>VLOOKUP($A35, Table_S1!$B$10:$K$5118, 10, FALSE)</f>
        <v>#N/A</v>
      </c>
      <c r="L35" s="144"/>
      <c r="M35" s="149" t="str">
        <f>'Raw Data'!C51</f>
        <v>Ni-MOF-74</v>
      </c>
      <c r="N35" s="145">
        <f>'Raw Data'!I51</f>
        <v>5.8</v>
      </c>
      <c r="O35" s="145">
        <f>'Raw Data'!N51</f>
        <v>1070</v>
      </c>
      <c r="P35" s="145" t="str">
        <f>'Raw Data'!O51</f>
        <v>/</v>
      </c>
      <c r="Q35" s="145" t="str">
        <f>'Raw Data'!P51</f>
        <v>/</v>
      </c>
      <c r="R35" s="145" t="str">
        <f>'Raw Data'!Q51</f>
        <v>/</v>
      </c>
      <c r="S35" s="145">
        <f>'Raw Data'!L51</f>
        <v>298</v>
      </c>
      <c r="T35" s="146">
        <f>'Raw Data'!M51</f>
        <v>1.0129999999999999</v>
      </c>
      <c r="V35" s="193" t="str">
        <f>'Raw Data'!U51</f>
        <v>^^^</v>
      </c>
    </row>
    <row r="36" spans="1:27" x14ac:dyDescent="0.35">
      <c r="A36" s="155" t="str">
        <f>'Raw Data'!E52</f>
        <v>ORIWAP</v>
      </c>
      <c r="B36" s="156" t="str">
        <f t="shared" si="0"/>
        <v>Co-MOF-74</v>
      </c>
      <c r="C36" s="146" t="e">
        <f>VLOOKUP($A36, Table_S1!$B$10:$K$5118, 2, FALSE)</f>
        <v>#N/A</v>
      </c>
      <c r="D36" s="147" t="e">
        <f>VLOOKUP($A36, Table_S1!$B$10:$K$5118, 3, FALSE)</f>
        <v>#N/A</v>
      </c>
      <c r="E36" s="147" t="e">
        <f>VLOOKUP($A36, Table_S1!$B$10:$K$5118, 4, FALSE)</f>
        <v>#N/A</v>
      </c>
      <c r="F36" s="147" t="e">
        <f>VLOOKUP($A36, Table_S1!$B$10:$K$5118, 5, FALSE)</f>
        <v>#N/A</v>
      </c>
      <c r="G36" s="147" t="e">
        <f>VLOOKUP($A36, Table_S1!$B$10:$K$5118, 6, FALSE)</f>
        <v>#N/A</v>
      </c>
      <c r="H36" s="147" t="e">
        <f>VLOOKUP($A36, Table_S1!$B$10:$K$5118, 7, FALSE)</f>
        <v>#N/A</v>
      </c>
      <c r="I36" s="147" t="e">
        <f>VLOOKUP($A36, Table_S1!$B$10:$K$5118, 8, FALSE)</f>
        <v>#N/A</v>
      </c>
      <c r="J36" s="147" t="e">
        <f>VLOOKUP($A36, Table_S1!$B$10:$K$5118, 9, FALSE)</f>
        <v>#N/A</v>
      </c>
      <c r="K36" s="148" t="e">
        <f>VLOOKUP($A36, Table_S1!$B$10:$K$5118, 10, FALSE)</f>
        <v>#N/A</v>
      </c>
      <c r="L36" s="144"/>
      <c r="M36" s="149" t="str">
        <f>'Raw Data'!C52</f>
        <v>Co-MOF-74</v>
      </c>
      <c r="N36" s="145">
        <f>'Raw Data'!I52</f>
        <v>7</v>
      </c>
      <c r="O36" s="145">
        <f>'Raw Data'!N52</f>
        <v>1080</v>
      </c>
      <c r="P36" s="145" t="str">
        <f>'Raw Data'!O52</f>
        <v>/</v>
      </c>
      <c r="Q36" s="145" t="str">
        <f>'Raw Data'!P52</f>
        <v>/</v>
      </c>
      <c r="R36" s="145" t="str">
        <f>'Raw Data'!Q52</f>
        <v>/</v>
      </c>
      <c r="S36" s="145">
        <f>'Raw Data'!L52</f>
        <v>298</v>
      </c>
      <c r="T36" s="146">
        <f>'Raw Data'!M52</f>
        <v>1.0129999999999999</v>
      </c>
      <c r="V36" s="193" t="str">
        <f>'Raw Data'!U52</f>
        <v>^^^</v>
      </c>
    </row>
    <row r="37" spans="1:27" x14ac:dyDescent="0.35">
      <c r="A37" s="155" t="str">
        <f>'Raw Data'!E53</f>
        <v>/</v>
      </c>
      <c r="B37" s="156" t="str">
        <f t="shared" si="0"/>
        <v>Mg-MOF-74</v>
      </c>
      <c r="C37" s="146" t="e">
        <f>VLOOKUP($A37, Table_S1!$B$10:$K$5118, 2, FALSE)</f>
        <v>#N/A</v>
      </c>
      <c r="D37" s="147" t="e">
        <f>VLOOKUP($A37, Table_S1!$B$10:$K$5118, 3, FALSE)</f>
        <v>#N/A</v>
      </c>
      <c r="E37" s="147" t="e">
        <f>VLOOKUP($A37, Table_S1!$B$10:$K$5118, 4, FALSE)</f>
        <v>#N/A</v>
      </c>
      <c r="F37" s="147" t="e">
        <f>VLOOKUP($A37, Table_S1!$B$10:$K$5118, 5, FALSE)</f>
        <v>#N/A</v>
      </c>
      <c r="G37" s="147" t="e">
        <f>VLOOKUP($A37, Table_S1!$B$10:$K$5118, 6, FALSE)</f>
        <v>#N/A</v>
      </c>
      <c r="H37" s="147" t="e">
        <f>VLOOKUP($A37, Table_S1!$B$10:$K$5118, 7, FALSE)</f>
        <v>#N/A</v>
      </c>
      <c r="I37" s="147" t="e">
        <f>VLOOKUP($A37, Table_S1!$B$10:$K$5118, 8, FALSE)</f>
        <v>#N/A</v>
      </c>
      <c r="J37" s="147" t="e">
        <f>VLOOKUP($A37, Table_S1!$B$10:$K$5118, 9, FALSE)</f>
        <v>#N/A</v>
      </c>
      <c r="K37" s="148" t="e">
        <f>VLOOKUP($A37, Table_S1!$B$10:$K$5118, 10, FALSE)</f>
        <v>#N/A</v>
      </c>
      <c r="L37" s="144"/>
      <c r="M37" s="149" t="str">
        <f>'Raw Data'!C53</f>
        <v>Mg-MOF-74</v>
      </c>
      <c r="N37" s="145">
        <f>'Raw Data'!I53</f>
        <v>8.5</v>
      </c>
      <c r="O37" s="145">
        <f>'Raw Data'!N53</f>
        <v>1495</v>
      </c>
      <c r="P37" s="145" t="str">
        <f>'Raw Data'!O53</f>
        <v>/</v>
      </c>
      <c r="Q37" s="145" t="str">
        <f>'Raw Data'!P53</f>
        <v>/</v>
      </c>
      <c r="R37" s="145" t="str">
        <f>'Raw Data'!Q53</f>
        <v>/</v>
      </c>
      <c r="S37" s="145">
        <f>'Raw Data'!L53</f>
        <v>298</v>
      </c>
      <c r="T37" s="146">
        <f>'Raw Data'!M53</f>
        <v>1.0129999999999999</v>
      </c>
      <c r="V37" s="193" t="str">
        <f>'Raw Data'!U53</f>
        <v>^^^</v>
      </c>
    </row>
    <row r="38" spans="1:27" ht="105" x14ac:dyDescent="0.35">
      <c r="A38" s="155" t="str">
        <f>'Raw Data'!E55</f>
        <v>ORIWAP</v>
      </c>
      <c r="B38" s="156" t="str">
        <f t="shared" si="0"/>
        <v>MOF-74-Co1</v>
      </c>
      <c r="C38" s="146" t="e">
        <f>VLOOKUP($A38, Table_S1!$B$10:$K$5118, 2, FALSE)</f>
        <v>#N/A</v>
      </c>
      <c r="D38" s="147" t="e">
        <f>VLOOKUP($A38, Table_S1!$B$10:$K$5118, 3, FALSE)</f>
        <v>#N/A</v>
      </c>
      <c r="E38" s="147" t="e">
        <f>VLOOKUP($A38, Table_S1!$B$10:$K$5118, 4, FALSE)</f>
        <v>#N/A</v>
      </c>
      <c r="F38" s="147" t="e">
        <f>VLOOKUP($A38, Table_S1!$B$10:$K$5118, 5, FALSE)</f>
        <v>#N/A</v>
      </c>
      <c r="G38" s="147" t="e">
        <f>VLOOKUP($A38, Table_S1!$B$10:$K$5118, 6, FALSE)</f>
        <v>#N/A</v>
      </c>
      <c r="H38" s="147" t="e">
        <f>VLOOKUP($A38, Table_S1!$B$10:$K$5118, 7, FALSE)</f>
        <v>#N/A</v>
      </c>
      <c r="I38" s="147" t="e">
        <f>VLOOKUP($A38, Table_S1!$B$10:$K$5118, 8, FALSE)</f>
        <v>#N/A</v>
      </c>
      <c r="J38" s="147" t="e">
        <f>VLOOKUP($A38, Table_S1!$B$10:$K$5118, 9, FALSE)</f>
        <v>#N/A</v>
      </c>
      <c r="K38" s="148" t="e">
        <f>VLOOKUP($A38, Table_S1!$B$10:$K$5118, 10, FALSE)</f>
        <v>#N/A</v>
      </c>
      <c r="L38" s="144"/>
      <c r="M38" s="149" t="str">
        <f>'Raw Data'!C55</f>
        <v>MOF-74-Co1</v>
      </c>
      <c r="N38" s="145">
        <f>'Raw Data'!I55</f>
        <v>3.4</v>
      </c>
      <c r="O38" s="145">
        <f>'Raw Data'!N55</f>
        <v>2941</v>
      </c>
      <c r="P38" s="145">
        <f>'Raw Data'!O55</f>
        <v>1.77</v>
      </c>
      <c r="Q38" s="145" t="str">
        <f>'Raw Data'!P55</f>
        <v>/</v>
      </c>
      <c r="R38" s="145" t="str">
        <f>'Raw Data'!Q55</f>
        <v>/</v>
      </c>
      <c r="S38" s="145">
        <f>'Raw Data'!L55</f>
        <v>298</v>
      </c>
      <c r="T38" s="146">
        <f>'Raw Data'!M55</f>
        <v>1.0129999999999999</v>
      </c>
      <c r="V38" s="193" t="str">
        <f>'Raw Data'!U55</f>
        <v>D. Britt, H. Furukawa, B. Wang, T.G. Glover, O.M. Yaghi
Highly efficient separation of carbon dioxide by a metal-organic framework replete with open metal sites
P Natl A Sci, 106 (49) (2009), pp. 20637-20640</v>
      </c>
    </row>
    <row r="39" spans="1:27" x14ac:dyDescent="0.35">
      <c r="A39" s="155" t="str">
        <f>'Raw Data'!E56</f>
        <v>ORIWAP</v>
      </c>
      <c r="B39" s="156" t="str">
        <f t="shared" si="0"/>
        <v>MOF-74-Co2</v>
      </c>
      <c r="C39" s="146" t="e">
        <f>VLOOKUP($A39, Table_S1!$B$10:$K$5118, 2, FALSE)</f>
        <v>#N/A</v>
      </c>
      <c r="D39" s="147" t="e">
        <f>VLOOKUP($A39, Table_S1!$B$10:$K$5118, 3, FALSE)</f>
        <v>#N/A</v>
      </c>
      <c r="E39" s="147" t="e">
        <f>VLOOKUP($A39, Table_S1!$B$10:$K$5118, 4, FALSE)</f>
        <v>#N/A</v>
      </c>
      <c r="F39" s="147" t="e">
        <f>VLOOKUP($A39, Table_S1!$B$10:$K$5118, 5, FALSE)</f>
        <v>#N/A</v>
      </c>
      <c r="G39" s="147" t="e">
        <f>VLOOKUP($A39, Table_S1!$B$10:$K$5118, 6, FALSE)</f>
        <v>#N/A</v>
      </c>
      <c r="H39" s="147" t="e">
        <f>VLOOKUP($A39, Table_S1!$B$10:$K$5118, 7, FALSE)</f>
        <v>#N/A</v>
      </c>
      <c r="I39" s="147" t="e">
        <f>VLOOKUP($A39, Table_S1!$B$10:$K$5118, 8, FALSE)</f>
        <v>#N/A</v>
      </c>
      <c r="J39" s="147" t="e">
        <f>VLOOKUP($A39, Table_S1!$B$10:$K$5118, 9, FALSE)</f>
        <v>#N/A</v>
      </c>
      <c r="K39" s="148" t="e">
        <f>VLOOKUP($A39, Table_S1!$B$10:$K$5118, 10, FALSE)</f>
        <v>#N/A</v>
      </c>
      <c r="L39" s="144"/>
      <c r="M39" s="149" t="str">
        <f>'Raw Data'!C56</f>
        <v>MOF-74-Co2</v>
      </c>
      <c r="N39" s="145">
        <f>'Raw Data'!I56</f>
        <v>4.0999999999999996</v>
      </c>
      <c r="O39" s="145">
        <f>'Raw Data'!N56</f>
        <v>2712</v>
      </c>
      <c r="P39" s="145">
        <f>'Raw Data'!O56</f>
        <v>1.38</v>
      </c>
      <c r="Q39" s="145" t="str">
        <f>'Raw Data'!P56</f>
        <v>/</v>
      </c>
      <c r="R39" s="145" t="str">
        <f>'Raw Data'!Q56</f>
        <v>/</v>
      </c>
      <c r="S39" s="145">
        <f>'Raw Data'!L56</f>
        <v>298</v>
      </c>
      <c r="T39" s="146">
        <f>'Raw Data'!M56</f>
        <v>1.0129999999999999</v>
      </c>
      <c r="V39" s="193" t="str">
        <f>'Raw Data'!U56</f>
        <v>^^^</v>
      </c>
    </row>
    <row r="40" spans="1:27" x14ac:dyDescent="0.35">
      <c r="A40" s="155" t="str">
        <f>'Raw Data'!E57</f>
        <v>ORIWAP</v>
      </c>
      <c r="B40" s="156" t="str">
        <f t="shared" si="0"/>
        <v>MOF-74-Co3</v>
      </c>
      <c r="C40" s="146" t="e">
        <f>VLOOKUP($A40, Table_S1!$B$10:$K$5118, 2, FALSE)</f>
        <v>#N/A</v>
      </c>
      <c r="D40" s="147" t="e">
        <f>VLOOKUP($A40, Table_S1!$B$10:$K$5118, 3, FALSE)</f>
        <v>#N/A</v>
      </c>
      <c r="E40" s="147" t="e">
        <f>VLOOKUP($A40, Table_S1!$B$10:$K$5118, 4, FALSE)</f>
        <v>#N/A</v>
      </c>
      <c r="F40" s="147" t="e">
        <f>VLOOKUP($A40, Table_S1!$B$10:$K$5118, 5, FALSE)</f>
        <v>#N/A</v>
      </c>
      <c r="G40" s="147" t="e">
        <f>VLOOKUP($A40, Table_S1!$B$10:$K$5118, 6, FALSE)</f>
        <v>#N/A</v>
      </c>
      <c r="H40" s="147" t="e">
        <f>VLOOKUP($A40, Table_S1!$B$10:$K$5118, 7, FALSE)</f>
        <v>#N/A</v>
      </c>
      <c r="I40" s="147" t="e">
        <f>VLOOKUP($A40, Table_S1!$B$10:$K$5118, 8, FALSE)</f>
        <v>#N/A</v>
      </c>
      <c r="J40" s="147" t="e">
        <f>VLOOKUP($A40, Table_S1!$B$10:$K$5118, 9, FALSE)</f>
        <v>#N/A</v>
      </c>
      <c r="K40" s="148" t="e">
        <f>VLOOKUP($A40, Table_S1!$B$10:$K$5118, 10, FALSE)</f>
        <v>#N/A</v>
      </c>
      <c r="L40" s="144"/>
      <c r="M40" s="149" t="str">
        <f>'Raw Data'!C57</f>
        <v>MOF-74-Co3</v>
      </c>
      <c r="N40" s="145">
        <f>'Raw Data'!I57</f>
        <v>3.9</v>
      </c>
      <c r="O40" s="145">
        <f>'Raw Data'!N57</f>
        <v>2065</v>
      </c>
      <c r="P40" s="145">
        <f>'Raw Data'!O57</f>
        <v>1.1499999999999999</v>
      </c>
      <c r="Q40" s="145" t="str">
        <f>'Raw Data'!P57</f>
        <v>/</v>
      </c>
      <c r="R40" s="145" t="str">
        <f>'Raw Data'!Q57</f>
        <v>/</v>
      </c>
      <c r="S40" s="145">
        <f>'Raw Data'!L57</f>
        <v>298</v>
      </c>
      <c r="T40" s="146">
        <f>'Raw Data'!M57</f>
        <v>1.0129999999999999</v>
      </c>
      <c r="V40" s="193" t="str">
        <f>'Raw Data'!U57</f>
        <v>^^^</v>
      </c>
    </row>
    <row r="41" spans="1:27" ht="105" x14ac:dyDescent="0.35">
      <c r="A41" s="155" t="str">
        <f>'Raw Data'!E59</f>
        <v>HEJPAR</v>
      </c>
      <c r="B41" s="156" t="str">
        <f t="shared" si="0"/>
        <v>AMINO-MIL-53 (AI)</v>
      </c>
      <c r="C41" s="146" t="e">
        <f>VLOOKUP($A41, Table_S1!$B$10:$K$5118, 2, FALSE)</f>
        <v>#N/A</v>
      </c>
      <c r="D41" s="147" t="e">
        <f>VLOOKUP($A41, Table_S1!$B$10:$K$5118, 3, FALSE)</f>
        <v>#N/A</v>
      </c>
      <c r="E41" s="147" t="e">
        <f>VLOOKUP($A41, Table_S1!$B$10:$K$5118, 4, FALSE)</f>
        <v>#N/A</v>
      </c>
      <c r="F41" s="147" t="e">
        <f>VLOOKUP($A41, Table_S1!$B$10:$K$5118, 5, FALSE)</f>
        <v>#N/A</v>
      </c>
      <c r="G41" s="147" t="e">
        <f>VLOOKUP($A41, Table_S1!$B$10:$K$5118, 6, FALSE)</f>
        <v>#N/A</v>
      </c>
      <c r="H41" s="147" t="e">
        <f>VLOOKUP($A41, Table_S1!$B$10:$K$5118, 7, FALSE)</f>
        <v>#N/A</v>
      </c>
      <c r="I41" s="147" t="e">
        <f>VLOOKUP($A41, Table_S1!$B$10:$K$5118, 8, FALSE)</f>
        <v>#N/A</v>
      </c>
      <c r="J41" s="147" t="e">
        <f>VLOOKUP($A41, Table_S1!$B$10:$K$5118, 9, FALSE)</f>
        <v>#N/A</v>
      </c>
      <c r="K41" s="148" t="e">
        <f>VLOOKUP($A41, Table_S1!$B$10:$K$5118, 10, FALSE)</f>
        <v>#N/A</v>
      </c>
      <c r="L41" s="144"/>
      <c r="M41" s="149" t="str">
        <f>'Raw Data'!C59</f>
        <v>AMINO-MIL-53 (AI)</v>
      </c>
      <c r="N41" s="145">
        <f>'Raw Data'!I59</f>
        <v>6.7</v>
      </c>
      <c r="O41" s="145">
        <f>'Raw Data'!N59</f>
        <v>675</v>
      </c>
      <c r="P41" s="145">
        <f>'Raw Data'!O59</f>
        <v>0.22</v>
      </c>
      <c r="Q41" s="145" t="str">
        <f>'Raw Data'!P59</f>
        <v>/</v>
      </c>
      <c r="R41" s="145" t="str">
        <f>'Raw Data'!Q59</f>
        <v>/</v>
      </c>
      <c r="S41" s="145">
        <f>'Raw Data'!L59</f>
        <v>313</v>
      </c>
      <c r="T41" s="146" t="str">
        <f>'Raw Data'!M59</f>
        <v>ND</v>
      </c>
      <c r="V41" s="193" t="str">
        <f>'Raw Data'!U59</f>
        <v>W. Meng, Y. Zeng, Z. Liang, W. Guo, C. Zhi, Y. Wu, R. Zhong, C. Qu, R. Zou
Tuning expanded pores in metal–organic frameworks for selective capture and catalytic conversion of carbon dioxide
ChemSusChem, 11 (21) (2018), pp. 3751-3757</v>
      </c>
    </row>
    <row r="42" spans="1:27" ht="88" x14ac:dyDescent="0.35">
      <c r="A42" s="155" t="str">
        <f>'Raw Data'!E61</f>
        <v>YUVSUE</v>
      </c>
      <c r="B42" s="156" t="str">
        <f t="shared" si="0"/>
        <v>BIO_MOF-11</v>
      </c>
      <c r="C42" s="146" t="str">
        <f>VLOOKUP($A42, Table_S1!$B$10:$K$5118, 2, FALSE)</f>
        <v>Co</v>
      </c>
      <c r="D42" s="147">
        <f>VLOOKUP($A42, Table_S1!$B$10:$K$5118, 3, FALSE)</f>
        <v>1.23437</v>
      </c>
      <c r="E42" s="147">
        <f>VLOOKUP($A42, Table_S1!$B$10:$K$5118, 4, FALSE)</f>
        <v>4.5952400000000004</v>
      </c>
      <c r="F42" s="147">
        <f>VLOOKUP($A42, Table_S1!$B$10:$K$5118, 5, FALSE)</f>
        <v>5.7635899999999998</v>
      </c>
      <c r="G42" s="147">
        <f>VLOOKUP($A42, Table_S1!$B$10:$K$5118, 6, FALSE)</f>
        <v>1043.77</v>
      </c>
      <c r="H42" s="147">
        <f>VLOOKUP($A42, Table_S1!$B$10:$K$5118, 7, FALSE)</f>
        <v>845.59100000000001</v>
      </c>
      <c r="I42" s="147">
        <f>VLOOKUP($A42, Table_S1!$B$10:$K$5118, 8, FALSE)</f>
        <v>0.400335</v>
      </c>
      <c r="J42" s="147">
        <f>VLOOKUP($A42, Table_S1!$B$10:$K$5118, 9, FALSE)</f>
        <v>0.434506</v>
      </c>
      <c r="K42" s="148">
        <f>VLOOKUP($A42, Table_S1!$B$10:$K$5118, 10, FALSE)</f>
        <v>0</v>
      </c>
      <c r="L42" s="144"/>
      <c r="M42" s="149" t="str">
        <f>'Raw Data'!C61</f>
        <v>BIO_MOF-11</v>
      </c>
      <c r="N42" s="145">
        <f>'Raw Data'!I61</f>
        <v>6</v>
      </c>
      <c r="O42" s="145" t="str">
        <f>'Raw Data'!N61</f>
        <v>ND</v>
      </c>
      <c r="P42" s="145" t="str">
        <f>'Raw Data'!O61</f>
        <v>ND</v>
      </c>
      <c r="Q42" s="145" t="str">
        <f>'Raw Data'!P61</f>
        <v>/</v>
      </c>
      <c r="R42" s="145" t="str">
        <f>'Raw Data'!Q61</f>
        <v>/</v>
      </c>
      <c r="S42" s="145">
        <f>'Raw Data'!L61</f>
        <v>273</v>
      </c>
      <c r="T42" s="146">
        <f>'Raw Data'!M61</f>
        <v>1.0129999999999999</v>
      </c>
      <c r="V42" s="193" t="str">
        <f>'Raw Data'!U61</f>
        <v>J. Gascon, U. Aktay, M.D. Hernandez-Alonso, G.P. van Klink, F. Kapteijn
Amino-based metal-organic frameworks as stable, highly active basic catalysts
J Catal, 261 (1) (2009), pp. 75-87</v>
      </c>
    </row>
    <row r="43" spans="1:27" ht="105" x14ac:dyDescent="0.35">
      <c r="A43" s="155" t="str">
        <f>'Raw Data'!E64</f>
        <v>CUBYAD</v>
      </c>
      <c r="B43" s="156" t="str">
        <f t="shared" si="0"/>
        <v>ZIF-8</v>
      </c>
      <c r="C43" s="146" t="e">
        <f>VLOOKUP($A43, Table_S1!$B$10:$K$5118, 2, FALSE)</f>
        <v>#N/A</v>
      </c>
      <c r="D43" s="147" t="e">
        <f>VLOOKUP($A43, Table_S1!$B$10:$K$5118, 3, FALSE)</f>
        <v>#N/A</v>
      </c>
      <c r="E43" s="147" t="e">
        <f>VLOOKUP($A43, Table_S1!$B$10:$K$5118, 4, FALSE)</f>
        <v>#N/A</v>
      </c>
      <c r="F43" s="147" t="e">
        <f>VLOOKUP($A43, Table_S1!$B$10:$K$5118, 5, FALSE)</f>
        <v>#N/A</v>
      </c>
      <c r="G43" s="147" t="e">
        <f>VLOOKUP($A43, Table_S1!$B$10:$K$5118, 6, FALSE)</f>
        <v>#N/A</v>
      </c>
      <c r="H43" s="147" t="e">
        <f>VLOOKUP($A43, Table_S1!$B$10:$K$5118, 7, FALSE)</f>
        <v>#N/A</v>
      </c>
      <c r="I43" s="147" t="e">
        <f>VLOOKUP($A43, Table_S1!$B$10:$K$5118, 8, FALSE)</f>
        <v>#N/A</v>
      </c>
      <c r="J43" s="147" t="e">
        <f>VLOOKUP($A43, Table_S1!$B$10:$K$5118, 9, FALSE)</f>
        <v>#N/A</v>
      </c>
      <c r="K43" s="148" t="e">
        <f>VLOOKUP($A43, Table_S1!$B$10:$K$5118, 10, FALSE)</f>
        <v>#N/A</v>
      </c>
      <c r="L43" s="144"/>
      <c r="M43" s="149" t="str">
        <f>'Raw Data'!C64</f>
        <v>ZIF-8</v>
      </c>
      <c r="N43" s="145">
        <f>'Raw Data'!I64</f>
        <v>1</v>
      </c>
      <c r="O43" s="145">
        <f>'Raw Data'!N64</f>
        <v>1135</v>
      </c>
      <c r="P43" s="145" t="str">
        <f>'Raw Data'!O64</f>
        <v>/</v>
      </c>
      <c r="Q43" s="145" t="str">
        <f>'Raw Data'!P64</f>
        <v>1.16nm</v>
      </c>
      <c r="R43" s="145" t="str">
        <f>'Raw Data'!Q64</f>
        <v>/</v>
      </c>
      <c r="S43" s="145">
        <f>'Raw Data'!L64</f>
        <v>298</v>
      </c>
      <c r="T43" s="146">
        <f>'Raw Data'!M64</f>
        <v>1</v>
      </c>
      <c r="V43" s="193" t="str">
        <f>'Raw Data'!U64</f>
        <v>R. Banerjee, A. Phan, B. Wang, C. Knobler, H. Furukawa, M. O'Keeffe, O.M. Yaghi
High-throughput synthesis of zeolitic imidazolate frameworks and application to CO2 capture
Science, 319 (5865) (2008), pp. 939-943</v>
      </c>
    </row>
    <row r="44" spans="1:27" ht="105" x14ac:dyDescent="0.35">
      <c r="A44" s="155" t="str">
        <f>'Raw Data'!E66</f>
        <v>QOVXAC</v>
      </c>
      <c r="B44" s="156" t="str">
        <f t="shared" si="0"/>
        <v>ZIF-7</v>
      </c>
      <c r="C44" s="146" t="e">
        <f>VLOOKUP($A44, Table_S1!$B$10:$K$5118, 2, FALSE)</f>
        <v>#N/A</v>
      </c>
      <c r="D44" s="147" t="e">
        <f>VLOOKUP($A44, Table_S1!$B$10:$K$5118, 3, FALSE)</f>
        <v>#N/A</v>
      </c>
      <c r="E44" s="147" t="e">
        <f>VLOOKUP($A44, Table_S1!$B$10:$K$5118, 4, FALSE)</f>
        <v>#N/A</v>
      </c>
      <c r="F44" s="147" t="e">
        <f>VLOOKUP($A44, Table_S1!$B$10:$K$5118, 5, FALSE)</f>
        <v>#N/A</v>
      </c>
      <c r="G44" s="147" t="e">
        <f>VLOOKUP($A44, Table_S1!$B$10:$K$5118, 6, FALSE)</f>
        <v>#N/A</v>
      </c>
      <c r="H44" s="147" t="e">
        <f>VLOOKUP($A44, Table_S1!$B$10:$K$5118, 7, FALSE)</f>
        <v>#N/A</v>
      </c>
      <c r="I44" s="147" t="e">
        <f>VLOOKUP($A44, Table_S1!$B$10:$K$5118, 8, FALSE)</f>
        <v>#N/A</v>
      </c>
      <c r="J44" s="147" t="e">
        <f>VLOOKUP($A44, Table_S1!$B$10:$K$5118, 9, FALSE)</f>
        <v>#N/A</v>
      </c>
      <c r="K44" s="148" t="e">
        <f>VLOOKUP($A44, Table_S1!$B$10:$K$5118, 10, FALSE)</f>
        <v>#N/A</v>
      </c>
      <c r="L44" s="144"/>
      <c r="M44" s="149" t="str">
        <f>'Raw Data'!C66</f>
        <v>ZIF-7</v>
      </c>
      <c r="N44" s="145">
        <f>'Raw Data'!I66</f>
        <v>2.2999999999999998</v>
      </c>
      <c r="O44" s="145">
        <f>'Raw Data'!N66</f>
        <v>240</v>
      </c>
      <c r="P44" s="145" t="str">
        <f>'Raw Data'!O66</f>
        <v>/</v>
      </c>
      <c r="Q44" s="145" t="str">
        <f>'Raw Data'!P66</f>
        <v>0.29nm</v>
      </c>
      <c r="R44" s="145" t="str">
        <f>'Raw Data'!Q66</f>
        <v>/</v>
      </c>
      <c r="S44" s="145">
        <f>'Raw Data'!L66</f>
        <v>273</v>
      </c>
      <c r="T44" s="146">
        <f>'Raw Data'!M66</f>
        <v>0.1</v>
      </c>
      <c r="V44" s="193" t="str">
        <f>'Raw Data'!U66</f>
        <v>A. Noguera‐Díaz, J. Villarroel‐Rocha, V.P. Ting, N. Bimbo, K. Sapag, T.J. Mays
Flexible ZIFs: probing guest‐induced flexibility with CO2, N2 and Ar adsorption
J Chem Technol Biotechnol, 94 (12) (2019), pp. 3787-3792</v>
      </c>
    </row>
    <row r="45" spans="1:27" x14ac:dyDescent="0.35">
      <c r="A45" s="155" t="str">
        <f>'Raw Data'!E67</f>
        <v>QOVXEG</v>
      </c>
      <c r="B45" s="156" t="str">
        <f t="shared" si="0"/>
        <v>ZIF-9</v>
      </c>
      <c r="C45" s="146" t="e">
        <f>VLOOKUP($A45, Table_S1!$B$10:$K$5118, 2, FALSE)</f>
        <v>#N/A</v>
      </c>
      <c r="D45" s="147" t="e">
        <f>VLOOKUP($A45, Table_S1!$B$10:$K$5118, 3, FALSE)</f>
        <v>#N/A</v>
      </c>
      <c r="E45" s="147" t="e">
        <f>VLOOKUP($A45, Table_S1!$B$10:$K$5118, 4, FALSE)</f>
        <v>#N/A</v>
      </c>
      <c r="F45" s="147" t="e">
        <f>VLOOKUP($A45, Table_S1!$B$10:$K$5118, 5, FALSE)</f>
        <v>#N/A</v>
      </c>
      <c r="G45" s="147" t="e">
        <f>VLOOKUP($A45, Table_S1!$B$10:$K$5118, 6, FALSE)</f>
        <v>#N/A</v>
      </c>
      <c r="H45" s="147" t="e">
        <f>VLOOKUP($A45, Table_S1!$B$10:$K$5118, 7, FALSE)</f>
        <v>#N/A</v>
      </c>
      <c r="I45" s="147" t="e">
        <f>VLOOKUP($A45, Table_S1!$B$10:$K$5118, 8, FALSE)</f>
        <v>#N/A</v>
      </c>
      <c r="J45" s="147" t="e">
        <f>VLOOKUP($A45, Table_S1!$B$10:$K$5118, 9, FALSE)</f>
        <v>#N/A</v>
      </c>
      <c r="K45" s="148" t="e">
        <f>VLOOKUP($A45, Table_S1!$B$10:$K$5118, 10, FALSE)</f>
        <v>#N/A</v>
      </c>
      <c r="L45" s="144"/>
      <c r="M45" s="149" t="str">
        <f>'Raw Data'!C67</f>
        <v>ZIF-9</v>
      </c>
      <c r="N45" s="145">
        <f>'Raw Data'!I67</f>
        <v>2</v>
      </c>
      <c r="O45" s="145">
        <f>'Raw Data'!N67</f>
        <v>224</v>
      </c>
      <c r="P45" s="145" t="str">
        <f>'Raw Data'!O67</f>
        <v>/</v>
      </c>
      <c r="Q45" s="145" t="str">
        <f>'Raw Data'!P67</f>
        <v>0.29nm</v>
      </c>
      <c r="R45" s="145" t="str">
        <f>'Raw Data'!Q67</f>
        <v>/</v>
      </c>
      <c r="S45" s="145">
        <f>'Raw Data'!L67</f>
        <v>273</v>
      </c>
      <c r="T45" s="146">
        <f>'Raw Data'!M67</f>
        <v>0.1</v>
      </c>
      <c r="V45" s="193" t="str">
        <f>'Raw Data'!U67</f>
        <v>^^^</v>
      </c>
    </row>
    <row r="46" spans="1:27" x14ac:dyDescent="0.35">
      <c r="A46" s="155" t="str">
        <f>'Raw Data'!E68</f>
        <v>VEJZUG</v>
      </c>
      <c r="B46" s="156" t="str">
        <f t="shared" si="0"/>
        <v>ZIF-12</v>
      </c>
      <c r="C46" s="146" t="e">
        <f>VLOOKUP($A46, Table_S1!$B$10:$K$5118, 2, FALSE)</f>
        <v>#N/A</v>
      </c>
      <c r="D46" s="147" t="e">
        <f>VLOOKUP($A46, Table_S1!$B$10:$K$5118, 3, FALSE)</f>
        <v>#N/A</v>
      </c>
      <c r="E46" s="147" t="e">
        <f>VLOOKUP($A46, Table_S1!$B$10:$K$5118, 4, FALSE)</f>
        <v>#N/A</v>
      </c>
      <c r="F46" s="147" t="e">
        <f>VLOOKUP($A46, Table_S1!$B$10:$K$5118, 5, FALSE)</f>
        <v>#N/A</v>
      </c>
      <c r="G46" s="147" t="e">
        <f>VLOOKUP($A46, Table_S1!$B$10:$K$5118, 6, FALSE)</f>
        <v>#N/A</v>
      </c>
      <c r="H46" s="147" t="e">
        <f>VLOOKUP($A46, Table_S1!$B$10:$K$5118, 7, FALSE)</f>
        <v>#N/A</v>
      </c>
      <c r="I46" s="147" t="e">
        <f>VLOOKUP($A46, Table_S1!$B$10:$K$5118, 8, FALSE)</f>
        <v>#N/A</v>
      </c>
      <c r="J46" s="147" t="e">
        <f>VLOOKUP($A46, Table_S1!$B$10:$K$5118, 9, FALSE)</f>
        <v>#N/A</v>
      </c>
      <c r="K46" s="148" t="e">
        <f>VLOOKUP($A46, Table_S1!$B$10:$K$5118, 10, FALSE)</f>
        <v>#N/A</v>
      </c>
      <c r="L46" s="144"/>
      <c r="M46" s="149" t="str">
        <f>'Raw Data'!C68</f>
        <v>ZIF-12</v>
      </c>
      <c r="N46" s="145">
        <f>'Raw Data'!I68</f>
        <v>2.1</v>
      </c>
      <c r="O46" s="145">
        <f>'Raw Data'!N68</f>
        <v>671</v>
      </c>
      <c r="P46" s="145" t="str">
        <f>'Raw Data'!O68</f>
        <v>/</v>
      </c>
      <c r="Q46" s="145" t="str">
        <f>'Raw Data'!P68</f>
        <v>0.32nm</v>
      </c>
      <c r="R46" s="145" t="str">
        <f>'Raw Data'!Q68</f>
        <v>/</v>
      </c>
      <c r="S46" s="145">
        <f>'Raw Data'!L68</f>
        <v>273</v>
      </c>
      <c r="T46" s="146">
        <f>'Raw Data'!M68</f>
        <v>0.1</v>
      </c>
      <c r="V46" s="193" t="str">
        <f>'Raw Data'!U68</f>
        <v>^^^</v>
      </c>
    </row>
    <row r="47" spans="1:27" x14ac:dyDescent="0.35">
      <c r="A47" s="155" t="str">
        <f>'Raw Data'!E69</f>
        <v>GITVAH</v>
      </c>
      <c r="B47" s="156" t="str">
        <f t="shared" si="0"/>
        <v>ZIF-69</v>
      </c>
      <c r="C47" s="146" t="e">
        <f>VLOOKUP($A47, Table_S1!$B$10:$K$5118, 2, FALSE)</f>
        <v>#N/A</v>
      </c>
      <c r="D47" s="147" t="e">
        <f>VLOOKUP($A47, Table_S1!$B$10:$K$5118, 3, FALSE)</f>
        <v>#N/A</v>
      </c>
      <c r="E47" s="147" t="e">
        <f>VLOOKUP($A47, Table_S1!$B$10:$K$5118, 4, FALSE)</f>
        <v>#N/A</v>
      </c>
      <c r="F47" s="147" t="e">
        <f>VLOOKUP($A47, Table_S1!$B$10:$K$5118, 5, FALSE)</f>
        <v>#N/A</v>
      </c>
      <c r="G47" s="147" t="e">
        <f>VLOOKUP($A47, Table_S1!$B$10:$K$5118, 6, FALSE)</f>
        <v>#N/A</v>
      </c>
      <c r="H47" s="147" t="e">
        <f>VLOOKUP($A47, Table_S1!$B$10:$K$5118, 7, FALSE)</f>
        <v>#N/A</v>
      </c>
      <c r="I47" s="147" t="e">
        <f>VLOOKUP($A47, Table_S1!$B$10:$K$5118, 8, FALSE)</f>
        <v>#N/A</v>
      </c>
      <c r="J47" s="147" t="e">
        <f>VLOOKUP($A47, Table_S1!$B$10:$K$5118, 9, FALSE)</f>
        <v>#N/A</v>
      </c>
      <c r="K47" s="148" t="e">
        <f>VLOOKUP($A47, Table_S1!$B$10:$K$5118, 10, FALSE)</f>
        <v>#N/A</v>
      </c>
      <c r="L47" s="144"/>
      <c r="M47" s="149" t="str">
        <f>'Raw Data'!C69</f>
        <v>ZIF-69</v>
      </c>
      <c r="N47" s="145" t="str">
        <f>'Raw Data'!I69</f>
        <v>~3.1</v>
      </c>
      <c r="O47" s="145">
        <f>'Raw Data'!N69</f>
        <v>950</v>
      </c>
      <c r="P47" s="145" t="str">
        <f>'Raw Data'!O69</f>
        <v>/</v>
      </c>
      <c r="Q47" s="145" t="str">
        <f>'Raw Data'!P69</f>
        <v>0.78nm</v>
      </c>
      <c r="R47" s="145" t="str">
        <f>'Raw Data'!Q69</f>
        <v>/</v>
      </c>
      <c r="S47" s="145">
        <f>'Raw Data'!L69</f>
        <v>273</v>
      </c>
      <c r="T47" s="146" t="str">
        <f>'Raw Data'!M69</f>
        <v>~1</v>
      </c>
      <c r="V47" s="193" t="str">
        <f>'Raw Data'!U69</f>
        <v>^^^</v>
      </c>
    </row>
    <row r="48" spans="1:27" ht="156" x14ac:dyDescent="0.35">
      <c r="A48" s="155" t="str">
        <f>'Raw Data'!E71</f>
        <v>CIZTEO</v>
      </c>
      <c r="B48" s="156" t="str">
        <f t="shared" si="0"/>
        <v>ZIF-78</v>
      </c>
      <c r="C48" s="146" t="e">
        <f>VLOOKUP($A48, Table_S1!$B$10:$K$5118, 2, FALSE)</f>
        <v>#N/A</v>
      </c>
      <c r="D48" s="147" t="e">
        <f>VLOOKUP($A48, Table_S1!$B$10:$K$5118, 3, FALSE)</f>
        <v>#N/A</v>
      </c>
      <c r="E48" s="147" t="e">
        <f>VLOOKUP($A48, Table_S1!$B$10:$K$5118, 4, FALSE)</f>
        <v>#N/A</v>
      </c>
      <c r="F48" s="147" t="e">
        <f>VLOOKUP($A48, Table_S1!$B$10:$K$5118, 5, FALSE)</f>
        <v>#N/A</v>
      </c>
      <c r="G48" s="147" t="e">
        <f>VLOOKUP($A48, Table_S1!$B$10:$K$5118, 6, FALSE)</f>
        <v>#N/A</v>
      </c>
      <c r="H48" s="147" t="e">
        <f>VLOOKUP($A48, Table_S1!$B$10:$K$5118, 7, FALSE)</f>
        <v>#N/A</v>
      </c>
      <c r="I48" s="147" t="e">
        <f>VLOOKUP($A48, Table_S1!$B$10:$K$5118, 8, FALSE)</f>
        <v>#N/A</v>
      </c>
      <c r="J48" s="147" t="e">
        <f>VLOOKUP($A48, Table_S1!$B$10:$K$5118, 9, FALSE)</f>
        <v>#N/A</v>
      </c>
      <c r="K48" s="148" t="e">
        <f>VLOOKUP($A48, Table_S1!$B$10:$K$5118, 10, FALSE)</f>
        <v>#N/A</v>
      </c>
      <c r="L48" s="144"/>
      <c r="M48" s="149" t="str">
        <f>'Raw Data'!C71</f>
        <v>ZIF-78</v>
      </c>
      <c r="N48" s="145" t="str">
        <f>'Raw Data'!I71</f>
        <v>look</v>
      </c>
      <c r="O48" s="145">
        <f>'Raw Data'!N71</f>
        <v>620</v>
      </c>
      <c r="P48" s="145" t="str">
        <f>'Raw Data'!O71</f>
        <v>/</v>
      </c>
      <c r="Q48" s="145" t="str">
        <f>'Raw Data'!P71</f>
        <v>0.71nm</v>
      </c>
      <c r="R48" s="170">
        <v>1.198</v>
      </c>
      <c r="S48" s="145">
        <f>'Raw Data'!L71</f>
        <v>298</v>
      </c>
      <c r="T48" s="146">
        <f>'Raw Data'!M71</f>
        <v>1</v>
      </c>
      <c r="V48" s="193" t="str">
        <f>'Raw Data'!U71</f>
        <v>R. Banerjee, H. Furukawa, D. Britt, C. Knobler, M. O'Keeffe, O.M. Yaghi
Control of pore size and functionality in isoreticular zeolitic imidazolate frameworks and their carbon dioxide selective capture properties
J Am Chem Soc, 131 (11) (2009), pp. 3875-3877</v>
      </c>
      <c r="AA48" s="194" t="s">
        <v>6906</v>
      </c>
    </row>
    <row r="49" spans="1:27" ht="156" x14ac:dyDescent="0.35">
      <c r="A49" s="155" t="str">
        <f>'Raw Data'!E72</f>
        <v>RIRDIH</v>
      </c>
      <c r="B49" s="156" t="str">
        <f t="shared" si="0"/>
        <v>ZIF-81</v>
      </c>
      <c r="C49" s="146" t="e">
        <f>VLOOKUP($A49, Table_S1!$B$10:$K$5118, 2, FALSE)</f>
        <v>#N/A</v>
      </c>
      <c r="D49" s="147" t="e">
        <f>VLOOKUP($A49, Table_S1!$B$10:$K$5118, 3, FALSE)</f>
        <v>#N/A</v>
      </c>
      <c r="E49" s="147" t="e">
        <f>VLOOKUP($A49, Table_S1!$B$10:$K$5118, 4, FALSE)</f>
        <v>#N/A</v>
      </c>
      <c r="F49" s="147" t="e">
        <f>VLOOKUP($A49, Table_S1!$B$10:$K$5118, 5, FALSE)</f>
        <v>#N/A</v>
      </c>
      <c r="G49" s="147" t="e">
        <f>VLOOKUP($A49, Table_S1!$B$10:$K$5118, 6, FALSE)</f>
        <v>#N/A</v>
      </c>
      <c r="H49" s="147" t="e">
        <f>VLOOKUP($A49, Table_S1!$B$10:$K$5118, 7, FALSE)</f>
        <v>#N/A</v>
      </c>
      <c r="I49" s="147" t="e">
        <f>VLOOKUP($A49, Table_S1!$B$10:$K$5118, 8, FALSE)</f>
        <v>#N/A</v>
      </c>
      <c r="J49" s="147" t="e">
        <f>VLOOKUP($A49, Table_S1!$B$10:$K$5118, 9, FALSE)</f>
        <v>#N/A</v>
      </c>
      <c r="K49" s="148" t="e">
        <f>VLOOKUP($A49, Table_S1!$B$10:$K$5118, 10, FALSE)</f>
        <v>#N/A</v>
      </c>
      <c r="L49" s="144"/>
      <c r="M49" s="149" t="str">
        <f>'Raw Data'!C72</f>
        <v>ZIF-81</v>
      </c>
      <c r="N49" s="145" t="str">
        <f>'Raw Data'!I72</f>
        <v>look</v>
      </c>
      <c r="O49" s="145">
        <f>'Raw Data'!N72</f>
        <v>760</v>
      </c>
      <c r="P49" s="145" t="str">
        <f>'Raw Data'!O72</f>
        <v>/</v>
      </c>
      <c r="Q49" s="145" t="str">
        <f>'Raw Data'!P72</f>
        <v>0.74nm</v>
      </c>
      <c r="R49" s="170">
        <v>1.302</v>
      </c>
      <c r="S49" s="145">
        <f>'Raw Data'!L72</f>
        <v>298</v>
      </c>
      <c r="T49" s="146">
        <f>'Raw Data'!M72</f>
        <v>1</v>
      </c>
      <c r="V49" s="193" t="str">
        <f>'Raw Data'!U72</f>
        <v>^^^</v>
      </c>
      <c r="AA49" s="194" t="s">
        <v>6906</v>
      </c>
    </row>
    <row r="50" spans="1:27" ht="156" x14ac:dyDescent="0.35">
      <c r="A50" s="155" t="str">
        <f>'Raw Data'!E73</f>
        <v>CIZTOY</v>
      </c>
      <c r="B50" s="156" t="str">
        <f t="shared" si="0"/>
        <v>ZIF-79</v>
      </c>
      <c r="C50" s="146" t="e">
        <f>VLOOKUP($A50, Table_S1!$B$10:$K$5118, 2, FALSE)</f>
        <v>#N/A</v>
      </c>
      <c r="D50" s="147" t="e">
        <f>VLOOKUP($A50, Table_S1!$B$10:$K$5118, 3, FALSE)</f>
        <v>#N/A</v>
      </c>
      <c r="E50" s="147" t="e">
        <f>VLOOKUP($A50, Table_S1!$B$10:$K$5118, 4, FALSE)</f>
        <v>#N/A</v>
      </c>
      <c r="F50" s="147" t="e">
        <f>VLOOKUP($A50, Table_S1!$B$10:$K$5118, 5, FALSE)</f>
        <v>#N/A</v>
      </c>
      <c r="G50" s="147" t="e">
        <f>VLOOKUP($A50, Table_S1!$B$10:$K$5118, 6, FALSE)</f>
        <v>#N/A</v>
      </c>
      <c r="H50" s="147" t="e">
        <f>VLOOKUP($A50, Table_S1!$B$10:$K$5118, 7, FALSE)</f>
        <v>#N/A</v>
      </c>
      <c r="I50" s="147" t="e">
        <f>VLOOKUP($A50, Table_S1!$B$10:$K$5118, 8, FALSE)</f>
        <v>#N/A</v>
      </c>
      <c r="J50" s="147" t="e">
        <f>VLOOKUP($A50, Table_S1!$B$10:$K$5118, 9, FALSE)</f>
        <v>#N/A</v>
      </c>
      <c r="K50" s="148" t="e">
        <f>VLOOKUP($A50, Table_S1!$B$10:$K$5118, 10, FALSE)</f>
        <v>#N/A</v>
      </c>
      <c r="L50" s="144"/>
      <c r="M50" s="149" t="str">
        <f>'Raw Data'!C73</f>
        <v>ZIF-79</v>
      </c>
      <c r="N50" s="145" t="str">
        <f>'Raw Data'!I73</f>
        <v>look</v>
      </c>
      <c r="O50" s="145">
        <f>'Raw Data'!N73</f>
        <v>810</v>
      </c>
      <c r="P50" s="145" t="str">
        <f>'Raw Data'!O73</f>
        <v>/</v>
      </c>
      <c r="Q50" s="145" t="str">
        <f>'Raw Data'!P73</f>
        <v>0.75nm</v>
      </c>
      <c r="R50" s="170">
        <v>1.075</v>
      </c>
      <c r="S50" s="145">
        <f>'Raw Data'!L73</f>
        <v>298</v>
      </c>
      <c r="T50" s="146">
        <f>'Raw Data'!M73</f>
        <v>1</v>
      </c>
      <c r="V50" s="193" t="str">
        <f>'Raw Data'!U73</f>
        <v>^^^</v>
      </c>
      <c r="AA50" s="194" t="s">
        <v>6906</v>
      </c>
    </row>
    <row r="51" spans="1:27" x14ac:dyDescent="0.35">
      <c r="A51" s="155" t="str">
        <f>'Raw Data'!E74</f>
        <v>GITVAH</v>
      </c>
      <c r="B51" s="156" t="str">
        <f t="shared" si="0"/>
        <v>ZIF-69</v>
      </c>
      <c r="C51" s="146" t="e">
        <f>VLOOKUP($A51, Table_S1!$B$10:$K$5118, 2, FALSE)</f>
        <v>#N/A</v>
      </c>
      <c r="D51" s="147" t="e">
        <f>VLOOKUP($A51, Table_S1!$B$10:$K$5118, 3, FALSE)</f>
        <v>#N/A</v>
      </c>
      <c r="E51" s="147" t="e">
        <f>VLOOKUP($A51, Table_S1!$B$10:$K$5118, 4, FALSE)</f>
        <v>#N/A</v>
      </c>
      <c r="F51" s="147" t="e">
        <f>VLOOKUP($A51, Table_S1!$B$10:$K$5118, 5, FALSE)</f>
        <v>#N/A</v>
      </c>
      <c r="G51" s="147" t="e">
        <f>VLOOKUP($A51, Table_S1!$B$10:$K$5118, 6, FALSE)</f>
        <v>#N/A</v>
      </c>
      <c r="H51" s="147" t="e">
        <f>VLOOKUP($A51, Table_S1!$B$10:$K$5118, 7, FALSE)</f>
        <v>#N/A</v>
      </c>
      <c r="I51" s="147" t="e">
        <f>VLOOKUP($A51, Table_S1!$B$10:$K$5118, 8, FALSE)</f>
        <v>#N/A</v>
      </c>
      <c r="J51" s="147" t="e">
        <f>VLOOKUP($A51, Table_S1!$B$10:$K$5118, 9, FALSE)</f>
        <v>#N/A</v>
      </c>
      <c r="K51" s="148" t="e">
        <f>VLOOKUP($A51, Table_S1!$B$10:$K$5118, 10, FALSE)</f>
        <v>#N/A</v>
      </c>
      <c r="L51" s="144"/>
      <c r="M51" s="149" t="str">
        <f>'Raw Data'!C74</f>
        <v>ZIF-69</v>
      </c>
      <c r="N51" s="145" t="str">
        <f>'Raw Data'!I74</f>
        <v>look</v>
      </c>
      <c r="O51" s="145">
        <f>'Raw Data'!N74</f>
        <v>950</v>
      </c>
      <c r="P51" s="145" t="str">
        <f>'Raw Data'!O74</f>
        <v>/</v>
      </c>
      <c r="Q51" s="145" t="str">
        <f>'Raw Data'!P74</f>
        <v>0.78nm</v>
      </c>
      <c r="R51" s="145" t="str">
        <f>'Raw Data'!Q74</f>
        <v>/</v>
      </c>
      <c r="S51" s="145">
        <f>'Raw Data'!L74</f>
        <v>298</v>
      </c>
      <c r="T51" s="146">
        <f>'Raw Data'!M74</f>
        <v>1</v>
      </c>
      <c r="V51" s="193" t="str">
        <f>'Raw Data'!U74</f>
        <v>^^^</v>
      </c>
    </row>
    <row r="52" spans="1:27" x14ac:dyDescent="0.35">
      <c r="A52" s="155" t="str">
        <f>'Raw Data'!E75</f>
        <v>CIZSUD</v>
      </c>
      <c r="B52" s="156" t="str">
        <f t="shared" si="0"/>
        <v>ZIF-68</v>
      </c>
      <c r="C52" s="146" t="e">
        <f>VLOOKUP($A52, Table_S1!$B$10:$K$5118, 2, FALSE)</f>
        <v>#N/A</v>
      </c>
      <c r="D52" s="147" t="e">
        <f>VLOOKUP($A52, Table_S1!$B$10:$K$5118, 3, FALSE)</f>
        <v>#N/A</v>
      </c>
      <c r="E52" s="147" t="e">
        <f>VLOOKUP($A52, Table_S1!$B$10:$K$5118, 4, FALSE)</f>
        <v>#N/A</v>
      </c>
      <c r="F52" s="147" t="e">
        <f>VLOOKUP($A52, Table_S1!$B$10:$K$5118, 5, FALSE)</f>
        <v>#N/A</v>
      </c>
      <c r="G52" s="147" t="e">
        <f>VLOOKUP($A52, Table_S1!$B$10:$K$5118, 6, FALSE)</f>
        <v>#N/A</v>
      </c>
      <c r="H52" s="147" t="e">
        <f>VLOOKUP($A52, Table_S1!$B$10:$K$5118, 7, FALSE)</f>
        <v>#N/A</v>
      </c>
      <c r="I52" s="147" t="e">
        <f>VLOOKUP($A52, Table_S1!$B$10:$K$5118, 8, FALSE)</f>
        <v>#N/A</v>
      </c>
      <c r="J52" s="147" t="e">
        <f>VLOOKUP($A52, Table_S1!$B$10:$K$5118, 9, FALSE)</f>
        <v>#N/A</v>
      </c>
      <c r="K52" s="148" t="e">
        <f>VLOOKUP($A52, Table_S1!$B$10:$K$5118, 10, FALSE)</f>
        <v>#N/A</v>
      </c>
      <c r="L52" s="144"/>
      <c r="M52" s="149" t="str">
        <f>'Raw Data'!C75</f>
        <v>ZIF-68</v>
      </c>
      <c r="N52" s="145" t="str">
        <f>'Raw Data'!I75</f>
        <v>look</v>
      </c>
      <c r="O52" s="145">
        <f>'Raw Data'!N75</f>
        <v>1090</v>
      </c>
      <c r="P52" s="145" t="str">
        <f>'Raw Data'!O75</f>
        <v>/</v>
      </c>
      <c r="Q52" s="145" t="str">
        <f>'Raw Data'!P75</f>
        <v>1.03nm</v>
      </c>
      <c r="R52" s="145" t="str">
        <f>'Raw Data'!Q75</f>
        <v>/</v>
      </c>
      <c r="S52" s="145">
        <f>'Raw Data'!L75</f>
        <v>298</v>
      </c>
      <c r="T52" s="146">
        <f>'Raw Data'!M75</f>
        <v>1</v>
      </c>
      <c r="V52" s="193" t="str">
        <f>'Raw Data'!U75</f>
        <v>^^^</v>
      </c>
    </row>
    <row r="53" spans="1:27" ht="156" x14ac:dyDescent="0.35">
      <c r="A53" s="155" t="str">
        <f>'Raw Data'!E76</f>
        <v>/</v>
      </c>
      <c r="B53" s="156" t="str">
        <f t="shared" si="0"/>
        <v>ZIF-82</v>
      </c>
      <c r="C53" s="146" t="e">
        <f>VLOOKUP($A53, Table_S1!$B$10:$K$5118, 2, FALSE)</f>
        <v>#N/A</v>
      </c>
      <c r="D53" s="147" t="e">
        <f>VLOOKUP($A53, Table_S1!$B$10:$K$5118, 3, FALSE)</f>
        <v>#N/A</v>
      </c>
      <c r="E53" s="147" t="e">
        <f>VLOOKUP($A53, Table_S1!$B$10:$K$5118, 4, FALSE)</f>
        <v>#N/A</v>
      </c>
      <c r="F53" s="147" t="e">
        <f>VLOOKUP($A53, Table_S1!$B$10:$K$5118, 5, FALSE)</f>
        <v>#N/A</v>
      </c>
      <c r="G53" s="147" t="e">
        <f>VLOOKUP($A53, Table_S1!$B$10:$K$5118, 6, FALSE)</f>
        <v>#N/A</v>
      </c>
      <c r="H53" s="147" t="e">
        <f>VLOOKUP($A53, Table_S1!$B$10:$K$5118, 7, FALSE)</f>
        <v>#N/A</v>
      </c>
      <c r="I53" s="147" t="e">
        <f>VLOOKUP($A53, Table_S1!$B$10:$K$5118, 8, FALSE)</f>
        <v>#N/A</v>
      </c>
      <c r="J53" s="147" t="e">
        <f>VLOOKUP($A53, Table_S1!$B$10:$K$5118, 9, FALSE)</f>
        <v>#N/A</v>
      </c>
      <c r="K53" s="148" t="e">
        <f>VLOOKUP($A53, Table_S1!$B$10:$K$5118, 10, FALSE)</f>
        <v>#N/A</v>
      </c>
      <c r="L53" s="144"/>
      <c r="M53" s="149" t="str">
        <f>'Raw Data'!C76</f>
        <v>ZIF-82</v>
      </c>
      <c r="N53" s="145" t="str">
        <f>'Raw Data'!I76</f>
        <v>look</v>
      </c>
      <c r="O53" s="145">
        <f>'Raw Data'!N76</f>
        <v>1300</v>
      </c>
      <c r="P53" s="145" t="str">
        <f>'Raw Data'!O76</f>
        <v>/</v>
      </c>
      <c r="Q53" s="145" t="str">
        <f>'Raw Data'!P76</f>
        <v>1.23nm</v>
      </c>
      <c r="R53" s="170">
        <v>1.1619999999999999</v>
      </c>
      <c r="S53" s="145">
        <f>'Raw Data'!L76</f>
        <v>298</v>
      </c>
      <c r="T53" s="146">
        <f>'Raw Data'!M76</f>
        <v>1</v>
      </c>
      <c r="V53" s="193" t="str">
        <f>'Raw Data'!U76</f>
        <v>^^^</v>
      </c>
      <c r="AA53" s="194" t="s">
        <v>6906</v>
      </c>
    </row>
    <row r="54" spans="1:27" ht="122" x14ac:dyDescent="0.35">
      <c r="A54" s="155" t="str">
        <f>'Raw Data'!E80</f>
        <v>/</v>
      </c>
      <c r="B54" s="156" t="str">
        <f t="shared" si="0"/>
        <v>Mg-MOF-74</v>
      </c>
      <c r="C54" s="146" t="e">
        <f>VLOOKUP($A54, Table_S1!$B$10:$K$5118, 2, FALSE)</f>
        <v>#N/A</v>
      </c>
      <c r="D54" s="147" t="e">
        <f>VLOOKUP($A54, Table_S1!$B$10:$K$5118, 3, FALSE)</f>
        <v>#N/A</v>
      </c>
      <c r="E54" s="147" t="e">
        <f>VLOOKUP($A54, Table_S1!$B$10:$K$5118, 4, FALSE)</f>
        <v>#N/A</v>
      </c>
      <c r="F54" s="147" t="e">
        <f>VLOOKUP($A54, Table_S1!$B$10:$K$5118, 5, FALSE)</f>
        <v>#N/A</v>
      </c>
      <c r="G54" s="147" t="e">
        <f>VLOOKUP($A54, Table_S1!$B$10:$K$5118, 6, FALSE)</f>
        <v>#N/A</v>
      </c>
      <c r="H54" s="147" t="e">
        <f>VLOOKUP($A54, Table_S1!$B$10:$K$5118, 7, FALSE)</f>
        <v>#N/A</v>
      </c>
      <c r="I54" s="147" t="e">
        <f>VLOOKUP($A54, Table_S1!$B$10:$K$5118, 8, FALSE)</f>
        <v>#N/A</v>
      </c>
      <c r="J54" s="147" t="e">
        <f>VLOOKUP($A54, Table_S1!$B$10:$K$5118, 9, FALSE)</f>
        <v>#N/A</v>
      </c>
      <c r="K54" s="148" t="e">
        <f>VLOOKUP($A54, Table_S1!$B$10:$K$5118, 10, FALSE)</f>
        <v>#N/A</v>
      </c>
      <c r="L54" s="144"/>
      <c r="M54" s="149" t="str">
        <f>'Raw Data'!C80</f>
        <v>Mg-MOF-74</v>
      </c>
      <c r="N54" s="145">
        <f>'Raw Data'!I80</f>
        <v>1.49</v>
      </c>
      <c r="O54" s="145" t="str">
        <f>'Raw Data'!Q80</f>
        <v>/</v>
      </c>
      <c r="P54" s="145" t="str">
        <f>'Raw Data'!R80</f>
        <v>/</v>
      </c>
      <c r="Q54" s="145" t="str">
        <f>'Raw Data'!S80</f>
        <v>/</v>
      </c>
      <c r="R54" s="145" t="str">
        <f>'Raw Data'!T80</f>
        <v>/</v>
      </c>
      <c r="S54" s="145" t="str">
        <f>'Raw Data'!O80</f>
        <v>273,1</v>
      </c>
      <c r="T54" s="146" t="str">
        <f>'Raw Data'!P80</f>
        <v>/</v>
      </c>
      <c r="V54" s="193" t="str">
        <f>'Raw Data'!X80</f>
        <v>Z.Y. Gao, L. Liang, X. Zhang, P. Xu, J.M. Sun
Facile one-pot synthesis of zn/mg-MOF-74 with unsaturated coordination metal centers for efficient CO2 adsorption and conversion to cyclic carbonates
ACS Appl. Mater. Interfaces, 13 (2021), pp. 61334-61345, 10.1021/acsami.1c20878</v>
      </c>
    </row>
    <row r="55" spans="1:27" x14ac:dyDescent="0.35">
      <c r="A55" s="155" t="str">
        <f>'Raw Data'!E81</f>
        <v>ORIVOC</v>
      </c>
      <c r="B55" s="156" t="str">
        <f t="shared" si="0"/>
        <v>Zn-MOF-74</v>
      </c>
      <c r="C55" s="146" t="e">
        <f>VLOOKUP($A55, Table_S1!$B$10:$K$5118, 2, FALSE)</f>
        <v>#N/A</v>
      </c>
      <c r="D55" s="147" t="e">
        <f>VLOOKUP($A55, Table_S1!$B$10:$K$5118, 3, FALSE)</f>
        <v>#N/A</v>
      </c>
      <c r="E55" s="147" t="e">
        <f>VLOOKUP($A55, Table_S1!$B$10:$K$5118, 4, FALSE)</f>
        <v>#N/A</v>
      </c>
      <c r="F55" s="147" t="e">
        <f>VLOOKUP($A55, Table_S1!$B$10:$K$5118, 5, FALSE)</f>
        <v>#N/A</v>
      </c>
      <c r="G55" s="147" t="e">
        <f>VLOOKUP($A55, Table_S1!$B$10:$K$5118, 6, FALSE)</f>
        <v>#N/A</v>
      </c>
      <c r="H55" s="147" t="e">
        <f>VLOOKUP($A55, Table_S1!$B$10:$K$5118, 7, FALSE)</f>
        <v>#N/A</v>
      </c>
      <c r="I55" s="147" t="e">
        <f>VLOOKUP($A55, Table_S1!$B$10:$K$5118, 8, FALSE)</f>
        <v>#N/A</v>
      </c>
      <c r="J55" s="147" t="e">
        <f>VLOOKUP($A55, Table_S1!$B$10:$K$5118, 9, FALSE)</f>
        <v>#N/A</v>
      </c>
      <c r="K55" s="148" t="e">
        <f>VLOOKUP($A55, Table_S1!$B$10:$K$5118, 10, FALSE)</f>
        <v>#N/A</v>
      </c>
      <c r="L55" s="144"/>
      <c r="M55" s="149" t="str">
        <f>'Raw Data'!C81</f>
        <v>Zn-MOF-74</v>
      </c>
      <c r="N55" s="145">
        <f>'Raw Data'!I81</f>
        <v>2.44</v>
      </c>
      <c r="O55" s="145" t="str">
        <f>'Raw Data'!Q81</f>
        <v>/</v>
      </c>
      <c r="P55" s="145" t="str">
        <f>'Raw Data'!R81</f>
        <v>/</v>
      </c>
      <c r="Q55" s="145" t="str">
        <f>'Raw Data'!S81</f>
        <v>/</v>
      </c>
      <c r="R55" s="145" t="str">
        <f>'Raw Data'!T81</f>
        <v>/</v>
      </c>
      <c r="S55" s="145" t="str">
        <f>'Raw Data'!O81</f>
        <v>273,1</v>
      </c>
      <c r="T55" s="146" t="str">
        <f>'Raw Data'!P81</f>
        <v>/</v>
      </c>
      <c r="V55" s="193" t="str">
        <f>'Raw Data'!X81</f>
        <v>^^^</v>
      </c>
    </row>
    <row r="56" spans="1:27" x14ac:dyDescent="0.35">
      <c r="A56" s="155" t="str">
        <f>'Raw Data'!E82</f>
        <v>ORIVOC</v>
      </c>
      <c r="B56" s="156" t="str">
        <f t="shared" si="0"/>
        <v>Zn0.75Mg0.25-MOF-74</v>
      </c>
      <c r="C56" s="146" t="e">
        <f>VLOOKUP($A56, Table_S1!$B$10:$K$5118, 2, FALSE)</f>
        <v>#N/A</v>
      </c>
      <c r="D56" s="147" t="e">
        <f>VLOOKUP($A56, Table_S1!$B$10:$K$5118, 3, FALSE)</f>
        <v>#N/A</v>
      </c>
      <c r="E56" s="147" t="e">
        <f>VLOOKUP($A56, Table_S1!$B$10:$K$5118, 4, FALSE)</f>
        <v>#N/A</v>
      </c>
      <c r="F56" s="147" t="e">
        <f>VLOOKUP($A56, Table_S1!$B$10:$K$5118, 5, FALSE)</f>
        <v>#N/A</v>
      </c>
      <c r="G56" s="147" t="e">
        <f>VLOOKUP($A56, Table_S1!$B$10:$K$5118, 6, FALSE)</f>
        <v>#N/A</v>
      </c>
      <c r="H56" s="147" t="e">
        <f>VLOOKUP($A56, Table_S1!$B$10:$K$5118, 7, FALSE)</f>
        <v>#N/A</v>
      </c>
      <c r="I56" s="147" t="e">
        <f>VLOOKUP($A56, Table_S1!$B$10:$K$5118, 8, FALSE)</f>
        <v>#N/A</v>
      </c>
      <c r="J56" s="147" t="e">
        <f>VLOOKUP($A56, Table_S1!$B$10:$K$5118, 9, FALSE)</f>
        <v>#N/A</v>
      </c>
      <c r="K56" s="148" t="e">
        <f>VLOOKUP($A56, Table_S1!$B$10:$K$5118, 10, FALSE)</f>
        <v>#N/A</v>
      </c>
      <c r="L56" s="144"/>
      <c r="M56" s="149" t="str">
        <f>'Raw Data'!C82</f>
        <v>Zn0.75Mg0.25-MOF-74</v>
      </c>
      <c r="N56" s="145">
        <f>'Raw Data'!I82</f>
        <v>3.99</v>
      </c>
      <c r="O56" s="145">
        <f>'Raw Data'!Q82</f>
        <v>667.6</v>
      </c>
      <c r="P56" s="145" t="str">
        <f>'Raw Data'!R82</f>
        <v>/</v>
      </c>
      <c r="Q56" s="145" t="str">
        <f>'Raw Data'!S82</f>
        <v>/</v>
      </c>
      <c r="R56" s="145" t="str">
        <f>'Raw Data'!T82</f>
        <v>/</v>
      </c>
      <c r="S56" s="145" t="str">
        <f>'Raw Data'!O82</f>
        <v>273,1</v>
      </c>
      <c r="T56" s="146" t="str">
        <f>'Raw Data'!P82</f>
        <v>/</v>
      </c>
      <c r="V56" s="193" t="str">
        <f>'Raw Data'!X82</f>
        <v>^^^</v>
      </c>
    </row>
    <row r="57" spans="1:27" ht="105" x14ac:dyDescent="0.35">
      <c r="A57" s="155" t="str">
        <f>'Raw Data'!E83</f>
        <v>/</v>
      </c>
      <c r="B57" s="156" t="str">
        <f t="shared" si="0"/>
        <v>Cu-OATA</v>
      </c>
      <c r="C57" s="146" t="e">
        <f>VLOOKUP($A57, Table_S1!$B$10:$K$5118, 2, FALSE)</f>
        <v>#N/A</v>
      </c>
      <c r="D57" s="147" t="e">
        <f>VLOOKUP($A57, Table_S1!$B$10:$K$5118, 3, FALSE)</f>
        <v>#N/A</v>
      </c>
      <c r="E57" s="147" t="e">
        <f>VLOOKUP($A57, Table_S1!$B$10:$K$5118, 4, FALSE)</f>
        <v>#N/A</v>
      </c>
      <c r="F57" s="147" t="e">
        <f>VLOOKUP($A57, Table_S1!$B$10:$K$5118, 5, FALSE)</f>
        <v>#N/A</v>
      </c>
      <c r="G57" s="147" t="e">
        <f>VLOOKUP($A57, Table_S1!$B$10:$K$5118, 6, FALSE)</f>
        <v>#N/A</v>
      </c>
      <c r="H57" s="147" t="e">
        <f>VLOOKUP($A57, Table_S1!$B$10:$K$5118, 7, FALSE)</f>
        <v>#N/A</v>
      </c>
      <c r="I57" s="147" t="e">
        <f>VLOOKUP($A57, Table_S1!$B$10:$K$5118, 8, FALSE)</f>
        <v>#N/A</v>
      </c>
      <c r="J57" s="147" t="e">
        <f>VLOOKUP($A57, Table_S1!$B$10:$K$5118, 9, FALSE)</f>
        <v>#N/A</v>
      </c>
      <c r="K57" s="148" t="e">
        <f>VLOOKUP($A57, Table_S1!$B$10:$K$5118, 10, FALSE)</f>
        <v>#N/A</v>
      </c>
      <c r="L57" s="144"/>
      <c r="M57" s="149" t="str">
        <f>'Raw Data'!C83</f>
        <v>Cu-OATA</v>
      </c>
      <c r="N57" s="145">
        <f>'Raw Data'!I83</f>
        <v>2.2400000000000002</v>
      </c>
      <c r="O57" s="145" t="str">
        <f>'Raw Data'!Q83</f>
        <v>/</v>
      </c>
      <c r="P57" s="145" t="str">
        <f>'Raw Data'!R83</f>
        <v>/</v>
      </c>
      <c r="Q57" s="145" t="str">
        <f>'Raw Data'!S83</f>
        <v>/</v>
      </c>
      <c r="R57" s="145" t="str">
        <f>'Raw Data'!T83</f>
        <v>/</v>
      </c>
      <c r="S57" s="145" t="str">
        <f>'Raw Data'!O83</f>
        <v>298,1</v>
      </c>
      <c r="T57" s="146" t="str">
        <f>'Raw Data'!P83</f>
        <v>/</v>
      </c>
      <c r="V57" s="193" t="str">
        <f>'Raw Data'!X83</f>
        <v>Y. Guclu, H. Erer, H. Demiral, C. Altintas, S. Keskin, N. Tumanov, B.L. Su, F. Semerci
Oxalamide-functionalized metal organic frameworks for CO2 adsorption
ACS Appl. Mater. Interfaces, 13 (2021), pp. 33188-33198</v>
      </c>
    </row>
    <row r="58" spans="1:27" ht="122" x14ac:dyDescent="0.35">
      <c r="A58" s="155" t="str">
        <f>'Raw Data'!E84</f>
        <v>/</v>
      </c>
      <c r="B58" s="156" t="str">
        <f t="shared" si="0"/>
        <v>Cu(I)Zn@MIL-100(Fe)-10</v>
      </c>
      <c r="C58" s="146" t="e">
        <f>VLOOKUP($A58, Table_S1!$B$10:$K$5118, 2, FALSE)</f>
        <v>#N/A</v>
      </c>
      <c r="D58" s="147" t="e">
        <f>VLOOKUP($A58, Table_S1!$B$10:$K$5118, 3, FALSE)</f>
        <v>#N/A</v>
      </c>
      <c r="E58" s="147" t="e">
        <f>VLOOKUP($A58, Table_S1!$B$10:$K$5118, 4, FALSE)</f>
        <v>#N/A</v>
      </c>
      <c r="F58" s="147" t="e">
        <f>VLOOKUP($A58, Table_S1!$B$10:$K$5118, 5, FALSE)</f>
        <v>#N/A</v>
      </c>
      <c r="G58" s="147" t="e">
        <f>VLOOKUP($A58, Table_S1!$B$10:$K$5118, 6, FALSE)</f>
        <v>#N/A</v>
      </c>
      <c r="H58" s="147" t="e">
        <f>VLOOKUP($A58, Table_S1!$B$10:$K$5118, 7, FALSE)</f>
        <v>#N/A</v>
      </c>
      <c r="I58" s="147" t="e">
        <f>VLOOKUP($A58, Table_S1!$B$10:$K$5118, 8, FALSE)</f>
        <v>#N/A</v>
      </c>
      <c r="J58" s="147" t="e">
        <f>VLOOKUP($A58, Table_S1!$B$10:$K$5118, 9, FALSE)</f>
        <v>#N/A</v>
      </c>
      <c r="K58" s="148" t="e">
        <f>VLOOKUP($A58, Table_S1!$B$10:$K$5118, 10, FALSE)</f>
        <v>#N/A</v>
      </c>
      <c r="L58" s="144"/>
      <c r="M58" s="149" t="str">
        <f>'Raw Data'!C84</f>
        <v>Cu(I)Zn@MIL-100(Fe)-10</v>
      </c>
      <c r="N58" s="145">
        <f>'Raw Data'!I84</f>
        <v>0.4</v>
      </c>
      <c r="O58" s="145" t="str">
        <f>'Raw Data'!Q84</f>
        <v>/</v>
      </c>
      <c r="P58" s="145" t="str">
        <f>'Raw Data'!R84</f>
        <v>/</v>
      </c>
      <c r="Q58" s="145" t="str">
        <f>'Raw Data'!S84</f>
        <v>/</v>
      </c>
      <c r="R58" s="145" t="str">
        <f>'Raw Data'!T84</f>
        <v>/</v>
      </c>
      <c r="S58" s="145" t="str">
        <f>'Raw Data'!O84</f>
        <v>298,1</v>
      </c>
      <c r="T58" s="146" t="str">
        <f>'Raw Data'!P84</f>
        <v>/</v>
      </c>
      <c r="V58" s="193" t="str">
        <f>'Raw Data'!X84</f>
        <v>V.N. Le, T.K. Vo, J.H. Lee, J.C. Kim, T.H. Kim, K.H. Oh, Y.S. Bae, S.K. Kwak, J. Kim
A novel approach to prepare Cu(i)Zn@MIL-100(Fe) adsorbent with high co adsorption capacity, CO/CO2 selectivity and stability via controlled host-guest redox reaction
Chem. Eng. J., 404 (2021), Article 126492</v>
      </c>
    </row>
    <row r="59" spans="1:27" ht="105" x14ac:dyDescent="0.35">
      <c r="A59" s="155" t="str">
        <f>'Raw Data'!E85</f>
        <v>BOHWUS</v>
      </c>
      <c r="B59" s="156" t="str">
        <f t="shared" si="0"/>
        <v>MOF-808</v>
      </c>
      <c r="C59" s="146" t="e">
        <f>VLOOKUP($A59, Table_S1!$B$10:$K$5118, 2, FALSE)</f>
        <v>#N/A</v>
      </c>
      <c r="D59" s="147" t="e">
        <f>VLOOKUP($A59, Table_S1!$B$10:$K$5118, 3, FALSE)</f>
        <v>#N/A</v>
      </c>
      <c r="E59" s="147" t="e">
        <f>VLOOKUP($A59, Table_S1!$B$10:$K$5118, 4, FALSE)</f>
        <v>#N/A</v>
      </c>
      <c r="F59" s="147" t="e">
        <f>VLOOKUP($A59, Table_S1!$B$10:$K$5118, 5, FALSE)</f>
        <v>#N/A</v>
      </c>
      <c r="G59" s="147" t="e">
        <f>VLOOKUP($A59, Table_S1!$B$10:$K$5118, 6, FALSE)</f>
        <v>#N/A</v>
      </c>
      <c r="H59" s="147" t="e">
        <f>VLOOKUP($A59, Table_S1!$B$10:$K$5118, 7, FALSE)</f>
        <v>#N/A</v>
      </c>
      <c r="I59" s="147" t="e">
        <f>VLOOKUP($A59, Table_S1!$B$10:$K$5118, 8, FALSE)</f>
        <v>#N/A</v>
      </c>
      <c r="J59" s="147" t="e">
        <f>VLOOKUP($A59, Table_S1!$B$10:$K$5118, 9, FALSE)</f>
        <v>#N/A</v>
      </c>
      <c r="K59" s="148" t="e">
        <f>VLOOKUP($A59, Table_S1!$B$10:$K$5118, 10, FALSE)</f>
        <v>#N/A</v>
      </c>
      <c r="L59" s="144"/>
      <c r="M59" s="149" t="str">
        <f>'Raw Data'!C85</f>
        <v>MOF-808</v>
      </c>
      <c r="N59" s="145">
        <f>'Raw Data'!I85</f>
        <v>1.36</v>
      </c>
      <c r="O59" s="145" t="str">
        <f>'Raw Data'!Q85</f>
        <v>/</v>
      </c>
      <c r="P59" s="145" t="str">
        <f>'Raw Data'!R85</f>
        <v>/</v>
      </c>
      <c r="Q59" s="145" t="str">
        <f>'Raw Data'!S85</f>
        <v>/</v>
      </c>
      <c r="R59" s="145" t="str">
        <f>'Raw Data'!T85</f>
        <v>/</v>
      </c>
      <c r="S59" s="145" t="str">
        <f>'Raw Data'!O85</f>
        <v>298,1</v>
      </c>
      <c r="T59" s="146" t="s">
        <v>7001</v>
      </c>
      <c r="V59" s="193" t="str">
        <f>'Raw Data'!X85</f>
        <v>J.M. Park, D.K. Yoo, S.H. Jhung
Selective CO2 adsorption over functionalized Zr-based metal organic framework under atmospheric or lower pressure: Contribution of functional groups to adsorption
Chem. Eng. J., 402 (2020), Article 126254</v>
      </c>
    </row>
    <row r="60" spans="1:27" x14ac:dyDescent="0.35">
      <c r="A60" s="155" t="str">
        <f>'Raw Data'!E86</f>
        <v>BOHWUS</v>
      </c>
      <c r="B60" s="156" t="str">
        <f t="shared" si="0"/>
        <v>MOF-808-EDTA</v>
      </c>
      <c r="C60" s="146" t="e">
        <f>VLOOKUP($A60, Table_S1!$B$10:$K$5118, 2, FALSE)</f>
        <v>#N/A</v>
      </c>
      <c r="D60" s="147" t="e">
        <f>VLOOKUP($A60, Table_S1!$B$10:$K$5118, 3, FALSE)</f>
        <v>#N/A</v>
      </c>
      <c r="E60" s="147" t="e">
        <f>VLOOKUP($A60, Table_S1!$B$10:$K$5118, 4, FALSE)</f>
        <v>#N/A</v>
      </c>
      <c r="F60" s="147" t="e">
        <f>VLOOKUP($A60, Table_S1!$B$10:$K$5118, 5, FALSE)</f>
        <v>#N/A</v>
      </c>
      <c r="G60" s="147" t="e">
        <f>VLOOKUP($A60, Table_S1!$B$10:$K$5118, 6, FALSE)</f>
        <v>#N/A</v>
      </c>
      <c r="H60" s="147" t="e">
        <f>VLOOKUP($A60, Table_S1!$B$10:$K$5118, 7, FALSE)</f>
        <v>#N/A</v>
      </c>
      <c r="I60" s="147" t="e">
        <f>VLOOKUP($A60, Table_S1!$B$10:$K$5118, 8, FALSE)</f>
        <v>#N/A</v>
      </c>
      <c r="J60" s="147" t="e">
        <f>VLOOKUP($A60, Table_S1!$B$10:$K$5118, 9, FALSE)</f>
        <v>#N/A</v>
      </c>
      <c r="K60" s="148" t="e">
        <f>VLOOKUP($A60, Table_S1!$B$10:$K$5118, 10, FALSE)</f>
        <v>#N/A</v>
      </c>
      <c r="L60" s="144"/>
      <c r="M60" s="149" t="str">
        <f>'Raw Data'!C86</f>
        <v>MOF-808-EDTA</v>
      </c>
      <c r="N60" s="145">
        <f>'Raw Data'!I86</f>
        <v>1.48</v>
      </c>
      <c r="O60" s="145" t="str">
        <f>'Raw Data'!Q86</f>
        <v>/</v>
      </c>
      <c r="P60" s="145" t="str">
        <f>'Raw Data'!R86</f>
        <v>/</v>
      </c>
      <c r="Q60" s="145" t="str">
        <f>'Raw Data'!S86</f>
        <v>/</v>
      </c>
      <c r="R60" s="145" t="str">
        <f>'Raw Data'!T86</f>
        <v>/</v>
      </c>
      <c r="S60" s="145" t="str">
        <f>'Raw Data'!O86</f>
        <v>298,1</v>
      </c>
      <c r="T60" s="146" t="s">
        <v>7001</v>
      </c>
      <c r="V60" s="193" t="str">
        <f>'Raw Data'!X86</f>
        <v>^^^</v>
      </c>
    </row>
    <row r="61" spans="1:27" x14ac:dyDescent="0.35">
      <c r="A61" s="155" t="str">
        <f>'Raw Data'!E87</f>
        <v>BOHWUS</v>
      </c>
      <c r="B61" s="156" t="str">
        <f t="shared" si="0"/>
        <v>MOF-808-EDTA-ED-1.2</v>
      </c>
      <c r="C61" s="146" t="e">
        <f>VLOOKUP($A61, Table_S1!$B$10:$K$5118, 2, FALSE)</f>
        <v>#N/A</v>
      </c>
      <c r="D61" s="147" t="e">
        <f>VLOOKUP($A61, Table_S1!$B$10:$K$5118, 3, FALSE)</f>
        <v>#N/A</v>
      </c>
      <c r="E61" s="147" t="e">
        <f>VLOOKUP($A61, Table_S1!$B$10:$K$5118, 4, FALSE)</f>
        <v>#N/A</v>
      </c>
      <c r="F61" s="147" t="e">
        <f>VLOOKUP($A61, Table_S1!$B$10:$K$5118, 5, FALSE)</f>
        <v>#N/A</v>
      </c>
      <c r="G61" s="147" t="e">
        <f>VLOOKUP($A61, Table_S1!$B$10:$K$5118, 6, FALSE)</f>
        <v>#N/A</v>
      </c>
      <c r="H61" s="147" t="e">
        <f>VLOOKUP($A61, Table_S1!$B$10:$K$5118, 7, FALSE)</f>
        <v>#N/A</v>
      </c>
      <c r="I61" s="147" t="e">
        <f>VLOOKUP($A61, Table_S1!$B$10:$K$5118, 8, FALSE)</f>
        <v>#N/A</v>
      </c>
      <c r="J61" s="147" t="e">
        <f>VLOOKUP($A61, Table_S1!$B$10:$K$5118, 9, FALSE)</f>
        <v>#N/A</v>
      </c>
      <c r="K61" s="148" t="e">
        <f>VLOOKUP($A61, Table_S1!$B$10:$K$5118, 10, FALSE)</f>
        <v>#N/A</v>
      </c>
      <c r="L61" s="144"/>
      <c r="M61" s="149" t="str">
        <f>'Raw Data'!C87</f>
        <v>MOF-808-EDTA-ED-1.2</v>
      </c>
      <c r="N61" s="145">
        <f>'Raw Data'!I87</f>
        <v>1.62</v>
      </c>
      <c r="O61" s="145" t="str">
        <f>'Raw Data'!Q87</f>
        <v>/</v>
      </c>
      <c r="P61" s="145" t="str">
        <f>'Raw Data'!R87</f>
        <v>/</v>
      </c>
      <c r="Q61" s="145" t="str">
        <f>'Raw Data'!S87</f>
        <v>/</v>
      </c>
      <c r="R61" s="145" t="str">
        <f>'Raw Data'!T87</f>
        <v>/</v>
      </c>
      <c r="S61" s="145" t="str">
        <f>'Raw Data'!O87</f>
        <v>298,1</v>
      </c>
      <c r="T61" s="146" t="s">
        <v>7001</v>
      </c>
      <c r="V61" s="193" t="str">
        <f>'Raw Data'!X87</f>
        <v>^^^</v>
      </c>
    </row>
    <row r="62" spans="1:27" ht="139" x14ac:dyDescent="0.35">
      <c r="A62" s="155" t="str">
        <f>'Raw Data'!E88</f>
        <v>/</v>
      </c>
      <c r="B62" s="156" t="str">
        <f t="shared" si="0"/>
        <v>Mg2(dobpdc)(3-4-3)</v>
      </c>
      <c r="C62" s="146" t="e">
        <f>VLOOKUP($A62, Table_S1!$B$10:$K$5118, 2, FALSE)</f>
        <v>#N/A</v>
      </c>
      <c r="D62" s="147" t="e">
        <f>VLOOKUP($A62, Table_S1!$B$10:$K$5118, 3, FALSE)</f>
        <v>#N/A</v>
      </c>
      <c r="E62" s="147" t="e">
        <f>VLOOKUP($A62, Table_S1!$B$10:$K$5118, 4, FALSE)</f>
        <v>#N/A</v>
      </c>
      <c r="F62" s="147" t="e">
        <f>VLOOKUP($A62, Table_S1!$B$10:$K$5118, 5, FALSE)</f>
        <v>#N/A</v>
      </c>
      <c r="G62" s="147" t="e">
        <f>VLOOKUP($A62, Table_S1!$B$10:$K$5118, 6, FALSE)</f>
        <v>#N/A</v>
      </c>
      <c r="H62" s="147" t="e">
        <f>VLOOKUP($A62, Table_S1!$B$10:$K$5118, 7, FALSE)</f>
        <v>#N/A</v>
      </c>
      <c r="I62" s="147" t="e">
        <f>VLOOKUP($A62, Table_S1!$B$10:$K$5118, 8, FALSE)</f>
        <v>#N/A</v>
      </c>
      <c r="J62" s="147" t="e">
        <f>VLOOKUP($A62, Table_S1!$B$10:$K$5118, 9, FALSE)</f>
        <v>#N/A</v>
      </c>
      <c r="K62" s="148" t="e">
        <f>VLOOKUP($A62, Table_S1!$B$10:$K$5118, 10, FALSE)</f>
        <v>#N/A</v>
      </c>
      <c r="L62" s="144"/>
      <c r="M62" s="149" t="str">
        <f>'Raw Data'!C88</f>
        <v>Mg2(dobpdc)(3-4-3)</v>
      </c>
      <c r="N62" s="145">
        <f>'Raw Data'!I88</f>
        <v>2</v>
      </c>
      <c r="O62" s="145" t="str">
        <f>'Raw Data'!Q88</f>
        <v>/</v>
      </c>
      <c r="P62" s="145" t="str">
        <f>'Raw Data'!R88</f>
        <v>/</v>
      </c>
      <c r="Q62" s="145" t="str">
        <f>'Raw Data'!S88</f>
        <v>/</v>
      </c>
      <c r="R62" s="145" t="str">
        <f>'Raw Data'!T88</f>
        <v>/</v>
      </c>
      <c r="S62" s="145" t="str">
        <f>'Raw Data'!O88</f>
        <v>273,0.04</v>
      </c>
      <c r="T62" s="146" t="str">
        <f>'Raw Data'!P88</f>
        <v>/</v>
      </c>
      <c r="V62" s="193" t="str">
        <f>'Raw Data'!X88</f>
        <v>E.J. Kim, R.L. Siegelman, H.Z.H. Jiang, A.C. Forse, J.H. Lee, J.D. Martell, P.J. Milner, J.M. Falkowski, J.B. Neaton, J.A. Reimer, S.C. Weston, J.R. Long
Cooperative carbon capture and steam regeneration with tetraamine-appended metal-organic frameworks
Science, 369 (2020), p. 392-+</v>
      </c>
    </row>
    <row r="63" spans="1:27" ht="122" x14ac:dyDescent="0.35">
      <c r="A63" s="155" t="str">
        <f>'Raw Data'!E89</f>
        <v>BOWHUS</v>
      </c>
      <c r="B63" s="156" t="str">
        <f t="shared" si="0"/>
        <v>MOF-808-DL-Lys</v>
      </c>
      <c r="C63" s="146" t="e">
        <f>VLOOKUP($A63, Table_S1!$B$10:$K$5118, 2, FALSE)</f>
        <v>#N/A</v>
      </c>
      <c r="D63" s="147" t="e">
        <f>VLOOKUP($A63, Table_S1!$B$10:$K$5118, 3, FALSE)</f>
        <v>#N/A</v>
      </c>
      <c r="E63" s="147" t="e">
        <f>VLOOKUP($A63, Table_S1!$B$10:$K$5118, 4, FALSE)</f>
        <v>#N/A</v>
      </c>
      <c r="F63" s="147" t="e">
        <f>VLOOKUP($A63, Table_S1!$B$10:$K$5118, 5, FALSE)</f>
        <v>#N/A</v>
      </c>
      <c r="G63" s="147" t="e">
        <f>VLOOKUP($A63, Table_S1!$B$10:$K$5118, 6, FALSE)</f>
        <v>#N/A</v>
      </c>
      <c r="H63" s="147" t="e">
        <f>VLOOKUP($A63, Table_S1!$B$10:$K$5118, 7, FALSE)</f>
        <v>#N/A</v>
      </c>
      <c r="I63" s="147" t="e">
        <f>VLOOKUP($A63, Table_S1!$B$10:$K$5118, 8, FALSE)</f>
        <v>#N/A</v>
      </c>
      <c r="J63" s="147" t="e">
        <f>VLOOKUP($A63, Table_S1!$B$10:$K$5118, 9, FALSE)</f>
        <v>#N/A</v>
      </c>
      <c r="K63" s="148" t="e">
        <f>VLOOKUP($A63, Table_S1!$B$10:$K$5118, 10, FALSE)</f>
        <v>#N/A</v>
      </c>
      <c r="L63" s="144"/>
      <c r="M63" s="149" t="str">
        <f>'Raw Data'!C89</f>
        <v>MOF-808-DL-Lys</v>
      </c>
      <c r="N63" s="145">
        <f>'Raw Data'!I89</f>
        <v>1.04</v>
      </c>
      <c r="O63" s="145" t="str">
        <f>'Raw Data'!Q89</f>
        <v>/</v>
      </c>
      <c r="P63" s="145" t="str">
        <f>'Raw Data'!R89</f>
        <v>/</v>
      </c>
      <c r="Q63" s="145" t="str">
        <f>'Raw Data'!S89</f>
        <v>/</v>
      </c>
      <c r="R63" s="145" t="str">
        <f>'Raw Data'!T89</f>
        <v>/</v>
      </c>
      <c r="S63" s="145" t="str">
        <f>'Raw Data'!O89</f>
        <v>298,0.15</v>
      </c>
      <c r="T63" s="146" t="str">
        <f>'Raw Data'!P89</f>
        <v>/</v>
      </c>
      <c r="V63" s="193" t="str">
        <f>'Raw Data'!X89</f>
        <v>H. Lyu, O.I.F. Chen, N. Hanikel, M.I. Hossain, R.W. Flaig, X.K. Pei, A. Amin, M.D. Doherty, R.K. Impastato, T.G. Glover, D.R. Moore, O.M. Yaghi
Carbon dioxide capture chemistry of amino acid functionalized metal-organic frameworks in humid flue gas
J. Am. Chem. Soc., 144 (2022), pp. 2387-2396</v>
      </c>
    </row>
    <row r="64" spans="1:27" x14ac:dyDescent="0.35">
      <c r="A64" s="155" t="str">
        <f>'Raw Data'!E90</f>
        <v>QAYBOL</v>
      </c>
      <c r="B64" s="156" t="str">
        <f t="shared" si="0"/>
        <v>MOF-808-Gly</v>
      </c>
      <c r="C64" s="146" t="e">
        <f>VLOOKUP($A64, Table_S1!$B$10:$K$5118, 2, FALSE)</f>
        <v>#N/A</v>
      </c>
      <c r="D64" s="147" t="e">
        <f>VLOOKUP($A64, Table_S1!$B$10:$K$5118, 3, FALSE)</f>
        <v>#N/A</v>
      </c>
      <c r="E64" s="147" t="e">
        <f>VLOOKUP($A64, Table_S1!$B$10:$K$5118, 4, FALSE)</f>
        <v>#N/A</v>
      </c>
      <c r="F64" s="147" t="e">
        <f>VLOOKUP($A64, Table_S1!$B$10:$K$5118, 5, FALSE)</f>
        <v>#N/A</v>
      </c>
      <c r="G64" s="147" t="e">
        <f>VLOOKUP($A64, Table_S1!$B$10:$K$5118, 6, FALSE)</f>
        <v>#N/A</v>
      </c>
      <c r="H64" s="147" t="e">
        <f>VLOOKUP($A64, Table_S1!$B$10:$K$5118, 7, FALSE)</f>
        <v>#N/A</v>
      </c>
      <c r="I64" s="147" t="e">
        <f>VLOOKUP($A64, Table_S1!$B$10:$K$5118, 8, FALSE)</f>
        <v>#N/A</v>
      </c>
      <c r="J64" s="147" t="e">
        <f>VLOOKUP($A64, Table_S1!$B$10:$K$5118, 9, FALSE)</f>
        <v>#N/A</v>
      </c>
      <c r="K64" s="148" t="e">
        <f>VLOOKUP($A64, Table_S1!$B$10:$K$5118, 10, FALSE)</f>
        <v>#N/A</v>
      </c>
      <c r="L64" s="144"/>
      <c r="M64" s="149" t="str">
        <f>'Raw Data'!C90</f>
        <v>MOF-808-Gly</v>
      </c>
      <c r="N64" s="145">
        <f>'Raw Data'!I90</f>
        <v>0.54</v>
      </c>
      <c r="O64" s="145" t="str">
        <f>'Raw Data'!Q90</f>
        <v>/</v>
      </c>
      <c r="P64" s="145" t="str">
        <f>'Raw Data'!R90</f>
        <v>/</v>
      </c>
      <c r="Q64" s="145" t="str">
        <f>'Raw Data'!S90</f>
        <v>/</v>
      </c>
      <c r="R64" s="145" t="str">
        <f>'Raw Data'!T90</f>
        <v>/</v>
      </c>
      <c r="S64" s="145" t="str">
        <f>'Raw Data'!O90</f>
        <v>298,0.15</v>
      </c>
      <c r="T64" s="146" t="str">
        <f>'Raw Data'!P90</f>
        <v>/</v>
      </c>
      <c r="V64" s="193" t="str">
        <f>'Raw Data'!X90</f>
        <v>^^^</v>
      </c>
    </row>
    <row r="65" spans="1:22" ht="139" x14ac:dyDescent="0.35">
      <c r="A65" s="155" t="str">
        <f>'Raw Data'!E91</f>
        <v>WEJBAS</v>
      </c>
      <c r="B65" s="156" t="str">
        <f t="shared" si="0"/>
        <v>NaOH CDMOF</v>
      </c>
      <c r="C65" s="146" t="e">
        <f>VLOOKUP($A65, Table_S1!$B$10:$K$5118, 2, FALSE)</f>
        <v>#N/A</v>
      </c>
      <c r="D65" s="147" t="e">
        <f>VLOOKUP($A65, Table_S1!$B$10:$K$5118, 3, FALSE)</f>
        <v>#N/A</v>
      </c>
      <c r="E65" s="147" t="e">
        <f>VLOOKUP($A65, Table_S1!$B$10:$K$5118, 4, FALSE)</f>
        <v>#N/A</v>
      </c>
      <c r="F65" s="147" t="e">
        <f>VLOOKUP($A65, Table_S1!$B$10:$K$5118, 5, FALSE)</f>
        <v>#N/A</v>
      </c>
      <c r="G65" s="147" t="e">
        <f>VLOOKUP($A65, Table_S1!$B$10:$K$5118, 6, FALSE)</f>
        <v>#N/A</v>
      </c>
      <c r="H65" s="147" t="e">
        <f>VLOOKUP($A65, Table_S1!$B$10:$K$5118, 7, FALSE)</f>
        <v>#N/A</v>
      </c>
      <c r="I65" s="147" t="e">
        <f>VLOOKUP($A65, Table_S1!$B$10:$K$5118, 8, FALSE)</f>
        <v>#N/A</v>
      </c>
      <c r="J65" s="147" t="e">
        <f>VLOOKUP($A65, Table_S1!$B$10:$K$5118, 9, FALSE)</f>
        <v>#N/A</v>
      </c>
      <c r="K65" s="148" t="e">
        <f>VLOOKUP($A65, Table_S1!$B$10:$K$5118, 10, FALSE)</f>
        <v>#N/A</v>
      </c>
      <c r="L65" s="144"/>
      <c r="M65" s="149" t="str">
        <f>'Raw Data'!C91</f>
        <v>NaOH CDMOF</v>
      </c>
      <c r="N65" s="145">
        <f>'Raw Data'!I91</f>
        <v>1.98</v>
      </c>
      <c r="O65" s="145" t="str">
        <f>'Raw Data'!Q91</f>
        <v>/</v>
      </c>
      <c r="P65" s="145" t="str">
        <f>'Raw Data'!R91</f>
        <v>/</v>
      </c>
      <c r="Q65" s="145" t="str">
        <f>'Raw Data'!S91</f>
        <v>/</v>
      </c>
      <c r="R65" s="145" t="str">
        <f>'Raw Data'!T91</f>
        <v>/</v>
      </c>
      <c r="S65" s="145" t="str">
        <f>'Raw Data'!O91</f>
        <v>313,1</v>
      </c>
      <c r="T65" s="146" t="str">
        <f>'Raw Data'!P91</f>
        <v>/</v>
      </c>
      <c r="V65" s="193" t="str">
        <f>'Raw Data'!X91</f>
        <v>M.E. Zick, S.M. Pugh, J.-H. Lee, A.C. Forse, P.J. Milner, Carbon dioxide capture at nucleophilic hydroxide sites in oxidation-resistant cyclodextrin-based metal–organic frameworks**, Angew. Chem. Int. Ed. 61(2022) e202206718. http://dx.doi.org/https://doi.org/10.1002/anie.202206718.</v>
      </c>
    </row>
    <row r="66" spans="1:22" x14ac:dyDescent="0.35">
      <c r="A66" s="155" t="str">
        <f>'Raw Data'!E92</f>
        <v>WEJBAS</v>
      </c>
      <c r="B66" s="156" t="str">
        <f t="shared" si="0"/>
        <v>RbOH CDMOF</v>
      </c>
      <c r="C66" s="146" t="e">
        <f>VLOOKUP($A66, Table_S1!$B$10:$K$5118, 2, FALSE)</f>
        <v>#N/A</v>
      </c>
      <c r="D66" s="147" t="e">
        <f>VLOOKUP($A66, Table_S1!$B$10:$K$5118, 3, FALSE)</f>
        <v>#N/A</v>
      </c>
      <c r="E66" s="147" t="e">
        <f>VLOOKUP($A66, Table_S1!$B$10:$K$5118, 4, FALSE)</f>
        <v>#N/A</v>
      </c>
      <c r="F66" s="147" t="e">
        <f>VLOOKUP($A66, Table_S1!$B$10:$K$5118, 5, FALSE)</f>
        <v>#N/A</v>
      </c>
      <c r="G66" s="147" t="e">
        <f>VLOOKUP($A66, Table_S1!$B$10:$K$5118, 6, FALSE)</f>
        <v>#N/A</v>
      </c>
      <c r="H66" s="147" t="e">
        <f>VLOOKUP($A66, Table_S1!$B$10:$K$5118, 7, FALSE)</f>
        <v>#N/A</v>
      </c>
      <c r="I66" s="147" t="e">
        <f>VLOOKUP($A66, Table_S1!$B$10:$K$5118, 8, FALSE)</f>
        <v>#N/A</v>
      </c>
      <c r="J66" s="147" t="e">
        <f>VLOOKUP($A66, Table_S1!$B$10:$K$5118, 9, FALSE)</f>
        <v>#N/A</v>
      </c>
      <c r="K66" s="148" t="e">
        <f>VLOOKUP($A66, Table_S1!$B$10:$K$5118, 10, FALSE)</f>
        <v>#N/A</v>
      </c>
      <c r="L66" s="144"/>
      <c r="M66" s="149" t="str">
        <f>'Raw Data'!C92</f>
        <v>RbOH CDMOF</v>
      </c>
      <c r="N66" s="145">
        <f>'Raw Data'!I92</f>
        <v>2.15</v>
      </c>
      <c r="O66" s="145" t="str">
        <f>'Raw Data'!Q92</f>
        <v>/</v>
      </c>
      <c r="P66" s="145" t="str">
        <f>'Raw Data'!R92</f>
        <v>/</v>
      </c>
      <c r="Q66" s="145" t="str">
        <f>'Raw Data'!S92</f>
        <v>/</v>
      </c>
      <c r="R66" s="145" t="str">
        <f>'Raw Data'!T92</f>
        <v>/</v>
      </c>
      <c r="S66" s="145" t="str">
        <f>'Raw Data'!O92</f>
        <v>313,1</v>
      </c>
      <c r="T66" s="146" t="str">
        <f>'Raw Data'!P92</f>
        <v>/</v>
      </c>
      <c r="V66" s="193" t="str">
        <f>'Raw Data'!X92</f>
        <v>^^^</v>
      </c>
    </row>
    <row r="67" spans="1:22" x14ac:dyDescent="0.35">
      <c r="A67" s="155" t="str">
        <f>'Raw Data'!E93</f>
        <v>WEJBAS</v>
      </c>
      <c r="B67" s="156" t="str">
        <f t="shared" si="0"/>
        <v>CsOH CDMOF</v>
      </c>
      <c r="C67" s="146" t="e">
        <f>VLOOKUP($A67, Table_S1!$B$10:$K$5118, 2, FALSE)</f>
        <v>#N/A</v>
      </c>
      <c r="D67" s="147" t="e">
        <f>VLOOKUP($A67, Table_S1!$B$10:$K$5118, 3, FALSE)</f>
        <v>#N/A</v>
      </c>
      <c r="E67" s="147" t="e">
        <f>VLOOKUP($A67, Table_S1!$B$10:$K$5118, 4, FALSE)</f>
        <v>#N/A</v>
      </c>
      <c r="F67" s="147" t="e">
        <f>VLOOKUP($A67, Table_S1!$B$10:$K$5118, 5, FALSE)</f>
        <v>#N/A</v>
      </c>
      <c r="G67" s="147" t="e">
        <f>VLOOKUP($A67, Table_S1!$B$10:$K$5118, 6, FALSE)</f>
        <v>#N/A</v>
      </c>
      <c r="H67" s="147" t="e">
        <f>VLOOKUP($A67, Table_S1!$B$10:$K$5118, 7, FALSE)</f>
        <v>#N/A</v>
      </c>
      <c r="I67" s="147" t="e">
        <f>VLOOKUP($A67, Table_S1!$B$10:$K$5118, 8, FALSE)</f>
        <v>#N/A</v>
      </c>
      <c r="J67" s="147" t="e">
        <f>VLOOKUP($A67, Table_S1!$B$10:$K$5118, 9, FALSE)</f>
        <v>#N/A</v>
      </c>
      <c r="K67" s="148" t="e">
        <f>VLOOKUP($A67, Table_S1!$B$10:$K$5118, 10, FALSE)</f>
        <v>#N/A</v>
      </c>
      <c r="L67" s="144"/>
      <c r="M67" s="149" t="str">
        <f>'Raw Data'!C93</f>
        <v>CsOH CDMOF</v>
      </c>
      <c r="N67" s="145">
        <f>'Raw Data'!I93</f>
        <v>2.65</v>
      </c>
      <c r="O67" s="145" t="str">
        <f>'Raw Data'!Q93</f>
        <v>/</v>
      </c>
      <c r="P67" s="145" t="str">
        <f>'Raw Data'!R93</f>
        <v>/</v>
      </c>
      <c r="Q67" s="145" t="str">
        <f>'Raw Data'!S93</f>
        <v>/</v>
      </c>
      <c r="R67" s="145" t="str">
        <f>'Raw Data'!T93</f>
        <v>/</v>
      </c>
      <c r="S67" s="145" t="str">
        <f>'Raw Data'!O93</f>
        <v>313,1</v>
      </c>
      <c r="T67" s="146" t="str">
        <f>'Raw Data'!P93</f>
        <v>/</v>
      </c>
      <c r="V67" s="193" t="str">
        <f>'Raw Data'!X93</f>
        <v>^^^</v>
      </c>
    </row>
    <row r="68" spans="1:22" x14ac:dyDescent="0.35">
      <c r="A68" s="155" t="str">
        <f>'Raw Data'!E94</f>
        <v>WEJBAS</v>
      </c>
      <c r="B68" s="156" t="str">
        <f t="shared" si="0"/>
        <v>KOH CDMOF</v>
      </c>
      <c r="C68" s="146" t="e">
        <f>VLOOKUP($A68, Table_S1!$B$10:$K$5118, 2, FALSE)</f>
        <v>#N/A</v>
      </c>
      <c r="D68" s="147" t="e">
        <f>VLOOKUP($A68, Table_S1!$B$10:$K$5118, 3, FALSE)</f>
        <v>#N/A</v>
      </c>
      <c r="E68" s="147" t="e">
        <f>VLOOKUP($A68, Table_S1!$B$10:$K$5118, 4, FALSE)</f>
        <v>#N/A</v>
      </c>
      <c r="F68" s="147" t="e">
        <f>VLOOKUP($A68, Table_S1!$B$10:$K$5118, 5, FALSE)</f>
        <v>#N/A</v>
      </c>
      <c r="G68" s="147" t="e">
        <f>VLOOKUP($A68, Table_S1!$B$10:$K$5118, 6, FALSE)</f>
        <v>#N/A</v>
      </c>
      <c r="H68" s="147" t="e">
        <f>VLOOKUP($A68, Table_S1!$B$10:$K$5118, 7, FALSE)</f>
        <v>#N/A</v>
      </c>
      <c r="I68" s="147" t="e">
        <f>VLOOKUP($A68, Table_S1!$B$10:$K$5118, 8, FALSE)</f>
        <v>#N/A</v>
      </c>
      <c r="J68" s="147" t="e">
        <f>VLOOKUP($A68, Table_S1!$B$10:$K$5118, 9, FALSE)</f>
        <v>#N/A</v>
      </c>
      <c r="K68" s="148" t="e">
        <f>VLOOKUP($A68, Table_S1!$B$10:$K$5118, 10, FALSE)</f>
        <v>#N/A</v>
      </c>
      <c r="L68" s="144"/>
      <c r="M68" s="149" t="str">
        <f>'Raw Data'!C94</f>
        <v>KOH CDMOF</v>
      </c>
      <c r="N68" s="145">
        <f>'Raw Data'!I94</f>
        <v>2.04</v>
      </c>
      <c r="O68" s="145" t="str">
        <f>'Raw Data'!Q94</f>
        <v>/</v>
      </c>
      <c r="P68" s="145" t="str">
        <f>'Raw Data'!R94</f>
        <v>/</v>
      </c>
      <c r="Q68" s="145" t="str">
        <f>'Raw Data'!S94</f>
        <v>/</v>
      </c>
      <c r="R68" s="145" t="str">
        <f>'Raw Data'!T94</f>
        <v>/</v>
      </c>
      <c r="S68" s="145" t="str">
        <f>'Raw Data'!O94</f>
        <v>313,1</v>
      </c>
      <c r="T68" s="146" t="str">
        <f>'Raw Data'!P94</f>
        <v>/</v>
      </c>
      <c r="V68" s="193" t="str">
        <f>'Raw Data'!X94</f>
        <v>^^^</v>
      </c>
    </row>
    <row r="69" spans="1:22" x14ac:dyDescent="0.35">
      <c r="A69" s="155" t="str">
        <f>'Raw Data'!E95</f>
        <v>WEJBAS</v>
      </c>
      <c r="B69" s="156" t="str">
        <f t="shared" si="0"/>
        <v>KHCO3 CD-MOF</v>
      </c>
      <c r="C69" s="146" t="e">
        <f>VLOOKUP($A69, Table_S1!$B$10:$K$5118, 2, FALSE)</f>
        <v>#N/A</v>
      </c>
      <c r="D69" s="147" t="e">
        <f>VLOOKUP($A69, Table_S1!$B$10:$K$5118, 3, FALSE)</f>
        <v>#N/A</v>
      </c>
      <c r="E69" s="147" t="e">
        <f>VLOOKUP($A69, Table_S1!$B$10:$K$5118, 4, FALSE)</f>
        <v>#N/A</v>
      </c>
      <c r="F69" s="147" t="e">
        <f>VLOOKUP($A69, Table_S1!$B$10:$K$5118, 5, FALSE)</f>
        <v>#N/A</v>
      </c>
      <c r="G69" s="147" t="e">
        <f>VLOOKUP($A69, Table_S1!$B$10:$K$5118, 6, FALSE)</f>
        <v>#N/A</v>
      </c>
      <c r="H69" s="147" t="e">
        <f>VLOOKUP($A69, Table_S1!$B$10:$K$5118, 7, FALSE)</f>
        <v>#N/A</v>
      </c>
      <c r="I69" s="147" t="e">
        <f>VLOOKUP($A69, Table_S1!$B$10:$K$5118, 8, FALSE)</f>
        <v>#N/A</v>
      </c>
      <c r="J69" s="147" t="e">
        <f>VLOOKUP($A69, Table_S1!$B$10:$K$5118, 9, FALSE)</f>
        <v>#N/A</v>
      </c>
      <c r="K69" s="148" t="e">
        <f>VLOOKUP($A69, Table_S1!$B$10:$K$5118, 10, FALSE)</f>
        <v>#N/A</v>
      </c>
      <c r="L69" s="144"/>
      <c r="M69" s="149" t="str">
        <f>'Raw Data'!C95</f>
        <v>KHCO3 CD-MOF</v>
      </c>
      <c r="N69" s="145">
        <f>'Raw Data'!I95</f>
        <v>2.5</v>
      </c>
      <c r="O69" s="145" t="str">
        <f>'Raw Data'!Q95</f>
        <v>/</v>
      </c>
      <c r="P69" s="145" t="str">
        <f>'Raw Data'!R95</f>
        <v>/</v>
      </c>
      <c r="Q69" s="145" t="str">
        <f>'Raw Data'!S95</f>
        <v>/</v>
      </c>
      <c r="R69" s="145" t="str">
        <f>'Raw Data'!T95</f>
        <v>/</v>
      </c>
      <c r="S69" s="145" t="str">
        <f>'Raw Data'!O95</f>
        <v>313,1</v>
      </c>
      <c r="T69" s="146" t="str">
        <f>'Raw Data'!P95</f>
        <v>/</v>
      </c>
      <c r="V69" s="193" t="str">
        <f>'Raw Data'!X95</f>
        <v>^^^</v>
      </c>
    </row>
    <row r="70" spans="1:22" ht="88" x14ac:dyDescent="0.35">
      <c r="A70" s="155" t="str">
        <f>'Raw Data'!E96</f>
        <v>UPOZAB</v>
      </c>
      <c r="B70" s="156" t="str">
        <f t="shared" ref="B70:B98" si="1">M70</f>
        <v>[Zn5(OH)2.1(NHPh)1.9(btdd)3 (MFU-4I framework)</v>
      </c>
      <c r="C70" s="146" t="str">
        <f>VLOOKUP($A70, Table_S1!$B$10:$K$5118, 2, FALSE)</f>
        <v>Zn</v>
      </c>
      <c r="D70" s="147">
        <f>VLOOKUP($A70, Table_S1!$B$10:$K$5118, 3, FALSE)</f>
        <v>0.55938600000000005</v>
      </c>
      <c r="E70" s="147">
        <f>VLOOKUP($A70, Table_S1!$B$10:$K$5118, 4, FALSE)</f>
        <v>9.1701099999999993</v>
      </c>
      <c r="F70" s="147">
        <f>VLOOKUP($A70, Table_S1!$B$10:$K$5118, 5, FALSE)</f>
        <v>18.72701</v>
      </c>
      <c r="G70" s="147">
        <f>VLOOKUP($A70, Table_S1!$B$10:$K$5118, 6, FALSE)</f>
        <v>1825.21</v>
      </c>
      <c r="H70" s="147">
        <f>VLOOKUP($A70, Table_S1!$B$10:$K$5118, 7, FALSE)</f>
        <v>3262.89</v>
      </c>
      <c r="I70" s="147">
        <f>VLOOKUP($A70, Table_S1!$B$10:$K$5118, 8, FALSE)</f>
        <v>0.85477400000000003</v>
      </c>
      <c r="J70" s="147">
        <f>VLOOKUP($A70, Table_S1!$B$10:$K$5118, 9, FALSE)</f>
        <v>1.4615199999999999</v>
      </c>
      <c r="K70" s="148">
        <f>VLOOKUP($A70, Table_S1!$B$10:$K$5118, 10, FALSE)</f>
        <v>0</v>
      </c>
      <c r="L70" s="144"/>
      <c r="M70" s="149" t="str">
        <f>'Raw Data'!C96</f>
        <v>[Zn5(OH)2.1(NHPh)1.9(btdd)3 (MFU-4I framework)</v>
      </c>
      <c r="N70" s="145">
        <f>'Raw Data'!I96</f>
        <v>0.95</v>
      </c>
      <c r="O70" s="145">
        <f>'Raw Data'!Q96</f>
        <v>2816</v>
      </c>
      <c r="P70" s="145" t="str">
        <f>'Raw Data'!R96</f>
        <v>/</v>
      </c>
      <c r="Q70" s="145" t="str">
        <f>'Raw Data'!S96</f>
        <v>/</v>
      </c>
      <c r="R70" s="145" t="str">
        <f>'Raw Data'!T96</f>
        <v>/</v>
      </c>
      <c r="S70" s="145" t="str">
        <f>'Raw Data'!O96</f>
        <v>300,1</v>
      </c>
      <c r="T70" s="146" t="str">
        <f>'Raw Data'!P96</f>
        <v>/</v>
      </c>
      <c r="V70" s="193" t="str">
        <f>'Raw Data'!X96</f>
        <v>C.E. Bien, Z.Z. Cai, C.R. Wade
Using postsynthetic x-type ligand exchange to enhance CO2 adsorption in metal-organic frameworks with kuratowski-type building units
Inorg. Chem., 60 (2021), pp. 11784-11794</v>
      </c>
    </row>
    <row r="71" spans="1:22" ht="71" x14ac:dyDescent="0.35">
      <c r="A71" s="155" t="str">
        <f>'Raw Data'!E97</f>
        <v>UPOZAB</v>
      </c>
      <c r="B71" s="156" t="str">
        <f t="shared" si="1"/>
        <v>MFU-4l (2a-NiOH)  (MFU-4I framework)</v>
      </c>
      <c r="C71" s="146" t="str">
        <f>VLOOKUP($A71, Table_S1!$B$10:$K$5118, 2, FALSE)</f>
        <v>Zn</v>
      </c>
      <c r="D71" s="147">
        <f>VLOOKUP($A71, Table_S1!$B$10:$K$5118, 3, FALSE)</f>
        <v>0.55938600000000005</v>
      </c>
      <c r="E71" s="147">
        <f>VLOOKUP($A71, Table_S1!$B$10:$K$5118, 4, FALSE)</f>
        <v>9.1701099999999993</v>
      </c>
      <c r="F71" s="147">
        <f>VLOOKUP($A71, Table_S1!$B$10:$K$5118, 5, FALSE)</f>
        <v>18.72701</v>
      </c>
      <c r="G71" s="147">
        <f>VLOOKUP($A71, Table_S1!$B$10:$K$5118, 6, FALSE)</f>
        <v>1825.21</v>
      </c>
      <c r="H71" s="147">
        <f>VLOOKUP($A71, Table_S1!$B$10:$K$5118, 7, FALSE)</f>
        <v>3262.89</v>
      </c>
      <c r="I71" s="147">
        <f>VLOOKUP($A71, Table_S1!$B$10:$K$5118, 8, FALSE)</f>
        <v>0.85477400000000003</v>
      </c>
      <c r="J71" s="147">
        <f>VLOOKUP($A71, Table_S1!$B$10:$K$5118, 9, FALSE)</f>
        <v>1.4615199999999999</v>
      </c>
      <c r="K71" s="148">
        <f>VLOOKUP($A71, Table_S1!$B$10:$K$5118, 10, FALSE)</f>
        <v>0</v>
      </c>
      <c r="L71" s="144"/>
      <c r="M71" s="149" t="str">
        <f>'Raw Data'!C97</f>
        <v>MFU-4l (2a-NiOH)  (MFU-4I framework)</v>
      </c>
      <c r="N71" s="145">
        <f>'Raw Data'!I97</f>
        <v>4.1500000000000004</v>
      </c>
      <c r="O71" s="145">
        <f>'Raw Data'!Q97</f>
        <v>3204</v>
      </c>
      <c r="P71" s="145" t="str">
        <f>'Raw Data'!R97</f>
        <v>/</v>
      </c>
      <c r="Q71" s="145" t="str">
        <f>'Raw Data'!S97</f>
        <v>/</v>
      </c>
      <c r="R71" s="145" t="str">
        <f>'Raw Data'!T97</f>
        <v>/</v>
      </c>
      <c r="S71" s="145" t="str">
        <f>'Raw Data'!O97</f>
        <v>298,1</v>
      </c>
      <c r="T71" s="146" t="str">
        <f>'Raw Data'!P97</f>
        <v>/</v>
      </c>
      <c r="V71" s="193" t="str">
        <f>'Raw Data'!X97</f>
        <v>Z. Cai, C.E. Bien, Q. Liu, C.R. Wade
Insights into CO2 adsorption in M-OH functionalized MOFs
Chem. Mater., 32 (2020), pp. 4257-4264</v>
      </c>
    </row>
    <row r="72" spans="1:22" ht="88" x14ac:dyDescent="0.35">
      <c r="A72" s="155" t="str">
        <f>'Raw Data'!E98</f>
        <v>AJECIE</v>
      </c>
      <c r="B72" s="156" t="str">
        <f t="shared" si="1"/>
        <v>pyMOF-74a (MOF-74 derivatives)</v>
      </c>
      <c r="C72" s="146" t="e">
        <f>VLOOKUP($A72, Table_S1!$B$10:$K$5118, 2, FALSE)</f>
        <v>#N/A</v>
      </c>
      <c r="D72" s="147" t="e">
        <f>VLOOKUP($A72, Table_S1!$B$10:$K$5118, 3, FALSE)</f>
        <v>#N/A</v>
      </c>
      <c r="E72" s="147" t="e">
        <f>VLOOKUP($A72, Table_S1!$B$10:$K$5118, 4, FALSE)</f>
        <v>#N/A</v>
      </c>
      <c r="F72" s="147" t="e">
        <f>VLOOKUP($A72, Table_S1!$B$10:$K$5118, 5, FALSE)</f>
        <v>#N/A</v>
      </c>
      <c r="G72" s="147" t="e">
        <f>VLOOKUP($A72, Table_S1!$B$10:$K$5118, 6, FALSE)</f>
        <v>#N/A</v>
      </c>
      <c r="H72" s="147" t="e">
        <f>VLOOKUP($A72, Table_S1!$B$10:$K$5118, 7, FALSE)</f>
        <v>#N/A</v>
      </c>
      <c r="I72" s="147" t="e">
        <f>VLOOKUP($A72, Table_S1!$B$10:$K$5118, 8, FALSE)</f>
        <v>#N/A</v>
      </c>
      <c r="J72" s="147" t="e">
        <f>VLOOKUP($A72, Table_S1!$B$10:$K$5118, 9, FALSE)</f>
        <v>#N/A</v>
      </c>
      <c r="K72" s="148" t="e">
        <f>VLOOKUP($A72, Table_S1!$B$10:$K$5118, 10, FALSE)</f>
        <v>#N/A</v>
      </c>
      <c r="L72" s="144"/>
      <c r="M72" s="149" t="str">
        <f>'Raw Data'!C98</f>
        <v>pyMOF-74a (MOF-74 derivatives)</v>
      </c>
      <c r="N72" s="145">
        <f>'Raw Data'!I98</f>
        <v>2.3199999999999998</v>
      </c>
      <c r="O72" s="145">
        <f>'Raw Data'!Q98</f>
        <v>605</v>
      </c>
      <c r="P72" s="145" t="str">
        <f>'Raw Data'!R98</f>
        <v>/</v>
      </c>
      <c r="Q72" s="145" t="str">
        <f>'Raw Data'!S98</f>
        <v>/</v>
      </c>
      <c r="R72" s="145" t="str">
        <f>'Raw Data'!T98</f>
        <v>/</v>
      </c>
      <c r="S72" s="145" t="str">
        <f>'Raw Data'!O98</f>
        <v>298,1</v>
      </c>
      <c r="T72" s="146" t="str">
        <f>'Raw Data'!P98</f>
        <v>/</v>
      </c>
      <c r="V72" s="193" t="str">
        <f>'Raw Data'!X98</f>
        <v>M. Zhao, Y. Ban, Z. Chang, Y. Zhou, K. Yang, Y. Wang, N. Cao, W. Yang
Pyrazine-interior-embodied MOF-74 for selective CO2 adsorption
AIChE J, 68 (2022)</v>
      </c>
    </row>
    <row r="73" spans="1:22" x14ac:dyDescent="0.35">
      <c r="A73" s="155" t="str">
        <f>'Raw Data'!E99</f>
        <v>AJECIE</v>
      </c>
      <c r="B73" s="156" t="str">
        <f t="shared" si="1"/>
        <v>pyMOF-74b</v>
      </c>
      <c r="C73" s="146" t="e">
        <f>VLOOKUP($A73, Table_S1!$B$10:$K$5118, 2, FALSE)</f>
        <v>#N/A</v>
      </c>
      <c r="D73" s="147" t="e">
        <f>VLOOKUP($A73, Table_S1!$B$10:$K$5118, 3, FALSE)</f>
        <v>#N/A</v>
      </c>
      <c r="E73" s="147" t="e">
        <f>VLOOKUP($A73, Table_S1!$B$10:$K$5118, 4, FALSE)</f>
        <v>#N/A</v>
      </c>
      <c r="F73" s="147" t="e">
        <f>VLOOKUP($A73, Table_S1!$B$10:$K$5118, 5, FALSE)</f>
        <v>#N/A</v>
      </c>
      <c r="G73" s="147" t="e">
        <f>VLOOKUP($A73, Table_S1!$B$10:$K$5118, 6, FALSE)</f>
        <v>#N/A</v>
      </c>
      <c r="H73" s="147" t="e">
        <f>VLOOKUP($A73, Table_S1!$B$10:$K$5118, 7, FALSE)</f>
        <v>#N/A</v>
      </c>
      <c r="I73" s="147" t="e">
        <f>VLOOKUP($A73, Table_S1!$B$10:$K$5118, 8, FALSE)</f>
        <v>#N/A</v>
      </c>
      <c r="J73" s="147" t="e">
        <f>VLOOKUP($A73, Table_S1!$B$10:$K$5118, 9, FALSE)</f>
        <v>#N/A</v>
      </c>
      <c r="K73" s="148" t="e">
        <f>VLOOKUP($A73, Table_S1!$B$10:$K$5118, 10, FALSE)</f>
        <v>#N/A</v>
      </c>
      <c r="L73" s="144"/>
      <c r="M73" s="149" t="str">
        <f>'Raw Data'!C99</f>
        <v>pyMOF-74b</v>
      </c>
      <c r="N73" s="145">
        <f>'Raw Data'!I99</f>
        <v>1.35</v>
      </c>
      <c r="O73" s="145">
        <f>'Raw Data'!Q99</f>
        <v>300</v>
      </c>
      <c r="P73" s="145" t="str">
        <f>'Raw Data'!R99</f>
        <v>/</v>
      </c>
      <c r="Q73" s="145" t="str">
        <f>'Raw Data'!S99</f>
        <v>/</v>
      </c>
      <c r="R73" s="145" t="str">
        <f>'Raw Data'!T99</f>
        <v>/</v>
      </c>
      <c r="S73" s="145" t="str">
        <f>'Raw Data'!O99</f>
        <v>298,1</v>
      </c>
      <c r="T73" s="146" t="str">
        <f>'Raw Data'!P99</f>
        <v>/</v>
      </c>
      <c r="V73" s="193" t="str">
        <f>'Raw Data'!X99</f>
        <v>^^^</v>
      </c>
    </row>
    <row r="74" spans="1:22" x14ac:dyDescent="0.35">
      <c r="A74" s="155" t="str">
        <f>'Raw Data'!E100</f>
        <v>AJECIE</v>
      </c>
      <c r="B74" s="156" t="str">
        <f t="shared" si="1"/>
        <v>pyMOF-74c</v>
      </c>
      <c r="C74" s="146" t="e">
        <f>VLOOKUP($A74, Table_S1!$B$10:$K$5118, 2, FALSE)</f>
        <v>#N/A</v>
      </c>
      <c r="D74" s="147" t="e">
        <f>VLOOKUP($A74, Table_S1!$B$10:$K$5118, 3, FALSE)</f>
        <v>#N/A</v>
      </c>
      <c r="E74" s="147" t="e">
        <f>VLOOKUP($A74, Table_S1!$B$10:$K$5118, 4, FALSE)</f>
        <v>#N/A</v>
      </c>
      <c r="F74" s="147" t="e">
        <f>VLOOKUP($A74, Table_S1!$B$10:$K$5118, 5, FALSE)</f>
        <v>#N/A</v>
      </c>
      <c r="G74" s="147" t="e">
        <f>VLOOKUP($A74, Table_S1!$B$10:$K$5118, 6, FALSE)</f>
        <v>#N/A</v>
      </c>
      <c r="H74" s="147" t="e">
        <f>VLOOKUP($A74, Table_S1!$B$10:$K$5118, 7, FALSE)</f>
        <v>#N/A</v>
      </c>
      <c r="I74" s="147" t="e">
        <f>VLOOKUP($A74, Table_S1!$B$10:$K$5118, 8, FALSE)</f>
        <v>#N/A</v>
      </c>
      <c r="J74" s="147" t="e">
        <f>VLOOKUP($A74, Table_S1!$B$10:$K$5118, 9, FALSE)</f>
        <v>#N/A</v>
      </c>
      <c r="K74" s="148" t="e">
        <f>VLOOKUP($A74, Table_S1!$B$10:$K$5118, 10, FALSE)</f>
        <v>#N/A</v>
      </c>
      <c r="L74" s="144"/>
      <c r="M74" s="149" t="str">
        <f>'Raw Data'!C100</f>
        <v>pyMOF-74c</v>
      </c>
      <c r="N74" s="145">
        <f>'Raw Data'!I100</f>
        <v>1.07</v>
      </c>
      <c r="O74" s="145">
        <f>'Raw Data'!Q100</f>
        <v>42</v>
      </c>
      <c r="P74" s="145" t="str">
        <f>'Raw Data'!R100</f>
        <v>/</v>
      </c>
      <c r="Q74" s="145" t="str">
        <f>'Raw Data'!S100</f>
        <v>/</v>
      </c>
      <c r="R74" s="145" t="str">
        <f>'Raw Data'!T100</f>
        <v>/</v>
      </c>
      <c r="S74" s="145" t="str">
        <f>'Raw Data'!O100</f>
        <v>298,1</v>
      </c>
      <c r="T74" s="146" t="str">
        <f>'Raw Data'!P100</f>
        <v>/</v>
      </c>
      <c r="V74" s="193" t="str">
        <f>'Raw Data'!X100</f>
        <v>^^^</v>
      </c>
    </row>
    <row r="75" spans="1:22" ht="156" x14ac:dyDescent="0.35">
      <c r="A75" s="155" t="str">
        <f>'Raw Data'!E103</f>
        <v>FEDFOM</v>
      </c>
      <c r="B75" s="156" t="str">
        <f t="shared" si="1"/>
        <v>HHU-2-Cl</v>
      </c>
      <c r="C75" s="146" t="e">
        <f>VLOOKUP($A75, Table_S1!$B$10:$K$5118, 2, FALSE)</f>
        <v>#N/A</v>
      </c>
      <c r="D75" s="147" t="e">
        <f>VLOOKUP($A75, Table_S1!$B$10:$K$5118, 3, FALSE)</f>
        <v>#N/A</v>
      </c>
      <c r="E75" s="147" t="e">
        <f>VLOOKUP($A75, Table_S1!$B$10:$K$5118, 4, FALSE)</f>
        <v>#N/A</v>
      </c>
      <c r="F75" s="147" t="e">
        <f>VLOOKUP($A75, Table_S1!$B$10:$K$5118, 5, FALSE)</f>
        <v>#N/A</v>
      </c>
      <c r="G75" s="147" t="e">
        <f>VLOOKUP($A75, Table_S1!$B$10:$K$5118, 6, FALSE)</f>
        <v>#N/A</v>
      </c>
      <c r="H75" s="147" t="e">
        <f>VLOOKUP($A75, Table_S1!$B$10:$K$5118, 7, FALSE)</f>
        <v>#N/A</v>
      </c>
      <c r="I75" s="147" t="e">
        <f>VLOOKUP($A75, Table_S1!$B$10:$K$5118, 8, FALSE)</f>
        <v>#N/A</v>
      </c>
      <c r="J75" s="147" t="e">
        <f>VLOOKUP($A75, Table_S1!$B$10:$K$5118, 9, FALSE)</f>
        <v>#N/A</v>
      </c>
      <c r="K75" s="148" t="e">
        <f>VLOOKUP($A75, Table_S1!$B$10:$K$5118, 10, FALSE)</f>
        <v>#N/A</v>
      </c>
      <c r="L75" s="144"/>
      <c r="M75" s="149" t="str">
        <f>'Raw Data'!C103</f>
        <v>HHU-2-Cl</v>
      </c>
      <c r="N75" s="145">
        <f>'Raw Data'!I103</f>
        <v>3.28</v>
      </c>
      <c r="O75" s="145">
        <f>'Raw Data'!Q103</f>
        <v>852</v>
      </c>
      <c r="P75" s="145" t="str">
        <f>'Raw Data'!R103</f>
        <v>/</v>
      </c>
      <c r="Q75" s="145" t="str">
        <f>'Raw Data'!S103</f>
        <v>/</v>
      </c>
      <c r="R75" s="145" t="str">
        <f>'Raw Data'!T103</f>
        <v>/</v>
      </c>
      <c r="S75" s="145">
        <f>'Raw Data'!O103</f>
        <v>293.10000000000002</v>
      </c>
      <c r="T75" s="146" t="str">
        <f>'Raw Data'!P103</f>
        <v>/</v>
      </c>
      <c r="V75" s="193" t="str">
        <f>'Raw Data'!X103</f>
        <v>T.M.M. Ntep, H. Breitzke, L. Schmolke, C. Schlusener, B. Moll, S. Millan, N. Tannert, I. El Aita, G. Buntkowsky, C. Janiak
Facile in situ halogen functionalization via triple-bond hydrohalogenation: Enhancing sorption capacities through halogenation to halofumarate-based zr(iv)-metal-organic frameworks
Chem. Mater., 31 (2019), pp. 8629-8638</v>
      </c>
    </row>
    <row r="76" spans="1:22" x14ac:dyDescent="0.35">
      <c r="A76" s="155" t="str">
        <f>'Raw Data'!E104</f>
        <v>FEDFOM</v>
      </c>
      <c r="B76" s="156" t="str">
        <f t="shared" si="1"/>
        <v>HHU-2-Br</v>
      </c>
      <c r="C76" s="146" t="e">
        <f>VLOOKUP($A76, Table_S1!$B$10:$K$5118, 2, FALSE)</f>
        <v>#N/A</v>
      </c>
      <c r="D76" s="147" t="e">
        <f>VLOOKUP($A76, Table_S1!$B$10:$K$5118, 3, FALSE)</f>
        <v>#N/A</v>
      </c>
      <c r="E76" s="147" t="e">
        <f>VLOOKUP($A76, Table_S1!$B$10:$K$5118, 4, FALSE)</f>
        <v>#N/A</v>
      </c>
      <c r="F76" s="147" t="e">
        <f>VLOOKUP($A76, Table_S1!$B$10:$K$5118, 5, FALSE)</f>
        <v>#N/A</v>
      </c>
      <c r="G76" s="147" t="e">
        <f>VLOOKUP($A76, Table_S1!$B$10:$K$5118, 6, FALSE)</f>
        <v>#N/A</v>
      </c>
      <c r="H76" s="147" t="e">
        <f>VLOOKUP($A76, Table_S1!$B$10:$K$5118, 7, FALSE)</f>
        <v>#N/A</v>
      </c>
      <c r="I76" s="147" t="e">
        <f>VLOOKUP($A76, Table_S1!$B$10:$K$5118, 8, FALSE)</f>
        <v>#N/A</v>
      </c>
      <c r="J76" s="147" t="e">
        <f>VLOOKUP($A76, Table_S1!$B$10:$K$5118, 9, FALSE)</f>
        <v>#N/A</v>
      </c>
      <c r="K76" s="148" t="e">
        <f>VLOOKUP($A76, Table_S1!$B$10:$K$5118, 10, FALSE)</f>
        <v>#N/A</v>
      </c>
      <c r="L76" s="144"/>
      <c r="M76" s="149" t="str">
        <f>'Raw Data'!C104</f>
        <v>HHU-2-Br</v>
      </c>
      <c r="N76" s="145">
        <f>'Raw Data'!I104</f>
        <v>1.83</v>
      </c>
      <c r="O76" s="145">
        <f>'Raw Data'!Q104</f>
        <v>620</v>
      </c>
      <c r="P76" s="145" t="str">
        <f>'Raw Data'!R104</f>
        <v>/</v>
      </c>
      <c r="Q76" s="145" t="str">
        <f>'Raw Data'!S104</f>
        <v>/</v>
      </c>
      <c r="R76" s="145" t="str">
        <f>'Raw Data'!T104</f>
        <v>/</v>
      </c>
      <c r="S76" s="145">
        <f>'Raw Data'!O104</f>
        <v>291.10000000000002</v>
      </c>
      <c r="T76" s="146" t="str">
        <f>'Raw Data'!P104</f>
        <v>/</v>
      </c>
      <c r="V76" s="193" t="str">
        <f>'Raw Data'!X104</f>
        <v>^^^</v>
      </c>
    </row>
    <row r="77" spans="1:22" x14ac:dyDescent="0.35">
      <c r="A77" s="155" t="str">
        <f>'Raw Data'!E105</f>
        <v>BOHKAM</v>
      </c>
      <c r="B77" s="156" t="str">
        <f t="shared" si="1"/>
        <v>MOF-801</v>
      </c>
      <c r="C77" s="146" t="e">
        <f>VLOOKUP($A77, Table_S1!$B$10:$K$5118, 2, FALSE)</f>
        <v>#N/A</v>
      </c>
      <c r="D77" s="147" t="e">
        <f>VLOOKUP($A77, Table_S1!$B$10:$K$5118, 3, FALSE)</f>
        <v>#N/A</v>
      </c>
      <c r="E77" s="147" t="e">
        <f>VLOOKUP($A77, Table_S1!$B$10:$K$5118, 4, FALSE)</f>
        <v>#N/A</v>
      </c>
      <c r="F77" s="147" t="e">
        <f>VLOOKUP($A77, Table_S1!$B$10:$K$5118, 5, FALSE)</f>
        <v>#N/A</v>
      </c>
      <c r="G77" s="147" t="e">
        <f>VLOOKUP($A77, Table_S1!$B$10:$K$5118, 6, FALSE)</f>
        <v>#N/A</v>
      </c>
      <c r="H77" s="147" t="e">
        <f>VLOOKUP($A77, Table_S1!$B$10:$K$5118, 7, FALSE)</f>
        <v>#N/A</v>
      </c>
      <c r="I77" s="147" t="e">
        <f>VLOOKUP($A77, Table_S1!$B$10:$K$5118, 8, FALSE)</f>
        <v>#N/A</v>
      </c>
      <c r="J77" s="147" t="e">
        <f>VLOOKUP($A77, Table_S1!$B$10:$K$5118, 9, FALSE)</f>
        <v>#N/A</v>
      </c>
      <c r="K77" s="148" t="e">
        <f>VLOOKUP($A77, Table_S1!$B$10:$K$5118, 10, FALSE)</f>
        <v>#N/A</v>
      </c>
      <c r="L77" s="144"/>
      <c r="M77" s="149" t="str">
        <f>'Raw Data'!C105</f>
        <v>MOF-801</v>
      </c>
      <c r="N77" s="145">
        <f>'Raw Data'!I105</f>
        <v>2.2799999999999998</v>
      </c>
      <c r="O77" s="145">
        <f>'Raw Data'!Q105</f>
        <v>939</v>
      </c>
      <c r="P77" s="145" t="str">
        <f>'Raw Data'!R105</f>
        <v>/</v>
      </c>
      <c r="Q77" s="145" t="str">
        <f>'Raw Data'!S105</f>
        <v>/</v>
      </c>
      <c r="R77" s="145" t="str">
        <f>'Raw Data'!T105</f>
        <v>/</v>
      </c>
      <c r="S77" s="145">
        <f>'Raw Data'!O105</f>
        <v>293.10000000000002</v>
      </c>
      <c r="T77" s="146" t="str">
        <f>'Raw Data'!P105</f>
        <v>/</v>
      </c>
      <c r="V77" s="193" t="str">
        <f>'Raw Data'!X105</f>
        <v>^^^</v>
      </c>
    </row>
    <row r="78" spans="1:22" ht="122" x14ac:dyDescent="0.35">
      <c r="A78" s="155" t="str">
        <f>'Raw Data'!E106</f>
        <v>SEFWIN</v>
      </c>
      <c r="B78" s="156" t="str">
        <f t="shared" si="1"/>
        <v>β-CD-MOF</v>
      </c>
      <c r="C78" s="146" t="e">
        <f>VLOOKUP($A78, Table_S1!$B$10:$K$5118, 2, FALSE)</f>
        <v>#N/A</v>
      </c>
      <c r="D78" s="147" t="e">
        <f>VLOOKUP($A78, Table_S1!$B$10:$K$5118, 3, FALSE)</f>
        <v>#N/A</v>
      </c>
      <c r="E78" s="147" t="e">
        <f>VLOOKUP($A78, Table_S1!$B$10:$K$5118, 4, FALSE)</f>
        <v>#N/A</v>
      </c>
      <c r="F78" s="147" t="e">
        <f>VLOOKUP($A78, Table_S1!$B$10:$K$5118, 5, FALSE)</f>
        <v>#N/A</v>
      </c>
      <c r="G78" s="147" t="e">
        <f>VLOOKUP($A78, Table_S1!$B$10:$K$5118, 6, FALSE)</f>
        <v>#N/A</v>
      </c>
      <c r="H78" s="147" t="e">
        <f>VLOOKUP($A78, Table_S1!$B$10:$K$5118, 7, FALSE)</f>
        <v>#N/A</v>
      </c>
      <c r="I78" s="147" t="e">
        <f>VLOOKUP($A78, Table_S1!$B$10:$K$5118, 8, FALSE)</f>
        <v>#N/A</v>
      </c>
      <c r="J78" s="147" t="e">
        <f>VLOOKUP($A78, Table_S1!$B$10:$K$5118, 9, FALSE)</f>
        <v>#N/A</v>
      </c>
      <c r="K78" s="148" t="e">
        <f>VLOOKUP($A78, Table_S1!$B$10:$K$5118, 10, FALSE)</f>
        <v>#N/A</v>
      </c>
      <c r="L78" s="144"/>
      <c r="M78" s="149" t="str">
        <f>'Raw Data'!C106</f>
        <v>β-CD-MOF</v>
      </c>
      <c r="N78" s="145">
        <f>'Raw Data'!I106</f>
        <v>0.05</v>
      </c>
      <c r="O78" s="145" t="str">
        <f>'Raw Data'!Q106</f>
        <v>/</v>
      </c>
      <c r="P78" s="145" t="str">
        <f>'Raw Data'!R106</f>
        <v>/</v>
      </c>
      <c r="Q78" s="145" t="str">
        <f>'Raw Data'!S106</f>
        <v>/</v>
      </c>
      <c r="R78" s="145" t="str">
        <f>'Raw Data'!T106</f>
        <v>/</v>
      </c>
      <c r="S78" s="145">
        <f>'Raw Data'!O106</f>
        <v>273.10000000000002</v>
      </c>
      <c r="T78" s="146" t="str">
        <f>'Raw Data'!P106</f>
        <v>/</v>
      </c>
      <c r="V78" s="193" t="str">
        <f>'Raw Data'!X106</f>
        <v>L. Xu, C.-Y. Xing, D. Ke, L. Chen, Z.-J. Qiu, S.-L. Zeng, B.-J. Li, S. Zhang
Amino-functionalized β-cyclodextrin to construct green metal–organic framework materials for CO2 capture
ACS Appl. Mater. Interfaces, 12 (2020), pp. 3032-3041</v>
      </c>
    </row>
    <row r="79" spans="1:22" x14ac:dyDescent="0.35">
      <c r="A79" s="155" t="str">
        <f>'Raw Data'!E107</f>
        <v>ZUTNOU</v>
      </c>
      <c r="B79" s="156" t="str">
        <f t="shared" si="1"/>
        <v>NH2-β-CD-MOF</v>
      </c>
      <c r="C79" s="146" t="e">
        <f>VLOOKUP($A79, Table_S1!$B$10:$K$5118, 2, FALSE)</f>
        <v>#N/A</v>
      </c>
      <c r="D79" s="147" t="e">
        <f>VLOOKUP($A79, Table_S1!$B$10:$K$5118, 3, FALSE)</f>
        <v>#N/A</v>
      </c>
      <c r="E79" s="147" t="e">
        <f>VLOOKUP($A79, Table_S1!$B$10:$K$5118, 4, FALSE)</f>
        <v>#N/A</v>
      </c>
      <c r="F79" s="147" t="e">
        <f>VLOOKUP($A79, Table_S1!$B$10:$K$5118, 5, FALSE)</f>
        <v>#N/A</v>
      </c>
      <c r="G79" s="147" t="e">
        <f>VLOOKUP($A79, Table_S1!$B$10:$K$5118, 6, FALSE)</f>
        <v>#N/A</v>
      </c>
      <c r="H79" s="147" t="e">
        <f>VLOOKUP($A79, Table_S1!$B$10:$K$5118, 7, FALSE)</f>
        <v>#N/A</v>
      </c>
      <c r="I79" s="147" t="e">
        <f>VLOOKUP($A79, Table_S1!$B$10:$K$5118, 8, FALSE)</f>
        <v>#N/A</v>
      </c>
      <c r="J79" s="147" t="e">
        <f>VLOOKUP($A79, Table_S1!$B$10:$K$5118, 9, FALSE)</f>
        <v>#N/A</v>
      </c>
      <c r="K79" s="148" t="e">
        <f>VLOOKUP($A79, Table_S1!$B$10:$K$5118, 10, FALSE)</f>
        <v>#N/A</v>
      </c>
      <c r="L79" s="144"/>
      <c r="M79" s="149" t="str">
        <f>'Raw Data'!C107</f>
        <v>NH2-β-CD-MOF</v>
      </c>
      <c r="N79" s="145">
        <f>'Raw Data'!I107</f>
        <v>0.55000000000000004</v>
      </c>
      <c r="O79" s="145" t="str">
        <f>'Raw Data'!Q107</f>
        <v>/</v>
      </c>
      <c r="P79" s="145" t="str">
        <f>'Raw Data'!R107</f>
        <v>/</v>
      </c>
      <c r="Q79" s="145" t="str">
        <f>'Raw Data'!S107</f>
        <v>/</v>
      </c>
      <c r="R79" s="145" t="str">
        <f>'Raw Data'!T107</f>
        <v>/</v>
      </c>
      <c r="S79" s="145">
        <f>'Raw Data'!O107</f>
        <v>273.10000000000002</v>
      </c>
      <c r="T79" s="146" t="str">
        <f>'Raw Data'!P107</f>
        <v>/</v>
      </c>
      <c r="V79" s="193" t="str">
        <f>'Raw Data'!X107</f>
        <v>^^^</v>
      </c>
    </row>
    <row r="80" spans="1:22" ht="122" x14ac:dyDescent="0.35">
      <c r="A80" s="155" t="str">
        <f>'Raw Data'!E108</f>
        <v>OCUNAC</v>
      </c>
      <c r="B80" s="156" t="str">
        <f t="shared" si="1"/>
        <v>MIL-101(Cr)</v>
      </c>
      <c r="C80" s="146" t="str">
        <f>VLOOKUP($A80, Table_S1!$B$10:$K$5118, 2, FALSE)</f>
        <v>Cr</v>
      </c>
      <c r="D80" s="147">
        <f>VLOOKUP($A80, Table_S1!$B$10:$K$5118, 3, FALSE)</f>
        <v>0.42751699999999998</v>
      </c>
      <c r="E80" s="147">
        <f>VLOOKUP($A80, Table_S1!$B$10:$K$5118, 4, FALSE)</f>
        <v>14.04664</v>
      </c>
      <c r="F80" s="147">
        <f>VLOOKUP($A80, Table_S1!$B$10:$K$5118, 5, FALSE)</f>
        <v>36.150599999999997</v>
      </c>
      <c r="G80" s="147">
        <f>VLOOKUP($A80, Table_S1!$B$10:$K$5118, 6, FALSE)</f>
        <v>1345.1</v>
      </c>
      <c r="H80" s="147">
        <f>VLOOKUP($A80, Table_S1!$B$10:$K$5118, 7, FALSE)</f>
        <v>3146.31</v>
      </c>
      <c r="I80" s="147">
        <f>VLOOKUP($A80, Table_S1!$B$10:$K$5118, 8, FALSE)</f>
        <v>0.84486899999999998</v>
      </c>
      <c r="J80" s="147">
        <f>VLOOKUP($A80, Table_S1!$B$10:$K$5118, 9, FALSE)</f>
        <v>1.96082</v>
      </c>
      <c r="K80" s="148" t="str">
        <f>VLOOKUP($A80, Table_S1!$B$10:$K$5118, 10, FALSE)</f>
        <v>hydrogenation + geom. Minimization (fine setting/cg)</v>
      </c>
      <c r="L80" s="144"/>
      <c r="M80" s="149" t="str">
        <f>'Raw Data'!C108</f>
        <v>MIL-101(Cr)</v>
      </c>
      <c r="N80" s="145">
        <f>'Raw Data'!I108</f>
        <v>2.2000000000000002</v>
      </c>
      <c r="O80" s="145">
        <f>'Raw Data'!Q108</f>
        <v>3195</v>
      </c>
      <c r="P80" s="145" t="str">
        <f>'Raw Data'!R108</f>
        <v>/</v>
      </c>
      <c r="Q80" s="145" t="str">
        <f>'Raw Data'!S108</f>
        <v>/</v>
      </c>
      <c r="R80" s="145" t="str">
        <f>'Raw Data'!T108</f>
        <v>/</v>
      </c>
      <c r="S80" s="145">
        <f>'Raw Data'!O108</f>
        <v>293.10000000000002</v>
      </c>
      <c r="T80" s="146" t="str">
        <f>'Raw Data'!P108</f>
        <v>/</v>
      </c>
      <c r="V80" s="193" t="str">
        <f>'Raw Data'!X108</f>
        <v>J.M. Park, G.-Y. Cha, D. Jo, K.H. Cho, J.W. Yoon, Y.K. Hwang, S.-K. Lee, U.H. Lee
Amine and fluorine co-functionalized MIL-101(Cr) synthesized via a mixed-ligand strategy for CO2 capture under humid conditions
Chem. Eng. J., 444 (2022), Article 136476</v>
      </c>
    </row>
    <row r="81" spans="1:26" x14ac:dyDescent="0.35">
      <c r="A81" s="155" t="str">
        <f>'Raw Data'!E109</f>
        <v>OCUNAC</v>
      </c>
      <c r="B81" s="156" t="str">
        <f t="shared" si="1"/>
        <v>MIL-101(Cr)–NH2</v>
      </c>
      <c r="C81" s="146" t="str">
        <f>VLOOKUP($A81, Table_S1!$B$10:$K$5118, 2, FALSE)</f>
        <v>Cr</v>
      </c>
      <c r="D81" s="147">
        <f>VLOOKUP($A81, Table_S1!$B$10:$K$5118, 3, FALSE)</f>
        <v>0.42751699999999998</v>
      </c>
      <c r="E81" s="147">
        <f>VLOOKUP($A81, Table_S1!$B$10:$K$5118, 4, FALSE)</f>
        <v>14.04664</v>
      </c>
      <c r="F81" s="147">
        <f>VLOOKUP($A81, Table_S1!$B$10:$K$5118, 5, FALSE)</f>
        <v>36.150599999999997</v>
      </c>
      <c r="G81" s="147">
        <f>VLOOKUP($A81, Table_S1!$B$10:$K$5118, 6, FALSE)</f>
        <v>1345.1</v>
      </c>
      <c r="H81" s="147">
        <f>VLOOKUP($A81, Table_S1!$B$10:$K$5118, 7, FALSE)</f>
        <v>3146.31</v>
      </c>
      <c r="I81" s="147">
        <f>VLOOKUP($A81, Table_S1!$B$10:$K$5118, 8, FALSE)</f>
        <v>0.84486899999999998</v>
      </c>
      <c r="J81" s="147">
        <f>VLOOKUP($A81, Table_S1!$B$10:$K$5118, 9, FALSE)</f>
        <v>1.96082</v>
      </c>
      <c r="K81" s="148" t="str">
        <f>VLOOKUP($A81, Table_S1!$B$10:$K$5118, 10, FALSE)</f>
        <v>hydrogenation + geom. Minimization (fine setting/cg)</v>
      </c>
      <c r="L81" s="144"/>
      <c r="M81" s="149" t="str">
        <f>'Raw Data'!C109</f>
        <v>MIL-101(Cr)–NH2</v>
      </c>
      <c r="N81" s="145">
        <f>'Raw Data'!I109</f>
        <v>3</v>
      </c>
      <c r="O81" s="145">
        <f>'Raw Data'!Q109</f>
        <v>2909</v>
      </c>
      <c r="P81" s="145" t="str">
        <f>'Raw Data'!R109</f>
        <v>/</v>
      </c>
      <c r="Q81" s="145" t="str">
        <f>'Raw Data'!S109</f>
        <v>/</v>
      </c>
      <c r="R81" s="145" t="str">
        <f>'Raw Data'!T109</f>
        <v>/</v>
      </c>
      <c r="S81" s="145">
        <f>'Raw Data'!O109</f>
        <v>293.10000000000002</v>
      </c>
      <c r="T81" s="146" t="str">
        <f>'Raw Data'!P109</f>
        <v>/</v>
      </c>
      <c r="V81" s="193" t="str">
        <f>'Raw Data'!X109</f>
        <v>^^^</v>
      </c>
    </row>
    <row r="82" spans="1:26" x14ac:dyDescent="0.35">
      <c r="A82" s="155" t="str">
        <f>'Raw Data'!E110</f>
        <v>OCUNAC</v>
      </c>
      <c r="B82" s="156" t="str">
        <f t="shared" si="1"/>
        <v>MIL-101(Cr)–NH2-F0.5</v>
      </c>
      <c r="C82" s="146" t="str">
        <f>VLOOKUP($A82, Table_S1!$B$10:$K$5118, 2, FALSE)</f>
        <v>Cr</v>
      </c>
      <c r="D82" s="147">
        <f>VLOOKUP($A82, Table_S1!$B$10:$K$5118, 3, FALSE)</f>
        <v>0.42751699999999998</v>
      </c>
      <c r="E82" s="147">
        <f>VLOOKUP($A82, Table_S1!$B$10:$K$5118, 4, FALSE)</f>
        <v>14.04664</v>
      </c>
      <c r="F82" s="147">
        <f>VLOOKUP($A82, Table_S1!$B$10:$K$5118, 5, FALSE)</f>
        <v>36.150599999999997</v>
      </c>
      <c r="G82" s="147">
        <f>VLOOKUP($A82, Table_S1!$B$10:$K$5118, 6, FALSE)</f>
        <v>1345.1</v>
      </c>
      <c r="H82" s="147">
        <f>VLOOKUP($A82, Table_S1!$B$10:$K$5118, 7, FALSE)</f>
        <v>3146.31</v>
      </c>
      <c r="I82" s="147">
        <f>VLOOKUP($A82, Table_S1!$B$10:$K$5118, 8, FALSE)</f>
        <v>0.84486899999999998</v>
      </c>
      <c r="J82" s="147">
        <f>VLOOKUP($A82, Table_S1!$B$10:$K$5118, 9, FALSE)</f>
        <v>1.96082</v>
      </c>
      <c r="K82" s="148" t="str">
        <f>VLOOKUP($A82, Table_S1!$B$10:$K$5118, 10, FALSE)</f>
        <v>hydrogenation + geom. Minimization (fine setting/cg)</v>
      </c>
      <c r="L82" s="144"/>
      <c r="M82" s="149" t="str">
        <f>'Raw Data'!C110</f>
        <v>MIL-101(Cr)–NH2-F0.5</v>
      </c>
      <c r="N82" s="145">
        <f>'Raw Data'!I110</f>
        <v>3.6</v>
      </c>
      <c r="O82" s="145">
        <f>'Raw Data'!Q110</f>
        <v>2385</v>
      </c>
      <c r="P82" s="145" t="str">
        <f>'Raw Data'!R110</f>
        <v>/</v>
      </c>
      <c r="Q82" s="145" t="str">
        <f>'Raw Data'!S110</f>
        <v>/</v>
      </c>
      <c r="R82" s="145" t="str">
        <f>'Raw Data'!T110</f>
        <v>/</v>
      </c>
      <c r="S82" s="145">
        <f>'Raw Data'!O110</f>
        <v>293.10000000000002</v>
      </c>
      <c r="T82" s="146" t="str">
        <f>'Raw Data'!P110</f>
        <v>/</v>
      </c>
      <c r="V82" s="193" t="str">
        <f>'Raw Data'!X110</f>
        <v>^^^</v>
      </c>
    </row>
    <row r="83" spans="1:26" ht="122" x14ac:dyDescent="0.35">
      <c r="A83" s="155" t="str">
        <f>'Raw Data'!E113</f>
        <v>DOTSOV42</v>
      </c>
      <c r="B83" s="156" t="str">
        <f t="shared" si="1"/>
        <v>Cu BTC (HKUST-1)</v>
      </c>
      <c r="C83" s="146" t="str">
        <f>VLOOKUP($A83, Table_S1!$B$10:$K$5118, 2, FALSE)</f>
        <v>Cu</v>
      </c>
      <c r="D83" s="147">
        <f>VLOOKUP($A83, Table_S1!$B$10:$K$5118, 3, FALSE)</f>
        <v>0.88463000000000003</v>
      </c>
      <c r="E83" s="147">
        <f>VLOOKUP($A83, Table_S1!$B$10:$K$5118, 4, FALSE)</f>
        <v>6.6823699999999997</v>
      </c>
      <c r="F83" s="147">
        <f>VLOOKUP($A83, Table_S1!$B$10:$K$5118, 5, FALSE)</f>
        <v>13.281969999999999</v>
      </c>
      <c r="G83" s="147">
        <f>VLOOKUP($A83, Table_S1!$B$10:$K$5118, 6, FALSE)</f>
        <v>1832.89</v>
      </c>
      <c r="H83" s="147">
        <f>VLOOKUP($A83, Table_S1!$B$10:$K$5118, 7, FALSE)</f>
        <v>2070.8200000000002</v>
      </c>
      <c r="I83" s="147">
        <f>VLOOKUP($A83, Table_S1!$B$10:$K$5118, 8, FALSE)</f>
        <v>0.75181699999999996</v>
      </c>
      <c r="J83" s="147">
        <f>VLOOKUP($A83, Table_S1!$B$10:$K$5118, 9, FALSE)</f>
        <v>0.81218299999999999</v>
      </c>
      <c r="K83" s="148">
        <f>VLOOKUP($A83, Table_S1!$B$10:$K$5118, 10, FALSE)</f>
        <v>0</v>
      </c>
      <c r="L83" s="144"/>
      <c r="M83" s="149" t="str">
        <f>'Raw Data'!C113</f>
        <v>Cu BTC (HKUST-1)</v>
      </c>
      <c r="N83" s="145">
        <f>'Raw Data'!I113</f>
        <v>3.4</v>
      </c>
      <c r="O83" s="145">
        <f>'Raw Data'!Q113</f>
        <v>526.51</v>
      </c>
      <c r="P83" s="172">
        <v>0.80100000000000005</v>
      </c>
      <c r="Q83" s="170" t="s">
        <v>63</v>
      </c>
      <c r="R83" s="145" t="str">
        <f>'Raw Data'!T113</f>
        <v>/</v>
      </c>
      <c r="S83" s="145">
        <f>'Raw Data'!O113</f>
        <v>298.10000000000002</v>
      </c>
      <c r="T83" s="146" t="str">
        <f>'Raw Data'!P113</f>
        <v>/</v>
      </c>
      <c r="V83" s="193" t="str">
        <f>'Raw Data'!X113</f>
        <v>R. Pan, Y.N. Guo, Y.N. Tang, D. Wei, L. Mengli, D.L. He
Dicationic liquid containing alkenyl modified cubtc improves the performance of the composites: Increasing the CO2 adsorption effect
Chem. Eng. J., 430 (2022), Article 132127</v>
      </c>
      <c r="Y83" s="193" t="s">
        <v>6991</v>
      </c>
      <c r="Z83" s="193" t="s">
        <v>6991</v>
      </c>
    </row>
    <row r="84" spans="1:26" x14ac:dyDescent="0.35">
      <c r="A84" s="155" t="str">
        <f>'Raw Data'!E114</f>
        <v>DOTSOV42</v>
      </c>
      <c r="B84" s="156" t="str">
        <f t="shared" si="1"/>
        <v>DIL-2/Cu BTC</v>
      </c>
      <c r="C84" s="146" t="str">
        <f>VLOOKUP($A84, Table_S1!$B$10:$K$5118, 2, FALSE)</f>
        <v>Cu</v>
      </c>
      <c r="D84" s="147">
        <f>VLOOKUP($A84, Table_S1!$B$10:$K$5118, 3, FALSE)</f>
        <v>0.88463000000000003</v>
      </c>
      <c r="E84" s="147">
        <f>VLOOKUP($A84, Table_S1!$B$10:$K$5118, 4, FALSE)</f>
        <v>6.6823699999999997</v>
      </c>
      <c r="F84" s="147">
        <f>VLOOKUP($A84, Table_S1!$B$10:$K$5118, 5, FALSE)</f>
        <v>13.281969999999999</v>
      </c>
      <c r="G84" s="147">
        <f>VLOOKUP($A84, Table_S1!$B$10:$K$5118, 6, FALSE)</f>
        <v>1832.89</v>
      </c>
      <c r="H84" s="147">
        <f>VLOOKUP($A84, Table_S1!$B$10:$K$5118, 7, FALSE)</f>
        <v>2070.8200000000002</v>
      </c>
      <c r="I84" s="147">
        <f>VLOOKUP($A84, Table_S1!$B$10:$K$5118, 8, FALSE)</f>
        <v>0.75181699999999996</v>
      </c>
      <c r="J84" s="147">
        <f>VLOOKUP($A84, Table_S1!$B$10:$K$5118, 9, FALSE)</f>
        <v>0.81218299999999999</v>
      </c>
      <c r="K84" s="148">
        <f>VLOOKUP($A84, Table_S1!$B$10:$K$5118, 10, FALSE)</f>
        <v>0</v>
      </c>
      <c r="L84" s="144"/>
      <c r="M84" s="149" t="str">
        <f>'Raw Data'!C114</f>
        <v>DIL-2/Cu BTC</v>
      </c>
      <c r="N84" s="145">
        <f>'Raw Data'!I114</f>
        <v>3.83</v>
      </c>
      <c r="O84" s="145">
        <f>'Raw Data'!Q114</f>
        <v>841.1</v>
      </c>
      <c r="P84" s="145" t="str">
        <f>'Raw Data'!R114</f>
        <v>/</v>
      </c>
      <c r="Q84" s="145" t="str">
        <f>'Raw Data'!S114</f>
        <v>/</v>
      </c>
      <c r="R84" s="145" t="str">
        <f>'Raw Data'!T114</f>
        <v>/</v>
      </c>
      <c r="S84" s="145">
        <f>'Raw Data'!O114</f>
        <v>298.10000000000002</v>
      </c>
      <c r="T84" s="146" t="str">
        <f>'Raw Data'!P114</f>
        <v>/</v>
      </c>
      <c r="V84" s="193" t="str">
        <f>'Raw Data'!X114</f>
        <v>^^^</v>
      </c>
    </row>
    <row r="85" spans="1:26" ht="122" x14ac:dyDescent="0.35">
      <c r="A85" s="155" t="str">
        <f>'Raw Data'!E115</f>
        <v>HEKFOW</v>
      </c>
      <c r="B85" s="156" t="str">
        <f t="shared" si="1"/>
        <v>UiO-67</v>
      </c>
      <c r="C85" s="146" t="e">
        <f>VLOOKUP($A85, Table_S1!$B$10:$K$5118, 2, FALSE)</f>
        <v>#N/A</v>
      </c>
      <c r="D85" s="147" t="e">
        <f>VLOOKUP($A85, Table_S1!$B$10:$K$5118, 3, FALSE)</f>
        <v>#N/A</v>
      </c>
      <c r="E85" s="147" t="e">
        <f>VLOOKUP($A85, Table_S1!$B$10:$K$5118, 4, FALSE)</f>
        <v>#N/A</v>
      </c>
      <c r="F85" s="147" t="e">
        <f>VLOOKUP($A85, Table_S1!$B$10:$K$5118, 5, FALSE)</f>
        <v>#N/A</v>
      </c>
      <c r="G85" s="147" t="e">
        <f>VLOOKUP($A85, Table_S1!$B$10:$K$5118, 6, FALSE)</f>
        <v>#N/A</v>
      </c>
      <c r="H85" s="147" t="e">
        <f>VLOOKUP($A85, Table_S1!$B$10:$K$5118, 7, FALSE)</f>
        <v>#N/A</v>
      </c>
      <c r="I85" s="147" t="e">
        <f>VLOOKUP($A85, Table_S1!$B$10:$K$5118, 8, FALSE)</f>
        <v>#N/A</v>
      </c>
      <c r="J85" s="147" t="e">
        <f>VLOOKUP($A85, Table_S1!$B$10:$K$5118, 9, FALSE)</f>
        <v>#N/A</v>
      </c>
      <c r="K85" s="148" t="e">
        <f>VLOOKUP($A85, Table_S1!$B$10:$K$5118, 10, FALSE)</f>
        <v>#N/A</v>
      </c>
      <c r="L85" s="144"/>
      <c r="M85" s="149" t="str">
        <f>'Raw Data'!C115</f>
        <v>UiO-67</v>
      </c>
      <c r="N85" s="145">
        <f>'Raw Data'!I115</f>
        <v>1.06</v>
      </c>
      <c r="O85" s="145">
        <f>'Raw Data'!Q115</f>
        <v>2407</v>
      </c>
      <c r="P85" s="145" t="str">
        <f>'Raw Data'!R115</f>
        <v>/</v>
      </c>
      <c r="Q85" s="145" t="str">
        <f>'Raw Data'!S115</f>
        <v>/</v>
      </c>
      <c r="R85" s="145" t="str">
        <f>'Raw Data'!T115</f>
        <v>/</v>
      </c>
      <c r="S85" s="145">
        <f>'Raw Data'!O115</f>
        <v>273.10000000000002</v>
      </c>
      <c r="T85" s="146" t="str">
        <f>'Raw Data'!P115</f>
        <v>/</v>
      </c>
      <c r="V85" s="193" t="str">
        <f>'Raw Data'!X115</f>
        <v>W.L. Xue, L. Wang, Y.K. Li, H. Chen, K.X. Fu, F. Zhang, T. He, Y.H. Deng, J.R. Li, C.Q. Wan
Reticular chemistry for ionic liquid-functionalized metal-organic frameworks with high selectivity for CO2
ACS Sustain. Chem. Eng., 8 (2020), pp. 18558-18567</v>
      </c>
    </row>
    <row r="86" spans="1:26" x14ac:dyDescent="0.35">
      <c r="A86" s="155" t="str">
        <f>'Raw Data'!E116</f>
        <v>HEKFOW</v>
      </c>
      <c r="B86" s="156" t="str">
        <f t="shared" si="1"/>
        <v>UiO-67-MIMS(0.25)</v>
      </c>
      <c r="C86" s="146" t="e">
        <f>VLOOKUP($A86, Table_S1!$B$10:$K$5118, 2, FALSE)</f>
        <v>#N/A</v>
      </c>
      <c r="D86" s="147" t="e">
        <f>VLOOKUP($A86, Table_S1!$B$10:$K$5118, 3, FALSE)</f>
        <v>#N/A</v>
      </c>
      <c r="E86" s="147" t="e">
        <f>VLOOKUP($A86, Table_S1!$B$10:$K$5118, 4, FALSE)</f>
        <v>#N/A</v>
      </c>
      <c r="F86" s="147" t="e">
        <f>VLOOKUP($A86, Table_S1!$B$10:$K$5118, 5, FALSE)</f>
        <v>#N/A</v>
      </c>
      <c r="G86" s="147" t="e">
        <f>VLOOKUP($A86, Table_S1!$B$10:$K$5118, 6, FALSE)</f>
        <v>#N/A</v>
      </c>
      <c r="H86" s="147" t="e">
        <f>VLOOKUP($A86, Table_S1!$B$10:$K$5118, 7, FALSE)</f>
        <v>#N/A</v>
      </c>
      <c r="I86" s="147" t="e">
        <f>VLOOKUP($A86, Table_S1!$B$10:$K$5118, 8, FALSE)</f>
        <v>#N/A</v>
      </c>
      <c r="J86" s="147" t="e">
        <f>VLOOKUP($A86, Table_S1!$B$10:$K$5118, 9, FALSE)</f>
        <v>#N/A</v>
      </c>
      <c r="K86" s="148" t="e">
        <f>VLOOKUP($A86, Table_S1!$B$10:$K$5118, 10, FALSE)</f>
        <v>#N/A</v>
      </c>
      <c r="L86" s="144"/>
      <c r="M86" s="149" t="str">
        <f>'Raw Data'!C116</f>
        <v>UiO-67-MIMS(0.25)</v>
      </c>
      <c r="N86" s="145">
        <f>'Raw Data'!I116</f>
        <v>0.8</v>
      </c>
      <c r="O86" s="145">
        <f>'Raw Data'!Q116</f>
        <v>1627</v>
      </c>
      <c r="P86" s="145" t="str">
        <f>'Raw Data'!R116</f>
        <v>/</v>
      </c>
      <c r="Q86" s="145" t="str">
        <f>'Raw Data'!S116</f>
        <v>/</v>
      </c>
      <c r="R86" s="145" t="str">
        <f>'Raw Data'!T116</f>
        <v>/</v>
      </c>
      <c r="S86" s="145">
        <f>'Raw Data'!O116</f>
        <v>273.10000000000002</v>
      </c>
      <c r="T86" s="146" t="str">
        <f>'Raw Data'!P116</f>
        <v>/</v>
      </c>
      <c r="V86" s="193" t="str">
        <f>'Raw Data'!X116</f>
        <v>^^^</v>
      </c>
    </row>
    <row r="87" spans="1:26" x14ac:dyDescent="0.35">
      <c r="A87" s="155" t="str">
        <f>'Raw Data'!E117</f>
        <v>HEKFOW</v>
      </c>
      <c r="B87" s="156" t="str">
        <f t="shared" si="1"/>
        <v>UiO-67-ILs-Cl</v>
      </c>
      <c r="C87" s="146" t="e">
        <f>VLOOKUP($A87, Table_S1!$B$10:$K$5118, 2, FALSE)</f>
        <v>#N/A</v>
      </c>
      <c r="D87" s="147" t="e">
        <f>VLOOKUP($A87, Table_S1!$B$10:$K$5118, 3, FALSE)</f>
        <v>#N/A</v>
      </c>
      <c r="E87" s="147" t="e">
        <f>VLOOKUP($A87, Table_S1!$B$10:$K$5118, 4, FALSE)</f>
        <v>#N/A</v>
      </c>
      <c r="F87" s="147" t="e">
        <f>VLOOKUP($A87, Table_S1!$B$10:$K$5118, 5, FALSE)</f>
        <v>#N/A</v>
      </c>
      <c r="G87" s="147" t="e">
        <f>VLOOKUP($A87, Table_S1!$B$10:$K$5118, 6, FALSE)</f>
        <v>#N/A</v>
      </c>
      <c r="H87" s="147" t="e">
        <f>VLOOKUP($A87, Table_S1!$B$10:$K$5118, 7, FALSE)</f>
        <v>#N/A</v>
      </c>
      <c r="I87" s="147" t="e">
        <f>VLOOKUP($A87, Table_S1!$B$10:$K$5118, 8, FALSE)</f>
        <v>#N/A</v>
      </c>
      <c r="J87" s="147" t="e">
        <f>VLOOKUP($A87, Table_S1!$B$10:$K$5118, 9, FALSE)</f>
        <v>#N/A</v>
      </c>
      <c r="K87" s="148" t="e">
        <f>VLOOKUP($A87, Table_S1!$B$10:$K$5118, 10, FALSE)</f>
        <v>#N/A</v>
      </c>
      <c r="L87" s="144"/>
      <c r="M87" s="149" t="str">
        <f>'Raw Data'!C117</f>
        <v>UiO-67-ILs-Cl</v>
      </c>
      <c r="N87" s="145">
        <f>'Raw Data'!I117</f>
        <v>3.8</v>
      </c>
      <c r="O87" s="145">
        <f>'Raw Data'!Q117</f>
        <v>1403</v>
      </c>
      <c r="P87" s="145" t="str">
        <f>'Raw Data'!R117</f>
        <v>/</v>
      </c>
      <c r="Q87" s="145" t="str">
        <f>'Raw Data'!S117</f>
        <v>/</v>
      </c>
      <c r="R87" s="145" t="str">
        <f>'Raw Data'!T117</f>
        <v>/</v>
      </c>
      <c r="S87" s="145">
        <f>'Raw Data'!O117</f>
        <v>273.10000000000002</v>
      </c>
      <c r="T87" s="146" t="str">
        <f>'Raw Data'!P117</f>
        <v>/</v>
      </c>
      <c r="V87" s="193" t="str">
        <f>'Raw Data'!X117</f>
        <v>^^^</v>
      </c>
    </row>
    <row r="88" spans="1:26" ht="122" x14ac:dyDescent="0.35">
      <c r="A88" s="155" t="str">
        <f>'Raw Data'!E118</f>
        <v>/</v>
      </c>
      <c r="B88" s="156" t="str">
        <f t="shared" si="1"/>
        <v>MFM-102</v>
      </c>
      <c r="C88" s="146" t="e">
        <f>VLOOKUP($A88, Table_S1!$B$10:$K$5118, 2, FALSE)</f>
        <v>#N/A</v>
      </c>
      <c r="D88" s="147" t="e">
        <f>VLOOKUP($A88, Table_S1!$B$10:$K$5118, 3, FALSE)</f>
        <v>#N/A</v>
      </c>
      <c r="E88" s="147" t="e">
        <f>VLOOKUP($A88, Table_S1!$B$10:$K$5118, 4, FALSE)</f>
        <v>#N/A</v>
      </c>
      <c r="F88" s="147" t="e">
        <f>VLOOKUP($A88, Table_S1!$B$10:$K$5118, 5, FALSE)</f>
        <v>#N/A</v>
      </c>
      <c r="G88" s="147" t="e">
        <f>VLOOKUP($A88, Table_S1!$B$10:$K$5118, 6, FALSE)</f>
        <v>#N/A</v>
      </c>
      <c r="H88" s="147" t="e">
        <f>VLOOKUP($A88, Table_S1!$B$10:$K$5118, 7, FALSE)</f>
        <v>#N/A</v>
      </c>
      <c r="I88" s="147" t="e">
        <f>VLOOKUP($A88, Table_S1!$B$10:$K$5118, 8, FALSE)</f>
        <v>#N/A</v>
      </c>
      <c r="J88" s="147" t="e">
        <f>VLOOKUP($A88, Table_S1!$B$10:$K$5118, 9, FALSE)</f>
        <v>#N/A</v>
      </c>
      <c r="K88" s="148" t="e">
        <f>VLOOKUP($A88, Table_S1!$B$10:$K$5118, 10, FALSE)</f>
        <v>#N/A</v>
      </c>
      <c r="L88" s="144"/>
      <c r="M88" s="149" t="str">
        <f>'Raw Data'!C118</f>
        <v>MFM-102</v>
      </c>
      <c r="N88" s="145">
        <f>'Raw Data'!I118</f>
        <v>6.03</v>
      </c>
      <c r="O88" s="145">
        <f>'Raw Data'!Q118</f>
        <v>3412</v>
      </c>
      <c r="P88" s="145" t="str">
        <f>'Raw Data'!R118</f>
        <v>/</v>
      </c>
      <c r="Q88" s="145" t="str">
        <f>'Raw Data'!S118</f>
        <v>/</v>
      </c>
      <c r="R88" s="145" t="str">
        <f>'Raw Data'!T118</f>
        <v>/</v>
      </c>
      <c r="S88" s="145">
        <f>'Raw Data'!O118</f>
        <v>273.10000000000002</v>
      </c>
      <c r="T88" s="146" t="str">
        <f>'Raw Data'!P118</f>
        <v>/</v>
      </c>
      <c r="V88" s="193" t="str">
        <f>'Raw Data'!X118</f>
        <v>T.D. Duong, S.A. Sapchenko, I. da Silva, H.G.W. Godfrey, Y. Cheng, L.L. Daemen, P. Manuel, M.D. Frogley, G. Cinque, A.J. Ramirez-Cuesta, S. Yang, M. Schröder
Observation of binding of carbon dioxide to nitro-decorated metal–organic frameworks
Chem. Sci., 11 (2020), pp. 5339-5346</v>
      </c>
    </row>
    <row r="89" spans="1:26" x14ac:dyDescent="0.35">
      <c r="A89" s="155" t="str">
        <f>'Raw Data'!E119</f>
        <v>/</v>
      </c>
      <c r="B89" s="156" t="str">
        <f t="shared" si="1"/>
        <v>MFM-102-NO2</v>
      </c>
      <c r="C89" s="146" t="e">
        <f>VLOOKUP($A89, Table_S1!$B$10:$K$5118, 2, FALSE)</f>
        <v>#N/A</v>
      </c>
      <c r="D89" s="147" t="e">
        <f>VLOOKUP($A89, Table_S1!$B$10:$K$5118, 3, FALSE)</f>
        <v>#N/A</v>
      </c>
      <c r="E89" s="147" t="e">
        <f>VLOOKUP($A89, Table_S1!$B$10:$K$5118, 4, FALSE)</f>
        <v>#N/A</v>
      </c>
      <c r="F89" s="147" t="e">
        <f>VLOOKUP($A89, Table_S1!$B$10:$K$5118, 5, FALSE)</f>
        <v>#N/A</v>
      </c>
      <c r="G89" s="147" t="e">
        <f>VLOOKUP($A89, Table_S1!$B$10:$K$5118, 6, FALSE)</f>
        <v>#N/A</v>
      </c>
      <c r="H89" s="147" t="e">
        <f>VLOOKUP($A89, Table_S1!$B$10:$K$5118, 7, FALSE)</f>
        <v>#N/A</v>
      </c>
      <c r="I89" s="147" t="e">
        <f>VLOOKUP($A89, Table_S1!$B$10:$K$5118, 8, FALSE)</f>
        <v>#N/A</v>
      </c>
      <c r="J89" s="147" t="e">
        <f>VLOOKUP($A89, Table_S1!$B$10:$K$5118, 9, FALSE)</f>
        <v>#N/A</v>
      </c>
      <c r="K89" s="148" t="e">
        <f>VLOOKUP($A89, Table_S1!$B$10:$K$5118, 10, FALSE)</f>
        <v>#N/A</v>
      </c>
      <c r="L89" s="144"/>
      <c r="M89" s="149" t="str">
        <f>'Raw Data'!C119</f>
        <v>MFM-102-NO2</v>
      </c>
      <c r="N89" s="145">
        <f>'Raw Data'!I119</f>
        <v>8.2100000000000009</v>
      </c>
      <c r="O89" s="145">
        <f>'Raw Data'!Q119</f>
        <v>2893</v>
      </c>
      <c r="P89" s="145" t="str">
        <f>'Raw Data'!R119</f>
        <v>/</v>
      </c>
      <c r="Q89" s="145" t="str">
        <f>'Raw Data'!S119</f>
        <v>/</v>
      </c>
      <c r="R89" s="145" t="str">
        <f>'Raw Data'!T119</f>
        <v>/</v>
      </c>
      <c r="S89" s="145">
        <f>'Raw Data'!O119</f>
        <v>273.10000000000002</v>
      </c>
      <c r="T89" s="146" t="str">
        <f>'Raw Data'!P119</f>
        <v>/</v>
      </c>
      <c r="V89" s="193" t="str">
        <f>'Raw Data'!X119</f>
        <v>^^^</v>
      </c>
    </row>
    <row r="90" spans="1:26" x14ac:dyDescent="0.35">
      <c r="A90" s="155" t="str">
        <f>'Raw Data'!E120</f>
        <v>/</v>
      </c>
      <c r="B90" s="156" t="str">
        <f t="shared" si="1"/>
        <v>MFM-102-NH2</v>
      </c>
      <c r="C90" s="146" t="e">
        <f>VLOOKUP($A90, Table_S1!$B$10:$K$5118, 2, FALSE)</f>
        <v>#N/A</v>
      </c>
      <c r="D90" s="147" t="e">
        <f>VLOOKUP($A90, Table_S1!$B$10:$K$5118, 3, FALSE)</f>
        <v>#N/A</v>
      </c>
      <c r="E90" s="147" t="e">
        <f>VLOOKUP($A90, Table_S1!$B$10:$K$5118, 4, FALSE)</f>
        <v>#N/A</v>
      </c>
      <c r="F90" s="147" t="e">
        <f>VLOOKUP($A90, Table_S1!$B$10:$K$5118, 5, FALSE)</f>
        <v>#N/A</v>
      </c>
      <c r="G90" s="147" t="e">
        <f>VLOOKUP($A90, Table_S1!$B$10:$K$5118, 6, FALSE)</f>
        <v>#N/A</v>
      </c>
      <c r="H90" s="147" t="e">
        <f>VLOOKUP($A90, Table_S1!$B$10:$K$5118, 7, FALSE)</f>
        <v>#N/A</v>
      </c>
      <c r="I90" s="147" t="e">
        <f>VLOOKUP($A90, Table_S1!$B$10:$K$5118, 8, FALSE)</f>
        <v>#N/A</v>
      </c>
      <c r="J90" s="147" t="e">
        <f>VLOOKUP($A90, Table_S1!$B$10:$K$5118, 9, FALSE)</f>
        <v>#N/A</v>
      </c>
      <c r="K90" s="148" t="e">
        <f>VLOOKUP($A90, Table_S1!$B$10:$K$5118, 10, FALSE)</f>
        <v>#N/A</v>
      </c>
      <c r="L90" s="144"/>
      <c r="M90" s="149" t="str">
        <f>'Raw Data'!C120</f>
        <v>MFM-102-NH2</v>
      </c>
      <c r="N90" s="145">
        <f>'Raw Data'!I120</f>
        <v>8.0399999999999991</v>
      </c>
      <c r="O90" s="145">
        <f>'Raw Data'!Q120</f>
        <v>2923</v>
      </c>
      <c r="P90" s="145" t="str">
        <f>'Raw Data'!R120</f>
        <v>/</v>
      </c>
      <c r="Q90" s="145" t="str">
        <f>'Raw Data'!S120</f>
        <v>/</v>
      </c>
      <c r="R90" s="145" t="str">
        <f>'Raw Data'!T120</f>
        <v>/</v>
      </c>
      <c r="S90" s="145">
        <f>'Raw Data'!O120</f>
        <v>273.10000000000002</v>
      </c>
      <c r="T90" s="146" t="str">
        <f>'Raw Data'!P120</f>
        <v>/</v>
      </c>
      <c r="V90" s="193" t="str">
        <f>'Raw Data'!X120</f>
        <v>^^^</v>
      </c>
    </row>
    <row r="91" spans="1:26" ht="139" x14ac:dyDescent="0.35">
      <c r="A91" s="155" t="str">
        <f>'Raw Data'!E121</f>
        <v>SURKAT</v>
      </c>
      <c r="B91" s="156" t="str">
        <f t="shared" si="1"/>
        <v>UiO-66-NH2</v>
      </c>
      <c r="C91" s="146" t="e">
        <f>VLOOKUP($A91, Table_S1!$B$10:$K$5118, 2, FALSE)</f>
        <v>#N/A</v>
      </c>
      <c r="D91" s="147" t="e">
        <f>VLOOKUP($A91, Table_S1!$B$10:$K$5118, 3, FALSE)</f>
        <v>#N/A</v>
      </c>
      <c r="E91" s="147" t="e">
        <f>VLOOKUP($A91, Table_S1!$B$10:$K$5118, 4, FALSE)</f>
        <v>#N/A</v>
      </c>
      <c r="F91" s="147" t="e">
        <f>VLOOKUP($A91, Table_S1!$B$10:$K$5118, 5, FALSE)</f>
        <v>#N/A</v>
      </c>
      <c r="G91" s="147" t="e">
        <f>VLOOKUP($A91, Table_S1!$B$10:$K$5118, 6, FALSE)</f>
        <v>#N/A</v>
      </c>
      <c r="H91" s="147" t="e">
        <f>VLOOKUP($A91, Table_S1!$B$10:$K$5118, 7, FALSE)</f>
        <v>#N/A</v>
      </c>
      <c r="I91" s="147" t="e">
        <f>VLOOKUP($A91, Table_S1!$B$10:$K$5118, 8, FALSE)</f>
        <v>#N/A</v>
      </c>
      <c r="J91" s="147" t="e">
        <f>VLOOKUP($A91, Table_S1!$B$10:$K$5118, 9, FALSE)</f>
        <v>#N/A</v>
      </c>
      <c r="K91" s="148" t="e">
        <f>VLOOKUP($A91, Table_S1!$B$10:$K$5118, 10, FALSE)</f>
        <v>#N/A</v>
      </c>
      <c r="L91" s="144"/>
      <c r="M91" s="149" t="str">
        <f>'Raw Data'!C121</f>
        <v>UiO-66-NH2</v>
      </c>
      <c r="N91" s="145">
        <f>'Raw Data'!I121</f>
        <v>2.8</v>
      </c>
      <c r="O91" s="145">
        <f>'Raw Data'!Q121</f>
        <v>1169.43</v>
      </c>
      <c r="P91" s="145" t="str">
        <f>'Raw Data'!R121</f>
        <v>/</v>
      </c>
      <c r="Q91" s="145" t="str">
        <f>'Raw Data'!S121</f>
        <v>/</v>
      </c>
      <c r="R91" s="145" t="str">
        <f>'Raw Data'!T121</f>
        <v>/</v>
      </c>
      <c r="S91" s="145">
        <f>'Raw Data'!O121</f>
        <v>298.3</v>
      </c>
      <c r="T91" s="146" t="str">
        <f>'Raw Data'!P121</f>
        <v>/</v>
      </c>
      <c r="V91" s="193" t="str">
        <f>'Raw Data'!X121</f>
        <v>H. Ning, Z. Yang, Z. Yin, D. Wang, Z. Meng, C. Wang, Y. Zhang, Z. Chen
A novel strategy to enhance the performance of co2 adsorption separation: Grafting hyper-cross-linked polyimide onto composites of UiO-66-NH2 and GO
ACS Appl. Mater. Interfaces, 13 (2021), pp. 17781-17790</v>
      </c>
    </row>
    <row r="92" spans="1:26" x14ac:dyDescent="0.35">
      <c r="A92" s="155" t="str">
        <f>'Raw Data'!E122</f>
        <v>SURKAT</v>
      </c>
      <c r="B92" s="156" t="str">
        <f t="shared" si="1"/>
        <v>PI-UiO/GO-1</v>
      </c>
      <c r="C92" s="146" t="e">
        <f>VLOOKUP($A92, Table_S1!$B$10:$K$5118, 2, FALSE)</f>
        <v>#N/A</v>
      </c>
      <c r="D92" s="147" t="e">
        <f>VLOOKUP($A92, Table_S1!$B$10:$K$5118, 3, FALSE)</f>
        <v>#N/A</v>
      </c>
      <c r="E92" s="147" t="e">
        <f>VLOOKUP($A92, Table_S1!$B$10:$K$5118, 4, FALSE)</f>
        <v>#N/A</v>
      </c>
      <c r="F92" s="147" t="e">
        <f>VLOOKUP($A92, Table_S1!$B$10:$K$5118, 5, FALSE)</f>
        <v>#N/A</v>
      </c>
      <c r="G92" s="147" t="e">
        <f>VLOOKUP($A92, Table_S1!$B$10:$K$5118, 6, FALSE)</f>
        <v>#N/A</v>
      </c>
      <c r="H92" s="147" t="e">
        <f>VLOOKUP($A92, Table_S1!$B$10:$K$5118, 7, FALSE)</f>
        <v>#N/A</v>
      </c>
      <c r="I92" s="147" t="e">
        <f>VLOOKUP($A92, Table_S1!$B$10:$K$5118, 8, FALSE)</f>
        <v>#N/A</v>
      </c>
      <c r="J92" s="147" t="e">
        <f>VLOOKUP($A92, Table_S1!$B$10:$K$5118, 9, FALSE)</f>
        <v>#N/A</v>
      </c>
      <c r="K92" s="148" t="e">
        <f>VLOOKUP($A92, Table_S1!$B$10:$K$5118, 10, FALSE)</f>
        <v>#N/A</v>
      </c>
      <c r="L92" s="144"/>
      <c r="M92" s="149" t="str">
        <f>'Raw Data'!C122</f>
        <v>PI-UiO/GO-1</v>
      </c>
      <c r="N92" s="145">
        <f>'Raw Data'!I122</f>
        <v>8.24</v>
      </c>
      <c r="O92" s="145">
        <f>'Raw Data'!Q122</f>
        <v>917.57</v>
      </c>
      <c r="P92" s="145" t="str">
        <f>'Raw Data'!R122</f>
        <v>/</v>
      </c>
      <c r="Q92" s="145" t="str">
        <f>'Raw Data'!S122</f>
        <v>/</v>
      </c>
      <c r="R92" s="145" t="str">
        <f>'Raw Data'!T122</f>
        <v>/</v>
      </c>
      <c r="S92" s="145">
        <f>'Raw Data'!O122</f>
        <v>298.3</v>
      </c>
      <c r="T92" s="146" t="str">
        <f>'Raw Data'!P122</f>
        <v>/</v>
      </c>
      <c r="V92" s="193" t="str">
        <f>'Raw Data'!X122</f>
        <v>^^^</v>
      </c>
    </row>
    <row r="93" spans="1:26" ht="88" x14ac:dyDescent="0.35">
      <c r="A93" s="155" t="str">
        <f>'Raw Data'!E123</f>
        <v>RUBTAK</v>
      </c>
      <c r="B93" s="156" t="str">
        <f t="shared" si="1"/>
        <v>Li+@PAA@UiO-66</v>
      </c>
      <c r="C93" s="146" t="e">
        <f>VLOOKUP($A93, Table_S1!$B$10:$K$5118, 2, FALSE)</f>
        <v>#N/A</v>
      </c>
      <c r="D93" s="147" t="e">
        <f>VLOOKUP($A93, Table_S1!$B$10:$K$5118, 3, FALSE)</f>
        <v>#N/A</v>
      </c>
      <c r="E93" s="147" t="e">
        <f>VLOOKUP($A93, Table_S1!$B$10:$K$5118, 4, FALSE)</f>
        <v>#N/A</v>
      </c>
      <c r="F93" s="147" t="e">
        <f>VLOOKUP($A93, Table_S1!$B$10:$K$5118, 5, FALSE)</f>
        <v>#N/A</v>
      </c>
      <c r="G93" s="147" t="e">
        <f>VLOOKUP($A93, Table_S1!$B$10:$K$5118, 6, FALSE)</f>
        <v>#N/A</v>
      </c>
      <c r="H93" s="147" t="e">
        <f>VLOOKUP($A93, Table_S1!$B$10:$K$5118, 7, FALSE)</f>
        <v>#N/A</v>
      </c>
      <c r="I93" s="147" t="e">
        <f>VLOOKUP($A93, Table_S1!$B$10:$K$5118, 8, FALSE)</f>
        <v>#N/A</v>
      </c>
      <c r="J93" s="147" t="e">
        <f>VLOOKUP($A93, Table_S1!$B$10:$K$5118, 9, FALSE)</f>
        <v>#N/A</v>
      </c>
      <c r="K93" s="148" t="e">
        <f>VLOOKUP($A93, Table_S1!$B$10:$K$5118, 10, FALSE)</f>
        <v>#N/A</v>
      </c>
      <c r="L93" s="144"/>
      <c r="M93" s="149" t="str">
        <f>'Raw Data'!C123</f>
        <v>Li+@PAA@UiO-66</v>
      </c>
      <c r="N93" s="145">
        <f>'Raw Data'!I123</f>
        <v>0.94</v>
      </c>
      <c r="O93" s="145">
        <f>'Raw Data'!Q123</f>
        <v>238</v>
      </c>
      <c r="P93" s="145" t="str">
        <f>'Raw Data'!R123</f>
        <v>/</v>
      </c>
      <c r="Q93" s="145" t="str">
        <f>'Raw Data'!S123</f>
        <v>/</v>
      </c>
      <c r="R93" s="145" t="str">
        <f>'Raw Data'!T123</f>
        <v>/</v>
      </c>
      <c r="S93" s="145">
        <f>'Raw Data'!O123</f>
        <v>298.10000000000002</v>
      </c>
      <c r="T93" s="146" t="str">
        <f>'Raw Data'!P123</f>
        <v>/</v>
      </c>
      <c r="V93" s="193" t="str">
        <f>'Raw Data'!X123</f>
        <v>Y.J. Chang, H.L. Huang, L. Wang, Y. Li, C.L. Zhong
Synergistic dual-Li+ sites for CO2 separation in metal-organic framework composites
Chem. Eng. J., 402 (2020), Article 126201</v>
      </c>
    </row>
    <row r="94" spans="1:26" ht="105" x14ac:dyDescent="0.35">
      <c r="A94" s="155" t="str">
        <f>'Raw Data'!E126</f>
        <v>RUBTAK</v>
      </c>
      <c r="B94" s="156" t="str">
        <f t="shared" si="1"/>
        <v>50PEI@meso-UiO-66–0.2Cu</v>
      </c>
      <c r="C94" s="146" t="e">
        <f>VLOOKUP($A94, Table_S1!$B$10:$K$5118, 2, FALSE)</f>
        <v>#N/A</v>
      </c>
      <c r="D94" s="147" t="e">
        <f>VLOOKUP($A94, Table_S1!$B$10:$K$5118, 3, FALSE)</f>
        <v>#N/A</v>
      </c>
      <c r="E94" s="147" t="e">
        <f>VLOOKUP($A94, Table_S1!$B$10:$K$5118, 4, FALSE)</f>
        <v>#N/A</v>
      </c>
      <c r="F94" s="147" t="e">
        <f>VLOOKUP($A94, Table_S1!$B$10:$K$5118, 5, FALSE)</f>
        <v>#N/A</v>
      </c>
      <c r="G94" s="147" t="e">
        <f>VLOOKUP($A94, Table_S1!$B$10:$K$5118, 6, FALSE)</f>
        <v>#N/A</v>
      </c>
      <c r="H94" s="147" t="e">
        <f>VLOOKUP($A94, Table_S1!$B$10:$K$5118, 7, FALSE)</f>
        <v>#N/A</v>
      </c>
      <c r="I94" s="147" t="e">
        <f>VLOOKUP($A94, Table_S1!$B$10:$K$5118, 8, FALSE)</f>
        <v>#N/A</v>
      </c>
      <c r="J94" s="147" t="e">
        <f>VLOOKUP($A94, Table_S1!$B$10:$K$5118, 9, FALSE)</f>
        <v>#N/A</v>
      </c>
      <c r="K94" s="148" t="e">
        <f>VLOOKUP($A94, Table_S1!$B$10:$K$5118, 10, FALSE)</f>
        <v>#N/A</v>
      </c>
      <c r="L94" s="144"/>
      <c r="M94" s="149" t="str">
        <f>'Raw Data'!C126</f>
        <v>50PEI@meso-UiO-66–0.2Cu</v>
      </c>
      <c r="N94" s="145">
        <f>'Raw Data'!I126</f>
        <v>1.39</v>
      </c>
      <c r="O94" s="145">
        <f>'Raw Data'!Q126</f>
        <v>92</v>
      </c>
      <c r="P94" s="145" t="str">
        <f>'Raw Data'!R126</f>
        <v>/</v>
      </c>
      <c r="Q94" s="145" t="str">
        <f>'Raw Data'!S126</f>
        <v>/</v>
      </c>
      <c r="R94" s="145" t="str">
        <f>'Raw Data'!T126</f>
        <v>/</v>
      </c>
      <c r="S94" s="145">
        <f>'Raw Data'!O126</f>
        <v>298.10000000000002</v>
      </c>
      <c r="T94" s="146" t="str">
        <f>'Raw Data'!P126</f>
        <v>/</v>
      </c>
      <c r="V94" s="193" t="str">
        <f>'Raw Data'!X126</f>
        <v>Z. Li, H.F. Chen, C. Chen, Q.R. Guo, X. Li, Y.T. He, H.J. Wang, N.J. Feng, H. Wan, G.F. Guan
High dispersion of polyethyleneimine within mesoporous uio-66s through pore size engineering for selective CO2 capture
Chem. Eng. J., 375 (2019), Article 121962</v>
      </c>
    </row>
    <row r="95" spans="1:26" ht="122" x14ac:dyDescent="0.35">
      <c r="A95" s="155" t="str">
        <f>'Raw Data'!E127</f>
        <v>/</v>
      </c>
      <c r="B95" s="156" t="str">
        <f t="shared" si="1"/>
        <v>[Co3(L)2(2,2′-bipy)2](DMF)3 (H2O)3</v>
      </c>
      <c r="C95" s="146" t="e">
        <f>VLOOKUP($A95, Table_S1!$B$10:$K$5118, 2, FALSE)</f>
        <v>#N/A</v>
      </c>
      <c r="D95" s="147" t="e">
        <f>VLOOKUP($A95, Table_S1!$B$10:$K$5118, 3, FALSE)</f>
        <v>#N/A</v>
      </c>
      <c r="E95" s="147" t="e">
        <f>VLOOKUP($A95, Table_S1!$B$10:$K$5118, 4, FALSE)</f>
        <v>#N/A</v>
      </c>
      <c r="F95" s="147" t="e">
        <f>VLOOKUP($A95, Table_S1!$B$10:$K$5118, 5, FALSE)</f>
        <v>#N/A</v>
      </c>
      <c r="G95" s="147" t="e">
        <f>VLOOKUP($A95, Table_S1!$B$10:$K$5118, 6, FALSE)</f>
        <v>#N/A</v>
      </c>
      <c r="H95" s="147" t="e">
        <f>VLOOKUP($A95, Table_S1!$B$10:$K$5118, 7, FALSE)</f>
        <v>#N/A</v>
      </c>
      <c r="I95" s="147" t="e">
        <f>VLOOKUP($A95, Table_S1!$B$10:$K$5118, 8, FALSE)</f>
        <v>#N/A</v>
      </c>
      <c r="J95" s="147" t="e">
        <f>VLOOKUP($A95, Table_S1!$B$10:$K$5118, 9, FALSE)</f>
        <v>#N/A</v>
      </c>
      <c r="K95" s="148" t="e">
        <f>VLOOKUP($A95, Table_S1!$B$10:$K$5118, 10, FALSE)</f>
        <v>#N/A</v>
      </c>
      <c r="L95" s="144"/>
      <c r="M95" s="149" t="str">
        <f>'Raw Data'!C127</f>
        <v>[Co3(L)2(2,2′-bipy)2](DMF)3 (H2O)3</v>
      </c>
      <c r="N95" s="145">
        <f>'Raw Data'!I127</f>
        <v>2.23</v>
      </c>
      <c r="O95" s="145" t="str">
        <f>'Raw Data'!Q127</f>
        <v>/</v>
      </c>
      <c r="P95" s="145" t="str">
        <f>'Raw Data'!R127</f>
        <v>/</v>
      </c>
      <c r="Q95" s="145" t="str">
        <f>'Raw Data'!S127</f>
        <v>/</v>
      </c>
      <c r="R95" s="145" t="str">
        <f>'Raw Data'!T127</f>
        <v>/</v>
      </c>
      <c r="S95" s="145">
        <f>'Raw Data'!O127</f>
        <v>298.10000000000002</v>
      </c>
      <c r="T95" s="146" t="str">
        <f>'Raw Data'!P127</f>
        <v>/</v>
      </c>
      <c r="V95" s="193" t="str">
        <f>'Raw Data'!X127</f>
        <v>X. Zhou, L. Liu, H. Kou, S. Zheng, M. Song, J. Lu, X. Tai
A multifunctional 3D supermolecular co coordination polymer with potential for CO2 adsorption, antibacterial activity, and selective sensing of Fe3+/Cr3+ ions and tnp
Front. Chem., 9 (2021), Article 678993</v>
      </c>
    </row>
    <row r="96" spans="1:26" ht="105" x14ac:dyDescent="0.35">
      <c r="A96" s="155" t="str">
        <f>'Raw Data'!E128</f>
        <v>/</v>
      </c>
      <c r="B96" s="156" t="str">
        <f t="shared" si="1"/>
        <v>ZnDATZBDC</v>
      </c>
      <c r="C96" s="146" t="e">
        <f>VLOOKUP($A96, Table_S1!$B$10:$K$5118, 2, FALSE)</f>
        <v>#N/A</v>
      </c>
      <c r="D96" s="147" t="e">
        <f>VLOOKUP($A96, Table_S1!$B$10:$K$5118, 3, FALSE)</f>
        <v>#N/A</v>
      </c>
      <c r="E96" s="147" t="e">
        <f>VLOOKUP($A96, Table_S1!$B$10:$K$5118, 4, FALSE)</f>
        <v>#N/A</v>
      </c>
      <c r="F96" s="147" t="e">
        <f>VLOOKUP($A96, Table_S1!$B$10:$K$5118, 5, FALSE)</f>
        <v>#N/A</v>
      </c>
      <c r="G96" s="147" t="e">
        <f>VLOOKUP($A96, Table_S1!$B$10:$K$5118, 6, FALSE)</f>
        <v>#N/A</v>
      </c>
      <c r="H96" s="147" t="e">
        <f>VLOOKUP($A96, Table_S1!$B$10:$K$5118, 7, FALSE)</f>
        <v>#N/A</v>
      </c>
      <c r="I96" s="147" t="e">
        <f>VLOOKUP($A96, Table_S1!$B$10:$K$5118, 8, FALSE)</f>
        <v>#N/A</v>
      </c>
      <c r="J96" s="147" t="e">
        <f>VLOOKUP($A96, Table_S1!$B$10:$K$5118, 9, FALSE)</f>
        <v>#N/A</v>
      </c>
      <c r="K96" s="148" t="e">
        <f>VLOOKUP($A96, Table_S1!$B$10:$K$5118, 10, FALSE)</f>
        <v>#N/A</v>
      </c>
      <c r="L96" s="144"/>
      <c r="M96" s="149" t="str">
        <f>'Raw Data'!C128</f>
        <v>ZnDATZBDC</v>
      </c>
      <c r="N96" s="145">
        <f>'Raw Data'!I128</f>
        <v>2.6</v>
      </c>
      <c r="O96" s="145" t="str">
        <f>'Raw Data'!Q128</f>
        <v>/</v>
      </c>
      <c r="P96" s="145" t="str">
        <f>'Raw Data'!R128</f>
        <v>/</v>
      </c>
      <c r="Q96" s="145" t="str">
        <f>'Raw Data'!S128</f>
        <v>/</v>
      </c>
      <c r="R96" s="145" t="str">
        <f>'Raw Data'!T128</f>
        <v>/</v>
      </c>
      <c r="S96" s="145">
        <f>'Raw Data'!O128</f>
        <v>298.10000000000002</v>
      </c>
      <c r="T96" s="146" t="str">
        <f>'Raw Data'!P128</f>
        <v>/</v>
      </c>
      <c r="V96" s="193" t="str">
        <f>'Raw Data'!X128</f>
        <v>J. Peng, Z. Liu, Y. Wu, S. Xian, Z. Li
High-performance selective CO2 capture on a stable and flexible metal–organic framework via discriminatory gate-opening effect
ACS Appl. Mater. Interfaces, 14 (2022), pp. 21089-21097,</v>
      </c>
    </row>
    <row r="97" spans="1:22" ht="105" x14ac:dyDescent="0.35">
      <c r="A97" s="155" t="str">
        <f>'Raw Data'!E129</f>
        <v>FAZPEF</v>
      </c>
      <c r="B97" s="156" t="str">
        <f t="shared" si="1"/>
        <v>JLU-MOF107</v>
      </c>
      <c r="C97" s="146" t="e">
        <f>VLOOKUP($A97, Table_S1!$B$10:$K$5118, 2, FALSE)</f>
        <v>#N/A</v>
      </c>
      <c r="D97" s="147" t="e">
        <f>VLOOKUP($A97, Table_S1!$B$10:$K$5118, 3, FALSE)</f>
        <v>#N/A</v>
      </c>
      <c r="E97" s="147" t="e">
        <f>VLOOKUP($A97, Table_S1!$B$10:$K$5118, 4, FALSE)</f>
        <v>#N/A</v>
      </c>
      <c r="F97" s="147" t="e">
        <f>VLOOKUP($A97, Table_S1!$B$10:$K$5118, 5, FALSE)</f>
        <v>#N/A</v>
      </c>
      <c r="G97" s="147" t="e">
        <f>VLOOKUP($A97, Table_S1!$B$10:$K$5118, 6, FALSE)</f>
        <v>#N/A</v>
      </c>
      <c r="H97" s="147" t="e">
        <f>VLOOKUP($A97, Table_S1!$B$10:$K$5118, 7, FALSE)</f>
        <v>#N/A</v>
      </c>
      <c r="I97" s="147" t="e">
        <f>VLOOKUP($A97, Table_S1!$B$10:$K$5118, 8, FALSE)</f>
        <v>#N/A</v>
      </c>
      <c r="J97" s="147" t="e">
        <f>VLOOKUP($A97, Table_S1!$B$10:$K$5118, 9, FALSE)</f>
        <v>#N/A</v>
      </c>
      <c r="K97" s="148" t="e">
        <f>VLOOKUP($A97, Table_S1!$B$10:$K$5118, 10, FALSE)</f>
        <v>#N/A</v>
      </c>
      <c r="L97" s="144"/>
      <c r="M97" s="149" t="str">
        <f>'Raw Data'!C129</f>
        <v>JLU-MOF107</v>
      </c>
      <c r="N97" s="145">
        <f>'Raw Data'!I129</f>
        <v>7.63</v>
      </c>
      <c r="O97" s="145" t="str">
        <f>'Raw Data'!Q129</f>
        <v>/</v>
      </c>
      <c r="P97" s="145" t="str">
        <f>'Raw Data'!R129</f>
        <v>/</v>
      </c>
      <c r="Q97" s="145" t="str">
        <f>'Raw Data'!S129</f>
        <v>/</v>
      </c>
      <c r="R97" s="145" t="str">
        <f>'Raw Data'!T129</f>
        <v>/</v>
      </c>
      <c r="S97" s="145">
        <f>'Raw Data'!O129</f>
        <v>273.10000000000002</v>
      </c>
      <c r="T97" s="146" t="str">
        <f>'Raw Data'!P129</f>
        <v>/</v>
      </c>
      <c r="V97" s="193" t="str">
        <f>'Raw Data'!X129</f>
        <v>T. Xu, M. Jia, X. Liu, J. Li, Y. Liu
Designing multicomponent metal–organic frameworks with hierarchical structure-mimicking distribution for high CO2 capture performance
Inorg. Chem., 61 (2022), pp. 7663-7670</v>
      </c>
    </row>
    <row r="98" spans="1:22" ht="88" x14ac:dyDescent="0.35">
      <c r="A98" s="155" t="str">
        <f>'Raw Data'!E130</f>
        <v>FEGDEE</v>
      </c>
      <c r="B98" s="156" t="str">
        <f t="shared" si="1"/>
        <v>FJU-27a</v>
      </c>
      <c r="C98" s="146" t="e">
        <f>VLOOKUP($A98, Table_S1!$B$10:$K$5118, 2, FALSE)</f>
        <v>#N/A</v>
      </c>
      <c r="D98" s="147" t="e">
        <f>VLOOKUP($A98, Table_S1!$B$10:$K$5118, 3, FALSE)</f>
        <v>#N/A</v>
      </c>
      <c r="E98" s="147" t="e">
        <f>VLOOKUP($A98, Table_S1!$B$10:$K$5118, 4, FALSE)</f>
        <v>#N/A</v>
      </c>
      <c r="F98" s="147" t="e">
        <f>VLOOKUP($A98, Table_S1!$B$10:$K$5118, 5, FALSE)</f>
        <v>#N/A</v>
      </c>
      <c r="G98" s="147" t="e">
        <f>VLOOKUP($A98, Table_S1!$B$10:$K$5118, 6, FALSE)</f>
        <v>#N/A</v>
      </c>
      <c r="H98" s="147" t="e">
        <f>VLOOKUP($A98, Table_S1!$B$10:$K$5118, 7, FALSE)</f>
        <v>#N/A</v>
      </c>
      <c r="I98" s="147" t="e">
        <f>VLOOKUP($A98, Table_S1!$B$10:$K$5118, 8, FALSE)</f>
        <v>#N/A</v>
      </c>
      <c r="J98" s="147" t="e">
        <f>VLOOKUP($A98, Table_S1!$B$10:$K$5118, 9, FALSE)</f>
        <v>#N/A</v>
      </c>
      <c r="K98" s="148" t="e">
        <f>VLOOKUP($A98, Table_S1!$B$10:$K$5118, 10, FALSE)</f>
        <v>#N/A</v>
      </c>
      <c r="L98" s="144"/>
      <c r="M98" s="149" t="str">
        <f>'Raw Data'!C130</f>
        <v>FJU-27a</v>
      </c>
      <c r="N98" s="145">
        <f>'Raw Data'!I130</f>
        <v>2.54</v>
      </c>
      <c r="O98" s="145">
        <f>'Raw Data'!Q130</f>
        <v>750</v>
      </c>
      <c r="P98" s="145" t="str">
        <f>'Raw Data'!R130</f>
        <v>/</v>
      </c>
      <c r="Q98" s="145" t="str">
        <f>'Raw Data'!S130</f>
        <v>/</v>
      </c>
      <c r="R98" s="145" t="str">
        <f>'Raw Data'!T130</f>
        <v>/</v>
      </c>
      <c r="S98" s="145">
        <f>'Raw Data'!O130</f>
        <v>296.10000000000002</v>
      </c>
      <c r="T98" s="146" t="s">
        <v>7002</v>
      </c>
      <c r="V98" s="193" t="str">
        <f>'Raw Data'!X130</f>
        <v>Z. Li, Y. Ye, C. Shi, Z. Yao, Z. Zhang, S. Xiang
Isoreticular double interpenetrating copper–pyrazolate–carboxylate frameworks for efficient CO2 capture
Cryst. Growth Des., 22 (2022), pp. 3853-3861</v>
      </c>
    </row>
  </sheetData>
  <mergeCells count="3">
    <mergeCell ref="A1:K3"/>
    <mergeCell ref="M1:V3"/>
    <mergeCell ref="X1:AA3"/>
  </mergeCells>
  <phoneticPr fontId="4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023D-53D8-644C-8DBF-6261D209A41E}">
  <dimension ref="B1:L5118"/>
  <sheetViews>
    <sheetView zoomScale="150" zoomScaleNormal="70" zoomScalePageLayoutView="70" workbookViewId="0">
      <pane ySplit="9" topLeftCell="A10" activePane="bottomLeft" state="frozen"/>
      <selection activeCell="B7" sqref="B7"/>
      <selection pane="bottomLeft" activeCell="C9" sqref="C9:J9"/>
    </sheetView>
  </sheetViews>
  <sheetFormatPr baseColWidth="10" defaultColWidth="11.1640625" defaultRowHeight="16" x14ac:dyDescent="0.2"/>
  <cols>
    <col min="1" max="1" width="11.1640625" style="43"/>
    <col min="2" max="2" width="17.33203125" style="48" customWidth="1"/>
    <col min="3" max="3" width="13.83203125" style="48" bestFit="1" customWidth="1"/>
    <col min="4" max="4" width="16.83203125" style="47" customWidth="1"/>
    <col min="5" max="5" width="9.5" style="46" customWidth="1"/>
    <col min="6" max="6" width="8.1640625" style="46" customWidth="1"/>
    <col min="7" max="7" width="18.5" style="45" bestFit="1" customWidth="1"/>
    <col min="8" max="8" width="13.6640625" style="45" customWidth="1"/>
    <col min="9" max="9" width="14.83203125" style="44" customWidth="1"/>
    <col min="10" max="10" width="21.33203125" style="44" customWidth="1"/>
    <col min="11" max="11" width="96" style="43" bestFit="1" customWidth="1"/>
    <col min="12" max="12" width="19.83203125" style="43" customWidth="1"/>
    <col min="13" max="16384" width="11.1640625" style="43"/>
  </cols>
  <sheetData>
    <row r="1" spans="2:12" x14ac:dyDescent="0.2">
      <c r="B1" s="43" t="s">
        <v>6060</v>
      </c>
      <c r="C1" s="43"/>
    </row>
    <row r="2" spans="2:12" x14ac:dyDescent="0.2">
      <c r="B2" s="43" t="s">
        <v>6059</v>
      </c>
      <c r="C2" s="43"/>
    </row>
    <row r="3" spans="2:12" x14ac:dyDescent="0.2">
      <c r="B3" s="43" t="s">
        <v>6058</v>
      </c>
      <c r="C3" s="43"/>
    </row>
    <row r="4" spans="2:12" x14ac:dyDescent="0.2">
      <c r="B4" s="43" t="s">
        <v>6057</v>
      </c>
      <c r="C4" s="43"/>
    </row>
    <row r="5" spans="2:12" x14ac:dyDescent="0.2">
      <c r="B5" s="43" t="s">
        <v>6056</v>
      </c>
      <c r="C5" s="43"/>
    </row>
    <row r="6" spans="2:12" x14ac:dyDescent="0.2">
      <c r="B6" s="43" t="s">
        <v>6055</v>
      </c>
      <c r="C6" s="43"/>
    </row>
    <row r="7" spans="2:12" x14ac:dyDescent="0.2">
      <c r="B7" s="43" t="s">
        <v>6054</v>
      </c>
      <c r="C7" s="43"/>
    </row>
    <row r="8" spans="2:12" x14ac:dyDescent="0.2">
      <c r="B8" s="43"/>
      <c r="C8" s="43"/>
    </row>
    <row r="9" spans="2:12" ht="19" x14ac:dyDescent="0.2">
      <c r="B9" s="75" t="s">
        <v>6053</v>
      </c>
      <c r="C9" s="75" t="s">
        <v>6052</v>
      </c>
      <c r="D9" s="77" t="s">
        <v>6051</v>
      </c>
      <c r="E9" s="80" t="s">
        <v>6050</v>
      </c>
      <c r="F9" s="80" t="s">
        <v>6049</v>
      </c>
      <c r="G9" s="79" t="s">
        <v>6048</v>
      </c>
      <c r="H9" s="79" t="s">
        <v>6047</v>
      </c>
      <c r="I9" s="78" t="s">
        <v>6046</v>
      </c>
      <c r="J9" s="77" t="s">
        <v>6045</v>
      </c>
      <c r="K9" s="76" t="s">
        <v>6044</v>
      </c>
      <c r="L9" s="75" t="s">
        <v>6043</v>
      </c>
    </row>
    <row r="10" spans="2:12" x14ac:dyDescent="0.2">
      <c r="B10" s="74" t="s">
        <v>6042</v>
      </c>
      <c r="C10" s="73" t="s">
        <v>510</v>
      </c>
      <c r="D10" s="72">
        <v>1.5249299999999999</v>
      </c>
      <c r="E10" s="71">
        <v>2.4971999999999999</v>
      </c>
      <c r="F10" s="71">
        <v>4.4554299999999998</v>
      </c>
      <c r="G10" s="56">
        <v>0</v>
      </c>
      <c r="H10" s="56">
        <v>0</v>
      </c>
      <c r="I10" s="70">
        <v>0.23402999999999999</v>
      </c>
      <c r="J10" s="69">
        <v>0.25556400000000001</v>
      </c>
      <c r="K10" s="68"/>
      <c r="L10" s="68" t="s">
        <v>488</v>
      </c>
    </row>
    <row r="11" spans="2:12" x14ac:dyDescent="0.2">
      <c r="B11" s="62" t="s">
        <v>6041</v>
      </c>
      <c r="C11" s="61" t="s">
        <v>510</v>
      </c>
      <c r="D11" s="60">
        <v>1.5659400000000001</v>
      </c>
      <c r="E11" s="59">
        <v>2.4416199999999999</v>
      </c>
      <c r="F11" s="59">
        <v>3.5364200000000001</v>
      </c>
      <c r="G11" s="56">
        <v>0</v>
      </c>
      <c r="H11" s="56">
        <v>0</v>
      </c>
      <c r="I11" s="58">
        <v>0.172707</v>
      </c>
      <c r="J11" s="57">
        <v>0.239596</v>
      </c>
      <c r="K11" s="56"/>
      <c r="L11" s="56" t="s">
        <v>488</v>
      </c>
    </row>
    <row r="12" spans="2:12" x14ac:dyDescent="0.2">
      <c r="B12" s="62" t="s">
        <v>6040</v>
      </c>
      <c r="C12" s="61" t="s">
        <v>502</v>
      </c>
      <c r="D12" s="60">
        <v>1.1519900000000001</v>
      </c>
      <c r="E12" s="59">
        <v>6.80253</v>
      </c>
      <c r="F12" s="59">
        <v>11.252509999999999</v>
      </c>
      <c r="G12" s="56">
        <v>1185.3</v>
      </c>
      <c r="H12" s="56">
        <v>1028.92</v>
      </c>
      <c r="I12" s="58">
        <v>0.68606800000000001</v>
      </c>
      <c r="J12" s="57">
        <v>0.55604100000000001</v>
      </c>
      <c r="K12" s="56"/>
      <c r="L12" s="56" t="s">
        <v>488</v>
      </c>
    </row>
    <row r="13" spans="2:12" x14ac:dyDescent="0.2">
      <c r="B13" s="62" t="s">
        <v>6039</v>
      </c>
      <c r="C13" s="61" t="s">
        <v>641</v>
      </c>
      <c r="D13" s="60">
        <v>1.7608200000000001</v>
      </c>
      <c r="E13" s="59">
        <v>4.1433099999999996</v>
      </c>
      <c r="F13" s="59">
        <v>4.8208399999999996</v>
      </c>
      <c r="G13" s="56">
        <v>646.23900000000003</v>
      </c>
      <c r="H13" s="56">
        <v>367.01</v>
      </c>
      <c r="I13" s="58">
        <v>0.34989799999999999</v>
      </c>
      <c r="J13" s="57">
        <v>0.27737400000000001</v>
      </c>
      <c r="K13" s="56"/>
      <c r="L13" s="56" t="s">
        <v>488</v>
      </c>
    </row>
    <row r="14" spans="2:12" x14ac:dyDescent="0.2">
      <c r="B14" s="62" t="s">
        <v>6038</v>
      </c>
      <c r="C14" s="61" t="s">
        <v>507</v>
      </c>
      <c r="D14" s="60">
        <v>1.7876000000000001</v>
      </c>
      <c r="E14" s="59">
        <v>4.0804499999999999</v>
      </c>
      <c r="F14" s="59">
        <v>4.8052900000000003</v>
      </c>
      <c r="G14" s="56">
        <v>591.71</v>
      </c>
      <c r="H14" s="56">
        <v>331.00799999999998</v>
      </c>
      <c r="I14" s="58">
        <v>0.34489500000000001</v>
      </c>
      <c r="J14" s="57">
        <v>0.27020499999999997</v>
      </c>
      <c r="K14" s="56"/>
      <c r="L14" s="56" t="s">
        <v>488</v>
      </c>
    </row>
    <row r="15" spans="2:12" x14ac:dyDescent="0.2">
      <c r="B15" s="62" t="s">
        <v>6037</v>
      </c>
      <c r="C15" s="61" t="s">
        <v>579</v>
      </c>
      <c r="D15" s="60">
        <v>1.81243</v>
      </c>
      <c r="E15" s="59">
        <v>4.0492100000000004</v>
      </c>
      <c r="F15" s="59">
        <v>4.7727000000000004</v>
      </c>
      <c r="G15" s="56">
        <v>598.35400000000004</v>
      </c>
      <c r="H15" s="56">
        <v>330.13799999999998</v>
      </c>
      <c r="I15" s="58">
        <v>0.34259000000000001</v>
      </c>
      <c r="J15" s="57">
        <v>0.264961</v>
      </c>
      <c r="K15" s="56"/>
      <c r="L15" s="56" t="s">
        <v>488</v>
      </c>
    </row>
    <row r="16" spans="2:12" x14ac:dyDescent="0.2">
      <c r="B16" s="62" t="s">
        <v>6036</v>
      </c>
      <c r="C16" s="61" t="s">
        <v>541</v>
      </c>
      <c r="D16" s="60">
        <v>1.8481300000000001</v>
      </c>
      <c r="E16" s="59">
        <v>4.0167999999999999</v>
      </c>
      <c r="F16" s="59">
        <v>4.74458</v>
      </c>
      <c r="G16" s="56">
        <v>547.47799999999995</v>
      </c>
      <c r="H16" s="56">
        <v>296.233</v>
      </c>
      <c r="I16" s="58">
        <v>0.341167</v>
      </c>
      <c r="J16" s="57">
        <v>0.25755600000000001</v>
      </c>
      <c r="K16" s="56"/>
      <c r="L16" s="56" t="s">
        <v>488</v>
      </c>
    </row>
    <row r="17" spans="2:12" x14ac:dyDescent="0.2">
      <c r="B17" s="62" t="s">
        <v>6035</v>
      </c>
      <c r="C17" s="61" t="s">
        <v>582</v>
      </c>
      <c r="D17" s="60">
        <v>1.9064099999999999</v>
      </c>
      <c r="E17" s="59">
        <v>3.9714999999999998</v>
      </c>
      <c r="F17" s="59">
        <v>4.7309700000000001</v>
      </c>
      <c r="G17" s="56">
        <v>522.98</v>
      </c>
      <c r="H17" s="56">
        <v>274.32799999999997</v>
      </c>
      <c r="I17" s="58">
        <v>0.33625100000000002</v>
      </c>
      <c r="J17" s="57">
        <v>0.247672</v>
      </c>
      <c r="K17" s="56"/>
      <c r="L17" s="56" t="s">
        <v>488</v>
      </c>
    </row>
    <row r="18" spans="2:12" x14ac:dyDescent="0.2">
      <c r="B18" s="62" t="s">
        <v>6034</v>
      </c>
      <c r="C18" s="61" t="s">
        <v>531</v>
      </c>
      <c r="D18" s="60">
        <v>1.9293</v>
      </c>
      <c r="E18" s="59">
        <v>3.9435600000000002</v>
      </c>
      <c r="F18" s="59">
        <v>4.7044699999999997</v>
      </c>
      <c r="G18" s="56">
        <v>486.09</v>
      </c>
      <c r="H18" s="56">
        <v>251.952</v>
      </c>
      <c r="I18" s="58">
        <v>0.33415099999999998</v>
      </c>
      <c r="J18" s="57">
        <v>0.24329200000000001</v>
      </c>
      <c r="K18" s="56"/>
      <c r="L18" s="56" t="s">
        <v>488</v>
      </c>
    </row>
    <row r="19" spans="2:12" x14ac:dyDescent="0.2">
      <c r="B19" s="62" t="s">
        <v>6033</v>
      </c>
      <c r="C19" s="61" t="s">
        <v>533</v>
      </c>
      <c r="D19" s="60">
        <v>1.9696199999999999</v>
      </c>
      <c r="E19" s="59">
        <v>3.92184</v>
      </c>
      <c r="F19" s="59">
        <v>4.69665</v>
      </c>
      <c r="G19" s="56">
        <v>460.6</v>
      </c>
      <c r="H19" s="56">
        <v>233.852</v>
      </c>
      <c r="I19" s="58">
        <v>0.33344000000000001</v>
      </c>
      <c r="J19" s="57">
        <v>0.236425</v>
      </c>
      <c r="K19" s="56"/>
      <c r="L19" s="56" t="s">
        <v>488</v>
      </c>
    </row>
    <row r="20" spans="2:12" x14ac:dyDescent="0.2">
      <c r="B20" s="62" t="s">
        <v>6032</v>
      </c>
      <c r="C20" s="61" t="s">
        <v>690</v>
      </c>
      <c r="D20" s="60">
        <v>1.91751</v>
      </c>
      <c r="E20" s="59">
        <v>4.0514999999999999</v>
      </c>
      <c r="F20" s="59">
        <v>6.2272800000000004</v>
      </c>
      <c r="G20" s="56">
        <v>1454</v>
      </c>
      <c r="H20" s="56">
        <v>758.27700000000004</v>
      </c>
      <c r="I20" s="58">
        <v>0.48626000000000003</v>
      </c>
      <c r="J20" s="57">
        <v>0.30206899999999998</v>
      </c>
      <c r="K20" s="56"/>
      <c r="L20" s="56" t="s">
        <v>488</v>
      </c>
    </row>
    <row r="21" spans="2:12" x14ac:dyDescent="0.2">
      <c r="B21" s="62" t="s">
        <v>6031</v>
      </c>
      <c r="C21" s="61" t="s">
        <v>510</v>
      </c>
      <c r="D21" s="60">
        <v>1.3466100000000001</v>
      </c>
      <c r="E21" s="59">
        <v>3.8243100000000001</v>
      </c>
      <c r="F21" s="59">
        <v>4.3317600000000001</v>
      </c>
      <c r="G21" s="56">
        <v>329.36700000000002</v>
      </c>
      <c r="H21" s="56">
        <v>244.59100000000001</v>
      </c>
      <c r="I21" s="58">
        <v>0.20007</v>
      </c>
      <c r="J21" s="57">
        <v>0.33138699999999999</v>
      </c>
      <c r="K21" s="56"/>
      <c r="L21" s="56" t="s">
        <v>488</v>
      </c>
    </row>
    <row r="22" spans="2:12" x14ac:dyDescent="0.2">
      <c r="B22" s="62" t="s">
        <v>6030</v>
      </c>
      <c r="C22" s="61" t="s">
        <v>499</v>
      </c>
      <c r="D22" s="60">
        <v>1.1583300000000001</v>
      </c>
      <c r="E22" s="59">
        <v>4.0303899999999997</v>
      </c>
      <c r="F22" s="59">
        <v>5.0796900000000003</v>
      </c>
      <c r="G22" s="56">
        <v>1007.55</v>
      </c>
      <c r="H22" s="56">
        <v>869.83199999999999</v>
      </c>
      <c r="I22" s="58">
        <v>0.54597399999999996</v>
      </c>
      <c r="J22" s="57">
        <v>0.53225299999999998</v>
      </c>
      <c r="K22" s="56"/>
      <c r="L22" s="56" t="s">
        <v>488</v>
      </c>
    </row>
    <row r="23" spans="2:12" x14ac:dyDescent="0.2">
      <c r="B23" s="62" t="s">
        <v>6029</v>
      </c>
      <c r="C23" s="61" t="s">
        <v>502</v>
      </c>
      <c r="D23" s="60">
        <v>1.21871</v>
      </c>
      <c r="E23" s="59">
        <v>6.1048200000000001</v>
      </c>
      <c r="F23" s="59">
        <v>6.8639799999999997</v>
      </c>
      <c r="G23" s="56">
        <v>947.96500000000003</v>
      </c>
      <c r="H23" s="56">
        <v>777.84100000000001</v>
      </c>
      <c r="I23" s="58">
        <v>0.36928899999999998</v>
      </c>
      <c r="J23" s="57">
        <v>0.41874600000000001</v>
      </c>
      <c r="K23" s="56"/>
      <c r="L23" s="56" t="s">
        <v>488</v>
      </c>
    </row>
    <row r="24" spans="2:12" x14ac:dyDescent="0.2">
      <c r="B24" s="62" t="s">
        <v>6028</v>
      </c>
      <c r="C24" s="61" t="s">
        <v>641</v>
      </c>
      <c r="D24" s="60">
        <v>1.5902799999999999</v>
      </c>
      <c r="E24" s="59">
        <v>3.0099</v>
      </c>
      <c r="F24" s="59">
        <v>4.4708300000000003</v>
      </c>
      <c r="G24" s="56">
        <v>0</v>
      </c>
      <c r="H24" s="56">
        <v>0</v>
      </c>
      <c r="I24" s="58">
        <v>0.25793300000000002</v>
      </c>
      <c r="J24" s="57">
        <v>0.274287</v>
      </c>
      <c r="K24" s="56"/>
      <c r="L24" s="56" t="s">
        <v>488</v>
      </c>
    </row>
    <row r="25" spans="2:12" x14ac:dyDescent="0.2">
      <c r="B25" s="62" t="s">
        <v>6027</v>
      </c>
      <c r="C25" s="61" t="s">
        <v>859</v>
      </c>
      <c r="D25" s="60">
        <v>1.78668</v>
      </c>
      <c r="E25" s="59">
        <v>2.4185400000000001</v>
      </c>
      <c r="F25" s="59">
        <v>3.96462</v>
      </c>
      <c r="G25" s="56">
        <v>0</v>
      </c>
      <c r="H25" s="56">
        <v>0</v>
      </c>
      <c r="I25" s="58">
        <v>0.20374800000000001</v>
      </c>
      <c r="J25" s="57">
        <v>0.229075</v>
      </c>
      <c r="K25" s="56"/>
      <c r="L25" s="56" t="s">
        <v>488</v>
      </c>
    </row>
    <row r="26" spans="2:12" x14ac:dyDescent="0.2">
      <c r="B26" s="62" t="s">
        <v>6026</v>
      </c>
      <c r="C26" s="61" t="s">
        <v>6025</v>
      </c>
      <c r="D26" s="60">
        <v>2.60195</v>
      </c>
      <c r="E26" s="59">
        <v>2.9493399999999999</v>
      </c>
      <c r="F26" s="59">
        <v>3.5991</v>
      </c>
      <c r="G26" s="56">
        <v>0</v>
      </c>
      <c r="H26" s="56">
        <v>0</v>
      </c>
      <c r="I26" s="58">
        <v>9.5791699999999994E-2</v>
      </c>
      <c r="J26" s="57">
        <v>8.8508699999999996E-2</v>
      </c>
      <c r="K26" s="56"/>
      <c r="L26" s="56" t="s">
        <v>624</v>
      </c>
    </row>
    <row r="27" spans="2:12" x14ac:dyDescent="0.2">
      <c r="B27" s="62" t="s">
        <v>6024</v>
      </c>
      <c r="C27" s="61" t="s">
        <v>499</v>
      </c>
      <c r="D27" s="60">
        <v>1.31331</v>
      </c>
      <c r="E27" s="59">
        <v>4.20451</v>
      </c>
      <c r="F27" s="59">
        <v>5.4756499999999999</v>
      </c>
      <c r="G27" s="56">
        <v>930.10699999999997</v>
      </c>
      <c r="H27" s="56">
        <v>708.21400000000006</v>
      </c>
      <c r="I27" s="58">
        <v>0.333235</v>
      </c>
      <c r="J27" s="57">
        <v>0.40887499999999999</v>
      </c>
      <c r="K27" s="56"/>
      <c r="L27" s="56" t="s">
        <v>488</v>
      </c>
    </row>
    <row r="28" spans="2:12" x14ac:dyDescent="0.2">
      <c r="B28" s="62" t="s">
        <v>6023</v>
      </c>
      <c r="C28" s="61" t="s">
        <v>510</v>
      </c>
      <c r="D28" s="60">
        <v>1.73515</v>
      </c>
      <c r="E28" s="59">
        <v>3.7340300000000002</v>
      </c>
      <c r="F28" s="59">
        <v>5.1008100000000001</v>
      </c>
      <c r="G28" s="56">
        <v>569.47500000000002</v>
      </c>
      <c r="H28" s="56">
        <v>328.19900000000001</v>
      </c>
      <c r="I28" s="58">
        <v>0.29475099999999999</v>
      </c>
      <c r="J28" s="57">
        <v>0.27076800000000001</v>
      </c>
      <c r="K28" s="56"/>
      <c r="L28" s="56" t="s">
        <v>488</v>
      </c>
    </row>
    <row r="29" spans="2:12" x14ac:dyDescent="0.2">
      <c r="B29" s="62" t="s">
        <v>6022</v>
      </c>
      <c r="C29" s="61" t="s">
        <v>499</v>
      </c>
      <c r="D29" s="60">
        <v>1.10094</v>
      </c>
      <c r="E29" s="59">
        <v>7.0307000000000004</v>
      </c>
      <c r="F29" s="59">
        <v>8.2577599999999993</v>
      </c>
      <c r="G29" s="56">
        <v>1754.92</v>
      </c>
      <c r="H29" s="56">
        <v>1594.02</v>
      </c>
      <c r="I29" s="58">
        <v>0.62685400000000002</v>
      </c>
      <c r="J29" s="57">
        <v>0.58662499999999995</v>
      </c>
      <c r="K29" s="56"/>
      <c r="L29" s="56" t="s">
        <v>488</v>
      </c>
    </row>
    <row r="30" spans="2:12" x14ac:dyDescent="0.2">
      <c r="B30" s="62" t="s">
        <v>6021</v>
      </c>
      <c r="C30" s="61" t="s">
        <v>550</v>
      </c>
      <c r="D30" s="60">
        <v>1.6865600000000001</v>
      </c>
      <c r="E30" s="59">
        <v>4.6063799999999997</v>
      </c>
      <c r="F30" s="59">
        <v>5.6669</v>
      </c>
      <c r="G30" s="56">
        <v>323.47399999999999</v>
      </c>
      <c r="H30" s="56">
        <v>191.79499999999999</v>
      </c>
      <c r="I30" s="58">
        <v>0.190058</v>
      </c>
      <c r="J30" s="57">
        <v>0.27477699999999999</v>
      </c>
      <c r="K30" s="56"/>
      <c r="L30" s="56" t="s">
        <v>488</v>
      </c>
    </row>
    <row r="31" spans="2:12" x14ac:dyDescent="0.2">
      <c r="B31" s="62" t="s">
        <v>6020</v>
      </c>
      <c r="C31" s="61" t="s">
        <v>502</v>
      </c>
      <c r="D31" s="60">
        <v>1.13147</v>
      </c>
      <c r="E31" s="59">
        <v>3.7902</v>
      </c>
      <c r="F31" s="59">
        <v>6.0824999999999996</v>
      </c>
      <c r="G31" s="56">
        <v>1003.43</v>
      </c>
      <c r="H31" s="56">
        <v>886.83600000000001</v>
      </c>
      <c r="I31" s="58">
        <v>0.50955499999999998</v>
      </c>
      <c r="J31" s="57">
        <v>0.47954599999999997</v>
      </c>
      <c r="K31" s="56"/>
      <c r="L31" s="56" t="s">
        <v>488</v>
      </c>
    </row>
    <row r="32" spans="2:12" x14ac:dyDescent="0.2">
      <c r="B32" s="62" t="s">
        <v>6019</v>
      </c>
      <c r="C32" s="61" t="s">
        <v>535</v>
      </c>
      <c r="D32" s="60">
        <v>1.14924</v>
      </c>
      <c r="E32" s="59">
        <v>4.6553699999999996</v>
      </c>
      <c r="F32" s="59">
        <v>7.1439000000000004</v>
      </c>
      <c r="G32" s="56">
        <v>1463.79</v>
      </c>
      <c r="H32" s="56">
        <v>1273.71</v>
      </c>
      <c r="I32" s="58">
        <v>0.59877400000000003</v>
      </c>
      <c r="J32" s="57">
        <v>0.52309899999999998</v>
      </c>
      <c r="K32" s="56"/>
      <c r="L32" s="56" t="s">
        <v>488</v>
      </c>
    </row>
    <row r="33" spans="2:12" x14ac:dyDescent="0.2">
      <c r="B33" s="62" t="s">
        <v>6018</v>
      </c>
      <c r="C33" s="61" t="s">
        <v>550</v>
      </c>
      <c r="D33" s="60">
        <v>1.1545799999999999</v>
      </c>
      <c r="E33" s="59">
        <v>3.8932699999999998</v>
      </c>
      <c r="F33" s="59">
        <v>5.20085</v>
      </c>
      <c r="G33" s="56">
        <v>927.12300000000005</v>
      </c>
      <c r="H33" s="56">
        <v>802.99900000000002</v>
      </c>
      <c r="I33" s="58">
        <v>0.48924400000000001</v>
      </c>
      <c r="J33" s="57">
        <v>0.48481400000000002</v>
      </c>
      <c r="K33" s="56"/>
      <c r="L33" s="56" t="s">
        <v>488</v>
      </c>
    </row>
    <row r="34" spans="2:12" x14ac:dyDescent="0.2">
      <c r="B34" s="62" t="s">
        <v>6017</v>
      </c>
      <c r="C34" s="61" t="s">
        <v>550</v>
      </c>
      <c r="D34" s="60">
        <v>1.25952</v>
      </c>
      <c r="E34" s="59">
        <v>3.9488799999999999</v>
      </c>
      <c r="F34" s="59">
        <v>5.2011500000000002</v>
      </c>
      <c r="G34" s="56">
        <v>958.54300000000001</v>
      </c>
      <c r="H34" s="56">
        <v>761.03899999999999</v>
      </c>
      <c r="I34" s="58">
        <v>0.48383900000000002</v>
      </c>
      <c r="J34" s="57">
        <v>0.44051299999999999</v>
      </c>
      <c r="K34" s="56"/>
      <c r="L34" s="56" t="s">
        <v>488</v>
      </c>
    </row>
    <row r="35" spans="2:12" x14ac:dyDescent="0.2">
      <c r="B35" s="62" t="s">
        <v>6016</v>
      </c>
      <c r="C35" s="61" t="s">
        <v>495</v>
      </c>
      <c r="D35" s="60">
        <v>1.4548099999999999</v>
      </c>
      <c r="E35" s="59">
        <v>2.7821699999999998</v>
      </c>
      <c r="F35" s="59">
        <v>4.0025500000000003</v>
      </c>
      <c r="G35" s="56">
        <v>0</v>
      </c>
      <c r="H35" s="56">
        <v>0</v>
      </c>
      <c r="I35" s="58">
        <v>4.7727199999999997E-2</v>
      </c>
      <c r="J35" s="57">
        <v>0.24129999999999999</v>
      </c>
      <c r="K35" s="56"/>
      <c r="L35" s="56" t="s">
        <v>488</v>
      </c>
    </row>
    <row r="36" spans="2:12" x14ac:dyDescent="0.2">
      <c r="B36" s="62" t="s">
        <v>6015</v>
      </c>
      <c r="C36" s="61" t="s">
        <v>499</v>
      </c>
      <c r="D36" s="60">
        <v>1.04949</v>
      </c>
      <c r="E36" s="59">
        <v>3.57647</v>
      </c>
      <c r="F36" s="59">
        <v>4.9103399999999997</v>
      </c>
      <c r="G36" s="56">
        <v>0</v>
      </c>
      <c r="H36" s="56">
        <v>0</v>
      </c>
      <c r="I36" s="58">
        <v>0.45405099999999998</v>
      </c>
      <c r="J36" s="57">
        <v>0.52103999999999995</v>
      </c>
      <c r="K36" s="56"/>
      <c r="L36" s="56" t="s">
        <v>488</v>
      </c>
    </row>
    <row r="37" spans="2:12" x14ac:dyDescent="0.2">
      <c r="B37" s="62" t="s">
        <v>6014</v>
      </c>
      <c r="C37" s="61" t="s">
        <v>550</v>
      </c>
      <c r="D37" s="60">
        <v>0.86341100000000004</v>
      </c>
      <c r="E37" s="59">
        <v>5.53552</v>
      </c>
      <c r="F37" s="59">
        <v>8.4218299999999999</v>
      </c>
      <c r="G37" s="56">
        <v>1959.52</v>
      </c>
      <c r="H37" s="56">
        <v>2269.52</v>
      </c>
      <c r="I37" s="58">
        <v>0.68588800000000005</v>
      </c>
      <c r="J37" s="57">
        <v>0.79261000000000004</v>
      </c>
      <c r="K37" s="56"/>
      <c r="L37" s="56" t="s">
        <v>488</v>
      </c>
    </row>
    <row r="38" spans="2:12" x14ac:dyDescent="0.2">
      <c r="B38" s="62" t="s">
        <v>6013</v>
      </c>
      <c r="C38" s="61" t="s">
        <v>550</v>
      </c>
      <c r="D38" s="60">
        <v>1.0843400000000001</v>
      </c>
      <c r="E38" s="59">
        <v>4.9876100000000001</v>
      </c>
      <c r="F38" s="59">
        <v>7.4381399999999998</v>
      </c>
      <c r="G38" s="56">
        <v>1296.96</v>
      </c>
      <c r="H38" s="56">
        <v>1196.08</v>
      </c>
      <c r="I38" s="58">
        <v>0.524451</v>
      </c>
      <c r="J38" s="57">
        <v>0.54355600000000004</v>
      </c>
      <c r="K38" s="56"/>
      <c r="L38" s="56" t="s">
        <v>488</v>
      </c>
    </row>
    <row r="39" spans="2:12" x14ac:dyDescent="0.2">
      <c r="B39" s="62" t="s">
        <v>6012</v>
      </c>
      <c r="C39" s="61" t="s">
        <v>499</v>
      </c>
      <c r="D39" s="60">
        <v>2.3094399999999999</v>
      </c>
      <c r="E39" s="59">
        <v>4.3043699999999996</v>
      </c>
      <c r="F39" s="59">
        <v>6.4791800000000004</v>
      </c>
      <c r="G39" s="56">
        <v>999.58299999999997</v>
      </c>
      <c r="H39" s="56">
        <v>432.82400000000001</v>
      </c>
      <c r="I39" s="58">
        <v>0.369336</v>
      </c>
      <c r="J39" s="57">
        <v>0.22353600000000001</v>
      </c>
      <c r="K39" s="56"/>
      <c r="L39" s="56" t="s">
        <v>488</v>
      </c>
    </row>
    <row r="40" spans="2:12" x14ac:dyDescent="0.2">
      <c r="B40" s="62" t="s">
        <v>6011</v>
      </c>
      <c r="C40" s="61" t="s">
        <v>502</v>
      </c>
      <c r="D40" s="60">
        <v>0.55943100000000001</v>
      </c>
      <c r="E40" s="59">
        <v>9.0089699999999997</v>
      </c>
      <c r="F40" s="59">
        <v>15.55627</v>
      </c>
      <c r="G40" s="56">
        <v>2173.25</v>
      </c>
      <c r="H40" s="56">
        <v>3884.75</v>
      </c>
      <c r="I40" s="58">
        <v>0.82887599999999995</v>
      </c>
      <c r="J40" s="57">
        <v>1.3996900000000001</v>
      </c>
      <c r="K40" s="56"/>
      <c r="L40" s="56" t="s">
        <v>488</v>
      </c>
    </row>
    <row r="41" spans="2:12" x14ac:dyDescent="0.2">
      <c r="B41" s="62" t="s">
        <v>6010</v>
      </c>
      <c r="C41" s="61" t="s">
        <v>3905</v>
      </c>
      <c r="D41" s="60">
        <v>0.69428800000000002</v>
      </c>
      <c r="E41" s="59">
        <v>7.8253899999999996</v>
      </c>
      <c r="F41" s="59">
        <v>11.50806</v>
      </c>
      <c r="G41" s="56">
        <v>2200.1799999999998</v>
      </c>
      <c r="H41" s="56">
        <v>3168.97</v>
      </c>
      <c r="I41" s="58">
        <v>0.77420800000000001</v>
      </c>
      <c r="J41" s="57">
        <v>1.0638000000000001</v>
      </c>
      <c r="K41" s="56" t="s">
        <v>1816</v>
      </c>
      <c r="L41" s="56" t="s">
        <v>563</v>
      </c>
    </row>
    <row r="42" spans="2:12" x14ac:dyDescent="0.2">
      <c r="B42" s="62" t="s">
        <v>6009</v>
      </c>
      <c r="C42" s="61" t="s">
        <v>1921</v>
      </c>
      <c r="D42" s="60">
        <v>1.71994</v>
      </c>
      <c r="E42" s="59">
        <v>4.5372000000000003</v>
      </c>
      <c r="F42" s="59">
        <v>5.1920000000000002</v>
      </c>
      <c r="G42" s="56">
        <v>627.62300000000005</v>
      </c>
      <c r="H42" s="56">
        <v>364.90899999999999</v>
      </c>
      <c r="I42" s="58">
        <v>0.300425</v>
      </c>
      <c r="J42" s="57">
        <v>0.23519599999999999</v>
      </c>
      <c r="K42" s="56"/>
      <c r="L42" s="56" t="s">
        <v>488</v>
      </c>
    </row>
    <row r="43" spans="2:12" x14ac:dyDescent="0.2">
      <c r="B43" s="62" t="s">
        <v>6008</v>
      </c>
      <c r="C43" s="61" t="s">
        <v>502</v>
      </c>
      <c r="D43" s="60">
        <v>1.6396900000000001</v>
      </c>
      <c r="E43" s="59">
        <v>3.26186</v>
      </c>
      <c r="F43" s="59">
        <v>3.9888599999999999</v>
      </c>
      <c r="G43" s="56">
        <v>0</v>
      </c>
      <c r="H43" s="56">
        <v>0</v>
      </c>
      <c r="I43" s="58">
        <v>0.13184499999999999</v>
      </c>
      <c r="J43" s="57">
        <v>0.240287</v>
      </c>
      <c r="K43" s="56"/>
      <c r="L43" s="56" t="s">
        <v>488</v>
      </c>
    </row>
    <row r="44" spans="2:12" x14ac:dyDescent="0.2">
      <c r="B44" s="62" t="s">
        <v>6007</v>
      </c>
      <c r="C44" s="61" t="s">
        <v>502</v>
      </c>
      <c r="D44" s="60">
        <v>1.6077900000000001</v>
      </c>
      <c r="E44" s="59">
        <v>3.3752900000000001</v>
      </c>
      <c r="F44" s="59">
        <v>3.9237500000000001</v>
      </c>
      <c r="G44" s="56">
        <v>0</v>
      </c>
      <c r="H44" s="56">
        <v>0</v>
      </c>
      <c r="I44" s="58">
        <v>0.12761600000000001</v>
      </c>
      <c r="J44" s="57">
        <v>0.25365399999999999</v>
      </c>
      <c r="K44" s="56"/>
      <c r="L44" s="56" t="s">
        <v>488</v>
      </c>
    </row>
    <row r="45" spans="2:12" x14ac:dyDescent="0.2">
      <c r="B45" s="62" t="s">
        <v>6006</v>
      </c>
      <c r="C45" s="61" t="s">
        <v>502</v>
      </c>
      <c r="D45" s="60">
        <v>1.65299</v>
      </c>
      <c r="E45" s="59">
        <v>3.0534599999999998</v>
      </c>
      <c r="F45" s="59">
        <v>3.9890500000000002</v>
      </c>
      <c r="G45" s="56">
        <v>0</v>
      </c>
      <c r="H45" s="56">
        <v>0</v>
      </c>
      <c r="I45" s="58">
        <v>0.11744499999999999</v>
      </c>
      <c r="J45" s="57">
        <v>0.23919000000000001</v>
      </c>
      <c r="K45" s="56"/>
      <c r="L45" s="56" t="s">
        <v>488</v>
      </c>
    </row>
    <row r="46" spans="2:12" x14ac:dyDescent="0.2">
      <c r="B46" s="62" t="s">
        <v>6005</v>
      </c>
      <c r="C46" s="61" t="s">
        <v>502</v>
      </c>
      <c r="D46" s="60">
        <v>1.4663200000000001</v>
      </c>
      <c r="E46" s="59">
        <v>3.31507</v>
      </c>
      <c r="F46" s="59">
        <v>4.5494899999999996</v>
      </c>
      <c r="G46" s="56">
        <v>0</v>
      </c>
      <c r="H46" s="56">
        <v>0</v>
      </c>
      <c r="I46" s="58">
        <v>0.21976399999999999</v>
      </c>
      <c r="J46" s="57">
        <v>0.31301699999999999</v>
      </c>
      <c r="K46" s="56"/>
      <c r="L46" s="56" t="s">
        <v>488</v>
      </c>
    </row>
    <row r="47" spans="2:12" x14ac:dyDescent="0.2">
      <c r="B47" s="62" t="s">
        <v>6004</v>
      </c>
      <c r="C47" s="61" t="s">
        <v>510</v>
      </c>
      <c r="D47" s="60">
        <v>0.88193500000000002</v>
      </c>
      <c r="E47" s="59">
        <v>5.4007699999999996</v>
      </c>
      <c r="F47" s="59">
        <v>12.29205</v>
      </c>
      <c r="G47" s="56">
        <v>1859.88</v>
      </c>
      <c r="H47" s="56">
        <v>2108.86</v>
      </c>
      <c r="I47" s="58">
        <v>0.70206599999999997</v>
      </c>
      <c r="J47" s="57">
        <v>0.78325699999999998</v>
      </c>
      <c r="K47" s="56"/>
      <c r="L47" s="56" t="s">
        <v>488</v>
      </c>
    </row>
    <row r="48" spans="2:12" x14ac:dyDescent="0.2">
      <c r="B48" s="62" t="s">
        <v>6003</v>
      </c>
      <c r="C48" s="61" t="s">
        <v>502</v>
      </c>
      <c r="D48" s="60">
        <v>0.34394200000000003</v>
      </c>
      <c r="E48" s="59">
        <v>13.49014</v>
      </c>
      <c r="F48" s="59">
        <v>22.821639999999999</v>
      </c>
      <c r="G48" s="56">
        <v>1651</v>
      </c>
      <c r="H48" s="56">
        <v>4800.2299999999996</v>
      </c>
      <c r="I48" s="58">
        <v>0.88353499999999996</v>
      </c>
      <c r="J48" s="57">
        <v>2.5281899999999999</v>
      </c>
      <c r="K48" s="56"/>
      <c r="L48" s="56" t="s">
        <v>492</v>
      </c>
    </row>
    <row r="49" spans="2:12" x14ac:dyDescent="0.2">
      <c r="B49" s="62" t="s">
        <v>6002</v>
      </c>
      <c r="C49" s="61" t="s">
        <v>502</v>
      </c>
      <c r="D49" s="60">
        <v>0.43560700000000002</v>
      </c>
      <c r="E49" s="59">
        <v>10.92309</v>
      </c>
      <c r="F49" s="59">
        <v>21.624140000000001</v>
      </c>
      <c r="G49" s="56">
        <v>1815.49</v>
      </c>
      <c r="H49" s="56">
        <v>4167.72</v>
      </c>
      <c r="I49" s="58">
        <v>0.887154</v>
      </c>
      <c r="J49" s="57">
        <v>1.95631</v>
      </c>
      <c r="K49" s="56"/>
      <c r="L49" s="56" t="s">
        <v>488</v>
      </c>
    </row>
    <row r="50" spans="2:12" x14ac:dyDescent="0.2">
      <c r="B50" s="62" t="s">
        <v>6001</v>
      </c>
      <c r="C50" s="61" t="s">
        <v>502</v>
      </c>
      <c r="D50" s="60">
        <v>0.629251</v>
      </c>
      <c r="E50" s="59">
        <v>6.6002400000000003</v>
      </c>
      <c r="F50" s="59">
        <v>18.234380000000002</v>
      </c>
      <c r="G50" s="56">
        <v>2103.48</v>
      </c>
      <c r="H50" s="56">
        <v>3342.84</v>
      </c>
      <c r="I50" s="58">
        <v>0.82921</v>
      </c>
      <c r="J50" s="57">
        <v>1.2257199999999999</v>
      </c>
      <c r="K50" s="56"/>
      <c r="L50" s="56" t="s">
        <v>488</v>
      </c>
    </row>
    <row r="51" spans="2:12" x14ac:dyDescent="0.2">
      <c r="B51" s="62" t="s">
        <v>6000</v>
      </c>
      <c r="C51" s="61" t="s">
        <v>499</v>
      </c>
      <c r="D51" s="60">
        <v>0.63163999999999998</v>
      </c>
      <c r="E51" s="59">
        <v>6.7134600000000004</v>
      </c>
      <c r="F51" s="59">
        <v>18.072620000000001</v>
      </c>
      <c r="G51" s="56">
        <v>2121.5500000000002</v>
      </c>
      <c r="H51" s="56">
        <v>3358.79</v>
      </c>
      <c r="I51" s="58">
        <v>0.83638999999999997</v>
      </c>
      <c r="J51" s="57">
        <v>1.22217</v>
      </c>
      <c r="K51" s="56"/>
      <c r="L51" s="56" t="s">
        <v>488</v>
      </c>
    </row>
    <row r="52" spans="2:12" x14ac:dyDescent="0.2">
      <c r="B52" s="62" t="s">
        <v>5999</v>
      </c>
      <c r="C52" s="61" t="s">
        <v>510</v>
      </c>
      <c r="D52" s="60">
        <v>0.62569300000000005</v>
      </c>
      <c r="E52" s="59">
        <v>6.7332000000000001</v>
      </c>
      <c r="F52" s="59">
        <v>17.167750000000002</v>
      </c>
      <c r="G52" s="56">
        <v>2131.12</v>
      </c>
      <c r="H52" s="56">
        <v>3406.02</v>
      </c>
      <c r="I52" s="58">
        <v>0.80904900000000002</v>
      </c>
      <c r="J52" s="57">
        <v>1.21123</v>
      </c>
      <c r="K52" s="56"/>
      <c r="L52" s="56" t="s">
        <v>488</v>
      </c>
    </row>
    <row r="53" spans="2:12" x14ac:dyDescent="0.2">
      <c r="B53" s="62" t="s">
        <v>5998</v>
      </c>
      <c r="C53" s="61" t="s">
        <v>499</v>
      </c>
      <c r="D53" s="60">
        <v>0.33727000000000001</v>
      </c>
      <c r="E53" s="59">
        <v>10.27637</v>
      </c>
      <c r="F53" s="59">
        <v>26.335149999999999</v>
      </c>
      <c r="G53" s="56">
        <v>1735.32</v>
      </c>
      <c r="H53" s="56">
        <v>5145.1899999999996</v>
      </c>
      <c r="I53" s="58">
        <v>0.90494300000000005</v>
      </c>
      <c r="J53" s="57">
        <v>2.57212</v>
      </c>
      <c r="K53" s="56"/>
      <c r="L53" s="56" t="s">
        <v>488</v>
      </c>
    </row>
    <row r="54" spans="2:12" x14ac:dyDescent="0.2">
      <c r="B54" s="62" t="s">
        <v>5997</v>
      </c>
      <c r="C54" s="61" t="s">
        <v>502</v>
      </c>
      <c r="D54" s="60">
        <v>0.23877699999999999</v>
      </c>
      <c r="E54" s="59">
        <v>13.339040000000001</v>
      </c>
      <c r="F54" s="59">
        <v>27.337820000000001</v>
      </c>
      <c r="G54" s="56">
        <v>1492.07</v>
      </c>
      <c r="H54" s="56">
        <v>6248.8</v>
      </c>
      <c r="I54" s="58">
        <v>0.91975700000000005</v>
      </c>
      <c r="J54" s="57">
        <v>3.7435499999999999</v>
      </c>
      <c r="K54" s="56" t="s">
        <v>3968</v>
      </c>
      <c r="L54" s="56" t="s">
        <v>563</v>
      </c>
    </row>
    <row r="55" spans="2:12" x14ac:dyDescent="0.2">
      <c r="B55" s="62" t="s">
        <v>5996</v>
      </c>
      <c r="C55" s="61" t="s">
        <v>502</v>
      </c>
      <c r="D55" s="60">
        <v>0.377577</v>
      </c>
      <c r="E55" s="59">
        <v>12.17426</v>
      </c>
      <c r="F55" s="59">
        <v>24.550820000000002</v>
      </c>
      <c r="G55" s="56">
        <v>1724.07</v>
      </c>
      <c r="H55" s="56">
        <v>4566.13</v>
      </c>
      <c r="I55" s="58">
        <v>0.894563</v>
      </c>
      <c r="J55" s="57">
        <v>2.3001100000000001</v>
      </c>
      <c r="K55" s="56"/>
      <c r="L55" s="56" t="s">
        <v>488</v>
      </c>
    </row>
    <row r="56" spans="2:12" x14ac:dyDescent="0.2">
      <c r="B56" s="62" t="s">
        <v>5995</v>
      </c>
      <c r="C56" s="61" t="s">
        <v>510</v>
      </c>
      <c r="D56" s="60">
        <v>1.2634300000000001</v>
      </c>
      <c r="E56" s="59">
        <v>4.1044499999999999</v>
      </c>
      <c r="F56" s="59">
        <v>5.7672400000000001</v>
      </c>
      <c r="G56" s="56">
        <v>994.87599999999998</v>
      </c>
      <c r="H56" s="56">
        <v>787.44200000000001</v>
      </c>
      <c r="I56" s="58">
        <v>0.48438399999999998</v>
      </c>
      <c r="J56" s="57">
        <v>0.39790300000000001</v>
      </c>
      <c r="K56" s="56"/>
      <c r="L56" s="56" t="s">
        <v>488</v>
      </c>
    </row>
    <row r="57" spans="2:12" x14ac:dyDescent="0.2">
      <c r="B57" s="62" t="s">
        <v>5994</v>
      </c>
      <c r="C57" s="61" t="s">
        <v>533</v>
      </c>
      <c r="D57" s="60">
        <v>1.59673</v>
      </c>
      <c r="E57" s="59">
        <v>2.8775599999999999</v>
      </c>
      <c r="F57" s="59">
        <v>4.8444200000000004</v>
      </c>
      <c r="G57" s="56">
        <v>0</v>
      </c>
      <c r="H57" s="56">
        <v>0</v>
      </c>
      <c r="I57" s="58">
        <v>0.40518799999999999</v>
      </c>
      <c r="J57" s="57">
        <v>0.316527</v>
      </c>
      <c r="K57" s="56"/>
      <c r="L57" s="56" t="s">
        <v>488</v>
      </c>
    </row>
    <row r="58" spans="2:12" x14ac:dyDescent="0.2">
      <c r="B58" s="62" t="s">
        <v>5993</v>
      </c>
      <c r="C58" s="61" t="s">
        <v>510</v>
      </c>
      <c r="D58" s="60">
        <v>1.23763</v>
      </c>
      <c r="E58" s="59">
        <v>3.91364</v>
      </c>
      <c r="F58" s="59">
        <v>4.4335500000000003</v>
      </c>
      <c r="G58" s="56">
        <v>459.66800000000001</v>
      </c>
      <c r="H58" s="56">
        <v>371.40899999999999</v>
      </c>
      <c r="I58" s="58">
        <v>0.43248999999999999</v>
      </c>
      <c r="J58" s="57">
        <v>0.38722299999999998</v>
      </c>
      <c r="K58" s="56"/>
      <c r="L58" s="56" t="s">
        <v>488</v>
      </c>
    </row>
    <row r="59" spans="2:12" x14ac:dyDescent="0.2">
      <c r="B59" s="62" t="s">
        <v>5992</v>
      </c>
      <c r="C59" s="61" t="s">
        <v>5990</v>
      </c>
      <c r="D59" s="60">
        <v>1.6379600000000001</v>
      </c>
      <c r="E59" s="59">
        <v>3.7659600000000002</v>
      </c>
      <c r="F59" s="59">
        <v>5.5467300000000002</v>
      </c>
      <c r="G59" s="56">
        <v>302.673</v>
      </c>
      <c r="H59" s="56">
        <v>184.786</v>
      </c>
      <c r="I59" s="58">
        <v>0.308612</v>
      </c>
      <c r="J59" s="57">
        <v>0.28560200000000002</v>
      </c>
      <c r="K59" s="56"/>
      <c r="L59" s="56" t="s">
        <v>492</v>
      </c>
    </row>
    <row r="60" spans="2:12" x14ac:dyDescent="0.2">
      <c r="B60" s="62" t="s">
        <v>5991</v>
      </c>
      <c r="C60" s="61" t="s">
        <v>5990</v>
      </c>
      <c r="D60" s="60">
        <v>1.6379600000000001</v>
      </c>
      <c r="E60" s="59">
        <v>3.7694299999999998</v>
      </c>
      <c r="F60" s="59">
        <v>5.5094900000000004</v>
      </c>
      <c r="G60" s="56">
        <v>301.08</v>
      </c>
      <c r="H60" s="56">
        <v>183.81399999999999</v>
      </c>
      <c r="I60" s="58">
        <v>0.30899599999999999</v>
      </c>
      <c r="J60" s="57">
        <v>0.28554499999999999</v>
      </c>
      <c r="K60" s="56"/>
      <c r="L60" s="56" t="s">
        <v>492</v>
      </c>
    </row>
    <row r="61" spans="2:12" x14ac:dyDescent="0.2">
      <c r="B61" s="62" t="s">
        <v>5989</v>
      </c>
      <c r="C61" s="61" t="s">
        <v>1120</v>
      </c>
      <c r="D61" s="60">
        <v>1.71617</v>
      </c>
      <c r="E61" s="59">
        <v>3.8529499999999999</v>
      </c>
      <c r="F61" s="59">
        <v>5.4897400000000003</v>
      </c>
      <c r="G61" s="56">
        <v>311.03899999999999</v>
      </c>
      <c r="H61" s="56">
        <v>181.24</v>
      </c>
      <c r="I61" s="58">
        <v>0.28628100000000001</v>
      </c>
      <c r="J61" s="57">
        <v>0.26194800000000001</v>
      </c>
      <c r="K61" s="56"/>
      <c r="L61" s="56" t="s">
        <v>492</v>
      </c>
    </row>
    <row r="62" spans="2:12" x14ac:dyDescent="0.2">
      <c r="B62" s="62" t="s">
        <v>5988</v>
      </c>
      <c r="C62" s="61" t="s">
        <v>871</v>
      </c>
      <c r="D62" s="60">
        <v>1.70055</v>
      </c>
      <c r="E62" s="59">
        <v>3.8682699999999999</v>
      </c>
      <c r="F62" s="59">
        <v>5.4648099999999999</v>
      </c>
      <c r="G62" s="56">
        <v>293.39699999999999</v>
      </c>
      <c r="H62" s="56">
        <v>172.53</v>
      </c>
      <c r="I62" s="58">
        <v>0.28962500000000002</v>
      </c>
      <c r="J62" s="57">
        <v>0.266455</v>
      </c>
      <c r="K62" s="56"/>
      <c r="L62" s="56" t="s">
        <v>492</v>
      </c>
    </row>
    <row r="63" spans="2:12" x14ac:dyDescent="0.2">
      <c r="B63" s="62" t="s">
        <v>5987</v>
      </c>
      <c r="C63" s="61" t="s">
        <v>871</v>
      </c>
      <c r="D63" s="60">
        <v>1.70055</v>
      </c>
      <c r="E63" s="59">
        <v>3.8663599999999998</v>
      </c>
      <c r="F63" s="59">
        <v>5.4274399999999998</v>
      </c>
      <c r="G63" s="56">
        <v>292.67899999999997</v>
      </c>
      <c r="H63" s="56">
        <v>172.108</v>
      </c>
      <c r="I63" s="58">
        <v>0.28980499999999998</v>
      </c>
      <c r="J63" s="57">
        <v>0.26666400000000001</v>
      </c>
      <c r="K63" s="56"/>
      <c r="L63" s="56" t="s">
        <v>492</v>
      </c>
    </row>
    <row r="64" spans="2:12" x14ac:dyDescent="0.2">
      <c r="B64" s="62" t="s">
        <v>5986</v>
      </c>
      <c r="C64" s="61" t="s">
        <v>871</v>
      </c>
      <c r="D64" s="60">
        <v>1.74701</v>
      </c>
      <c r="E64" s="59">
        <v>3.8393700000000002</v>
      </c>
      <c r="F64" s="59">
        <v>5.3837700000000002</v>
      </c>
      <c r="G64" s="56">
        <v>295.43599999999998</v>
      </c>
      <c r="H64" s="56">
        <v>169.10900000000001</v>
      </c>
      <c r="I64" s="58">
        <v>0.29258200000000001</v>
      </c>
      <c r="J64" s="57">
        <v>0.25711499999999998</v>
      </c>
      <c r="K64" s="56"/>
      <c r="L64" s="56" t="s">
        <v>492</v>
      </c>
    </row>
    <row r="65" spans="2:12" x14ac:dyDescent="0.2">
      <c r="B65" s="62" t="s">
        <v>5985</v>
      </c>
      <c r="C65" s="61" t="s">
        <v>502</v>
      </c>
      <c r="D65" s="60">
        <v>1.0387599999999999</v>
      </c>
      <c r="E65" s="59">
        <v>4.9065000000000003</v>
      </c>
      <c r="F65" s="59">
        <v>10.016999999999999</v>
      </c>
      <c r="G65" s="56">
        <v>1827.14</v>
      </c>
      <c r="H65" s="56">
        <v>1758.96</v>
      </c>
      <c r="I65" s="58">
        <v>0.63202700000000001</v>
      </c>
      <c r="J65" s="57">
        <v>0.65409799999999996</v>
      </c>
      <c r="K65" s="56"/>
      <c r="L65" s="56" t="s">
        <v>492</v>
      </c>
    </row>
    <row r="66" spans="2:12" x14ac:dyDescent="0.2">
      <c r="B66" s="62" t="s">
        <v>5984</v>
      </c>
      <c r="C66" s="61" t="s">
        <v>641</v>
      </c>
      <c r="D66" s="60">
        <v>1.21661</v>
      </c>
      <c r="E66" s="59">
        <v>5.3036500000000002</v>
      </c>
      <c r="F66" s="59">
        <v>5.9754100000000001</v>
      </c>
      <c r="G66" s="56">
        <v>904.78700000000003</v>
      </c>
      <c r="H66" s="56">
        <v>743.69200000000001</v>
      </c>
      <c r="I66" s="58">
        <v>0.43187999999999999</v>
      </c>
      <c r="J66" s="57">
        <v>0.44134800000000002</v>
      </c>
      <c r="K66" s="56"/>
      <c r="L66" s="56" t="s">
        <v>488</v>
      </c>
    </row>
    <row r="67" spans="2:12" x14ac:dyDescent="0.2">
      <c r="B67" s="62" t="s">
        <v>5983</v>
      </c>
      <c r="C67" s="61" t="s">
        <v>531</v>
      </c>
      <c r="D67" s="60">
        <v>1.2879700000000001</v>
      </c>
      <c r="E67" s="59">
        <v>5.3133100000000004</v>
      </c>
      <c r="F67" s="59">
        <v>5.9443000000000001</v>
      </c>
      <c r="G67" s="56">
        <v>881.28499999999997</v>
      </c>
      <c r="H67" s="56">
        <v>684.24599999999998</v>
      </c>
      <c r="I67" s="58">
        <v>0.42596800000000001</v>
      </c>
      <c r="J67" s="57">
        <v>0.40706999999999999</v>
      </c>
      <c r="K67" s="56"/>
      <c r="L67" s="56" t="s">
        <v>488</v>
      </c>
    </row>
    <row r="68" spans="2:12" x14ac:dyDescent="0.2">
      <c r="B68" s="62" t="s">
        <v>5982</v>
      </c>
      <c r="C68" s="61" t="s">
        <v>535</v>
      </c>
      <c r="D68" s="60">
        <v>1.3157399999999999</v>
      </c>
      <c r="E68" s="59">
        <v>5.2909600000000001</v>
      </c>
      <c r="F68" s="59">
        <v>5.93337</v>
      </c>
      <c r="G68" s="56">
        <v>871.51300000000003</v>
      </c>
      <c r="H68" s="56">
        <v>662.37800000000004</v>
      </c>
      <c r="I68" s="58">
        <v>0.426564</v>
      </c>
      <c r="J68" s="57">
        <v>0.39546900000000001</v>
      </c>
      <c r="K68" s="56"/>
      <c r="L68" s="56" t="s">
        <v>488</v>
      </c>
    </row>
    <row r="69" spans="2:12" x14ac:dyDescent="0.2">
      <c r="B69" s="62" t="s">
        <v>5981</v>
      </c>
      <c r="C69" s="61" t="s">
        <v>499</v>
      </c>
      <c r="D69" s="60">
        <v>0.40256700000000001</v>
      </c>
      <c r="E69" s="59">
        <v>17.124140000000001</v>
      </c>
      <c r="F69" s="59">
        <v>25.68553</v>
      </c>
      <c r="G69" s="56">
        <v>1264.56</v>
      </c>
      <c r="H69" s="56">
        <v>3141.23</v>
      </c>
      <c r="I69" s="58">
        <v>0.84656200000000004</v>
      </c>
      <c r="J69" s="57">
        <v>2.07463</v>
      </c>
      <c r="K69" s="56"/>
      <c r="L69" s="56" t="s">
        <v>488</v>
      </c>
    </row>
    <row r="70" spans="2:12" x14ac:dyDescent="0.2">
      <c r="B70" s="62" t="s">
        <v>5980</v>
      </c>
      <c r="C70" s="61" t="s">
        <v>499</v>
      </c>
      <c r="D70" s="60">
        <v>0.72212299999999996</v>
      </c>
      <c r="E70" s="59">
        <v>6.55138</v>
      </c>
      <c r="F70" s="59">
        <v>9.2838600000000007</v>
      </c>
      <c r="G70" s="56">
        <v>1868.87</v>
      </c>
      <c r="H70" s="56">
        <v>2588.02</v>
      </c>
      <c r="I70" s="58">
        <v>0.72429699999999997</v>
      </c>
      <c r="J70" s="57">
        <v>0.98540700000000003</v>
      </c>
      <c r="K70" s="56"/>
      <c r="L70" s="56" t="s">
        <v>488</v>
      </c>
    </row>
    <row r="71" spans="2:12" x14ac:dyDescent="0.2">
      <c r="B71" s="62" t="s">
        <v>5979</v>
      </c>
      <c r="C71" s="61" t="s">
        <v>5978</v>
      </c>
      <c r="D71" s="60">
        <v>1.7088699999999999</v>
      </c>
      <c r="E71" s="59">
        <v>2.5624699999999998</v>
      </c>
      <c r="F71" s="59">
        <v>3.38958</v>
      </c>
      <c r="G71" s="56">
        <v>0</v>
      </c>
      <c r="H71" s="56">
        <v>0</v>
      </c>
      <c r="I71" s="58">
        <v>9.9434700000000001E-2</v>
      </c>
      <c r="J71" s="57">
        <v>0.22218399999999999</v>
      </c>
      <c r="K71" s="56"/>
      <c r="L71" s="56" t="s">
        <v>488</v>
      </c>
    </row>
    <row r="72" spans="2:12" x14ac:dyDescent="0.2">
      <c r="B72" s="62" t="s">
        <v>5977</v>
      </c>
      <c r="C72" s="61" t="s">
        <v>502</v>
      </c>
      <c r="D72" s="60">
        <v>1.1012900000000001</v>
      </c>
      <c r="E72" s="59">
        <v>5.1268900000000004</v>
      </c>
      <c r="F72" s="59">
        <v>5.9982499999999996</v>
      </c>
      <c r="G72" s="56">
        <v>1433.96</v>
      </c>
      <c r="H72" s="56">
        <v>1302.07</v>
      </c>
      <c r="I72" s="58">
        <v>0.54619899999999999</v>
      </c>
      <c r="J72" s="57">
        <v>0.52906200000000003</v>
      </c>
      <c r="K72" s="56"/>
      <c r="L72" s="56" t="s">
        <v>624</v>
      </c>
    </row>
    <row r="73" spans="2:12" x14ac:dyDescent="0.2">
      <c r="B73" s="62" t="s">
        <v>5976</v>
      </c>
      <c r="C73" s="61" t="s">
        <v>641</v>
      </c>
      <c r="D73" s="60">
        <v>1.8388599999999999</v>
      </c>
      <c r="E73" s="59">
        <v>3.9041399999999999</v>
      </c>
      <c r="F73" s="59">
        <v>4.3753700000000002</v>
      </c>
      <c r="G73" s="56">
        <v>454.04399999999998</v>
      </c>
      <c r="H73" s="56">
        <v>246.917</v>
      </c>
      <c r="I73" s="58">
        <v>0.34452899999999997</v>
      </c>
      <c r="J73" s="57">
        <v>0.26936599999999999</v>
      </c>
      <c r="K73" s="56"/>
      <c r="L73" s="56" t="s">
        <v>488</v>
      </c>
    </row>
    <row r="74" spans="2:12" x14ac:dyDescent="0.2">
      <c r="B74" s="62" t="s">
        <v>5975</v>
      </c>
      <c r="C74" s="61" t="s">
        <v>499</v>
      </c>
      <c r="D74" s="60">
        <v>1.06928</v>
      </c>
      <c r="E74" s="59">
        <v>4.0999699999999999</v>
      </c>
      <c r="F74" s="59">
        <v>4.6402299999999999</v>
      </c>
      <c r="G74" s="56">
        <v>906.10299999999995</v>
      </c>
      <c r="H74" s="56">
        <v>847.39200000000005</v>
      </c>
      <c r="I74" s="58">
        <v>0.49585699999999999</v>
      </c>
      <c r="J74" s="57">
        <v>0.49439499999999997</v>
      </c>
      <c r="K74" s="56"/>
      <c r="L74" s="56" t="s">
        <v>488</v>
      </c>
    </row>
    <row r="75" spans="2:12" x14ac:dyDescent="0.2">
      <c r="B75" s="62" t="s">
        <v>5974</v>
      </c>
      <c r="C75" s="61" t="s">
        <v>499</v>
      </c>
      <c r="D75" s="60">
        <v>1.0168299999999999</v>
      </c>
      <c r="E75" s="59">
        <v>5.3711599999999997</v>
      </c>
      <c r="F75" s="59">
        <v>7.3532999999999999</v>
      </c>
      <c r="G75" s="56">
        <v>1129.23</v>
      </c>
      <c r="H75" s="56">
        <v>1110.54</v>
      </c>
      <c r="I75" s="58">
        <v>0.46755600000000003</v>
      </c>
      <c r="J75" s="57">
        <v>0.54716299999999995</v>
      </c>
      <c r="K75" s="56"/>
      <c r="L75" s="56" t="s">
        <v>488</v>
      </c>
    </row>
    <row r="76" spans="2:12" x14ac:dyDescent="0.2">
      <c r="B76" s="62" t="s">
        <v>5973</v>
      </c>
      <c r="C76" s="61" t="s">
        <v>499</v>
      </c>
      <c r="D76" s="60">
        <v>1.3228500000000001</v>
      </c>
      <c r="E76" s="59">
        <v>5.0852399999999998</v>
      </c>
      <c r="F76" s="59">
        <v>7.1406599999999996</v>
      </c>
      <c r="G76" s="56">
        <v>1099.04</v>
      </c>
      <c r="H76" s="56">
        <v>830.81299999999999</v>
      </c>
      <c r="I76" s="58">
        <v>0.44718200000000002</v>
      </c>
      <c r="J76" s="57">
        <v>0.40968100000000002</v>
      </c>
      <c r="K76" s="56"/>
      <c r="L76" s="56" t="s">
        <v>488</v>
      </c>
    </row>
    <row r="77" spans="2:12" x14ac:dyDescent="0.2">
      <c r="B77" s="62" t="s">
        <v>5972</v>
      </c>
      <c r="C77" s="61" t="s">
        <v>510</v>
      </c>
      <c r="D77" s="60">
        <v>1.1222300000000001</v>
      </c>
      <c r="E77" s="59">
        <v>4.5209700000000002</v>
      </c>
      <c r="F77" s="59">
        <v>6.3305999999999996</v>
      </c>
      <c r="G77" s="56">
        <v>1083.1300000000001</v>
      </c>
      <c r="H77" s="56">
        <v>965.16200000000003</v>
      </c>
      <c r="I77" s="58">
        <v>0.40640599999999999</v>
      </c>
      <c r="J77" s="57">
        <v>0.49769400000000003</v>
      </c>
      <c r="K77" s="56"/>
      <c r="L77" s="56" t="s">
        <v>488</v>
      </c>
    </row>
    <row r="78" spans="2:12" x14ac:dyDescent="0.2">
      <c r="B78" s="62" t="s">
        <v>5971</v>
      </c>
      <c r="C78" s="61" t="s">
        <v>510</v>
      </c>
      <c r="D78" s="60">
        <v>1.12574</v>
      </c>
      <c r="E78" s="59">
        <v>4.7481</v>
      </c>
      <c r="F78" s="59">
        <v>6.4386400000000004</v>
      </c>
      <c r="G78" s="56">
        <v>1115.6600000000001</v>
      </c>
      <c r="H78" s="56">
        <v>991.04700000000003</v>
      </c>
      <c r="I78" s="58">
        <v>0.41225200000000001</v>
      </c>
      <c r="J78" s="57">
        <v>0.50122500000000003</v>
      </c>
      <c r="K78" s="56"/>
      <c r="L78" s="56" t="s">
        <v>488</v>
      </c>
    </row>
    <row r="79" spans="2:12" x14ac:dyDescent="0.2">
      <c r="B79" s="62" t="s">
        <v>5970</v>
      </c>
      <c r="C79" s="61" t="s">
        <v>499</v>
      </c>
      <c r="D79" s="60">
        <v>1.6209</v>
      </c>
      <c r="E79" s="59">
        <v>3.00569</v>
      </c>
      <c r="F79" s="59">
        <v>4.2515700000000001</v>
      </c>
      <c r="G79" s="56">
        <v>0</v>
      </c>
      <c r="H79" s="56">
        <v>0</v>
      </c>
      <c r="I79" s="58">
        <v>0.27038099999999998</v>
      </c>
      <c r="J79" s="57">
        <v>0.29356399999999999</v>
      </c>
      <c r="K79" s="56"/>
      <c r="L79" s="56" t="s">
        <v>488</v>
      </c>
    </row>
    <row r="80" spans="2:12" x14ac:dyDescent="0.2">
      <c r="B80" s="62" t="s">
        <v>5969</v>
      </c>
      <c r="C80" s="61" t="s">
        <v>531</v>
      </c>
      <c r="D80" s="60">
        <v>1.07439</v>
      </c>
      <c r="E80" s="59">
        <v>6.7728700000000002</v>
      </c>
      <c r="F80" s="59">
        <v>8.7931000000000008</v>
      </c>
      <c r="G80" s="56">
        <v>1492.32</v>
      </c>
      <c r="H80" s="56">
        <v>1388.99</v>
      </c>
      <c r="I80" s="58">
        <v>0.632602</v>
      </c>
      <c r="J80" s="57">
        <v>0.57452800000000004</v>
      </c>
      <c r="K80" s="56"/>
      <c r="L80" s="56" t="s">
        <v>488</v>
      </c>
    </row>
    <row r="81" spans="2:12" x14ac:dyDescent="0.2">
      <c r="B81" s="62" t="s">
        <v>5968</v>
      </c>
      <c r="C81" s="61" t="s">
        <v>582</v>
      </c>
      <c r="D81" s="60">
        <v>1.05969</v>
      </c>
      <c r="E81" s="59">
        <v>6.8140799999999997</v>
      </c>
      <c r="F81" s="59">
        <v>8.8021200000000004</v>
      </c>
      <c r="G81" s="56">
        <v>1519.76</v>
      </c>
      <c r="H81" s="56">
        <v>1434.16</v>
      </c>
      <c r="I81" s="58">
        <v>0.63828600000000002</v>
      </c>
      <c r="J81" s="57">
        <v>0.58584800000000004</v>
      </c>
      <c r="K81" s="56"/>
      <c r="L81" s="56" t="s">
        <v>488</v>
      </c>
    </row>
    <row r="82" spans="2:12" x14ac:dyDescent="0.2">
      <c r="B82" s="62" t="s">
        <v>5967</v>
      </c>
      <c r="C82" s="61" t="s">
        <v>641</v>
      </c>
      <c r="D82" s="60">
        <v>1.04077</v>
      </c>
      <c r="E82" s="59">
        <v>6.5475399999999997</v>
      </c>
      <c r="F82" s="59">
        <v>8.3288200000000003</v>
      </c>
      <c r="G82" s="56">
        <v>1500.64</v>
      </c>
      <c r="H82" s="56">
        <v>1441.86</v>
      </c>
      <c r="I82" s="58">
        <v>0.62464200000000003</v>
      </c>
      <c r="J82" s="57">
        <v>0.59112200000000004</v>
      </c>
      <c r="K82" s="56"/>
      <c r="L82" s="56" t="s">
        <v>488</v>
      </c>
    </row>
    <row r="83" spans="2:12" x14ac:dyDescent="0.2">
      <c r="B83" s="62" t="s">
        <v>5966</v>
      </c>
      <c r="C83" s="61" t="s">
        <v>507</v>
      </c>
      <c r="D83" s="60">
        <v>1.02206</v>
      </c>
      <c r="E83" s="59">
        <v>6.8605099999999997</v>
      </c>
      <c r="F83" s="59">
        <v>8.8151499999999992</v>
      </c>
      <c r="G83" s="56">
        <v>1512.38</v>
      </c>
      <c r="H83" s="56">
        <v>1479.74</v>
      </c>
      <c r="I83" s="58">
        <v>0.636575</v>
      </c>
      <c r="J83" s="57">
        <v>0.61130399999999996</v>
      </c>
      <c r="K83" s="56"/>
      <c r="L83" s="56" t="s">
        <v>488</v>
      </c>
    </row>
    <row r="84" spans="2:12" x14ac:dyDescent="0.2">
      <c r="B84" s="62" t="s">
        <v>5965</v>
      </c>
      <c r="C84" s="61" t="s">
        <v>533</v>
      </c>
      <c r="D84" s="60">
        <v>1.0948</v>
      </c>
      <c r="E84" s="59">
        <v>6.7411799999999999</v>
      </c>
      <c r="F84" s="59">
        <v>8.7933400000000006</v>
      </c>
      <c r="G84" s="56">
        <v>1485.61</v>
      </c>
      <c r="H84" s="56">
        <v>1356.96</v>
      </c>
      <c r="I84" s="58">
        <v>0.63695299999999999</v>
      </c>
      <c r="J84" s="57">
        <v>0.56220800000000004</v>
      </c>
      <c r="K84" s="56"/>
      <c r="L84" s="56" t="s">
        <v>488</v>
      </c>
    </row>
    <row r="85" spans="2:12" x14ac:dyDescent="0.2">
      <c r="B85" s="62" t="s">
        <v>5964</v>
      </c>
      <c r="C85" s="61" t="s">
        <v>541</v>
      </c>
      <c r="D85" s="60">
        <v>1.04816</v>
      </c>
      <c r="E85" s="59">
        <v>6.84598</v>
      </c>
      <c r="F85" s="59">
        <v>8.7884700000000002</v>
      </c>
      <c r="G85" s="56">
        <v>1496.04</v>
      </c>
      <c r="H85" s="56">
        <v>1427.3</v>
      </c>
      <c r="I85" s="58">
        <v>0.63420299999999996</v>
      </c>
      <c r="J85" s="57">
        <v>0.59171300000000004</v>
      </c>
      <c r="K85" s="56"/>
      <c r="L85" s="56" t="s">
        <v>488</v>
      </c>
    </row>
    <row r="86" spans="2:12" x14ac:dyDescent="0.2">
      <c r="B86" s="62" t="s">
        <v>5963</v>
      </c>
      <c r="C86" s="61" t="s">
        <v>502</v>
      </c>
      <c r="D86" s="60">
        <v>0.97944699999999996</v>
      </c>
      <c r="E86" s="59">
        <v>5.7178599999999999</v>
      </c>
      <c r="F86" s="59">
        <v>7.73482</v>
      </c>
      <c r="G86" s="56">
        <v>1359.9</v>
      </c>
      <c r="H86" s="56">
        <v>1388.43</v>
      </c>
      <c r="I86" s="58">
        <v>0.56671800000000006</v>
      </c>
      <c r="J86" s="57">
        <v>0.60897999999999997</v>
      </c>
      <c r="K86" s="56"/>
      <c r="L86" s="56" t="s">
        <v>488</v>
      </c>
    </row>
    <row r="87" spans="2:12" x14ac:dyDescent="0.2">
      <c r="B87" s="62" t="s">
        <v>5962</v>
      </c>
      <c r="C87" s="61" t="s">
        <v>495</v>
      </c>
      <c r="D87" s="60">
        <v>1.1529400000000001</v>
      </c>
      <c r="E87" s="59">
        <v>3.9142100000000002</v>
      </c>
      <c r="F87" s="59">
        <v>6.2237200000000001</v>
      </c>
      <c r="G87" s="56">
        <v>939.85699999999997</v>
      </c>
      <c r="H87" s="56">
        <v>815.18299999999999</v>
      </c>
      <c r="I87" s="58">
        <v>0.42064499999999999</v>
      </c>
      <c r="J87" s="57">
        <v>0.45326499999999997</v>
      </c>
      <c r="K87" s="56"/>
      <c r="L87" s="56" t="s">
        <v>488</v>
      </c>
    </row>
    <row r="88" spans="2:12" x14ac:dyDescent="0.2">
      <c r="B88" s="62" t="s">
        <v>5961</v>
      </c>
      <c r="C88" s="61" t="s">
        <v>495</v>
      </c>
      <c r="D88" s="60">
        <v>0.95914100000000002</v>
      </c>
      <c r="E88" s="59">
        <v>4.9578699999999998</v>
      </c>
      <c r="F88" s="59">
        <v>7.3561100000000001</v>
      </c>
      <c r="G88" s="56">
        <v>1330.68</v>
      </c>
      <c r="H88" s="56">
        <v>1387.37</v>
      </c>
      <c r="I88" s="58">
        <v>0.51921300000000004</v>
      </c>
      <c r="J88" s="57">
        <v>0.61046</v>
      </c>
      <c r="K88" s="56"/>
      <c r="L88" s="56" t="s">
        <v>488</v>
      </c>
    </row>
    <row r="89" spans="2:12" x14ac:dyDescent="0.2">
      <c r="B89" s="62" t="s">
        <v>5960</v>
      </c>
      <c r="C89" s="61" t="s">
        <v>495</v>
      </c>
      <c r="D89" s="60">
        <v>0.9597</v>
      </c>
      <c r="E89" s="59">
        <v>4.7743000000000002</v>
      </c>
      <c r="F89" s="59">
        <v>5.96671</v>
      </c>
      <c r="G89" s="56">
        <v>1400.82</v>
      </c>
      <c r="H89" s="56">
        <v>1459.64</v>
      </c>
      <c r="I89" s="58">
        <v>0.55437599999999998</v>
      </c>
      <c r="J89" s="57">
        <v>0.61136100000000004</v>
      </c>
      <c r="K89" s="56"/>
      <c r="L89" s="56" t="s">
        <v>488</v>
      </c>
    </row>
    <row r="90" spans="2:12" x14ac:dyDescent="0.2">
      <c r="B90" s="62" t="s">
        <v>5959</v>
      </c>
      <c r="C90" s="61" t="s">
        <v>1386</v>
      </c>
      <c r="D90" s="60">
        <v>1.3864099999999999</v>
      </c>
      <c r="E90" s="59">
        <v>4.5889100000000003</v>
      </c>
      <c r="F90" s="59">
        <v>5.4331199999999997</v>
      </c>
      <c r="G90" s="56">
        <v>1722.39</v>
      </c>
      <c r="H90" s="56">
        <v>1242.3399999999999</v>
      </c>
      <c r="I90" s="58">
        <v>0.64415800000000001</v>
      </c>
      <c r="J90" s="57">
        <v>0.45158999999999999</v>
      </c>
      <c r="K90" s="56"/>
      <c r="L90" s="56" t="s">
        <v>488</v>
      </c>
    </row>
    <row r="91" spans="2:12" x14ac:dyDescent="0.2">
      <c r="B91" s="62" t="s">
        <v>5958</v>
      </c>
      <c r="C91" s="61" t="s">
        <v>641</v>
      </c>
      <c r="D91" s="60">
        <v>1.7719499999999999</v>
      </c>
      <c r="E91" s="59">
        <v>6.25183</v>
      </c>
      <c r="F91" s="59">
        <v>6.7769300000000001</v>
      </c>
      <c r="G91" s="56">
        <v>1091.1600000000001</v>
      </c>
      <c r="H91" s="56">
        <v>615.79499999999996</v>
      </c>
      <c r="I91" s="58">
        <v>0.45050400000000002</v>
      </c>
      <c r="J91" s="57">
        <v>0.29115000000000002</v>
      </c>
      <c r="K91" s="56"/>
      <c r="L91" s="56" t="s">
        <v>488</v>
      </c>
    </row>
    <row r="92" spans="2:12" x14ac:dyDescent="0.2">
      <c r="B92" s="62" t="s">
        <v>5957</v>
      </c>
      <c r="C92" s="61" t="s">
        <v>502</v>
      </c>
      <c r="D92" s="60">
        <v>0.88700599999999996</v>
      </c>
      <c r="E92" s="59">
        <v>5.3051700000000004</v>
      </c>
      <c r="F92" s="59">
        <v>7.0495299999999999</v>
      </c>
      <c r="G92" s="56">
        <v>2448.73</v>
      </c>
      <c r="H92" s="56">
        <v>2760.67</v>
      </c>
      <c r="I92" s="58">
        <v>0.73679300000000003</v>
      </c>
      <c r="J92" s="57">
        <v>0.80756700000000003</v>
      </c>
      <c r="K92" s="56"/>
      <c r="L92" s="56" t="s">
        <v>488</v>
      </c>
    </row>
    <row r="93" spans="2:12" x14ac:dyDescent="0.2">
      <c r="B93" s="62" t="s">
        <v>5956</v>
      </c>
      <c r="C93" s="61" t="s">
        <v>502</v>
      </c>
      <c r="D93" s="60">
        <v>2.2601100000000001</v>
      </c>
      <c r="E93" s="59">
        <v>3.0521199999999999</v>
      </c>
      <c r="F93" s="59">
        <v>3.7084800000000002</v>
      </c>
      <c r="G93" s="56">
        <v>0</v>
      </c>
      <c r="H93" s="56">
        <v>0</v>
      </c>
      <c r="I93" s="58">
        <v>0.23329900000000001</v>
      </c>
      <c r="J93" s="57">
        <v>0.17563799999999999</v>
      </c>
      <c r="K93" s="56"/>
      <c r="L93" s="56" t="s">
        <v>488</v>
      </c>
    </row>
    <row r="94" spans="2:12" x14ac:dyDescent="0.2">
      <c r="B94" s="62" t="s">
        <v>5955</v>
      </c>
      <c r="C94" s="61" t="s">
        <v>502</v>
      </c>
      <c r="D94" s="60">
        <v>1.16455</v>
      </c>
      <c r="E94" s="59">
        <v>4.1118100000000002</v>
      </c>
      <c r="F94" s="59">
        <v>6.0721999999999996</v>
      </c>
      <c r="G94" s="56">
        <v>1186.27</v>
      </c>
      <c r="H94" s="56">
        <v>1018.66</v>
      </c>
      <c r="I94" s="58">
        <v>0.48271199999999997</v>
      </c>
      <c r="J94" s="57">
        <v>0.50966900000000004</v>
      </c>
      <c r="K94" s="56"/>
      <c r="L94" s="56" t="s">
        <v>492</v>
      </c>
    </row>
    <row r="95" spans="2:12" x14ac:dyDescent="0.2">
      <c r="B95" s="62" t="s">
        <v>5954</v>
      </c>
      <c r="C95" s="61" t="s">
        <v>708</v>
      </c>
      <c r="D95" s="60">
        <v>1.5121199999999999</v>
      </c>
      <c r="E95" s="59">
        <v>3.3222700000000001</v>
      </c>
      <c r="F95" s="59">
        <v>4.5001100000000003</v>
      </c>
      <c r="G95" s="56">
        <v>0</v>
      </c>
      <c r="H95" s="56">
        <v>0</v>
      </c>
      <c r="I95" s="58">
        <v>0.28561700000000001</v>
      </c>
      <c r="J95" s="57">
        <v>0.312556</v>
      </c>
      <c r="K95" s="56"/>
      <c r="L95" s="56" t="s">
        <v>488</v>
      </c>
    </row>
    <row r="96" spans="2:12" x14ac:dyDescent="0.2">
      <c r="B96" s="62" t="s">
        <v>5953</v>
      </c>
      <c r="C96" s="61" t="s">
        <v>499</v>
      </c>
      <c r="D96" s="60">
        <v>1.2564200000000001</v>
      </c>
      <c r="E96" s="59">
        <v>2.9236599999999999</v>
      </c>
      <c r="F96" s="59">
        <v>5.1057699999999997</v>
      </c>
      <c r="G96" s="56">
        <v>0</v>
      </c>
      <c r="H96" s="56">
        <v>0</v>
      </c>
      <c r="I96" s="58">
        <v>0.194963</v>
      </c>
      <c r="J96" s="57">
        <v>0.35959799999999997</v>
      </c>
      <c r="K96" s="56"/>
      <c r="L96" s="56" t="s">
        <v>488</v>
      </c>
    </row>
    <row r="97" spans="2:12" x14ac:dyDescent="0.2">
      <c r="B97" s="62" t="s">
        <v>5952</v>
      </c>
      <c r="C97" s="61" t="s">
        <v>502</v>
      </c>
      <c r="D97" s="60">
        <v>1.9270099999999999</v>
      </c>
      <c r="E97" s="59">
        <v>3.4684200000000001</v>
      </c>
      <c r="F97" s="59">
        <v>4.3072400000000002</v>
      </c>
      <c r="G97" s="56">
        <v>0</v>
      </c>
      <c r="H97" s="56">
        <v>0</v>
      </c>
      <c r="I97" s="58">
        <v>0.46040399999999998</v>
      </c>
      <c r="J97" s="57">
        <v>0.25192599999999998</v>
      </c>
      <c r="K97" s="56"/>
      <c r="L97" s="56" t="s">
        <v>488</v>
      </c>
    </row>
    <row r="98" spans="2:12" x14ac:dyDescent="0.2">
      <c r="B98" s="62" t="s">
        <v>5951</v>
      </c>
      <c r="C98" s="61" t="s">
        <v>641</v>
      </c>
      <c r="D98" s="60">
        <v>2.0486499999999999</v>
      </c>
      <c r="E98" s="59">
        <v>3.2478099999999999</v>
      </c>
      <c r="F98" s="59">
        <v>4.1811800000000003</v>
      </c>
      <c r="G98" s="56">
        <v>0</v>
      </c>
      <c r="H98" s="56">
        <v>0</v>
      </c>
      <c r="I98" s="58">
        <v>0.229682</v>
      </c>
      <c r="J98" s="57">
        <v>0.212453</v>
      </c>
      <c r="K98" s="56"/>
      <c r="L98" s="56" t="s">
        <v>488</v>
      </c>
    </row>
    <row r="99" spans="2:12" x14ac:dyDescent="0.2">
      <c r="B99" s="62" t="s">
        <v>5950</v>
      </c>
      <c r="C99" s="61" t="s">
        <v>641</v>
      </c>
      <c r="D99" s="60">
        <v>2.06338</v>
      </c>
      <c r="E99" s="59">
        <v>3.26762</v>
      </c>
      <c r="F99" s="59">
        <v>4.1948499999999997</v>
      </c>
      <c r="G99" s="56">
        <v>0</v>
      </c>
      <c r="H99" s="56">
        <v>0</v>
      </c>
      <c r="I99" s="58">
        <v>0.22171399999999999</v>
      </c>
      <c r="J99" s="57">
        <v>0.20931</v>
      </c>
      <c r="K99" s="56"/>
      <c r="L99" s="56" t="s">
        <v>488</v>
      </c>
    </row>
    <row r="100" spans="2:12" x14ac:dyDescent="0.2">
      <c r="B100" s="62" t="s">
        <v>5949</v>
      </c>
      <c r="C100" s="61" t="s">
        <v>1516</v>
      </c>
      <c r="D100" s="60">
        <v>1.9839199999999999</v>
      </c>
      <c r="E100" s="59">
        <v>4.8930100000000003</v>
      </c>
      <c r="F100" s="59">
        <v>7.1261099999999997</v>
      </c>
      <c r="G100" s="56">
        <v>670.22699999999998</v>
      </c>
      <c r="H100" s="56">
        <v>337.82900000000001</v>
      </c>
      <c r="I100" s="58">
        <v>0.31472099999999997</v>
      </c>
      <c r="J100" s="57">
        <v>0.21546399999999999</v>
      </c>
      <c r="K100" s="56"/>
      <c r="L100" s="56" t="s">
        <v>488</v>
      </c>
    </row>
    <row r="101" spans="2:12" x14ac:dyDescent="0.2">
      <c r="B101" s="62" t="s">
        <v>5948</v>
      </c>
      <c r="C101" s="61" t="s">
        <v>550</v>
      </c>
      <c r="D101" s="60">
        <v>1.95651</v>
      </c>
      <c r="E101" s="59">
        <v>4.8563200000000002</v>
      </c>
      <c r="F101" s="59">
        <v>5.1545500000000004</v>
      </c>
      <c r="G101" s="56">
        <v>520.54200000000003</v>
      </c>
      <c r="H101" s="56">
        <v>266.05700000000002</v>
      </c>
      <c r="I101" s="58">
        <v>0.283055</v>
      </c>
      <c r="J101" s="57">
        <v>0.21847800000000001</v>
      </c>
      <c r="K101" s="56"/>
      <c r="L101" s="56" t="s">
        <v>488</v>
      </c>
    </row>
    <row r="102" spans="2:12" x14ac:dyDescent="0.2">
      <c r="B102" s="62" t="s">
        <v>5947</v>
      </c>
      <c r="C102" s="61" t="s">
        <v>502</v>
      </c>
      <c r="D102" s="60">
        <v>1.1430800000000001</v>
      </c>
      <c r="E102" s="59">
        <v>9.1898400000000002</v>
      </c>
      <c r="F102" s="59">
        <v>9.5013900000000007</v>
      </c>
      <c r="G102" s="56">
        <v>1057.52</v>
      </c>
      <c r="H102" s="56">
        <v>925.149</v>
      </c>
      <c r="I102" s="58">
        <v>0.47378999999999999</v>
      </c>
      <c r="J102" s="57">
        <v>0.48740099999999997</v>
      </c>
      <c r="K102" s="56"/>
      <c r="L102" s="56" t="s">
        <v>488</v>
      </c>
    </row>
    <row r="103" spans="2:12" x14ac:dyDescent="0.2">
      <c r="B103" s="62" t="s">
        <v>5946</v>
      </c>
      <c r="C103" s="61" t="s">
        <v>533</v>
      </c>
      <c r="D103" s="60">
        <v>2.2287699999999999</v>
      </c>
      <c r="E103" s="59">
        <v>2.8360599999999998</v>
      </c>
      <c r="F103" s="59">
        <v>3.3014299999999999</v>
      </c>
      <c r="G103" s="56">
        <v>0</v>
      </c>
      <c r="H103" s="56">
        <v>0</v>
      </c>
      <c r="I103" s="58">
        <v>0.115705</v>
      </c>
      <c r="J103" s="57">
        <v>0.195189</v>
      </c>
      <c r="K103" s="56"/>
      <c r="L103" s="56" t="s">
        <v>488</v>
      </c>
    </row>
    <row r="104" spans="2:12" x14ac:dyDescent="0.2">
      <c r="B104" s="62" t="s">
        <v>5945</v>
      </c>
      <c r="C104" s="61" t="s">
        <v>533</v>
      </c>
      <c r="D104" s="60">
        <v>2.2400799999999998</v>
      </c>
      <c r="E104" s="59">
        <v>2.72445</v>
      </c>
      <c r="F104" s="59">
        <v>3.2762600000000002</v>
      </c>
      <c r="G104" s="56">
        <v>0</v>
      </c>
      <c r="H104" s="56">
        <v>0</v>
      </c>
      <c r="I104" s="58">
        <v>0.116869</v>
      </c>
      <c r="J104" s="57">
        <v>0.194934</v>
      </c>
      <c r="K104" s="56"/>
      <c r="L104" s="56" t="s">
        <v>488</v>
      </c>
    </row>
    <row r="105" spans="2:12" x14ac:dyDescent="0.2">
      <c r="B105" s="62" t="s">
        <v>5944</v>
      </c>
      <c r="C105" s="61" t="s">
        <v>533</v>
      </c>
      <c r="D105" s="60">
        <v>2.3922099999999999</v>
      </c>
      <c r="E105" s="59">
        <v>2.86205</v>
      </c>
      <c r="F105" s="59">
        <v>3.3104499999999999</v>
      </c>
      <c r="G105" s="56">
        <v>0</v>
      </c>
      <c r="H105" s="56">
        <v>0</v>
      </c>
      <c r="I105" s="58">
        <v>0.116352</v>
      </c>
      <c r="J105" s="57">
        <v>0.15739700000000001</v>
      </c>
      <c r="K105" s="56"/>
      <c r="L105" s="56" t="s">
        <v>488</v>
      </c>
    </row>
    <row r="106" spans="2:12" x14ac:dyDescent="0.2">
      <c r="B106" s="62" t="s">
        <v>5943</v>
      </c>
      <c r="C106" s="61" t="s">
        <v>579</v>
      </c>
      <c r="D106" s="60">
        <v>2.03592</v>
      </c>
      <c r="E106" s="59">
        <v>2.8775900000000001</v>
      </c>
      <c r="F106" s="59">
        <v>3.4230900000000002</v>
      </c>
      <c r="G106" s="56">
        <v>0</v>
      </c>
      <c r="H106" s="56">
        <v>0</v>
      </c>
      <c r="I106" s="58">
        <v>0.131969</v>
      </c>
      <c r="J106" s="57">
        <v>0.22154499999999999</v>
      </c>
      <c r="K106" s="56"/>
      <c r="L106" s="56" t="s">
        <v>488</v>
      </c>
    </row>
    <row r="107" spans="2:12" x14ac:dyDescent="0.2">
      <c r="B107" s="62" t="s">
        <v>5942</v>
      </c>
      <c r="C107" s="61" t="s">
        <v>579</v>
      </c>
      <c r="D107" s="60">
        <v>2.03959</v>
      </c>
      <c r="E107" s="59">
        <v>2.87452</v>
      </c>
      <c r="F107" s="59">
        <v>3.42062</v>
      </c>
      <c r="G107" s="56">
        <v>0</v>
      </c>
      <c r="H107" s="56">
        <v>0</v>
      </c>
      <c r="I107" s="58">
        <v>0.131856</v>
      </c>
      <c r="J107" s="57">
        <v>0.220772</v>
      </c>
      <c r="K107" s="56"/>
      <c r="L107" s="56" t="s">
        <v>488</v>
      </c>
    </row>
    <row r="108" spans="2:12" x14ac:dyDescent="0.2">
      <c r="B108" s="62" t="s">
        <v>5941</v>
      </c>
      <c r="C108" s="61" t="s">
        <v>502</v>
      </c>
      <c r="D108" s="60">
        <v>0.64997000000000005</v>
      </c>
      <c r="E108" s="59">
        <v>5.9826899999999998</v>
      </c>
      <c r="F108" s="59">
        <v>11.926780000000001</v>
      </c>
      <c r="G108" s="56">
        <v>2321.85</v>
      </c>
      <c r="H108" s="56">
        <v>3572.24</v>
      </c>
      <c r="I108" s="58">
        <v>0.82677</v>
      </c>
      <c r="J108" s="57">
        <v>1.1763999999999999</v>
      </c>
      <c r="K108" s="56"/>
      <c r="L108" s="56" t="s">
        <v>488</v>
      </c>
    </row>
    <row r="109" spans="2:12" x14ac:dyDescent="0.2">
      <c r="B109" s="62" t="s">
        <v>5940</v>
      </c>
      <c r="C109" s="61" t="s">
        <v>499</v>
      </c>
      <c r="D109" s="60">
        <v>0.69728599999999996</v>
      </c>
      <c r="E109" s="59">
        <v>5.8094000000000001</v>
      </c>
      <c r="F109" s="59">
        <v>8.5806500000000003</v>
      </c>
      <c r="G109" s="56">
        <v>2638.13</v>
      </c>
      <c r="H109" s="56">
        <v>3783.42</v>
      </c>
      <c r="I109" s="58">
        <v>0.79192200000000001</v>
      </c>
      <c r="J109" s="57">
        <v>1.07107</v>
      </c>
      <c r="K109" s="56"/>
      <c r="L109" s="56" t="s">
        <v>488</v>
      </c>
    </row>
    <row r="110" spans="2:12" x14ac:dyDescent="0.2">
      <c r="B110" s="62" t="s">
        <v>5939</v>
      </c>
      <c r="C110" s="61" t="s">
        <v>502</v>
      </c>
      <c r="D110" s="60">
        <v>1.69743</v>
      </c>
      <c r="E110" s="59">
        <v>8.8765599999999996</v>
      </c>
      <c r="F110" s="59">
        <v>8.8922899999999991</v>
      </c>
      <c r="G110" s="56">
        <v>1064.05</v>
      </c>
      <c r="H110" s="56">
        <v>626.86099999999999</v>
      </c>
      <c r="I110" s="58">
        <v>0.38165100000000002</v>
      </c>
      <c r="J110" s="57">
        <v>0.34551799999999999</v>
      </c>
      <c r="K110" s="56"/>
      <c r="L110" s="56" t="s">
        <v>488</v>
      </c>
    </row>
    <row r="111" spans="2:12" x14ac:dyDescent="0.2">
      <c r="B111" s="62" t="s">
        <v>5938</v>
      </c>
      <c r="C111" s="61" t="s">
        <v>502</v>
      </c>
      <c r="D111" s="60">
        <v>1.508</v>
      </c>
      <c r="E111" s="59">
        <v>9.44604</v>
      </c>
      <c r="F111" s="59">
        <v>9.4646100000000004</v>
      </c>
      <c r="G111" s="56">
        <v>1208.18</v>
      </c>
      <c r="H111" s="56">
        <v>801.18399999999997</v>
      </c>
      <c r="I111" s="58">
        <v>0.402341</v>
      </c>
      <c r="J111" s="57">
        <v>0.41334799999999999</v>
      </c>
      <c r="K111" s="56"/>
      <c r="L111" s="56" t="s">
        <v>488</v>
      </c>
    </row>
    <row r="112" spans="2:12" x14ac:dyDescent="0.2">
      <c r="B112" s="62" t="s">
        <v>5937</v>
      </c>
      <c r="C112" s="61" t="s">
        <v>502</v>
      </c>
      <c r="D112" s="60">
        <v>1.43262</v>
      </c>
      <c r="E112" s="59">
        <v>3.91412</v>
      </c>
      <c r="F112" s="59">
        <v>6.1713899999999997</v>
      </c>
      <c r="G112" s="56">
        <v>450.267</v>
      </c>
      <c r="H112" s="56">
        <v>314.29700000000003</v>
      </c>
      <c r="I112" s="58">
        <v>0.25875700000000001</v>
      </c>
      <c r="J112" s="57">
        <v>0.336038</v>
      </c>
      <c r="K112" s="56"/>
      <c r="L112" s="56" t="s">
        <v>730</v>
      </c>
    </row>
    <row r="113" spans="2:12" x14ac:dyDescent="0.2">
      <c r="B113" s="62" t="s">
        <v>5936</v>
      </c>
      <c r="C113" s="61" t="s">
        <v>708</v>
      </c>
      <c r="D113" s="60">
        <v>0.97983299999999995</v>
      </c>
      <c r="E113" s="59">
        <v>5.0197599999999998</v>
      </c>
      <c r="F113" s="59">
        <v>7.8602999999999996</v>
      </c>
      <c r="G113" s="56">
        <v>1784.69</v>
      </c>
      <c r="H113" s="56">
        <v>1821.43</v>
      </c>
      <c r="I113" s="58">
        <v>0.62086200000000002</v>
      </c>
      <c r="J113" s="57">
        <v>0.65450600000000003</v>
      </c>
      <c r="K113" s="56"/>
      <c r="L113" s="56" t="s">
        <v>488</v>
      </c>
    </row>
    <row r="114" spans="2:12" x14ac:dyDescent="0.2">
      <c r="B114" s="62" t="s">
        <v>5935</v>
      </c>
      <c r="C114" s="61" t="s">
        <v>502</v>
      </c>
      <c r="D114" s="60">
        <v>1.3386499999999999</v>
      </c>
      <c r="E114" s="59">
        <v>5.7571300000000001</v>
      </c>
      <c r="F114" s="59">
        <v>6.3838699999999999</v>
      </c>
      <c r="G114" s="56">
        <v>1049.32</v>
      </c>
      <c r="H114" s="56">
        <v>783.86199999999997</v>
      </c>
      <c r="I114" s="58">
        <v>0.37454300000000001</v>
      </c>
      <c r="J114" s="57">
        <v>0.42018</v>
      </c>
      <c r="K114" s="56"/>
      <c r="L114" s="56" t="s">
        <v>488</v>
      </c>
    </row>
    <row r="115" spans="2:12" x14ac:dyDescent="0.2">
      <c r="B115" s="62" t="s">
        <v>5934</v>
      </c>
      <c r="C115" s="61" t="s">
        <v>5933</v>
      </c>
      <c r="D115" s="60">
        <v>2.20818</v>
      </c>
      <c r="E115" s="59">
        <v>4.2576799999999997</v>
      </c>
      <c r="F115" s="59">
        <v>5.8525400000000003</v>
      </c>
      <c r="G115" s="56">
        <v>344.28199999999998</v>
      </c>
      <c r="H115" s="56">
        <v>155.91300000000001</v>
      </c>
      <c r="I115" s="58">
        <v>0.183833</v>
      </c>
      <c r="J115" s="57">
        <v>0.19419700000000001</v>
      </c>
      <c r="K115" s="56"/>
      <c r="L115" s="56" t="s">
        <v>624</v>
      </c>
    </row>
    <row r="116" spans="2:12" x14ac:dyDescent="0.2">
      <c r="B116" s="62" t="s">
        <v>5932</v>
      </c>
      <c r="C116" s="61" t="s">
        <v>526</v>
      </c>
      <c r="D116" s="60">
        <v>0.90124599999999999</v>
      </c>
      <c r="E116" s="59">
        <v>5.2141099999999998</v>
      </c>
      <c r="F116" s="59">
        <v>9.3993000000000002</v>
      </c>
      <c r="G116" s="56">
        <v>1530.49</v>
      </c>
      <c r="H116" s="56">
        <v>1698.19</v>
      </c>
      <c r="I116" s="58">
        <v>0.61863199999999996</v>
      </c>
      <c r="J116" s="57">
        <v>0.72369600000000001</v>
      </c>
      <c r="K116" s="56"/>
      <c r="L116" s="56" t="s">
        <v>492</v>
      </c>
    </row>
    <row r="117" spans="2:12" x14ac:dyDescent="0.2">
      <c r="B117" s="62" t="s">
        <v>5931</v>
      </c>
      <c r="C117" s="61" t="s">
        <v>5930</v>
      </c>
      <c r="D117" s="60">
        <v>0.94056899999999999</v>
      </c>
      <c r="E117" s="59">
        <v>5.5990000000000002</v>
      </c>
      <c r="F117" s="59">
        <v>9.3228299999999997</v>
      </c>
      <c r="G117" s="56">
        <v>1744.31</v>
      </c>
      <c r="H117" s="56">
        <v>1854.53</v>
      </c>
      <c r="I117" s="58">
        <v>0.66819099999999998</v>
      </c>
      <c r="J117" s="57">
        <v>0.70164700000000002</v>
      </c>
      <c r="K117" s="56"/>
      <c r="L117" s="56" t="s">
        <v>492</v>
      </c>
    </row>
    <row r="118" spans="2:12" x14ac:dyDescent="0.2">
      <c r="B118" s="62" t="s">
        <v>5929</v>
      </c>
      <c r="C118" s="61" t="s">
        <v>526</v>
      </c>
      <c r="D118" s="60">
        <v>0.898447</v>
      </c>
      <c r="E118" s="59">
        <v>5.0270099999999998</v>
      </c>
      <c r="F118" s="59">
        <v>7.8730599999999997</v>
      </c>
      <c r="G118" s="56">
        <v>1583.69</v>
      </c>
      <c r="H118" s="56">
        <v>1762.69</v>
      </c>
      <c r="I118" s="58">
        <v>0.56325599999999998</v>
      </c>
      <c r="J118" s="57">
        <v>0.69821699999999998</v>
      </c>
      <c r="K118" s="56"/>
      <c r="L118" s="56" t="s">
        <v>492</v>
      </c>
    </row>
    <row r="119" spans="2:12" x14ac:dyDescent="0.2">
      <c r="B119" s="62" t="s">
        <v>5928</v>
      </c>
      <c r="C119" s="61" t="s">
        <v>641</v>
      </c>
      <c r="D119" s="60">
        <v>1.4335599999999999</v>
      </c>
      <c r="E119" s="59">
        <v>4.4219099999999996</v>
      </c>
      <c r="F119" s="59">
        <v>5.9928800000000004</v>
      </c>
      <c r="G119" s="56">
        <v>1060.8900000000001</v>
      </c>
      <c r="H119" s="56">
        <v>740.03700000000003</v>
      </c>
      <c r="I119" s="58">
        <v>0.47684599999999999</v>
      </c>
      <c r="J119" s="57">
        <v>0.37204399999999999</v>
      </c>
      <c r="K119" s="56"/>
      <c r="L119" s="56" t="s">
        <v>488</v>
      </c>
    </row>
    <row r="120" spans="2:12" x14ac:dyDescent="0.2">
      <c r="B120" s="62" t="s">
        <v>5927</v>
      </c>
      <c r="C120" s="61" t="s">
        <v>507</v>
      </c>
      <c r="D120" s="60">
        <v>1.4323999999999999</v>
      </c>
      <c r="E120" s="59">
        <v>4.4233700000000002</v>
      </c>
      <c r="F120" s="59">
        <v>6.0894300000000001</v>
      </c>
      <c r="G120" s="56">
        <v>1088.3599999999999</v>
      </c>
      <c r="H120" s="56">
        <v>759.81399999999996</v>
      </c>
      <c r="I120" s="58">
        <v>0.48650100000000002</v>
      </c>
      <c r="J120" s="57">
        <v>0.37535099999999999</v>
      </c>
      <c r="K120" s="56"/>
      <c r="L120" s="56" t="s">
        <v>488</v>
      </c>
    </row>
    <row r="121" spans="2:12" x14ac:dyDescent="0.2">
      <c r="B121" s="62" t="s">
        <v>5926</v>
      </c>
      <c r="C121" s="61" t="s">
        <v>541</v>
      </c>
      <c r="D121" s="60">
        <v>1.4153899999999999</v>
      </c>
      <c r="E121" s="59">
        <v>4.4508099999999997</v>
      </c>
      <c r="F121" s="59">
        <v>6.1419699999999997</v>
      </c>
      <c r="G121" s="56">
        <v>1104.67</v>
      </c>
      <c r="H121" s="56">
        <v>780.471</v>
      </c>
      <c r="I121" s="58">
        <v>0.48810100000000001</v>
      </c>
      <c r="J121" s="57">
        <v>0.386326</v>
      </c>
      <c r="K121" s="56"/>
      <c r="L121" s="56" t="s">
        <v>488</v>
      </c>
    </row>
    <row r="122" spans="2:12" x14ac:dyDescent="0.2">
      <c r="B122" s="62" t="s">
        <v>5925</v>
      </c>
      <c r="C122" s="61" t="s">
        <v>561</v>
      </c>
      <c r="D122" s="60">
        <v>1.33934</v>
      </c>
      <c r="E122" s="59">
        <v>2.6715200000000001</v>
      </c>
      <c r="F122" s="59">
        <v>4.8515199999999998</v>
      </c>
      <c r="G122" s="56">
        <v>0</v>
      </c>
      <c r="H122" s="56">
        <v>0</v>
      </c>
      <c r="I122" s="58">
        <v>0.39696700000000001</v>
      </c>
      <c r="J122" s="57">
        <v>0.37531599999999998</v>
      </c>
      <c r="K122" s="56"/>
      <c r="L122" s="56" t="s">
        <v>488</v>
      </c>
    </row>
    <row r="123" spans="2:12" x14ac:dyDescent="0.2">
      <c r="B123" s="62" t="s">
        <v>5924</v>
      </c>
      <c r="C123" s="61" t="s">
        <v>537</v>
      </c>
      <c r="D123" s="60">
        <v>1.65289</v>
      </c>
      <c r="E123" s="59">
        <v>2.7279100000000001</v>
      </c>
      <c r="F123" s="59">
        <v>4.7868199999999996</v>
      </c>
      <c r="G123" s="56">
        <v>0</v>
      </c>
      <c r="H123" s="56">
        <v>0</v>
      </c>
      <c r="I123" s="58">
        <v>0.394428</v>
      </c>
      <c r="J123" s="57">
        <v>0.30149300000000001</v>
      </c>
      <c r="K123" s="56"/>
      <c r="L123" s="56" t="s">
        <v>488</v>
      </c>
    </row>
    <row r="124" spans="2:12" x14ac:dyDescent="0.2">
      <c r="B124" s="62" t="s">
        <v>5923</v>
      </c>
      <c r="C124" s="61" t="s">
        <v>507</v>
      </c>
      <c r="D124" s="60">
        <v>0.56691999999999998</v>
      </c>
      <c r="E124" s="59">
        <v>6.7734199999999998</v>
      </c>
      <c r="F124" s="59">
        <v>8.5438700000000001</v>
      </c>
      <c r="G124" s="56">
        <v>2909.5</v>
      </c>
      <c r="H124" s="56">
        <v>5132.12</v>
      </c>
      <c r="I124" s="58">
        <v>0.82982100000000003</v>
      </c>
      <c r="J124" s="57">
        <v>1.3919699999999999</v>
      </c>
      <c r="K124" s="56"/>
      <c r="L124" s="56" t="s">
        <v>488</v>
      </c>
    </row>
    <row r="125" spans="2:12" x14ac:dyDescent="0.2">
      <c r="B125" s="62" t="s">
        <v>5922</v>
      </c>
      <c r="C125" s="61" t="s">
        <v>582</v>
      </c>
      <c r="D125" s="60">
        <v>0.57993899999999998</v>
      </c>
      <c r="E125" s="59">
        <v>6.7480000000000002</v>
      </c>
      <c r="F125" s="59">
        <v>8.5478699999999996</v>
      </c>
      <c r="G125" s="56">
        <v>2917.98</v>
      </c>
      <c r="H125" s="56">
        <v>5031.53</v>
      </c>
      <c r="I125" s="58">
        <v>0.82977299999999998</v>
      </c>
      <c r="J125" s="57">
        <v>1.35988</v>
      </c>
      <c r="K125" s="56"/>
      <c r="L125" s="56" t="s">
        <v>488</v>
      </c>
    </row>
    <row r="126" spans="2:12" x14ac:dyDescent="0.2">
      <c r="B126" s="62" t="s">
        <v>5921</v>
      </c>
      <c r="C126" s="61" t="s">
        <v>531</v>
      </c>
      <c r="D126" s="60">
        <v>0.58241100000000001</v>
      </c>
      <c r="E126" s="59">
        <v>6.7821199999999999</v>
      </c>
      <c r="F126" s="59">
        <v>8.5479900000000004</v>
      </c>
      <c r="G126" s="56">
        <v>2953.29</v>
      </c>
      <c r="H126" s="56">
        <v>5070.79</v>
      </c>
      <c r="I126" s="58">
        <v>0.828426</v>
      </c>
      <c r="J126" s="57">
        <v>1.3540700000000001</v>
      </c>
      <c r="K126" s="56"/>
      <c r="L126" s="56" t="s">
        <v>488</v>
      </c>
    </row>
    <row r="127" spans="2:12" x14ac:dyDescent="0.2">
      <c r="B127" s="62" t="s">
        <v>5920</v>
      </c>
      <c r="C127" s="61" t="s">
        <v>533</v>
      </c>
      <c r="D127" s="60">
        <v>0.59090900000000002</v>
      </c>
      <c r="E127" s="59">
        <v>6.74275</v>
      </c>
      <c r="F127" s="59">
        <v>8.5300499999999992</v>
      </c>
      <c r="G127" s="56">
        <v>2955.03</v>
      </c>
      <c r="H127" s="56">
        <v>5000.83</v>
      </c>
      <c r="I127" s="58">
        <v>0.82981400000000005</v>
      </c>
      <c r="J127" s="57">
        <v>1.33352</v>
      </c>
      <c r="K127" s="56"/>
      <c r="L127" s="56" t="s">
        <v>488</v>
      </c>
    </row>
    <row r="128" spans="2:12" x14ac:dyDescent="0.2">
      <c r="B128" s="62" t="s">
        <v>5919</v>
      </c>
      <c r="C128" s="61" t="s">
        <v>507</v>
      </c>
      <c r="D128" s="60">
        <v>0.42594599999999999</v>
      </c>
      <c r="E128" s="59">
        <v>13.379110000000001</v>
      </c>
      <c r="F128" s="59">
        <v>18.754999999999999</v>
      </c>
      <c r="G128" s="56">
        <v>1468.25</v>
      </c>
      <c r="H128" s="56">
        <v>3447.03</v>
      </c>
      <c r="I128" s="58">
        <v>0.84184099999999995</v>
      </c>
      <c r="J128" s="57">
        <v>1.9614499999999999</v>
      </c>
      <c r="K128" s="56"/>
      <c r="L128" s="56" t="s">
        <v>488</v>
      </c>
    </row>
    <row r="129" spans="2:12" x14ac:dyDescent="0.2">
      <c r="B129" s="62" t="s">
        <v>5918</v>
      </c>
      <c r="C129" s="61" t="s">
        <v>507</v>
      </c>
      <c r="D129" s="60">
        <v>0.92955200000000004</v>
      </c>
      <c r="E129" s="59">
        <v>5.2701799999999999</v>
      </c>
      <c r="F129" s="59">
        <v>7.8151299999999999</v>
      </c>
      <c r="G129" s="56">
        <v>1924.6</v>
      </c>
      <c r="H129" s="56">
        <v>2070.46</v>
      </c>
      <c r="I129" s="58">
        <v>0.65781800000000001</v>
      </c>
      <c r="J129" s="57">
        <v>0.70715499999999998</v>
      </c>
      <c r="K129" s="56"/>
      <c r="L129" s="56" t="s">
        <v>488</v>
      </c>
    </row>
    <row r="130" spans="2:12" x14ac:dyDescent="0.2">
      <c r="B130" s="62" t="s">
        <v>5917</v>
      </c>
      <c r="C130" s="61" t="s">
        <v>510</v>
      </c>
      <c r="D130" s="60">
        <v>1.05182</v>
      </c>
      <c r="E130" s="59">
        <v>3.73291</v>
      </c>
      <c r="F130" s="59">
        <v>6.8318000000000003</v>
      </c>
      <c r="G130" s="56">
        <v>911.173</v>
      </c>
      <c r="H130" s="56">
        <v>866.28399999999999</v>
      </c>
      <c r="I130" s="58">
        <v>0.44950899999999999</v>
      </c>
      <c r="J130" s="57">
        <v>0.50661</v>
      </c>
      <c r="K130" s="56"/>
      <c r="L130" s="56" t="s">
        <v>488</v>
      </c>
    </row>
    <row r="131" spans="2:12" x14ac:dyDescent="0.2">
      <c r="B131" s="62" t="s">
        <v>5916</v>
      </c>
      <c r="C131" s="61" t="s">
        <v>510</v>
      </c>
      <c r="D131" s="60">
        <v>1.0541499999999999</v>
      </c>
      <c r="E131" s="59">
        <v>3.71719</v>
      </c>
      <c r="F131" s="59">
        <v>6.8304999999999998</v>
      </c>
      <c r="G131" s="56">
        <v>0</v>
      </c>
      <c r="H131" s="56">
        <v>0</v>
      </c>
      <c r="I131" s="58">
        <v>0.44899299999999998</v>
      </c>
      <c r="J131" s="57">
        <v>0.50382300000000002</v>
      </c>
      <c r="K131" s="56"/>
      <c r="L131" s="56" t="s">
        <v>488</v>
      </c>
    </row>
    <row r="132" spans="2:12" x14ac:dyDescent="0.2">
      <c r="B132" s="62" t="s">
        <v>5915</v>
      </c>
      <c r="C132" s="61" t="s">
        <v>708</v>
      </c>
      <c r="D132" s="60">
        <v>1.0775300000000001</v>
      </c>
      <c r="E132" s="59">
        <v>3.5397400000000001</v>
      </c>
      <c r="F132" s="59">
        <v>6.8794599999999999</v>
      </c>
      <c r="G132" s="56">
        <v>0</v>
      </c>
      <c r="H132" s="56">
        <v>0</v>
      </c>
      <c r="I132" s="58">
        <v>0.44818599999999997</v>
      </c>
      <c r="J132" s="57">
        <v>0.48661599999999999</v>
      </c>
      <c r="K132" s="56"/>
      <c r="L132" s="56" t="s">
        <v>488</v>
      </c>
    </row>
    <row r="133" spans="2:12" x14ac:dyDescent="0.2">
      <c r="B133" s="62" t="s">
        <v>5914</v>
      </c>
      <c r="C133" s="61" t="s">
        <v>502</v>
      </c>
      <c r="D133" s="60">
        <v>1.4924900000000001</v>
      </c>
      <c r="E133" s="59">
        <v>5.6631400000000003</v>
      </c>
      <c r="F133" s="59">
        <v>6.6031399999999998</v>
      </c>
      <c r="G133" s="56">
        <v>766.11800000000005</v>
      </c>
      <c r="H133" s="56">
        <v>513.31600000000003</v>
      </c>
      <c r="I133" s="58">
        <v>0.37407800000000002</v>
      </c>
      <c r="J133" s="57">
        <v>0.29658600000000002</v>
      </c>
      <c r="K133" s="56"/>
      <c r="L133" s="56" t="s">
        <v>488</v>
      </c>
    </row>
    <row r="134" spans="2:12" x14ac:dyDescent="0.2">
      <c r="B134" s="62" t="s">
        <v>5913</v>
      </c>
      <c r="C134" s="61" t="s">
        <v>502</v>
      </c>
      <c r="D134" s="60">
        <v>1.4810399999999999</v>
      </c>
      <c r="E134" s="59">
        <v>5.8084499999999997</v>
      </c>
      <c r="F134" s="59">
        <v>6.7507700000000002</v>
      </c>
      <c r="G134" s="56">
        <v>828.80600000000004</v>
      </c>
      <c r="H134" s="56">
        <v>559.61400000000003</v>
      </c>
      <c r="I134" s="58">
        <v>0.385048</v>
      </c>
      <c r="J134" s="57">
        <v>0.30177199999999998</v>
      </c>
      <c r="K134" s="56"/>
      <c r="L134" s="56" t="s">
        <v>488</v>
      </c>
    </row>
    <row r="135" spans="2:12" x14ac:dyDescent="0.2">
      <c r="B135" s="62" t="s">
        <v>5912</v>
      </c>
      <c r="C135" s="61" t="s">
        <v>502</v>
      </c>
      <c r="D135" s="60">
        <v>1.45916</v>
      </c>
      <c r="E135" s="59">
        <v>6.0951000000000004</v>
      </c>
      <c r="F135" s="59">
        <v>6.9324700000000004</v>
      </c>
      <c r="G135" s="56">
        <v>840.26099999999997</v>
      </c>
      <c r="H135" s="56">
        <v>575.85299999999995</v>
      </c>
      <c r="I135" s="58">
        <v>0.40248499999999998</v>
      </c>
      <c r="J135" s="57">
        <v>0.31068099999999998</v>
      </c>
      <c r="K135" s="56"/>
      <c r="L135" s="56" t="s">
        <v>488</v>
      </c>
    </row>
    <row r="136" spans="2:12" x14ac:dyDescent="0.2">
      <c r="B136" s="62" t="s">
        <v>5911</v>
      </c>
      <c r="C136" s="61" t="s">
        <v>541</v>
      </c>
      <c r="D136" s="60">
        <v>1.87591</v>
      </c>
      <c r="E136" s="59">
        <v>2.65794</v>
      </c>
      <c r="F136" s="59">
        <v>3.7299199999999999</v>
      </c>
      <c r="G136" s="56">
        <v>0</v>
      </c>
      <c r="H136" s="56">
        <v>0</v>
      </c>
      <c r="I136" s="58">
        <v>0.24779799999999999</v>
      </c>
      <c r="J136" s="57">
        <v>0.267457</v>
      </c>
      <c r="K136" s="56"/>
      <c r="L136" s="56" t="s">
        <v>488</v>
      </c>
    </row>
    <row r="137" spans="2:12" x14ac:dyDescent="0.2">
      <c r="B137" s="62" t="s">
        <v>5910</v>
      </c>
      <c r="C137" s="61" t="s">
        <v>1858</v>
      </c>
      <c r="D137" s="60">
        <v>1.25739</v>
      </c>
      <c r="E137" s="59">
        <v>3.15795</v>
      </c>
      <c r="F137" s="59">
        <v>7.3902299999999999</v>
      </c>
      <c r="G137" s="56">
        <v>0</v>
      </c>
      <c r="H137" s="56">
        <v>0</v>
      </c>
      <c r="I137" s="58">
        <v>0.31821199999999999</v>
      </c>
      <c r="J137" s="57">
        <v>0.40646599999999999</v>
      </c>
      <c r="K137" s="56"/>
      <c r="L137" s="56" t="s">
        <v>492</v>
      </c>
    </row>
    <row r="138" spans="2:12" x14ac:dyDescent="0.2">
      <c r="B138" s="62" t="s">
        <v>5909</v>
      </c>
      <c r="C138" s="61" t="s">
        <v>1858</v>
      </c>
      <c r="D138" s="60">
        <v>1.41422</v>
      </c>
      <c r="E138" s="59">
        <v>3.2799700000000001</v>
      </c>
      <c r="F138" s="59">
        <v>4.7464899999999997</v>
      </c>
      <c r="G138" s="56">
        <v>0</v>
      </c>
      <c r="H138" s="56">
        <v>0</v>
      </c>
      <c r="I138" s="58">
        <v>0.21387500000000001</v>
      </c>
      <c r="J138" s="57">
        <v>0.32980300000000001</v>
      </c>
      <c r="K138" s="56"/>
      <c r="L138" s="56" t="s">
        <v>492</v>
      </c>
    </row>
    <row r="139" spans="2:12" x14ac:dyDescent="0.2">
      <c r="B139" s="62" t="s">
        <v>5908</v>
      </c>
      <c r="C139" s="61" t="s">
        <v>550</v>
      </c>
      <c r="D139" s="60">
        <v>1.4673</v>
      </c>
      <c r="E139" s="59">
        <v>2.6951800000000001</v>
      </c>
      <c r="F139" s="59">
        <v>3.4694099999999999</v>
      </c>
      <c r="G139" s="56">
        <v>0</v>
      </c>
      <c r="H139" s="56">
        <v>0</v>
      </c>
      <c r="I139" s="58">
        <v>0.112027</v>
      </c>
      <c r="J139" s="57">
        <v>0.27981899999999998</v>
      </c>
      <c r="K139" s="56"/>
      <c r="L139" s="56" t="s">
        <v>488</v>
      </c>
    </row>
    <row r="140" spans="2:12" x14ac:dyDescent="0.2">
      <c r="B140" s="62" t="s">
        <v>5907</v>
      </c>
      <c r="C140" s="61" t="s">
        <v>499</v>
      </c>
      <c r="D140" s="60">
        <v>1.00746</v>
      </c>
      <c r="E140" s="59">
        <v>9.1786399999999997</v>
      </c>
      <c r="F140" s="59">
        <v>11.030889999999999</v>
      </c>
      <c r="G140" s="56">
        <v>1145</v>
      </c>
      <c r="H140" s="56">
        <v>1136.51</v>
      </c>
      <c r="I140" s="58">
        <v>0.55659099999999995</v>
      </c>
      <c r="J140" s="57">
        <v>0.59672700000000001</v>
      </c>
      <c r="K140" s="56"/>
      <c r="L140" s="56" t="s">
        <v>488</v>
      </c>
    </row>
    <row r="141" spans="2:12" x14ac:dyDescent="0.2">
      <c r="B141" s="62" t="s">
        <v>5906</v>
      </c>
      <c r="C141" s="61" t="s">
        <v>499</v>
      </c>
      <c r="D141" s="60">
        <v>0.98236500000000004</v>
      </c>
      <c r="E141" s="59">
        <v>11.07263</v>
      </c>
      <c r="F141" s="59">
        <v>11.39418</v>
      </c>
      <c r="G141" s="56">
        <v>1097.04</v>
      </c>
      <c r="H141" s="56">
        <v>1116.74</v>
      </c>
      <c r="I141" s="58">
        <v>0.56639700000000004</v>
      </c>
      <c r="J141" s="57">
        <v>0.62265400000000004</v>
      </c>
      <c r="K141" s="56"/>
      <c r="L141" s="56" t="s">
        <v>488</v>
      </c>
    </row>
    <row r="142" spans="2:12" x14ac:dyDescent="0.2">
      <c r="B142" s="62" t="s">
        <v>5905</v>
      </c>
      <c r="C142" s="61" t="s">
        <v>499</v>
      </c>
      <c r="D142" s="60">
        <v>0.98892599999999997</v>
      </c>
      <c r="E142" s="59">
        <v>9.5066699999999997</v>
      </c>
      <c r="F142" s="59">
        <v>11.07211</v>
      </c>
      <c r="G142" s="56">
        <v>1128.44</v>
      </c>
      <c r="H142" s="56">
        <v>1141.08</v>
      </c>
      <c r="I142" s="58">
        <v>0.55613000000000001</v>
      </c>
      <c r="J142" s="57">
        <v>0.61357600000000001</v>
      </c>
      <c r="K142" s="56"/>
      <c r="L142" s="56" t="s">
        <v>488</v>
      </c>
    </row>
    <row r="143" spans="2:12" x14ac:dyDescent="0.2">
      <c r="B143" s="62" t="s">
        <v>5904</v>
      </c>
      <c r="C143" s="61" t="s">
        <v>499</v>
      </c>
      <c r="D143" s="60">
        <v>0.985981</v>
      </c>
      <c r="E143" s="59">
        <v>10.87494</v>
      </c>
      <c r="F143" s="59">
        <v>11.215630000000001</v>
      </c>
      <c r="G143" s="56">
        <v>1116.6600000000001</v>
      </c>
      <c r="H143" s="56">
        <v>1132.54</v>
      </c>
      <c r="I143" s="58">
        <v>0.56361300000000003</v>
      </c>
      <c r="J143" s="57">
        <v>0.61901099999999998</v>
      </c>
      <c r="K143" s="56"/>
      <c r="L143" s="56" t="s">
        <v>488</v>
      </c>
    </row>
    <row r="144" spans="2:12" x14ac:dyDescent="0.2">
      <c r="B144" s="62" t="s">
        <v>5903</v>
      </c>
      <c r="C144" s="61" t="s">
        <v>531</v>
      </c>
      <c r="D144" s="60">
        <v>2.1933500000000001</v>
      </c>
      <c r="E144" s="59">
        <v>3.3052899999999998</v>
      </c>
      <c r="F144" s="59">
        <v>4.8550000000000004</v>
      </c>
      <c r="G144" s="56">
        <v>0</v>
      </c>
      <c r="H144" s="56">
        <v>0</v>
      </c>
      <c r="I144" s="58">
        <v>0.34432000000000001</v>
      </c>
      <c r="J144" s="57">
        <v>0.19481000000000001</v>
      </c>
      <c r="K144" s="56"/>
      <c r="L144" s="56" t="s">
        <v>488</v>
      </c>
    </row>
    <row r="145" spans="2:12" x14ac:dyDescent="0.2">
      <c r="B145" s="62" t="s">
        <v>5902</v>
      </c>
      <c r="C145" s="61" t="s">
        <v>533</v>
      </c>
      <c r="D145" s="60">
        <v>2.2150799999999999</v>
      </c>
      <c r="E145" s="59">
        <v>3.36795</v>
      </c>
      <c r="F145" s="59">
        <v>4.90585</v>
      </c>
      <c r="G145" s="56">
        <v>0</v>
      </c>
      <c r="H145" s="56">
        <v>0</v>
      </c>
      <c r="I145" s="58">
        <v>0.34821800000000003</v>
      </c>
      <c r="J145" s="57">
        <v>0.19384899999999999</v>
      </c>
      <c r="K145" s="56"/>
      <c r="L145" s="56" t="s">
        <v>488</v>
      </c>
    </row>
    <row r="146" spans="2:12" x14ac:dyDescent="0.2">
      <c r="B146" s="62" t="s">
        <v>5901</v>
      </c>
      <c r="C146" s="61" t="s">
        <v>535</v>
      </c>
      <c r="D146" s="60">
        <v>2.2438099999999999</v>
      </c>
      <c r="E146" s="59">
        <v>3.3847700000000001</v>
      </c>
      <c r="F146" s="59">
        <v>4.9047299999999998</v>
      </c>
      <c r="G146" s="56">
        <v>0</v>
      </c>
      <c r="H146" s="56">
        <v>0</v>
      </c>
      <c r="I146" s="58">
        <v>0.35065499999999999</v>
      </c>
      <c r="J146" s="57">
        <v>0.19004599999999999</v>
      </c>
      <c r="K146" s="56"/>
      <c r="L146" s="56" t="s">
        <v>488</v>
      </c>
    </row>
    <row r="147" spans="2:12" x14ac:dyDescent="0.2">
      <c r="B147" s="62" t="s">
        <v>5900</v>
      </c>
      <c r="C147" s="61" t="s">
        <v>537</v>
      </c>
      <c r="D147" s="60">
        <v>2.28626</v>
      </c>
      <c r="E147" s="59">
        <v>3.3724699999999999</v>
      </c>
      <c r="F147" s="59">
        <v>4.8929799999999997</v>
      </c>
      <c r="G147" s="56">
        <v>0</v>
      </c>
      <c r="H147" s="56">
        <v>0</v>
      </c>
      <c r="I147" s="58">
        <v>0.348993</v>
      </c>
      <c r="J147" s="57">
        <v>0.18562600000000001</v>
      </c>
      <c r="K147" s="56"/>
      <c r="L147" s="56" t="s">
        <v>488</v>
      </c>
    </row>
    <row r="148" spans="2:12" x14ac:dyDescent="0.2">
      <c r="B148" s="62" t="s">
        <v>5899</v>
      </c>
      <c r="C148" s="61" t="s">
        <v>558</v>
      </c>
      <c r="D148" s="60">
        <v>2.3174700000000001</v>
      </c>
      <c r="E148" s="59">
        <v>3.3746499999999999</v>
      </c>
      <c r="F148" s="59">
        <v>4.8824100000000001</v>
      </c>
      <c r="G148" s="56">
        <v>0</v>
      </c>
      <c r="H148" s="56">
        <v>0</v>
      </c>
      <c r="I148" s="58">
        <v>0.35106900000000002</v>
      </c>
      <c r="J148" s="57">
        <v>0.18220600000000001</v>
      </c>
      <c r="K148" s="56"/>
      <c r="L148" s="56" t="s">
        <v>488</v>
      </c>
    </row>
    <row r="149" spans="2:12" x14ac:dyDescent="0.2">
      <c r="B149" s="62" t="s">
        <v>5898</v>
      </c>
      <c r="C149" s="61" t="s">
        <v>535</v>
      </c>
      <c r="D149" s="60">
        <v>0.57573399999999997</v>
      </c>
      <c r="E149" s="59">
        <v>6.7006899999999998</v>
      </c>
      <c r="F149" s="59">
        <v>8.5632099999999998</v>
      </c>
      <c r="G149" s="56">
        <v>2895.91</v>
      </c>
      <c r="H149" s="56">
        <v>5029.9399999999996</v>
      </c>
      <c r="I149" s="58">
        <v>0.84516100000000005</v>
      </c>
      <c r="J149" s="57">
        <v>1.3687199999999999</v>
      </c>
      <c r="K149" s="56"/>
      <c r="L149" s="56" t="s">
        <v>488</v>
      </c>
    </row>
    <row r="150" spans="2:12" x14ac:dyDescent="0.2">
      <c r="B150" s="62" t="s">
        <v>5897</v>
      </c>
      <c r="C150" s="61" t="s">
        <v>531</v>
      </c>
      <c r="D150" s="60">
        <v>0.57728299999999999</v>
      </c>
      <c r="E150" s="59">
        <v>6.7269399999999999</v>
      </c>
      <c r="F150" s="59">
        <v>8.38842</v>
      </c>
      <c r="G150" s="56">
        <v>2948.04</v>
      </c>
      <c r="H150" s="56">
        <v>5106.75</v>
      </c>
      <c r="I150" s="58">
        <v>0.83379999999999999</v>
      </c>
      <c r="J150" s="57">
        <v>1.3571899999999999</v>
      </c>
      <c r="K150" s="56"/>
      <c r="L150" s="56" t="s">
        <v>488</v>
      </c>
    </row>
    <row r="151" spans="2:12" x14ac:dyDescent="0.2">
      <c r="B151" s="62" t="s">
        <v>5896</v>
      </c>
      <c r="C151" s="61" t="s">
        <v>499</v>
      </c>
      <c r="D151" s="60">
        <v>1.1697299999999999</v>
      </c>
      <c r="E151" s="59">
        <v>4.4897200000000002</v>
      </c>
      <c r="F151" s="59">
        <v>4.8290499999999996</v>
      </c>
      <c r="G151" s="56">
        <v>558.95699999999999</v>
      </c>
      <c r="H151" s="56">
        <v>477.85500000000002</v>
      </c>
      <c r="I151" s="58">
        <v>0.30131400000000003</v>
      </c>
      <c r="J151" s="57">
        <v>0.39704200000000001</v>
      </c>
      <c r="K151" s="56"/>
      <c r="L151" s="56" t="s">
        <v>488</v>
      </c>
    </row>
    <row r="152" spans="2:12" x14ac:dyDescent="0.2">
      <c r="B152" s="62" t="s">
        <v>5895</v>
      </c>
      <c r="C152" s="61" t="s">
        <v>5894</v>
      </c>
      <c r="D152" s="60">
        <v>2.17334</v>
      </c>
      <c r="E152" s="59">
        <v>2.7600799999999999</v>
      </c>
      <c r="F152" s="59">
        <v>3.2500200000000001</v>
      </c>
      <c r="G152" s="56">
        <v>0</v>
      </c>
      <c r="H152" s="56">
        <v>0</v>
      </c>
      <c r="I152" s="58">
        <v>0.193518</v>
      </c>
      <c r="J152" s="57">
        <v>0.13006699999999999</v>
      </c>
      <c r="K152" s="56"/>
      <c r="L152" s="56" t="s">
        <v>488</v>
      </c>
    </row>
    <row r="153" spans="2:12" x14ac:dyDescent="0.2">
      <c r="B153" s="62" t="s">
        <v>5893</v>
      </c>
      <c r="C153" s="61" t="s">
        <v>555</v>
      </c>
      <c r="D153" s="60">
        <v>1.59335</v>
      </c>
      <c r="E153" s="59">
        <v>3.3174299999999999</v>
      </c>
      <c r="F153" s="59">
        <v>4.0390899999999998</v>
      </c>
      <c r="G153" s="56">
        <v>0</v>
      </c>
      <c r="H153" s="56">
        <v>0</v>
      </c>
      <c r="I153" s="58">
        <v>9.4055200000000005E-2</v>
      </c>
      <c r="J153" s="57">
        <v>0.21234500000000001</v>
      </c>
      <c r="K153" s="56"/>
      <c r="L153" s="56" t="s">
        <v>488</v>
      </c>
    </row>
    <row r="154" spans="2:12" x14ac:dyDescent="0.2">
      <c r="B154" s="62" t="s">
        <v>5892</v>
      </c>
      <c r="C154" s="61" t="s">
        <v>1637</v>
      </c>
      <c r="D154" s="60">
        <v>0.771567</v>
      </c>
      <c r="E154" s="59">
        <v>8.7863600000000002</v>
      </c>
      <c r="F154" s="59">
        <v>9.9859799999999996</v>
      </c>
      <c r="G154" s="56">
        <v>2308.4699999999998</v>
      </c>
      <c r="H154" s="56">
        <v>2991.93</v>
      </c>
      <c r="I154" s="58">
        <v>0.71141900000000002</v>
      </c>
      <c r="J154" s="57">
        <v>0.91549800000000003</v>
      </c>
      <c r="K154" s="56"/>
      <c r="L154" s="56" t="s">
        <v>492</v>
      </c>
    </row>
    <row r="155" spans="2:12" x14ac:dyDescent="0.2">
      <c r="B155" s="62" t="s">
        <v>5891</v>
      </c>
      <c r="C155" s="61" t="s">
        <v>502</v>
      </c>
      <c r="D155" s="60">
        <v>0.91415100000000005</v>
      </c>
      <c r="E155" s="59">
        <v>8.6953200000000006</v>
      </c>
      <c r="F155" s="59">
        <v>10.40349</v>
      </c>
      <c r="G155" s="56">
        <v>1348.47</v>
      </c>
      <c r="H155" s="56">
        <v>1475.1</v>
      </c>
      <c r="I155" s="58">
        <v>0.57121699999999997</v>
      </c>
      <c r="J155" s="57">
        <v>0.70898000000000005</v>
      </c>
      <c r="K155" s="56"/>
      <c r="L155" s="56" t="s">
        <v>488</v>
      </c>
    </row>
    <row r="156" spans="2:12" x14ac:dyDescent="0.2">
      <c r="B156" s="62" t="s">
        <v>5890</v>
      </c>
      <c r="C156" s="61" t="s">
        <v>502</v>
      </c>
      <c r="D156" s="60">
        <v>1.0244200000000001</v>
      </c>
      <c r="E156" s="59">
        <v>7.7961400000000003</v>
      </c>
      <c r="F156" s="59">
        <v>8.64297</v>
      </c>
      <c r="G156" s="56">
        <v>1252.21</v>
      </c>
      <c r="H156" s="56">
        <v>1222.3599999999999</v>
      </c>
      <c r="I156" s="58">
        <v>0.47725899999999999</v>
      </c>
      <c r="J156" s="57">
        <v>0.57875399999999999</v>
      </c>
      <c r="K156" s="56"/>
      <c r="L156" s="56" t="s">
        <v>488</v>
      </c>
    </row>
    <row r="157" spans="2:12" x14ac:dyDescent="0.2">
      <c r="B157" s="62" t="s">
        <v>5889</v>
      </c>
      <c r="C157" s="61" t="s">
        <v>641</v>
      </c>
      <c r="D157" s="60">
        <v>1.32355</v>
      </c>
      <c r="E157" s="59">
        <v>4.2181100000000002</v>
      </c>
      <c r="F157" s="59">
        <v>6.0147899999999996</v>
      </c>
      <c r="G157" s="56">
        <v>669.30499999999995</v>
      </c>
      <c r="H157" s="56">
        <v>505.68799999999999</v>
      </c>
      <c r="I157" s="58">
        <v>0.32553300000000002</v>
      </c>
      <c r="J157" s="57">
        <v>0.36348000000000003</v>
      </c>
      <c r="K157" s="56"/>
      <c r="L157" s="56" t="s">
        <v>488</v>
      </c>
    </row>
    <row r="158" spans="2:12" x14ac:dyDescent="0.2">
      <c r="B158" s="62" t="s">
        <v>5888</v>
      </c>
      <c r="C158" s="61" t="s">
        <v>641</v>
      </c>
      <c r="D158" s="60">
        <v>1.3299099999999999</v>
      </c>
      <c r="E158" s="59">
        <v>4.2666399999999998</v>
      </c>
      <c r="F158" s="59">
        <v>6.1477300000000001</v>
      </c>
      <c r="G158" s="56">
        <v>630.45899999999995</v>
      </c>
      <c r="H158" s="56">
        <v>474.06099999999998</v>
      </c>
      <c r="I158" s="58">
        <v>0.30468800000000001</v>
      </c>
      <c r="J158" s="57">
        <v>0.35395599999999999</v>
      </c>
      <c r="K158" s="56"/>
      <c r="L158" s="56" t="s">
        <v>488</v>
      </c>
    </row>
    <row r="159" spans="2:12" x14ac:dyDescent="0.2">
      <c r="B159" s="62" t="s">
        <v>5887</v>
      </c>
      <c r="C159" s="61" t="s">
        <v>510</v>
      </c>
      <c r="D159" s="60">
        <v>1.48465</v>
      </c>
      <c r="E159" s="59">
        <v>2.49152</v>
      </c>
      <c r="F159" s="59">
        <v>3.4533299999999998</v>
      </c>
      <c r="G159" s="56">
        <v>0</v>
      </c>
      <c r="H159" s="56">
        <v>0</v>
      </c>
      <c r="I159" s="58">
        <v>8.5140199999999999E-2</v>
      </c>
      <c r="J159" s="57">
        <v>0.25656600000000002</v>
      </c>
      <c r="K159" s="56"/>
      <c r="L159" s="56" t="s">
        <v>488</v>
      </c>
    </row>
    <row r="160" spans="2:12" x14ac:dyDescent="0.2">
      <c r="B160" s="62" t="s">
        <v>5886</v>
      </c>
      <c r="C160" s="61" t="s">
        <v>502</v>
      </c>
      <c r="D160" s="60">
        <v>0.83372900000000005</v>
      </c>
      <c r="E160" s="59">
        <v>4.98752</v>
      </c>
      <c r="F160" s="59">
        <v>7.2896900000000002</v>
      </c>
      <c r="G160" s="56">
        <v>2316.04</v>
      </c>
      <c r="H160" s="56">
        <v>2777.93</v>
      </c>
      <c r="I160" s="58">
        <v>0.72599899999999995</v>
      </c>
      <c r="J160" s="57">
        <v>0.83212699999999995</v>
      </c>
      <c r="K160" s="56"/>
      <c r="L160" s="56" t="s">
        <v>488</v>
      </c>
    </row>
    <row r="161" spans="2:12" x14ac:dyDescent="0.2">
      <c r="B161" s="62" t="s">
        <v>5885</v>
      </c>
      <c r="C161" s="61" t="s">
        <v>502</v>
      </c>
      <c r="D161" s="60">
        <v>1.21889</v>
      </c>
      <c r="E161" s="59">
        <v>4.5611600000000001</v>
      </c>
      <c r="F161" s="59">
        <v>5.57395</v>
      </c>
      <c r="G161" s="56">
        <v>577.07299999999998</v>
      </c>
      <c r="H161" s="56">
        <v>473.44099999999997</v>
      </c>
      <c r="I161" s="58">
        <v>0.60034799999999999</v>
      </c>
      <c r="J161" s="57">
        <v>0.44664599999999999</v>
      </c>
      <c r="K161" s="56" t="s">
        <v>5884</v>
      </c>
      <c r="L161" s="56" t="s">
        <v>563</v>
      </c>
    </row>
    <row r="162" spans="2:12" x14ac:dyDescent="0.2">
      <c r="B162" s="62" t="s">
        <v>5883</v>
      </c>
      <c r="C162" s="61" t="s">
        <v>502</v>
      </c>
      <c r="D162" s="60">
        <v>0.443469</v>
      </c>
      <c r="E162" s="59">
        <v>10.205109999999999</v>
      </c>
      <c r="F162" s="59">
        <v>14.4419</v>
      </c>
      <c r="G162" s="56">
        <v>2034.97</v>
      </c>
      <c r="H162" s="56">
        <v>4588.75</v>
      </c>
      <c r="I162" s="58">
        <v>0.87437699999999996</v>
      </c>
      <c r="J162" s="57">
        <v>1.86835</v>
      </c>
      <c r="K162" s="56"/>
      <c r="L162" s="56" t="s">
        <v>488</v>
      </c>
    </row>
    <row r="163" spans="2:12" x14ac:dyDescent="0.2">
      <c r="B163" s="62" t="s">
        <v>5882</v>
      </c>
      <c r="C163" s="61" t="s">
        <v>502</v>
      </c>
      <c r="D163" s="60">
        <v>0.56797299999999995</v>
      </c>
      <c r="E163" s="59">
        <v>6.7583799999999998</v>
      </c>
      <c r="F163" s="59">
        <v>13.85309</v>
      </c>
      <c r="G163" s="56">
        <v>2136.71</v>
      </c>
      <c r="H163" s="56">
        <v>3761.99</v>
      </c>
      <c r="I163" s="58">
        <v>0.855209</v>
      </c>
      <c r="J163" s="57">
        <v>1.38165</v>
      </c>
      <c r="K163" s="56"/>
      <c r="L163" s="56" t="s">
        <v>488</v>
      </c>
    </row>
    <row r="164" spans="2:12" x14ac:dyDescent="0.2">
      <c r="B164" s="62" t="s">
        <v>5881</v>
      </c>
      <c r="C164" s="61" t="s">
        <v>502</v>
      </c>
      <c r="D164" s="60">
        <v>0.58467000000000002</v>
      </c>
      <c r="E164" s="59">
        <v>7.0884900000000002</v>
      </c>
      <c r="F164" s="59">
        <v>11.39005</v>
      </c>
      <c r="G164" s="56">
        <v>2364.06</v>
      </c>
      <c r="H164" s="56">
        <v>4043.41</v>
      </c>
      <c r="I164" s="58">
        <v>0.84262999999999999</v>
      </c>
      <c r="J164" s="57">
        <v>1.3292200000000001</v>
      </c>
      <c r="K164" s="56"/>
      <c r="L164" s="56" t="s">
        <v>488</v>
      </c>
    </row>
    <row r="165" spans="2:12" x14ac:dyDescent="0.2">
      <c r="B165" s="62" t="s">
        <v>5880</v>
      </c>
      <c r="C165" s="61" t="s">
        <v>499</v>
      </c>
      <c r="D165" s="60">
        <v>0.68035999999999996</v>
      </c>
      <c r="E165" s="59">
        <v>6.9884500000000003</v>
      </c>
      <c r="F165" s="59">
        <v>8.2334599999999991</v>
      </c>
      <c r="G165" s="56">
        <v>2343.19</v>
      </c>
      <c r="H165" s="56">
        <v>3444.05</v>
      </c>
      <c r="I165" s="58">
        <v>0.81252400000000002</v>
      </c>
      <c r="J165" s="57">
        <v>1.09053</v>
      </c>
      <c r="K165" s="56"/>
      <c r="L165" s="56" t="s">
        <v>488</v>
      </c>
    </row>
    <row r="166" spans="2:12" x14ac:dyDescent="0.2">
      <c r="B166" s="62" t="s">
        <v>5879</v>
      </c>
      <c r="C166" s="61" t="s">
        <v>499</v>
      </c>
      <c r="D166" s="60">
        <v>1.6519200000000001</v>
      </c>
      <c r="E166" s="59">
        <v>3.6278700000000002</v>
      </c>
      <c r="F166" s="59">
        <v>4.58202</v>
      </c>
      <c r="G166" s="56">
        <v>0</v>
      </c>
      <c r="H166" s="56">
        <v>0</v>
      </c>
      <c r="I166" s="58">
        <v>0.294435</v>
      </c>
      <c r="J166" s="57">
        <v>0.28743099999999999</v>
      </c>
      <c r="K166" s="56"/>
      <c r="L166" s="56" t="s">
        <v>488</v>
      </c>
    </row>
    <row r="167" spans="2:12" x14ac:dyDescent="0.2">
      <c r="B167" s="62" t="s">
        <v>5878</v>
      </c>
      <c r="C167" s="61" t="s">
        <v>5877</v>
      </c>
      <c r="D167" s="60">
        <v>2.20004</v>
      </c>
      <c r="E167" s="59">
        <v>2.8360799999999999</v>
      </c>
      <c r="F167" s="59">
        <v>3.6362000000000001</v>
      </c>
      <c r="G167" s="56">
        <v>0</v>
      </c>
      <c r="H167" s="56">
        <v>0</v>
      </c>
      <c r="I167" s="58">
        <v>0.22827500000000001</v>
      </c>
      <c r="J167" s="57">
        <v>0.211061</v>
      </c>
      <c r="K167" s="56"/>
      <c r="L167" s="56" t="s">
        <v>488</v>
      </c>
    </row>
    <row r="168" spans="2:12" x14ac:dyDescent="0.2">
      <c r="B168" s="62" t="s">
        <v>5876</v>
      </c>
      <c r="C168" s="61" t="s">
        <v>5875</v>
      </c>
      <c r="D168" s="60">
        <v>2.2429199999999998</v>
      </c>
      <c r="E168" s="59">
        <v>2.8334899999999998</v>
      </c>
      <c r="F168" s="59">
        <v>3.6211199999999999</v>
      </c>
      <c r="G168" s="56">
        <v>0</v>
      </c>
      <c r="H168" s="56">
        <v>0</v>
      </c>
      <c r="I168" s="58">
        <v>0.22717499999999999</v>
      </c>
      <c r="J168" s="57">
        <v>0.20625099999999999</v>
      </c>
      <c r="K168" s="56"/>
      <c r="L168" s="56" t="s">
        <v>488</v>
      </c>
    </row>
    <row r="169" spans="2:12" x14ac:dyDescent="0.2">
      <c r="B169" s="62" t="s">
        <v>5874</v>
      </c>
      <c r="C169" s="61" t="s">
        <v>1572</v>
      </c>
      <c r="D169" s="60">
        <v>1.4454</v>
      </c>
      <c r="E169" s="59">
        <v>2.5893199999999998</v>
      </c>
      <c r="F169" s="59">
        <v>3.5324399999999998</v>
      </c>
      <c r="G169" s="56">
        <v>0</v>
      </c>
      <c r="H169" s="56">
        <v>0</v>
      </c>
      <c r="I169" s="58">
        <v>0.133662</v>
      </c>
      <c r="J169" s="57">
        <v>0.315884</v>
      </c>
      <c r="K169" s="56"/>
      <c r="L169" s="56" t="s">
        <v>488</v>
      </c>
    </row>
    <row r="170" spans="2:12" x14ac:dyDescent="0.2">
      <c r="B170" s="62" t="s">
        <v>5873</v>
      </c>
      <c r="C170" s="61" t="s">
        <v>1572</v>
      </c>
      <c r="D170" s="60">
        <v>1.4361699999999999</v>
      </c>
      <c r="E170" s="59">
        <v>2.99898</v>
      </c>
      <c r="F170" s="59">
        <v>5.1123700000000003</v>
      </c>
      <c r="G170" s="56">
        <v>0</v>
      </c>
      <c r="H170" s="56">
        <v>0</v>
      </c>
      <c r="I170" s="58">
        <v>0.30496499999999999</v>
      </c>
      <c r="J170" s="57">
        <v>0.35598999999999997</v>
      </c>
      <c r="K170" s="56"/>
      <c r="L170" s="56" t="s">
        <v>488</v>
      </c>
    </row>
    <row r="171" spans="2:12" x14ac:dyDescent="0.2">
      <c r="B171" s="62" t="s">
        <v>5872</v>
      </c>
      <c r="C171" s="61" t="s">
        <v>541</v>
      </c>
      <c r="D171" s="60">
        <v>2.0591200000000001</v>
      </c>
      <c r="E171" s="59">
        <v>2.8697300000000001</v>
      </c>
      <c r="F171" s="59">
        <v>3.3856799999999998</v>
      </c>
      <c r="G171" s="56">
        <v>0</v>
      </c>
      <c r="H171" s="56">
        <v>0</v>
      </c>
      <c r="I171" s="58">
        <v>0.15153</v>
      </c>
      <c r="J171" s="57">
        <v>0.22189999999999999</v>
      </c>
      <c r="K171" s="56"/>
      <c r="L171" s="56" t="s">
        <v>488</v>
      </c>
    </row>
    <row r="172" spans="2:12" x14ac:dyDescent="0.2">
      <c r="B172" s="62" t="s">
        <v>5871</v>
      </c>
      <c r="C172" s="61" t="s">
        <v>541</v>
      </c>
      <c r="D172" s="60">
        <v>2.0824199999999999</v>
      </c>
      <c r="E172" s="59">
        <v>2.8593500000000001</v>
      </c>
      <c r="F172" s="59">
        <v>3.3716699999999999</v>
      </c>
      <c r="G172" s="56">
        <v>0</v>
      </c>
      <c r="H172" s="56">
        <v>0</v>
      </c>
      <c r="I172" s="58">
        <v>0.130661</v>
      </c>
      <c r="J172" s="57">
        <v>0.21434300000000001</v>
      </c>
      <c r="K172" s="56"/>
      <c r="L172" s="56" t="s">
        <v>488</v>
      </c>
    </row>
    <row r="173" spans="2:12" x14ac:dyDescent="0.2">
      <c r="B173" s="62" t="s">
        <v>5870</v>
      </c>
      <c r="C173" s="61" t="s">
        <v>625</v>
      </c>
      <c r="D173" s="60">
        <v>1.8692200000000001</v>
      </c>
      <c r="E173" s="59">
        <v>3.2054100000000001</v>
      </c>
      <c r="F173" s="59">
        <v>3.4595199999999999</v>
      </c>
      <c r="G173" s="56">
        <v>0</v>
      </c>
      <c r="H173" s="56">
        <v>0</v>
      </c>
      <c r="I173" s="58">
        <v>0.10756599999999999</v>
      </c>
      <c r="J173" s="57">
        <v>0.187969</v>
      </c>
      <c r="K173" s="56"/>
      <c r="L173" s="56" t="s">
        <v>488</v>
      </c>
    </row>
    <row r="174" spans="2:12" x14ac:dyDescent="0.2">
      <c r="B174" s="62" t="s">
        <v>5869</v>
      </c>
      <c r="C174" s="61" t="s">
        <v>502</v>
      </c>
      <c r="D174" s="60">
        <v>1.0421899999999999</v>
      </c>
      <c r="E174" s="59">
        <v>5.5947100000000001</v>
      </c>
      <c r="F174" s="59">
        <v>9.3815399999999993</v>
      </c>
      <c r="G174" s="56">
        <v>1647.79</v>
      </c>
      <c r="H174" s="56">
        <v>1581.09</v>
      </c>
      <c r="I174" s="58">
        <v>0.62069300000000005</v>
      </c>
      <c r="J174" s="57">
        <v>0.65373099999999995</v>
      </c>
      <c r="K174" s="56"/>
      <c r="L174" s="56" t="s">
        <v>488</v>
      </c>
    </row>
    <row r="175" spans="2:12" x14ac:dyDescent="0.2">
      <c r="B175" s="62" t="s">
        <v>5868</v>
      </c>
      <c r="C175" s="61" t="s">
        <v>502</v>
      </c>
      <c r="D175" s="60">
        <v>1.0395799999999999</v>
      </c>
      <c r="E175" s="59">
        <v>5.62446</v>
      </c>
      <c r="F175" s="59">
        <v>9.3840800000000009</v>
      </c>
      <c r="G175" s="56">
        <v>1645.17</v>
      </c>
      <c r="H175" s="56">
        <v>1582.53</v>
      </c>
      <c r="I175" s="58">
        <v>0.62276799999999999</v>
      </c>
      <c r="J175" s="57">
        <v>0.65708900000000003</v>
      </c>
      <c r="K175" s="56"/>
      <c r="L175" s="56" t="s">
        <v>488</v>
      </c>
    </row>
    <row r="176" spans="2:12" x14ac:dyDescent="0.2">
      <c r="B176" s="62" t="s">
        <v>5867</v>
      </c>
      <c r="C176" s="61" t="s">
        <v>550</v>
      </c>
      <c r="D176" s="60">
        <v>1.55661</v>
      </c>
      <c r="E176" s="59">
        <v>2.4000400000000002</v>
      </c>
      <c r="F176" s="59">
        <v>3.2341600000000001</v>
      </c>
      <c r="G176" s="56">
        <v>0</v>
      </c>
      <c r="H176" s="56">
        <v>0</v>
      </c>
      <c r="I176" s="58">
        <v>9.8609699999999995E-2</v>
      </c>
      <c r="J176" s="57">
        <v>0.26307599999999998</v>
      </c>
      <c r="K176" s="56"/>
      <c r="L176" s="56" t="s">
        <v>488</v>
      </c>
    </row>
    <row r="177" spans="2:12" x14ac:dyDescent="0.2">
      <c r="B177" s="62" t="s">
        <v>5866</v>
      </c>
      <c r="C177" s="61" t="s">
        <v>550</v>
      </c>
      <c r="D177" s="60">
        <v>1.16997</v>
      </c>
      <c r="E177" s="59">
        <v>4.3059500000000002</v>
      </c>
      <c r="F177" s="59">
        <v>6.1803600000000003</v>
      </c>
      <c r="G177" s="56">
        <v>1179.03</v>
      </c>
      <c r="H177" s="56">
        <v>1007.74</v>
      </c>
      <c r="I177" s="58">
        <v>0.55481800000000003</v>
      </c>
      <c r="J177" s="57">
        <v>0.49346099999999998</v>
      </c>
      <c r="K177" s="56"/>
      <c r="L177" s="56" t="s">
        <v>488</v>
      </c>
    </row>
    <row r="178" spans="2:12" x14ac:dyDescent="0.2">
      <c r="B178" s="62" t="s">
        <v>5865</v>
      </c>
      <c r="C178" s="61" t="s">
        <v>550</v>
      </c>
      <c r="D178" s="60">
        <v>0.85616599999999998</v>
      </c>
      <c r="E178" s="59">
        <v>5.1567600000000002</v>
      </c>
      <c r="F178" s="59">
        <v>8.2859300000000005</v>
      </c>
      <c r="G178" s="56">
        <v>1997.52</v>
      </c>
      <c r="H178" s="56">
        <v>2333.1</v>
      </c>
      <c r="I178" s="58">
        <v>0.69610499999999997</v>
      </c>
      <c r="J178" s="57">
        <v>0.80621399999999999</v>
      </c>
      <c r="K178" s="56"/>
      <c r="L178" s="56" t="s">
        <v>488</v>
      </c>
    </row>
    <row r="179" spans="2:12" x14ac:dyDescent="0.2">
      <c r="B179" s="62" t="s">
        <v>5864</v>
      </c>
      <c r="C179" s="61" t="s">
        <v>5863</v>
      </c>
      <c r="D179" s="60">
        <v>1.4785600000000001</v>
      </c>
      <c r="E179" s="59">
        <v>4.5809499999999996</v>
      </c>
      <c r="F179" s="59">
        <v>5.3781699999999999</v>
      </c>
      <c r="G179" s="56">
        <v>1089.1600000000001</v>
      </c>
      <c r="H179" s="56">
        <v>736.63599999999997</v>
      </c>
      <c r="I179" s="58">
        <v>0.53094399999999997</v>
      </c>
      <c r="J179" s="57">
        <v>0.35550599999999999</v>
      </c>
      <c r="K179" s="56"/>
      <c r="L179" s="56" t="s">
        <v>488</v>
      </c>
    </row>
    <row r="180" spans="2:12" x14ac:dyDescent="0.2">
      <c r="B180" s="62" t="s">
        <v>5862</v>
      </c>
      <c r="C180" s="61" t="s">
        <v>499</v>
      </c>
      <c r="D180" s="60">
        <v>1.7783</v>
      </c>
      <c r="E180" s="59">
        <v>5.0837000000000003</v>
      </c>
      <c r="F180" s="59">
        <v>6.4202399999999997</v>
      </c>
      <c r="G180" s="56">
        <v>796.49699999999996</v>
      </c>
      <c r="H180" s="56">
        <v>447.89699999999999</v>
      </c>
      <c r="I180" s="58">
        <v>0.36622100000000002</v>
      </c>
      <c r="J180" s="57">
        <v>0.25794</v>
      </c>
      <c r="K180" s="56"/>
      <c r="L180" s="56" t="s">
        <v>488</v>
      </c>
    </row>
    <row r="181" spans="2:12" x14ac:dyDescent="0.2">
      <c r="B181" s="62" t="s">
        <v>5861</v>
      </c>
      <c r="C181" s="61" t="s">
        <v>550</v>
      </c>
      <c r="D181" s="60">
        <v>1.5209999999999999</v>
      </c>
      <c r="E181" s="59">
        <v>4.6125400000000001</v>
      </c>
      <c r="F181" s="59">
        <v>5.7670500000000002</v>
      </c>
      <c r="G181" s="56">
        <v>1021.37</v>
      </c>
      <c r="H181" s="56">
        <v>671.51199999999994</v>
      </c>
      <c r="I181" s="58">
        <v>0.43886799999999998</v>
      </c>
      <c r="J181" s="57">
        <v>0.33811799999999997</v>
      </c>
      <c r="K181" s="56"/>
      <c r="L181" s="56" t="s">
        <v>488</v>
      </c>
    </row>
    <row r="182" spans="2:12" x14ac:dyDescent="0.2">
      <c r="B182" s="62" t="s">
        <v>5860</v>
      </c>
      <c r="C182" s="61" t="s">
        <v>499</v>
      </c>
      <c r="D182" s="60">
        <v>1.4998400000000001</v>
      </c>
      <c r="E182" s="59">
        <v>2.56819</v>
      </c>
      <c r="F182" s="59">
        <v>4.0312099999999997</v>
      </c>
      <c r="G182" s="56">
        <v>0</v>
      </c>
      <c r="H182" s="56">
        <v>0</v>
      </c>
      <c r="I182" s="58">
        <v>0.18551899999999999</v>
      </c>
      <c r="J182" s="57">
        <v>0.30233700000000002</v>
      </c>
      <c r="K182" s="56"/>
      <c r="L182" s="56" t="s">
        <v>488</v>
      </c>
    </row>
    <row r="183" spans="2:12" x14ac:dyDescent="0.2">
      <c r="B183" s="62" t="s">
        <v>5859</v>
      </c>
      <c r="C183" s="61" t="s">
        <v>499</v>
      </c>
      <c r="D183" s="60">
        <v>1.2150799999999999</v>
      </c>
      <c r="E183" s="59">
        <v>5.7037699999999996</v>
      </c>
      <c r="F183" s="59">
        <v>6.4002499999999998</v>
      </c>
      <c r="G183" s="56">
        <v>1770.24</v>
      </c>
      <c r="H183" s="56">
        <v>1456.9</v>
      </c>
      <c r="I183" s="58">
        <v>0.65756599999999998</v>
      </c>
      <c r="J183" s="57">
        <v>0.52417100000000005</v>
      </c>
      <c r="K183" s="56"/>
      <c r="L183" s="56" t="s">
        <v>488</v>
      </c>
    </row>
    <row r="184" spans="2:12" x14ac:dyDescent="0.2">
      <c r="B184" s="62" t="s">
        <v>5858</v>
      </c>
      <c r="C184" s="61" t="s">
        <v>495</v>
      </c>
      <c r="D184" s="60">
        <v>1.64828</v>
      </c>
      <c r="E184" s="59">
        <v>3.8854299999999999</v>
      </c>
      <c r="F184" s="59">
        <v>4.88713</v>
      </c>
      <c r="G184" s="56">
        <v>553.75900000000001</v>
      </c>
      <c r="H184" s="56">
        <v>335.96300000000002</v>
      </c>
      <c r="I184" s="58">
        <v>0.269737</v>
      </c>
      <c r="J184" s="57">
        <v>0.28164</v>
      </c>
      <c r="K184" s="56"/>
      <c r="L184" s="56" t="s">
        <v>488</v>
      </c>
    </row>
    <row r="185" spans="2:12" x14ac:dyDescent="0.2">
      <c r="B185" s="62" t="s">
        <v>5857</v>
      </c>
      <c r="C185" s="61" t="s">
        <v>495</v>
      </c>
      <c r="D185" s="60">
        <v>1.5972</v>
      </c>
      <c r="E185" s="59">
        <v>4.0247099999999998</v>
      </c>
      <c r="F185" s="59">
        <v>4.9318200000000001</v>
      </c>
      <c r="G185" s="56">
        <v>615.50400000000002</v>
      </c>
      <c r="H185" s="56">
        <v>385.36399999999998</v>
      </c>
      <c r="I185" s="58">
        <v>0.27220100000000003</v>
      </c>
      <c r="J185" s="57">
        <v>0.30143700000000001</v>
      </c>
      <c r="K185" s="56"/>
      <c r="L185" s="56" t="s">
        <v>488</v>
      </c>
    </row>
    <row r="186" spans="2:12" x14ac:dyDescent="0.2">
      <c r="B186" s="62" t="s">
        <v>5856</v>
      </c>
      <c r="C186" s="61" t="s">
        <v>495</v>
      </c>
      <c r="D186" s="60">
        <v>1.6626799999999999</v>
      </c>
      <c r="E186" s="59">
        <v>4.0181300000000002</v>
      </c>
      <c r="F186" s="59">
        <v>5.12784</v>
      </c>
      <c r="G186" s="56">
        <v>665.93499999999995</v>
      </c>
      <c r="H186" s="56">
        <v>418.113</v>
      </c>
      <c r="I186" s="58">
        <v>0.27108399999999999</v>
      </c>
      <c r="J186" s="57">
        <v>0.27532600000000002</v>
      </c>
      <c r="K186" s="56"/>
      <c r="L186" s="56" t="s">
        <v>488</v>
      </c>
    </row>
    <row r="187" spans="2:12" x14ac:dyDescent="0.2">
      <c r="B187" s="62" t="s">
        <v>5855</v>
      </c>
      <c r="C187" s="61" t="s">
        <v>495</v>
      </c>
      <c r="D187" s="60">
        <v>1.5927100000000001</v>
      </c>
      <c r="E187" s="59">
        <v>3.95303</v>
      </c>
      <c r="F187" s="59">
        <v>4.7582399999999998</v>
      </c>
      <c r="G187" s="56">
        <v>547.32600000000002</v>
      </c>
      <c r="H187" s="56">
        <v>329.18299999999999</v>
      </c>
      <c r="I187" s="58">
        <v>0.298045</v>
      </c>
      <c r="J187" s="57">
        <v>0.30247800000000002</v>
      </c>
      <c r="K187" s="56"/>
      <c r="L187" s="56" t="s">
        <v>488</v>
      </c>
    </row>
    <row r="188" spans="2:12" x14ac:dyDescent="0.2">
      <c r="B188" s="62" t="s">
        <v>5854</v>
      </c>
      <c r="C188" s="61" t="s">
        <v>495</v>
      </c>
      <c r="D188" s="60">
        <v>1.6758</v>
      </c>
      <c r="E188" s="59">
        <v>3.7922899999999999</v>
      </c>
      <c r="F188" s="59">
        <v>4.9297199999999997</v>
      </c>
      <c r="G188" s="56">
        <v>497.202</v>
      </c>
      <c r="H188" s="56">
        <v>296.69600000000003</v>
      </c>
      <c r="I188" s="58">
        <v>0.26208100000000001</v>
      </c>
      <c r="J188" s="57">
        <v>0.27133600000000002</v>
      </c>
      <c r="K188" s="56"/>
      <c r="L188" s="56" t="s">
        <v>488</v>
      </c>
    </row>
    <row r="189" spans="2:12" x14ac:dyDescent="0.2">
      <c r="B189" s="62" t="s">
        <v>5853</v>
      </c>
      <c r="C189" s="61" t="s">
        <v>495</v>
      </c>
      <c r="D189" s="60">
        <v>1.5951500000000001</v>
      </c>
      <c r="E189" s="59">
        <v>3.9737200000000001</v>
      </c>
      <c r="F189" s="59">
        <v>5.2477999999999998</v>
      </c>
      <c r="G189" s="56">
        <v>647.71600000000001</v>
      </c>
      <c r="H189" s="56">
        <v>406.05399999999997</v>
      </c>
      <c r="I189" s="58">
        <v>0.29113600000000001</v>
      </c>
      <c r="J189" s="57">
        <v>0.29958499999999999</v>
      </c>
      <c r="K189" s="56"/>
      <c r="L189" s="56" t="s">
        <v>488</v>
      </c>
    </row>
    <row r="190" spans="2:12" x14ac:dyDescent="0.2">
      <c r="B190" s="62" t="s">
        <v>5852</v>
      </c>
      <c r="C190" s="61" t="s">
        <v>495</v>
      </c>
      <c r="D190" s="60">
        <v>1.6099300000000001</v>
      </c>
      <c r="E190" s="59">
        <v>3.92049</v>
      </c>
      <c r="F190" s="59">
        <v>4.9438000000000004</v>
      </c>
      <c r="G190" s="56">
        <v>601.13599999999997</v>
      </c>
      <c r="H190" s="56">
        <v>373.392</v>
      </c>
      <c r="I190" s="58">
        <v>0.27996900000000002</v>
      </c>
      <c r="J190" s="57">
        <v>0.29206700000000002</v>
      </c>
      <c r="K190" s="56"/>
      <c r="L190" s="56" t="s">
        <v>488</v>
      </c>
    </row>
    <row r="191" spans="2:12" x14ac:dyDescent="0.2">
      <c r="B191" s="62" t="s">
        <v>5851</v>
      </c>
      <c r="C191" s="61" t="s">
        <v>510</v>
      </c>
      <c r="D191" s="60">
        <v>0.75339400000000001</v>
      </c>
      <c r="E191" s="59">
        <v>16.954460000000001</v>
      </c>
      <c r="F191" s="59">
        <v>17.440290000000001</v>
      </c>
      <c r="G191" s="56">
        <v>1203.67</v>
      </c>
      <c r="H191" s="56">
        <v>1597.67</v>
      </c>
      <c r="I191" s="58">
        <v>0.635023</v>
      </c>
      <c r="J191" s="57">
        <v>0.93977500000000003</v>
      </c>
      <c r="K191" s="56" t="s">
        <v>1816</v>
      </c>
      <c r="L191" s="56" t="s">
        <v>563</v>
      </c>
    </row>
    <row r="192" spans="2:12" x14ac:dyDescent="0.2">
      <c r="B192" s="62" t="s">
        <v>5850</v>
      </c>
      <c r="C192" s="61" t="s">
        <v>1006</v>
      </c>
      <c r="D192" s="60">
        <v>0.86163100000000004</v>
      </c>
      <c r="E192" s="59">
        <v>13.57577</v>
      </c>
      <c r="F192" s="59">
        <v>13.86842</v>
      </c>
      <c r="G192" s="56">
        <v>1272.97</v>
      </c>
      <c r="H192" s="56">
        <v>1477.4</v>
      </c>
      <c r="I192" s="58">
        <v>0.68083899999999997</v>
      </c>
      <c r="J192" s="67">
        <v>0.77283100000000005</v>
      </c>
      <c r="K192" s="56" t="s">
        <v>5849</v>
      </c>
      <c r="L192" s="56" t="s">
        <v>563</v>
      </c>
    </row>
    <row r="193" spans="2:12" x14ac:dyDescent="0.2">
      <c r="B193" s="62" t="s">
        <v>5848</v>
      </c>
      <c r="C193" s="61" t="s">
        <v>499</v>
      </c>
      <c r="D193" s="60">
        <v>0.86674700000000005</v>
      </c>
      <c r="E193" s="59">
        <v>7.6949300000000003</v>
      </c>
      <c r="F193" s="59">
        <v>9.5488800000000005</v>
      </c>
      <c r="G193" s="56">
        <v>1591.24</v>
      </c>
      <c r="H193" s="56">
        <v>1835.88</v>
      </c>
      <c r="I193" s="58">
        <v>0.67570300000000005</v>
      </c>
      <c r="J193" s="57">
        <v>0.78370300000000004</v>
      </c>
      <c r="K193" s="56"/>
      <c r="L193" s="56" t="s">
        <v>488</v>
      </c>
    </row>
    <row r="194" spans="2:12" x14ac:dyDescent="0.2">
      <c r="B194" s="62" t="s">
        <v>5847</v>
      </c>
      <c r="C194" s="61" t="s">
        <v>499</v>
      </c>
      <c r="D194" s="60">
        <v>0.86549699999999996</v>
      </c>
      <c r="E194" s="59">
        <v>7.7392200000000004</v>
      </c>
      <c r="F194" s="59">
        <v>9.6038700000000006</v>
      </c>
      <c r="G194" s="56">
        <v>1606.47</v>
      </c>
      <c r="H194" s="56">
        <v>1856.12</v>
      </c>
      <c r="I194" s="58">
        <v>0.67626900000000001</v>
      </c>
      <c r="J194" s="57">
        <v>0.78373700000000002</v>
      </c>
      <c r="K194" s="56"/>
      <c r="L194" s="56" t="s">
        <v>488</v>
      </c>
    </row>
    <row r="195" spans="2:12" x14ac:dyDescent="0.2">
      <c r="B195" s="62" t="s">
        <v>5846</v>
      </c>
      <c r="C195" s="61" t="s">
        <v>499</v>
      </c>
      <c r="D195" s="60">
        <v>1.3247100000000001</v>
      </c>
      <c r="E195" s="59">
        <v>3.6461100000000002</v>
      </c>
      <c r="F195" s="59">
        <v>4.5596800000000002</v>
      </c>
      <c r="G195" s="56">
        <v>0</v>
      </c>
      <c r="H195" s="56">
        <v>0</v>
      </c>
      <c r="I195" s="58">
        <v>0.27188699999999999</v>
      </c>
      <c r="J195" s="57">
        <v>0.35821700000000001</v>
      </c>
      <c r="K195" s="56"/>
      <c r="L195" s="56" t="s">
        <v>488</v>
      </c>
    </row>
    <row r="196" spans="2:12" x14ac:dyDescent="0.2">
      <c r="B196" s="62" t="s">
        <v>5845</v>
      </c>
      <c r="C196" s="61" t="s">
        <v>550</v>
      </c>
      <c r="D196" s="60">
        <v>1.30707</v>
      </c>
      <c r="E196" s="59">
        <v>3.6431100000000001</v>
      </c>
      <c r="F196" s="59">
        <v>5.4458700000000002</v>
      </c>
      <c r="G196" s="56">
        <v>0</v>
      </c>
      <c r="H196" s="56">
        <v>0</v>
      </c>
      <c r="I196" s="58">
        <v>0.49736399999999997</v>
      </c>
      <c r="J196" s="57">
        <v>0.41842299999999999</v>
      </c>
      <c r="K196" s="56"/>
      <c r="L196" s="56" t="s">
        <v>488</v>
      </c>
    </row>
    <row r="197" spans="2:12" x14ac:dyDescent="0.2">
      <c r="B197" s="62" t="s">
        <v>5844</v>
      </c>
      <c r="C197" s="61" t="s">
        <v>502</v>
      </c>
      <c r="D197" s="60">
        <v>0.915242</v>
      </c>
      <c r="E197" s="59">
        <v>4.9814100000000003</v>
      </c>
      <c r="F197" s="59">
        <v>8.0839800000000004</v>
      </c>
      <c r="G197" s="56">
        <v>1505.4</v>
      </c>
      <c r="H197" s="56">
        <v>1644.81</v>
      </c>
      <c r="I197" s="58">
        <v>0.53872100000000001</v>
      </c>
      <c r="J197" s="57">
        <v>0.66823999999999995</v>
      </c>
      <c r="K197" s="56"/>
      <c r="L197" s="56" t="s">
        <v>488</v>
      </c>
    </row>
    <row r="198" spans="2:12" x14ac:dyDescent="0.2">
      <c r="B198" s="62" t="s">
        <v>5843</v>
      </c>
      <c r="C198" s="61" t="s">
        <v>708</v>
      </c>
      <c r="D198" s="60">
        <v>0.90267900000000001</v>
      </c>
      <c r="E198" s="59">
        <v>4.8892699999999998</v>
      </c>
      <c r="F198" s="59">
        <v>8.1063799999999997</v>
      </c>
      <c r="G198" s="56">
        <v>1497.37</v>
      </c>
      <c r="H198" s="56">
        <v>1658.81</v>
      </c>
      <c r="I198" s="58">
        <v>0.53604399999999996</v>
      </c>
      <c r="J198" s="57">
        <v>0.67407899999999998</v>
      </c>
      <c r="K198" s="56"/>
      <c r="L198" s="56" t="s">
        <v>488</v>
      </c>
    </row>
    <row r="199" spans="2:12" x14ac:dyDescent="0.2">
      <c r="B199" s="62" t="s">
        <v>5842</v>
      </c>
      <c r="C199" s="61" t="s">
        <v>708</v>
      </c>
      <c r="D199" s="60">
        <v>0.90726899999999999</v>
      </c>
      <c r="E199" s="59">
        <v>4.9789700000000003</v>
      </c>
      <c r="F199" s="59">
        <v>7.8956499999999998</v>
      </c>
      <c r="G199" s="56">
        <v>1502.59</v>
      </c>
      <c r="H199" s="56">
        <v>1656.17</v>
      </c>
      <c r="I199" s="58">
        <v>0.51424999999999998</v>
      </c>
      <c r="J199" s="57">
        <v>0.66953200000000002</v>
      </c>
      <c r="K199" s="56"/>
      <c r="L199" s="56" t="s">
        <v>488</v>
      </c>
    </row>
    <row r="200" spans="2:12" x14ac:dyDescent="0.2">
      <c r="B200" s="62" t="s">
        <v>5841</v>
      </c>
      <c r="C200" s="61" t="s">
        <v>625</v>
      </c>
      <c r="D200" s="60">
        <v>2.1697899999999999</v>
      </c>
      <c r="E200" s="59">
        <v>2.9343400000000002</v>
      </c>
      <c r="F200" s="59">
        <v>3.5441799999999999</v>
      </c>
      <c r="G200" s="56">
        <v>0</v>
      </c>
      <c r="H200" s="56">
        <v>0</v>
      </c>
      <c r="I200" s="58">
        <v>0.23811499999999999</v>
      </c>
      <c r="J200" s="57">
        <v>0.20389099999999999</v>
      </c>
      <c r="K200" s="56"/>
      <c r="L200" s="56" t="s">
        <v>488</v>
      </c>
    </row>
    <row r="201" spans="2:12" x14ac:dyDescent="0.2">
      <c r="B201" s="62" t="s">
        <v>5840</v>
      </c>
      <c r="C201" s="61" t="s">
        <v>550</v>
      </c>
      <c r="D201" s="60">
        <v>1.6975899999999999</v>
      </c>
      <c r="E201" s="59">
        <v>6.8144</v>
      </c>
      <c r="F201" s="59">
        <v>7.02712</v>
      </c>
      <c r="G201" s="56">
        <v>1385.29</v>
      </c>
      <c r="H201" s="56">
        <v>816.03599999999994</v>
      </c>
      <c r="I201" s="58">
        <v>0.543574</v>
      </c>
      <c r="J201" s="57">
        <v>0.351159</v>
      </c>
      <c r="K201" s="56"/>
      <c r="L201" s="56" t="s">
        <v>488</v>
      </c>
    </row>
    <row r="202" spans="2:12" x14ac:dyDescent="0.2">
      <c r="B202" s="62" t="s">
        <v>5839</v>
      </c>
      <c r="C202" s="61" t="s">
        <v>550</v>
      </c>
      <c r="D202" s="60">
        <v>2.0331700000000001</v>
      </c>
      <c r="E202" s="59">
        <v>2.4631699999999999</v>
      </c>
      <c r="F202" s="59">
        <v>4.3324499999999997</v>
      </c>
      <c r="G202" s="56">
        <v>0</v>
      </c>
      <c r="H202" s="56">
        <v>0</v>
      </c>
      <c r="I202" s="58">
        <v>0.18882699999999999</v>
      </c>
      <c r="J202" s="57">
        <v>0.222608</v>
      </c>
      <c r="K202" s="56"/>
      <c r="L202" s="56" t="s">
        <v>488</v>
      </c>
    </row>
    <row r="203" spans="2:12" x14ac:dyDescent="0.2">
      <c r="B203" s="62" t="s">
        <v>5838</v>
      </c>
      <c r="C203" s="61" t="s">
        <v>499</v>
      </c>
      <c r="D203" s="60">
        <v>1.2261599999999999</v>
      </c>
      <c r="E203" s="59">
        <v>4.3857100000000004</v>
      </c>
      <c r="F203" s="59">
        <v>5.73292</v>
      </c>
      <c r="G203" s="56">
        <v>861.32399999999996</v>
      </c>
      <c r="H203" s="56">
        <v>702.45899999999995</v>
      </c>
      <c r="I203" s="58">
        <v>0.45126100000000002</v>
      </c>
      <c r="J203" s="57">
        <v>0.42698900000000001</v>
      </c>
      <c r="K203" s="56"/>
      <c r="L203" s="56" t="s">
        <v>488</v>
      </c>
    </row>
    <row r="204" spans="2:12" x14ac:dyDescent="0.2">
      <c r="B204" s="62" t="s">
        <v>5837</v>
      </c>
      <c r="C204" s="61" t="s">
        <v>495</v>
      </c>
      <c r="D204" s="60">
        <v>1.24095</v>
      </c>
      <c r="E204" s="59">
        <v>3.6398999999999999</v>
      </c>
      <c r="F204" s="59">
        <v>5.7067899999999998</v>
      </c>
      <c r="G204" s="56">
        <v>0</v>
      </c>
      <c r="H204" s="56">
        <v>0</v>
      </c>
      <c r="I204" s="58">
        <v>0.39602500000000002</v>
      </c>
      <c r="J204" s="57">
        <v>0.39402399999999999</v>
      </c>
      <c r="K204" s="56"/>
      <c r="L204" s="56" t="s">
        <v>488</v>
      </c>
    </row>
    <row r="205" spans="2:12" x14ac:dyDescent="0.2">
      <c r="B205" s="62" t="s">
        <v>5836</v>
      </c>
      <c r="C205" s="61" t="s">
        <v>798</v>
      </c>
      <c r="D205" s="60">
        <v>0.96380999999999994</v>
      </c>
      <c r="E205" s="59">
        <v>5.2508100000000004</v>
      </c>
      <c r="F205" s="59">
        <v>7.2639899999999997</v>
      </c>
      <c r="G205" s="56">
        <v>1696.5</v>
      </c>
      <c r="H205" s="56">
        <v>1760.2</v>
      </c>
      <c r="I205" s="58">
        <v>0.624394</v>
      </c>
      <c r="J205" s="57">
        <v>0.62030700000000005</v>
      </c>
      <c r="K205" s="56"/>
      <c r="L205" s="56" t="s">
        <v>488</v>
      </c>
    </row>
    <row r="206" spans="2:12" x14ac:dyDescent="0.2">
      <c r="B206" s="62" t="s">
        <v>5835</v>
      </c>
      <c r="C206" s="61" t="s">
        <v>625</v>
      </c>
      <c r="D206" s="60">
        <v>1.0603100000000001</v>
      </c>
      <c r="E206" s="59">
        <v>9.6185200000000002</v>
      </c>
      <c r="F206" s="59">
        <v>10.841609999999999</v>
      </c>
      <c r="G206" s="56">
        <v>1095.1099999999999</v>
      </c>
      <c r="H206" s="56">
        <v>1032.82</v>
      </c>
      <c r="I206" s="58">
        <v>0.45075300000000001</v>
      </c>
      <c r="J206" s="57">
        <v>0.54099299999999995</v>
      </c>
      <c r="K206" s="56"/>
      <c r="L206" s="56" t="s">
        <v>492</v>
      </c>
    </row>
    <row r="207" spans="2:12" x14ac:dyDescent="0.2">
      <c r="B207" s="62" t="s">
        <v>5834</v>
      </c>
      <c r="C207" s="61" t="s">
        <v>502</v>
      </c>
      <c r="D207" s="60">
        <v>0.99815299999999996</v>
      </c>
      <c r="E207" s="59">
        <v>3.7162500000000001</v>
      </c>
      <c r="F207" s="59">
        <v>5.8856700000000002</v>
      </c>
      <c r="G207" s="56">
        <v>0</v>
      </c>
      <c r="H207" s="56">
        <v>0</v>
      </c>
      <c r="I207" s="58">
        <v>0.47097699999999998</v>
      </c>
      <c r="J207" s="57">
        <v>0.578407</v>
      </c>
      <c r="K207" s="56"/>
      <c r="L207" s="56" t="s">
        <v>488</v>
      </c>
    </row>
    <row r="208" spans="2:12" x14ac:dyDescent="0.2">
      <c r="B208" s="62" t="s">
        <v>5833</v>
      </c>
      <c r="C208" s="61" t="s">
        <v>702</v>
      </c>
      <c r="D208" s="60">
        <v>1.4653799999999999</v>
      </c>
      <c r="E208" s="59">
        <v>3.5418599999999998</v>
      </c>
      <c r="F208" s="59">
        <v>3.8677800000000002</v>
      </c>
      <c r="G208" s="56">
        <v>0</v>
      </c>
      <c r="H208" s="56">
        <v>0</v>
      </c>
      <c r="I208" s="58">
        <v>0.30998999999999999</v>
      </c>
      <c r="J208" s="57">
        <v>0.32971899999999998</v>
      </c>
      <c r="K208" s="56"/>
      <c r="L208" s="56" t="s">
        <v>730</v>
      </c>
    </row>
    <row r="209" spans="2:12" x14ac:dyDescent="0.2">
      <c r="B209" s="62" t="s">
        <v>5832</v>
      </c>
      <c r="C209" s="61" t="s">
        <v>550</v>
      </c>
      <c r="D209" s="60">
        <v>0.99094000000000004</v>
      </c>
      <c r="E209" s="59">
        <v>7.2868399999999998</v>
      </c>
      <c r="F209" s="59">
        <v>8.5450099999999996</v>
      </c>
      <c r="G209" s="56">
        <v>1081.1199999999999</v>
      </c>
      <c r="H209" s="56">
        <v>1091</v>
      </c>
      <c r="I209" s="58">
        <v>0.50722900000000004</v>
      </c>
      <c r="J209" s="57">
        <v>0.59851600000000005</v>
      </c>
      <c r="K209" s="56"/>
      <c r="L209" s="56" t="s">
        <v>488</v>
      </c>
    </row>
    <row r="210" spans="2:12" x14ac:dyDescent="0.2">
      <c r="B210" s="62" t="s">
        <v>5831</v>
      </c>
      <c r="C210" s="61" t="s">
        <v>5067</v>
      </c>
      <c r="D210" s="60">
        <v>2.9723700000000002</v>
      </c>
      <c r="E210" s="59">
        <v>3.1034700000000002</v>
      </c>
      <c r="F210" s="59">
        <v>12.74142</v>
      </c>
      <c r="G210" s="56">
        <v>0</v>
      </c>
      <c r="H210" s="56">
        <v>0</v>
      </c>
      <c r="I210" s="58">
        <v>0.48657</v>
      </c>
      <c r="J210" s="57">
        <v>0.194412</v>
      </c>
      <c r="K210" s="56"/>
      <c r="L210" s="56" t="s">
        <v>488</v>
      </c>
    </row>
    <row r="211" spans="2:12" x14ac:dyDescent="0.2">
      <c r="B211" s="62" t="s">
        <v>5830</v>
      </c>
      <c r="C211" s="61" t="s">
        <v>5067</v>
      </c>
      <c r="D211" s="60">
        <v>2.1581999999999999</v>
      </c>
      <c r="E211" s="59">
        <v>4.85724</v>
      </c>
      <c r="F211" s="59">
        <v>7.6574</v>
      </c>
      <c r="G211" s="56">
        <v>1507.53</v>
      </c>
      <c r="H211" s="56">
        <v>698.51499999999999</v>
      </c>
      <c r="I211" s="58">
        <v>0.51915800000000001</v>
      </c>
      <c r="J211" s="57">
        <v>0.281086</v>
      </c>
      <c r="K211" s="56"/>
      <c r="L211" s="56" t="s">
        <v>488</v>
      </c>
    </row>
    <row r="212" spans="2:12" x14ac:dyDescent="0.2">
      <c r="B212" s="62" t="s">
        <v>5829</v>
      </c>
      <c r="C212" s="61" t="s">
        <v>510</v>
      </c>
      <c r="D212" s="60">
        <v>0.98245300000000002</v>
      </c>
      <c r="E212" s="59">
        <v>4.2721600000000004</v>
      </c>
      <c r="F212" s="59">
        <v>9.4242699999999999</v>
      </c>
      <c r="G212" s="56">
        <v>1390.66</v>
      </c>
      <c r="H212" s="56">
        <v>1415.5</v>
      </c>
      <c r="I212" s="58">
        <v>0.62161599999999995</v>
      </c>
      <c r="J212" s="57">
        <v>0.63065499999999997</v>
      </c>
      <c r="K212" s="56"/>
      <c r="L212" s="56" t="s">
        <v>488</v>
      </c>
    </row>
    <row r="213" spans="2:12" x14ac:dyDescent="0.2">
      <c r="B213" s="62" t="s">
        <v>5828</v>
      </c>
      <c r="C213" s="61" t="s">
        <v>616</v>
      </c>
      <c r="D213" s="60">
        <v>2.0810900000000001</v>
      </c>
      <c r="E213" s="59">
        <v>3.0188600000000001</v>
      </c>
      <c r="F213" s="59">
        <v>3.9290500000000002</v>
      </c>
      <c r="G213" s="56">
        <v>0</v>
      </c>
      <c r="H213" s="56">
        <v>0</v>
      </c>
      <c r="I213" s="58">
        <v>8.0318399999999998E-2</v>
      </c>
      <c r="J213" s="57">
        <v>0.180872</v>
      </c>
      <c r="K213" s="56"/>
      <c r="L213" s="56" t="s">
        <v>492</v>
      </c>
    </row>
    <row r="214" spans="2:12" x14ac:dyDescent="0.2">
      <c r="B214" s="62" t="s">
        <v>5827</v>
      </c>
      <c r="C214" s="61" t="s">
        <v>499</v>
      </c>
      <c r="D214" s="60">
        <v>1.0603400000000001</v>
      </c>
      <c r="E214" s="59">
        <v>4.5072000000000001</v>
      </c>
      <c r="F214" s="59">
        <v>7.0164799999999996</v>
      </c>
      <c r="G214" s="56">
        <v>826.32600000000002</v>
      </c>
      <c r="H214" s="56">
        <v>779.30399999999997</v>
      </c>
      <c r="I214" s="58">
        <v>0.35591600000000001</v>
      </c>
      <c r="J214" s="57">
        <v>0.51200599999999996</v>
      </c>
      <c r="K214" s="56"/>
      <c r="L214" s="56" t="s">
        <v>492</v>
      </c>
    </row>
    <row r="215" spans="2:12" x14ac:dyDescent="0.2">
      <c r="B215" s="62" t="s">
        <v>5826</v>
      </c>
      <c r="C215" s="61" t="s">
        <v>499</v>
      </c>
      <c r="D215" s="60">
        <v>1.3288</v>
      </c>
      <c r="E215" s="59">
        <v>2.6989399999999999</v>
      </c>
      <c r="F215" s="59">
        <v>4.17197</v>
      </c>
      <c r="G215" s="56">
        <v>0</v>
      </c>
      <c r="H215" s="56">
        <v>0</v>
      </c>
      <c r="I215" s="58">
        <v>0.16069600000000001</v>
      </c>
      <c r="J215" s="57">
        <v>0.32033099999999998</v>
      </c>
      <c r="K215" s="56"/>
      <c r="L215" s="56" t="s">
        <v>492</v>
      </c>
    </row>
    <row r="216" spans="2:12" x14ac:dyDescent="0.2">
      <c r="B216" s="62" t="s">
        <v>5825</v>
      </c>
      <c r="C216" s="61" t="s">
        <v>2668</v>
      </c>
      <c r="D216" s="60">
        <v>2.1577000000000002</v>
      </c>
      <c r="E216" s="59">
        <v>3.6372399999999998</v>
      </c>
      <c r="F216" s="59">
        <v>6.0814500000000002</v>
      </c>
      <c r="G216" s="56">
        <v>0</v>
      </c>
      <c r="H216" s="56">
        <v>0</v>
      </c>
      <c r="I216" s="58">
        <v>0.43725599999999998</v>
      </c>
      <c r="J216" s="57">
        <v>0.25825799999999999</v>
      </c>
      <c r="K216" s="56"/>
      <c r="L216" s="56" t="s">
        <v>488</v>
      </c>
    </row>
    <row r="217" spans="2:12" x14ac:dyDescent="0.2">
      <c r="B217" s="62" t="s">
        <v>5824</v>
      </c>
      <c r="C217" s="61" t="s">
        <v>550</v>
      </c>
      <c r="D217" s="60">
        <v>1.1937500000000001</v>
      </c>
      <c r="E217" s="59">
        <v>10.503869999999999</v>
      </c>
      <c r="F217" s="59">
        <v>10.88001</v>
      </c>
      <c r="G217" s="56">
        <v>1119.0899999999999</v>
      </c>
      <c r="H217" s="56">
        <v>937.46</v>
      </c>
      <c r="I217" s="58">
        <v>0.55012000000000005</v>
      </c>
      <c r="J217" s="57">
        <v>0.49459700000000001</v>
      </c>
      <c r="K217" s="56"/>
      <c r="L217" s="56" t="s">
        <v>488</v>
      </c>
    </row>
    <row r="218" spans="2:12" x14ac:dyDescent="0.2">
      <c r="B218" s="62" t="s">
        <v>5823</v>
      </c>
      <c r="C218" s="61" t="s">
        <v>507</v>
      </c>
      <c r="D218" s="60">
        <v>1.31908</v>
      </c>
      <c r="E218" s="59">
        <v>4.1924400000000004</v>
      </c>
      <c r="F218" s="59">
        <v>5.4455400000000003</v>
      </c>
      <c r="G218" s="56">
        <v>1613.37</v>
      </c>
      <c r="H218" s="56">
        <v>1223.1099999999999</v>
      </c>
      <c r="I218" s="58">
        <v>0.61393699999999995</v>
      </c>
      <c r="J218" s="57">
        <v>0.46037099999999997</v>
      </c>
      <c r="K218" s="56"/>
      <c r="L218" s="56" t="s">
        <v>488</v>
      </c>
    </row>
    <row r="219" spans="2:12" x14ac:dyDescent="0.2">
      <c r="B219" s="62" t="s">
        <v>5822</v>
      </c>
      <c r="C219" s="61" t="s">
        <v>510</v>
      </c>
      <c r="D219" s="60">
        <v>0.402001</v>
      </c>
      <c r="E219" s="59">
        <v>13.27772</v>
      </c>
      <c r="F219" s="59">
        <v>19.474879999999999</v>
      </c>
      <c r="G219" s="56">
        <v>1494.17</v>
      </c>
      <c r="H219" s="56">
        <v>3716.83</v>
      </c>
      <c r="I219" s="58">
        <v>0.86799000000000004</v>
      </c>
      <c r="J219" s="57">
        <v>2.06636</v>
      </c>
      <c r="K219" s="56"/>
      <c r="L219" s="56" t="s">
        <v>488</v>
      </c>
    </row>
    <row r="220" spans="2:12" x14ac:dyDescent="0.2">
      <c r="B220" s="62" t="s">
        <v>5821</v>
      </c>
      <c r="C220" s="61" t="s">
        <v>510</v>
      </c>
      <c r="D220" s="60">
        <v>0.75066100000000002</v>
      </c>
      <c r="E220" s="59">
        <v>8.6523500000000002</v>
      </c>
      <c r="F220" s="59">
        <v>9.6188000000000002</v>
      </c>
      <c r="G220" s="56">
        <v>1972.18</v>
      </c>
      <c r="H220" s="56">
        <v>2627.25</v>
      </c>
      <c r="I220" s="58">
        <v>0.70704</v>
      </c>
      <c r="J220" s="57">
        <v>0.90970799999999996</v>
      </c>
      <c r="K220" s="56"/>
      <c r="L220" s="56" t="s">
        <v>488</v>
      </c>
    </row>
    <row r="221" spans="2:12" x14ac:dyDescent="0.2">
      <c r="B221" s="62" t="s">
        <v>5820</v>
      </c>
      <c r="C221" s="61" t="s">
        <v>499</v>
      </c>
      <c r="D221" s="60">
        <v>1.12374</v>
      </c>
      <c r="E221" s="59">
        <v>5.38978</v>
      </c>
      <c r="F221" s="59">
        <v>7.5596300000000003</v>
      </c>
      <c r="G221" s="56">
        <v>1127.56</v>
      </c>
      <c r="H221" s="56">
        <v>1003.39</v>
      </c>
      <c r="I221" s="58">
        <v>0.53807000000000005</v>
      </c>
      <c r="J221" s="57">
        <v>0.527339</v>
      </c>
      <c r="K221" s="56"/>
      <c r="L221" s="56" t="s">
        <v>488</v>
      </c>
    </row>
    <row r="222" spans="2:12" x14ac:dyDescent="0.2">
      <c r="B222" s="62" t="s">
        <v>5819</v>
      </c>
      <c r="C222" s="61" t="s">
        <v>550</v>
      </c>
      <c r="D222" s="60">
        <v>1.2917799999999999</v>
      </c>
      <c r="E222" s="59">
        <v>3.0850599999999999</v>
      </c>
      <c r="F222" s="59">
        <v>5.6911300000000002</v>
      </c>
      <c r="G222" s="56">
        <v>0</v>
      </c>
      <c r="H222" s="56">
        <v>0</v>
      </c>
      <c r="I222" s="58">
        <v>0.24502299999999999</v>
      </c>
      <c r="J222" s="57">
        <v>0.36266399999999999</v>
      </c>
      <c r="K222" s="56"/>
      <c r="L222" s="56" t="s">
        <v>488</v>
      </c>
    </row>
    <row r="223" spans="2:12" x14ac:dyDescent="0.2">
      <c r="B223" s="62" t="s">
        <v>5818</v>
      </c>
      <c r="C223" s="61" t="s">
        <v>499</v>
      </c>
      <c r="D223" s="60">
        <v>0.74172099999999996</v>
      </c>
      <c r="E223" s="59">
        <v>5.5242199999999997</v>
      </c>
      <c r="F223" s="59">
        <v>14.24572</v>
      </c>
      <c r="G223" s="56">
        <v>1661.91</v>
      </c>
      <c r="H223" s="56">
        <v>2240.61</v>
      </c>
      <c r="I223" s="58">
        <v>0.66925999999999997</v>
      </c>
      <c r="J223" s="57">
        <v>0.96405700000000005</v>
      </c>
      <c r="K223" s="56" t="s">
        <v>1816</v>
      </c>
      <c r="L223" s="56" t="s">
        <v>563</v>
      </c>
    </row>
    <row r="224" spans="2:12" x14ac:dyDescent="0.2">
      <c r="B224" s="62" t="s">
        <v>5817</v>
      </c>
      <c r="C224" s="61" t="s">
        <v>708</v>
      </c>
      <c r="D224" s="60">
        <v>1.0511200000000001</v>
      </c>
      <c r="E224" s="59">
        <v>4.2994000000000003</v>
      </c>
      <c r="F224" s="59">
        <v>7.86111</v>
      </c>
      <c r="G224" s="56">
        <v>916.45699999999999</v>
      </c>
      <c r="H224" s="56">
        <v>871.88900000000001</v>
      </c>
      <c r="I224" s="58">
        <v>0.59573200000000004</v>
      </c>
      <c r="J224" s="57">
        <v>0.57253399999999999</v>
      </c>
      <c r="K224" s="56"/>
      <c r="L224" s="56" t="s">
        <v>488</v>
      </c>
    </row>
    <row r="225" spans="2:12" x14ac:dyDescent="0.2">
      <c r="B225" s="62" t="s">
        <v>5816</v>
      </c>
      <c r="C225" s="61" t="s">
        <v>510</v>
      </c>
      <c r="D225" s="60">
        <v>0.792408</v>
      </c>
      <c r="E225" s="59">
        <v>4.9432099999999997</v>
      </c>
      <c r="F225" s="59">
        <v>9.9108400000000003</v>
      </c>
      <c r="G225" s="56">
        <v>1455.06</v>
      </c>
      <c r="H225" s="56">
        <v>1836.25</v>
      </c>
      <c r="I225" s="58">
        <v>0.571322</v>
      </c>
      <c r="J225" s="57">
        <v>0.79975300000000005</v>
      </c>
      <c r="K225" s="56"/>
      <c r="L225" s="56" t="s">
        <v>488</v>
      </c>
    </row>
    <row r="226" spans="2:12" x14ac:dyDescent="0.2">
      <c r="B226" s="62" t="s">
        <v>5815</v>
      </c>
      <c r="C226" s="61" t="s">
        <v>2455</v>
      </c>
      <c r="D226" s="60">
        <v>1.06453</v>
      </c>
      <c r="E226" s="59">
        <v>5.6320300000000003</v>
      </c>
      <c r="F226" s="59">
        <v>7.2145400000000004</v>
      </c>
      <c r="G226" s="56">
        <v>878.41899999999998</v>
      </c>
      <c r="H226" s="56">
        <v>825.17200000000003</v>
      </c>
      <c r="I226" s="58">
        <v>0.35063</v>
      </c>
      <c r="J226" s="57">
        <v>0.473997</v>
      </c>
      <c r="K226" s="56"/>
      <c r="L226" s="56" t="s">
        <v>488</v>
      </c>
    </row>
    <row r="227" spans="2:12" x14ac:dyDescent="0.2">
      <c r="B227" s="62" t="s">
        <v>5814</v>
      </c>
      <c r="C227" s="61" t="s">
        <v>550</v>
      </c>
      <c r="D227" s="60">
        <v>1.22986</v>
      </c>
      <c r="E227" s="59">
        <v>3.3542000000000001</v>
      </c>
      <c r="F227" s="59">
        <v>5.52712</v>
      </c>
      <c r="G227" s="56">
        <v>0</v>
      </c>
      <c r="H227" s="56">
        <v>0</v>
      </c>
      <c r="I227" s="58">
        <v>0.31583299999999997</v>
      </c>
      <c r="J227" s="57">
        <v>0.40415600000000002</v>
      </c>
      <c r="K227" s="56"/>
      <c r="L227" s="56" t="s">
        <v>488</v>
      </c>
    </row>
    <row r="228" spans="2:12" x14ac:dyDescent="0.2">
      <c r="B228" s="62" t="s">
        <v>5813</v>
      </c>
      <c r="C228" s="61" t="s">
        <v>1174</v>
      </c>
      <c r="D228" s="60">
        <v>1.25983</v>
      </c>
      <c r="E228" s="59">
        <v>3.13863</v>
      </c>
      <c r="F228" s="59">
        <v>4.5414399999999997</v>
      </c>
      <c r="G228" s="56">
        <v>0</v>
      </c>
      <c r="H228" s="56">
        <v>0</v>
      </c>
      <c r="I228" s="58">
        <v>0.27393499999999998</v>
      </c>
      <c r="J228" s="57">
        <v>0.34426099999999998</v>
      </c>
      <c r="K228" s="56"/>
      <c r="L228" s="56" t="s">
        <v>488</v>
      </c>
    </row>
    <row r="229" spans="2:12" x14ac:dyDescent="0.2">
      <c r="B229" s="62" t="s">
        <v>5812</v>
      </c>
      <c r="C229" s="61" t="s">
        <v>579</v>
      </c>
      <c r="D229" s="60">
        <v>1.78477</v>
      </c>
      <c r="E229" s="59">
        <v>2.7032799999999999</v>
      </c>
      <c r="F229" s="59">
        <v>4.1948499999999997</v>
      </c>
      <c r="G229" s="56">
        <v>0</v>
      </c>
      <c r="H229" s="56">
        <v>0</v>
      </c>
      <c r="I229" s="58">
        <v>0.20486199999999999</v>
      </c>
      <c r="J229" s="57">
        <v>0.25978699999999999</v>
      </c>
      <c r="K229" s="56"/>
      <c r="L229" s="56" t="s">
        <v>488</v>
      </c>
    </row>
    <row r="230" spans="2:12" x14ac:dyDescent="0.2">
      <c r="B230" s="62" t="s">
        <v>5811</v>
      </c>
      <c r="C230" s="61" t="s">
        <v>499</v>
      </c>
      <c r="D230" s="60">
        <v>1.10463</v>
      </c>
      <c r="E230" s="59">
        <v>4.8816899999999999</v>
      </c>
      <c r="F230" s="59">
        <v>5.9999099999999999</v>
      </c>
      <c r="G230" s="56">
        <v>1545.87</v>
      </c>
      <c r="H230" s="56">
        <v>1399.44</v>
      </c>
      <c r="I230" s="58">
        <v>0.60452600000000001</v>
      </c>
      <c r="J230" s="57">
        <v>0.55914600000000003</v>
      </c>
      <c r="K230" s="56"/>
      <c r="L230" s="56" t="s">
        <v>488</v>
      </c>
    </row>
    <row r="231" spans="2:12" x14ac:dyDescent="0.2">
      <c r="B231" s="62" t="s">
        <v>5810</v>
      </c>
      <c r="C231" s="61" t="s">
        <v>890</v>
      </c>
      <c r="D231" s="60">
        <v>1.7162200000000001</v>
      </c>
      <c r="E231" s="59">
        <v>2.56684</v>
      </c>
      <c r="F231" s="59">
        <v>3.3872300000000002</v>
      </c>
      <c r="G231" s="56">
        <v>0</v>
      </c>
      <c r="H231" s="56">
        <v>0</v>
      </c>
      <c r="I231" s="58">
        <v>9.9558999999999995E-2</v>
      </c>
      <c r="J231" s="57">
        <v>0.21685599999999999</v>
      </c>
      <c r="K231" s="56"/>
      <c r="L231" s="56" t="s">
        <v>488</v>
      </c>
    </row>
    <row r="232" spans="2:12" x14ac:dyDescent="0.2">
      <c r="B232" s="62" t="s">
        <v>5809</v>
      </c>
      <c r="C232" s="61" t="s">
        <v>502</v>
      </c>
      <c r="D232" s="60">
        <v>1.4614499999999999</v>
      </c>
      <c r="E232" s="59">
        <v>3.1837900000000001</v>
      </c>
      <c r="F232" s="59">
        <v>3.6589800000000001</v>
      </c>
      <c r="G232" s="56">
        <v>0</v>
      </c>
      <c r="H232" s="56">
        <v>0</v>
      </c>
      <c r="I232" s="58">
        <v>0.22185299999999999</v>
      </c>
      <c r="J232" s="57">
        <v>0.319496</v>
      </c>
      <c r="K232" s="56"/>
      <c r="L232" s="56" t="s">
        <v>488</v>
      </c>
    </row>
    <row r="233" spans="2:12" x14ac:dyDescent="0.2">
      <c r="B233" s="62" t="s">
        <v>5808</v>
      </c>
      <c r="C233" s="61" t="s">
        <v>502</v>
      </c>
      <c r="D233" s="60">
        <v>1.51372</v>
      </c>
      <c r="E233" s="59">
        <v>3.22689</v>
      </c>
      <c r="F233" s="59">
        <v>3.8134600000000001</v>
      </c>
      <c r="G233" s="56">
        <v>0</v>
      </c>
      <c r="H233" s="56">
        <v>0</v>
      </c>
      <c r="I233" s="58">
        <v>0.219918</v>
      </c>
      <c r="J233" s="57">
        <v>0.29094700000000001</v>
      </c>
      <c r="K233" s="56"/>
      <c r="L233" s="56" t="s">
        <v>488</v>
      </c>
    </row>
    <row r="234" spans="2:12" x14ac:dyDescent="0.2">
      <c r="B234" s="62" t="s">
        <v>5807</v>
      </c>
      <c r="C234" s="61" t="s">
        <v>587</v>
      </c>
      <c r="D234" s="60">
        <v>2.1424799999999999</v>
      </c>
      <c r="E234" s="59">
        <v>4.2716599999999998</v>
      </c>
      <c r="F234" s="59">
        <v>5.3461699999999999</v>
      </c>
      <c r="G234" s="56">
        <v>253.66200000000001</v>
      </c>
      <c r="H234" s="56">
        <v>118.396</v>
      </c>
      <c r="I234" s="58">
        <v>0.214029</v>
      </c>
      <c r="J234" s="57">
        <v>0.17945700000000001</v>
      </c>
      <c r="K234" s="56"/>
      <c r="L234" s="56" t="s">
        <v>488</v>
      </c>
    </row>
    <row r="235" spans="2:12" x14ac:dyDescent="0.2">
      <c r="B235" s="62" t="s">
        <v>5806</v>
      </c>
      <c r="C235" s="61" t="s">
        <v>502</v>
      </c>
      <c r="D235" s="60">
        <v>1.4937499999999999</v>
      </c>
      <c r="E235" s="59">
        <v>3.2263099999999998</v>
      </c>
      <c r="F235" s="59">
        <v>4.2255799999999999</v>
      </c>
      <c r="G235" s="56">
        <v>0</v>
      </c>
      <c r="H235" s="56">
        <v>0</v>
      </c>
      <c r="I235" s="58">
        <v>0.27439000000000002</v>
      </c>
      <c r="J235" s="57">
        <v>0.28082699999999999</v>
      </c>
      <c r="K235" s="56"/>
      <c r="L235" s="56" t="s">
        <v>488</v>
      </c>
    </row>
    <row r="236" spans="2:12" x14ac:dyDescent="0.2">
      <c r="B236" s="62" t="s">
        <v>5805</v>
      </c>
      <c r="C236" s="61" t="s">
        <v>502</v>
      </c>
      <c r="D236" s="60">
        <v>1.5111600000000001</v>
      </c>
      <c r="E236" s="59">
        <v>3.2069999999999999</v>
      </c>
      <c r="F236" s="59">
        <v>4.2064199999999996</v>
      </c>
      <c r="G236" s="56">
        <v>0</v>
      </c>
      <c r="H236" s="56">
        <v>0</v>
      </c>
      <c r="I236" s="58">
        <v>0.26152999999999998</v>
      </c>
      <c r="J236" s="57">
        <v>0.27182400000000001</v>
      </c>
      <c r="K236" s="56"/>
      <c r="L236" s="56" t="s">
        <v>488</v>
      </c>
    </row>
    <row r="237" spans="2:12" x14ac:dyDescent="0.2">
      <c r="B237" s="62" t="s">
        <v>5804</v>
      </c>
      <c r="C237" s="61" t="s">
        <v>502</v>
      </c>
      <c r="D237" s="60">
        <v>1.5223500000000001</v>
      </c>
      <c r="E237" s="59">
        <v>3.2593299999999998</v>
      </c>
      <c r="F237" s="59">
        <v>4.2544899999999997</v>
      </c>
      <c r="G237" s="56">
        <v>0</v>
      </c>
      <c r="H237" s="56">
        <v>0</v>
      </c>
      <c r="I237" s="58">
        <v>0.26109500000000002</v>
      </c>
      <c r="J237" s="57">
        <v>0.267878</v>
      </c>
      <c r="K237" s="56"/>
      <c r="L237" s="56" t="s">
        <v>488</v>
      </c>
    </row>
    <row r="238" spans="2:12" x14ac:dyDescent="0.2">
      <c r="B238" s="62" t="s">
        <v>5803</v>
      </c>
      <c r="C238" s="61" t="s">
        <v>502</v>
      </c>
      <c r="D238" s="60">
        <v>1.5025500000000001</v>
      </c>
      <c r="E238" s="59">
        <v>3.2876400000000001</v>
      </c>
      <c r="F238" s="59">
        <v>4.27372</v>
      </c>
      <c r="G238" s="56">
        <v>0</v>
      </c>
      <c r="H238" s="56">
        <v>0</v>
      </c>
      <c r="I238" s="58">
        <v>0.27068399999999998</v>
      </c>
      <c r="J238" s="57">
        <v>0.27681299999999998</v>
      </c>
      <c r="K238" s="56"/>
      <c r="L238" s="56" t="s">
        <v>488</v>
      </c>
    </row>
    <row r="239" spans="2:12" x14ac:dyDescent="0.2">
      <c r="B239" s="62" t="s">
        <v>5802</v>
      </c>
      <c r="C239" s="61" t="s">
        <v>502</v>
      </c>
      <c r="D239" s="60">
        <v>1.48559</v>
      </c>
      <c r="E239" s="59">
        <v>3.25563</v>
      </c>
      <c r="F239" s="59">
        <v>4.2762399999999996</v>
      </c>
      <c r="G239" s="56">
        <v>0</v>
      </c>
      <c r="H239" s="56">
        <v>0</v>
      </c>
      <c r="I239" s="58">
        <v>0.26991100000000001</v>
      </c>
      <c r="J239" s="57">
        <v>0.28251799999999999</v>
      </c>
      <c r="K239" s="56"/>
      <c r="L239" s="56" t="s">
        <v>488</v>
      </c>
    </row>
    <row r="240" spans="2:12" x14ac:dyDescent="0.2">
      <c r="B240" s="62" t="s">
        <v>5801</v>
      </c>
      <c r="C240" s="61" t="s">
        <v>625</v>
      </c>
      <c r="D240" s="60">
        <v>1.4486600000000001</v>
      </c>
      <c r="E240" s="59">
        <v>3.86822</v>
      </c>
      <c r="F240" s="59">
        <v>5.1148300000000004</v>
      </c>
      <c r="G240" s="56">
        <v>360.46100000000001</v>
      </c>
      <c r="H240" s="56">
        <v>248.82400000000001</v>
      </c>
      <c r="I240" s="58">
        <v>0.34378399999999998</v>
      </c>
      <c r="J240" s="57">
        <v>0.3735</v>
      </c>
      <c r="K240" s="56"/>
      <c r="L240" s="56" t="s">
        <v>488</v>
      </c>
    </row>
    <row r="241" spans="2:12" x14ac:dyDescent="0.2">
      <c r="B241" s="62" t="s">
        <v>5800</v>
      </c>
      <c r="C241" s="61" t="s">
        <v>510</v>
      </c>
      <c r="D241" s="60">
        <v>1.71407</v>
      </c>
      <c r="E241" s="59">
        <v>3.05498</v>
      </c>
      <c r="F241" s="59">
        <v>4.2410699999999997</v>
      </c>
      <c r="G241" s="56">
        <v>0</v>
      </c>
      <c r="H241" s="56">
        <v>0</v>
      </c>
      <c r="I241" s="58">
        <v>0.32623099999999999</v>
      </c>
      <c r="J241" s="57">
        <v>0.26059900000000003</v>
      </c>
      <c r="K241" s="56"/>
      <c r="L241" s="56" t="s">
        <v>488</v>
      </c>
    </row>
    <row r="242" spans="2:12" x14ac:dyDescent="0.2">
      <c r="B242" s="62" t="s">
        <v>5799</v>
      </c>
      <c r="C242" s="61" t="s">
        <v>708</v>
      </c>
      <c r="D242" s="60">
        <v>1.01674</v>
      </c>
      <c r="E242" s="59">
        <v>6.3091400000000002</v>
      </c>
      <c r="F242" s="59">
        <v>7.5476299999999998</v>
      </c>
      <c r="G242" s="56">
        <v>1325.3</v>
      </c>
      <c r="H242" s="56">
        <v>1303.48</v>
      </c>
      <c r="I242" s="58">
        <v>0.54030699999999998</v>
      </c>
      <c r="J242" s="57">
        <v>0.59756500000000001</v>
      </c>
      <c r="K242" s="56" t="s">
        <v>5798</v>
      </c>
      <c r="L242" s="56" t="s">
        <v>563</v>
      </c>
    </row>
    <row r="243" spans="2:12" x14ac:dyDescent="0.2">
      <c r="B243" s="62" t="s">
        <v>5797</v>
      </c>
      <c r="C243" s="61" t="s">
        <v>510</v>
      </c>
      <c r="D243" s="60">
        <v>0.91897700000000004</v>
      </c>
      <c r="E243" s="59">
        <v>5.4126700000000003</v>
      </c>
      <c r="F243" s="59">
        <v>6.4476399999999998</v>
      </c>
      <c r="G243" s="56">
        <v>1963.28</v>
      </c>
      <c r="H243" s="56">
        <v>2136.38</v>
      </c>
      <c r="I243" s="58">
        <v>0.67072100000000001</v>
      </c>
      <c r="J243" s="57">
        <v>0.68833</v>
      </c>
      <c r="K243" s="56"/>
      <c r="L243" s="56" t="s">
        <v>488</v>
      </c>
    </row>
    <row r="244" spans="2:12" x14ac:dyDescent="0.2">
      <c r="B244" s="62" t="s">
        <v>5796</v>
      </c>
      <c r="C244" s="61" t="s">
        <v>510</v>
      </c>
      <c r="D244" s="60">
        <v>0.95933900000000005</v>
      </c>
      <c r="E244" s="59">
        <v>5.2184499999999998</v>
      </c>
      <c r="F244" s="59">
        <v>6.1921499999999998</v>
      </c>
      <c r="G244" s="56">
        <v>1583.52</v>
      </c>
      <c r="H244" s="56">
        <v>1650.64</v>
      </c>
      <c r="I244" s="58">
        <v>0.65796100000000002</v>
      </c>
      <c r="J244" s="57">
        <v>0.64771800000000002</v>
      </c>
      <c r="K244" s="56"/>
      <c r="L244" s="56" t="s">
        <v>488</v>
      </c>
    </row>
    <row r="245" spans="2:12" x14ac:dyDescent="0.2">
      <c r="B245" s="62" t="s">
        <v>5795</v>
      </c>
      <c r="C245" s="61" t="s">
        <v>510</v>
      </c>
      <c r="D245" s="60">
        <v>1.0048999999999999</v>
      </c>
      <c r="E245" s="59">
        <v>5.7294799999999997</v>
      </c>
      <c r="F245" s="59">
        <v>7.7090100000000001</v>
      </c>
      <c r="G245" s="56">
        <v>1557.59</v>
      </c>
      <c r="H245" s="56">
        <v>1550.01</v>
      </c>
      <c r="I245" s="58">
        <v>0.60819299999999998</v>
      </c>
      <c r="J245" s="57">
        <v>0.59208400000000005</v>
      </c>
      <c r="K245" s="56"/>
      <c r="L245" s="56" t="s">
        <v>488</v>
      </c>
    </row>
    <row r="246" spans="2:12" x14ac:dyDescent="0.2">
      <c r="B246" s="62" t="s">
        <v>5794</v>
      </c>
      <c r="C246" s="61" t="s">
        <v>495</v>
      </c>
      <c r="D246" s="60">
        <v>1.2050399999999999</v>
      </c>
      <c r="E246" s="59">
        <v>2.8908900000000002</v>
      </c>
      <c r="F246" s="59">
        <v>6.4444100000000004</v>
      </c>
      <c r="G246" s="56">
        <v>0</v>
      </c>
      <c r="H246" s="56">
        <v>0</v>
      </c>
      <c r="I246" s="58">
        <v>0.12565999999999999</v>
      </c>
      <c r="J246" s="57">
        <v>0.36671599999999999</v>
      </c>
      <c r="K246" s="56"/>
      <c r="L246" s="56" t="s">
        <v>488</v>
      </c>
    </row>
    <row r="247" spans="2:12" x14ac:dyDescent="0.2">
      <c r="B247" s="62" t="s">
        <v>5793</v>
      </c>
      <c r="C247" s="61" t="s">
        <v>587</v>
      </c>
      <c r="D247" s="60">
        <v>3.3159800000000001</v>
      </c>
      <c r="E247" s="59">
        <v>2.6091299999999999</v>
      </c>
      <c r="F247" s="59">
        <v>3.1862200000000001</v>
      </c>
      <c r="G247" s="56">
        <v>0</v>
      </c>
      <c r="H247" s="56">
        <v>0</v>
      </c>
      <c r="I247" s="58">
        <v>9.9805599999999994E-2</v>
      </c>
      <c r="J247" s="57">
        <v>7.5611899999999996E-2</v>
      </c>
      <c r="K247" s="56"/>
      <c r="L247" s="56" t="s">
        <v>488</v>
      </c>
    </row>
    <row r="248" spans="2:12" x14ac:dyDescent="0.2">
      <c r="B248" s="62" t="s">
        <v>5792</v>
      </c>
      <c r="C248" s="61" t="s">
        <v>587</v>
      </c>
      <c r="D248" s="60">
        <v>3.3886099999999999</v>
      </c>
      <c r="E248" s="59">
        <v>2.7303799999999998</v>
      </c>
      <c r="F248" s="59">
        <v>3.2216300000000002</v>
      </c>
      <c r="G248" s="56">
        <v>0</v>
      </c>
      <c r="H248" s="56">
        <v>0</v>
      </c>
      <c r="I248" s="58">
        <v>9.6874399999999999E-2</v>
      </c>
      <c r="J248" s="57">
        <v>7.1825200000000006E-2</v>
      </c>
      <c r="K248" s="56"/>
      <c r="L248" s="56" t="s">
        <v>488</v>
      </c>
    </row>
    <row r="249" spans="2:12" x14ac:dyDescent="0.2">
      <c r="B249" s="62" t="s">
        <v>5791</v>
      </c>
      <c r="C249" s="61" t="s">
        <v>573</v>
      </c>
      <c r="D249" s="60">
        <v>1.37401</v>
      </c>
      <c r="E249" s="59">
        <v>7.4393200000000004</v>
      </c>
      <c r="F249" s="59">
        <v>8.6849699999999999</v>
      </c>
      <c r="G249" s="56">
        <v>981.21100000000001</v>
      </c>
      <c r="H249" s="56">
        <v>714.12199999999996</v>
      </c>
      <c r="I249" s="58">
        <v>0.39085999999999999</v>
      </c>
      <c r="J249" s="57">
        <v>0.41509699999999999</v>
      </c>
      <c r="K249" s="56"/>
      <c r="L249" s="56" t="s">
        <v>488</v>
      </c>
    </row>
    <row r="250" spans="2:12" x14ac:dyDescent="0.2">
      <c r="B250" s="62" t="s">
        <v>5790</v>
      </c>
      <c r="C250" s="61" t="s">
        <v>499</v>
      </c>
      <c r="D250" s="60">
        <v>1.4812000000000001</v>
      </c>
      <c r="E250" s="59">
        <v>2.5568499999999998</v>
      </c>
      <c r="F250" s="59">
        <v>7.7383699999999997</v>
      </c>
      <c r="G250" s="56">
        <v>0</v>
      </c>
      <c r="H250" s="56">
        <v>0</v>
      </c>
      <c r="I250" s="58">
        <v>0.20937800000000001</v>
      </c>
      <c r="J250" s="57">
        <v>0.26472499999999999</v>
      </c>
      <c r="K250" s="56"/>
      <c r="L250" s="56" t="s">
        <v>488</v>
      </c>
    </row>
    <row r="251" spans="2:12" x14ac:dyDescent="0.2">
      <c r="B251" s="62" t="s">
        <v>5789</v>
      </c>
      <c r="C251" s="61" t="s">
        <v>510</v>
      </c>
      <c r="D251" s="60">
        <v>1.44336</v>
      </c>
      <c r="E251" s="59">
        <v>2.5933700000000002</v>
      </c>
      <c r="F251" s="59">
        <v>7.7481799999999996</v>
      </c>
      <c r="G251" s="56">
        <v>0</v>
      </c>
      <c r="H251" s="56">
        <v>0</v>
      </c>
      <c r="I251" s="58">
        <v>0.20993899999999999</v>
      </c>
      <c r="J251" s="57">
        <v>0.27043600000000001</v>
      </c>
      <c r="K251" s="56"/>
      <c r="L251" s="56" t="s">
        <v>488</v>
      </c>
    </row>
    <row r="252" spans="2:12" x14ac:dyDescent="0.2">
      <c r="B252" s="62" t="s">
        <v>5788</v>
      </c>
      <c r="C252" s="61" t="s">
        <v>502</v>
      </c>
      <c r="D252" s="60">
        <v>1.4560900000000001</v>
      </c>
      <c r="E252" s="59">
        <v>2.7399</v>
      </c>
      <c r="F252" s="59">
        <v>7.6589600000000004</v>
      </c>
      <c r="G252" s="56">
        <v>0</v>
      </c>
      <c r="H252" s="56">
        <v>0</v>
      </c>
      <c r="I252" s="58">
        <v>0.20677400000000001</v>
      </c>
      <c r="J252" s="57">
        <v>0.27768199999999998</v>
      </c>
      <c r="K252" s="56"/>
      <c r="L252" s="56" t="s">
        <v>488</v>
      </c>
    </row>
    <row r="253" spans="2:12" x14ac:dyDescent="0.2">
      <c r="B253" s="62" t="s">
        <v>5787</v>
      </c>
      <c r="C253" s="61" t="s">
        <v>625</v>
      </c>
      <c r="D253" s="60">
        <v>1.4607300000000001</v>
      </c>
      <c r="E253" s="59">
        <v>3.4174699999999998</v>
      </c>
      <c r="F253" s="59">
        <v>5.89133</v>
      </c>
      <c r="G253" s="56">
        <v>0</v>
      </c>
      <c r="H253" s="56">
        <v>0</v>
      </c>
      <c r="I253" s="58">
        <v>0.24867400000000001</v>
      </c>
      <c r="J253" s="57">
        <v>0.29602699999999998</v>
      </c>
      <c r="K253" s="56"/>
      <c r="L253" s="56" t="s">
        <v>492</v>
      </c>
    </row>
    <row r="254" spans="2:12" x14ac:dyDescent="0.2">
      <c r="B254" s="62" t="s">
        <v>5786</v>
      </c>
      <c r="C254" s="61" t="s">
        <v>499</v>
      </c>
      <c r="D254" s="60">
        <v>0.92578300000000002</v>
      </c>
      <c r="E254" s="59">
        <v>5.3011499999999998</v>
      </c>
      <c r="F254" s="59">
        <v>5.4946000000000002</v>
      </c>
      <c r="G254" s="56">
        <v>1180.44</v>
      </c>
      <c r="H254" s="56">
        <v>1275.07</v>
      </c>
      <c r="I254" s="58">
        <v>0.60289800000000004</v>
      </c>
      <c r="J254" s="57">
        <v>0.66248300000000004</v>
      </c>
      <c r="K254" s="56"/>
      <c r="L254" s="56" t="s">
        <v>488</v>
      </c>
    </row>
    <row r="255" spans="2:12" x14ac:dyDescent="0.2">
      <c r="B255" s="62" t="s">
        <v>5785</v>
      </c>
      <c r="C255" s="61" t="s">
        <v>510</v>
      </c>
      <c r="D255" s="60">
        <v>1.0302199999999999</v>
      </c>
      <c r="E255" s="59">
        <v>4.5914200000000003</v>
      </c>
      <c r="F255" s="59">
        <v>5.4724399999999997</v>
      </c>
      <c r="G255" s="56">
        <v>1227.8499999999999</v>
      </c>
      <c r="H255" s="56">
        <v>1191.8399999999999</v>
      </c>
      <c r="I255" s="58">
        <v>0.49109799999999998</v>
      </c>
      <c r="J255" s="57">
        <v>0.53767200000000004</v>
      </c>
      <c r="K255" s="56"/>
      <c r="L255" s="56" t="s">
        <v>488</v>
      </c>
    </row>
    <row r="256" spans="2:12" x14ac:dyDescent="0.2">
      <c r="B256" s="62" t="s">
        <v>5784</v>
      </c>
      <c r="C256" s="61" t="s">
        <v>2502</v>
      </c>
      <c r="D256" s="60">
        <v>2.3731499999999999</v>
      </c>
      <c r="E256" s="59">
        <v>2.8989199999999999</v>
      </c>
      <c r="F256" s="59">
        <v>4.0071099999999999</v>
      </c>
      <c r="G256" s="56">
        <v>0</v>
      </c>
      <c r="H256" s="56">
        <v>0</v>
      </c>
      <c r="I256" s="58">
        <v>0.11455600000000001</v>
      </c>
      <c r="J256" s="57">
        <v>0.13408</v>
      </c>
      <c r="K256" s="56"/>
      <c r="L256" s="56" t="s">
        <v>488</v>
      </c>
    </row>
    <row r="257" spans="2:12" x14ac:dyDescent="0.2">
      <c r="B257" s="62" t="s">
        <v>5783</v>
      </c>
      <c r="C257" s="61" t="s">
        <v>5782</v>
      </c>
      <c r="D257" s="60">
        <v>2.3845499999999999</v>
      </c>
      <c r="E257" s="59">
        <v>2.6543899999999998</v>
      </c>
      <c r="F257" s="59">
        <v>4.0639399999999997</v>
      </c>
      <c r="G257" s="56">
        <v>0</v>
      </c>
      <c r="H257" s="56">
        <v>0</v>
      </c>
      <c r="I257" s="58">
        <v>0.106449</v>
      </c>
      <c r="J257" s="57">
        <v>0.13451399999999999</v>
      </c>
      <c r="K257" s="56"/>
      <c r="L257" s="56" t="s">
        <v>488</v>
      </c>
    </row>
    <row r="258" spans="2:12" x14ac:dyDescent="0.2">
      <c r="B258" s="62" t="s">
        <v>5781</v>
      </c>
      <c r="C258" s="61" t="s">
        <v>5780</v>
      </c>
      <c r="D258" s="60">
        <v>2.3203</v>
      </c>
      <c r="E258" s="59">
        <v>2.6666300000000001</v>
      </c>
      <c r="F258" s="59">
        <v>4.0747499999999999</v>
      </c>
      <c r="G258" s="56">
        <v>0</v>
      </c>
      <c r="H258" s="56">
        <v>0</v>
      </c>
      <c r="I258" s="58">
        <v>0.10560799999999999</v>
      </c>
      <c r="J258" s="57">
        <v>0.13977700000000001</v>
      </c>
      <c r="K258" s="56"/>
      <c r="L258" s="56" t="s">
        <v>488</v>
      </c>
    </row>
    <row r="259" spans="2:12" x14ac:dyDescent="0.2">
      <c r="B259" s="62" t="s">
        <v>5779</v>
      </c>
      <c r="C259" s="61" t="s">
        <v>4197</v>
      </c>
      <c r="D259" s="60">
        <v>2.2788599999999999</v>
      </c>
      <c r="E259" s="59">
        <v>2.7624900000000001</v>
      </c>
      <c r="F259" s="59">
        <v>4.0953900000000001</v>
      </c>
      <c r="G259" s="56">
        <v>0</v>
      </c>
      <c r="H259" s="56">
        <v>0</v>
      </c>
      <c r="I259" s="58">
        <v>0.10731300000000001</v>
      </c>
      <c r="J259" s="57">
        <v>0.143177</v>
      </c>
      <c r="K259" s="56"/>
      <c r="L259" s="56" t="s">
        <v>488</v>
      </c>
    </row>
    <row r="260" spans="2:12" x14ac:dyDescent="0.2">
      <c r="B260" s="62" t="s">
        <v>5778</v>
      </c>
      <c r="C260" s="61" t="s">
        <v>2130</v>
      </c>
      <c r="D260" s="60">
        <v>2.3395100000000002</v>
      </c>
      <c r="E260" s="59">
        <v>2.9013100000000001</v>
      </c>
      <c r="F260" s="59">
        <v>4.0234100000000002</v>
      </c>
      <c r="G260" s="56">
        <v>0</v>
      </c>
      <c r="H260" s="56">
        <v>0</v>
      </c>
      <c r="I260" s="58">
        <v>0.113846</v>
      </c>
      <c r="J260" s="57">
        <v>0.137541</v>
      </c>
      <c r="K260" s="56"/>
      <c r="L260" s="56" t="s">
        <v>488</v>
      </c>
    </row>
    <row r="261" spans="2:12" x14ac:dyDescent="0.2">
      <c r="B261" s="62" t="s">
        <v>5777</v>
      </c>
      <c r="C261" s="61" t="s">
        <v>2504</v>
      </c>
      <c r="D261" s="60">
        <v>2.3595199999999998</v>
      </c>
      <c r="E261" s="59">
        <v>2.7398600000000002</v>
      </c>
      <c r="F261" s="59">
        <v>4.0623399999999998</v>
      </c>
      <c r="G261" s="56">
        <v>0</v>
      </c>
      <c r="H261" s="56">
        <v>0</v>
      </c>
      <c r="I261" s="58">
        <v>0.111614</v>
      </c>
      <c r="J261" s="57">
        <v>0.13697100000000001</v>
      </c>
      <c r="K261" s="56"/>
      <c r="L261" s="56" t="s">
        <v>488</v>
      </c>
    </row>
    <row r="262" spans="2:12" x14ac:dyDescent="0.2">
      <c r="B262" s="62" t="s">
        <v>5776</v>
      </c>
      <c r="C262" s="61" t="s">
        <v>616</v>
      </c>
      <c r="D262" s="60">
        <v>2.7191800000000002</v>
      </c>
      <c r="E262" s="59">
        <v>5.6867099999999997</v>
      </c>
      <c r="F262" s="59">
        <v>7.29901</v>
      </c>
      <c r="G262" s="56">
        <v>1237.9000000000001</v>
      </c>
      <c r="H262" s="56">
        <v>455.24900000000002</v>
      </c>
      <c r="I262" s="58">
        <v>0.53326399999999996</v>
      </c>
      <c r="J262" s="57">
        <v>0.214335</v>
      </c>
      <c r="K262" s="56"/>
      <c r="L262" s="56" t="s">
        <v>488</v>
      </c>
    </row>
    <row r="263" spans="2:12" x14ac:dyDescent="0.2">
      <c r="B263" s="62" t="s">
        <v>5775</v>
      </c>
      <c r="C263" s="61" t="s">
        <v>1637</v>
      </c>
      <c r="D263" s="60">
        <v>1.5294399999999999</v>
      </c>
      <c r="E263" s="59">
        <v>3.2942399999999998</v>
      </c>
      <c r="F263" s="59">
        <v>6.6974799999999997</v>
      </c>
      <c r="G263" s="56">
        <v>0</v>
      </c>
      <c r="H263" s="56">
        <v>0</v>
      </c>
      <c r="I263" s="58">
        <v>0.23319100000000001</v>
      </c>
      <c r="J263" s="57">
        <v>0.30595699999999998</v>
      </c>
      <c r="K263" s="56"/>
      <c r="L263" s="56" t="s">
        <v>488</v>
      </c>
    </row>
    <row r="264" spans="2:12" x14ac:dyDescent="0.2">
      <c r="B264" s="62" t="s">
        <v>5774</v>
      </c>
      <c r="C264" s="61" t="s">
        <v>798</v>
      </c>
      <c r="D264" s="60">
        <v>1.4993300000000001</v>
      </c>
      <c r="E264" s="59">
        <v>5.0662799999999999</v>
      </c>
      <c r="F264" s="59">
        <v>5.3137600000000003</v>
      </c>
      <c r="G264" s="56">
        <v>689.71299999999997</v>
      </c>
      <c r="H264" s="56">
        <v>460.01400000000001</v>
      </c>
      <c r="I264" s="58">
        <v>0.35690100000000002</v>
      </c>
      <c r="J264" s="57">
        <v>0.29344900000000002</v>
      </c>
      <c r="K264" s="56"/>
      <c r="L264" s="56" t="s">
        <v>488</v>
      </c>
    </row>
    <row r="265" spans="2:12" x14ac:dyDescent="0.2">
      <c r="B265" s="62" t="s">
        <v>5773</v>
      </c>
      <c r="C265" s="61" t="s">
        <v>1380</v>
      </c>
      <c r="D265" s="60">
        <v>1.6450100000000001</v>
      </c>
      <c r="E265" s="59">
        <v>2.9361600000000001</v>
      </c>
      <c r="F265" s="59">
        <v>3.9472800000000001</v>
      </c>
      <c r="G265" s="56">
        <v>0</v>
      </c>
      <c r="H265" s="56">
        <v>0</v>
      </c>
      <c r="I265" s="58">
        <v>0.132045</v>
      </c>
      <c r="J265" s="57">
        <v>0.22974</v>
      </c>
      <c r="K265" s="56"/>
      <c r="L265" s="56" t="s">
        <v>492</v>
      </c>
    </row>
    <row r="266" spans="2:12" x14ac:dyDescent="0.2">
      <c r="B266" s="62" t="s">
        <v>5772</v>
      </c>
      <c r="C266" s="61" t="s">
        <v>502</v>
      </c>
      <c r="D266" s="60">
        <v>0.34005299999999999</v>
      </c>
      <c r="E266" s="59">
        <v>8.5838400000000004</v>
      </c>
      <c r="F266" s="59">
        <v>20.238949999999999</v>
      </c>
      <c r="G266" s="56">
        <v>1859.94</v>
      </c>
      <c r="H266" s="56">
        <v>5469.55</v>
      </c>
      <c r="I266" s="58">
        <v>0.90890199999999999</v>
      </c>
      <c r="J266" s="57">
        <v>2.5363000000000002</v>
      </c>
      <c r="K266" s="56"/>
      <c r="L266" s="56" t="s">
        <v>488</v>
      </c>
    </row>
    <row r="267" spans="2:12" x14ac:dyDescent="0.2">
      <c r="B267" s="62" t="s">
        <v>5771</v>
      </c>
      <c r="C267" s="61" t="s">
        <v>502</v>
      </c>
      <c r="D267" s="60">
        <v>0.126526</v>
      </c>
      <c r="E267" s="59">
        <v>24.24061</v>
      </c>
      <c r="F267" s="59">
        <v>42.798160000000003</v>
      </c>
      <c r="G267" s="56">
        <v>832.65899999999999</v>
      </c>
      <c r="H267" s="56">
        <v>6580.94</v>
      </c>
      <c r="I267" s="58">
        <v>0.96542300000000003</v>
      </c>
      <c r="J267" s="57">
        <v>7.4579199999999997</v>
      </c>
      <c r="K267" s="56"/>
      <c r="L267" s="56" t="s">
        <v>488</v>
      </c>
    </row>
    <row r="268" spans="2:12" x14ac:dyDescent="0.2">
      <c r="B268" s="62" t="s">
        <v>5770</v>
      </c>
      <c r="C268" s="61" t="s">
        <v>502</v>
      </c>
      <c r="D268" s="60">
        <v>0.334895</v>
      </c>
      <c r="E268" s="59">
        <v>13.963200000000001</v>
      </c>
      <c r="F268" s="59">
        <v>27.246590000000001</v>
      </c>
      <c r="G268" s="56">
        <v>1547.04</v>
      </c>
      <c r="H268" s="56">
        <v>4619.47</v>
      </c>
      <c r="I268" s="58">
        <v>0.88440099999999999</v>
      </c>
      <c r="J268" s="57">
        <v>2.55654</v>
      </c>
      <c r="K268" s="56"/>
      <c r="L268" s="56" t="s">
        <v>488</v>
      </c>
    </row>
    <row r="269" spans="2:12" x14ac:dyDescent="0.2">
      <c r="B269" s="62" t="s">
        <v>5769</v>
      </c>
      <c r="C269" s="61" t="s">
        <v>495</v>
      </c>
      <c r="D269" s="60">
        <v>0.62129400000000001</v>
      </c>
      <c r="E269" s="59">
        <v>12.10117</v>
      </c>
      <c r="F269" s="59">
        <v>13.370189999999999</v>
      </c>
      <c r="G269" s="56">
        <v>2004.44</v>
      </c>
      <c r="H269" s="56">
        <v>3226.23</v>
      </c>
      <c r="I269" s="58">
        <v>0.79195400000000005</v>
      </c>
      <c r="J269" s="57">
        <v>1.19981</v>
      </c>
      <c r="K269" s="56"/>
      <c r="L269" s="56" t="s">
        <v>488</v>
      </c>
    </row>
    <row r="270" spans="2:12" x14ac:dyDescent="0.2">
      <c r="B270" s="62" t="s">
        <v>5768</v>
      </c>
      <c r="C270" s="61" t="s">
        <v>495</v>
      </c>
      <c r="D270" s="60">
        <v>0.77045300000000005</v>
      </c>
      <c r="E270" s="59">
        <v>7.4642099999999996</v>
      </c>
      <c r="F270" s="59">
        <v>8.7590199999999996</v>
      </c>
      <c r="G270" s="56">
        <v>1836.96</v>
      </c>
      <c r="H270" s="56">
        <v>2384.25</v>
      </c>
      <c r="I270" s="58">
        <v>0.71353100000000003</v>
      </c>
      <c r="J270" s="57">
        <v>0.89344900000000005</v>
      </c>
      <c r="K270" s="56"/>
      <c r="L270" s="56" t="s">
        <v>488</v>
      </c>
    </row>
    <row r="271" spans="2:12" x14ac:dyDescent="0.2">
      <c r="B271" s="62" t="s">
        <v>5767</v>
      </c>
      <c r="C271" s="61" t="s">
        <v>708</v>
      </c>
      <c r="D271" s="60">
        <v>1.31454</v>
      </c>
      <c r="E271" s="59">
        <v>4.4226099999999997</v>
      </c>
      <c r="F271" s="59">
        <v>4.7662199999999997</v>
      </c>
      <c r="G271" s="56">
        <v>575.01900000000001</v>
      </c>
      <c r="H271" s="56">
        <v>437.43099999999998</v>
      </c>
      <c r="I271" s="58">
        <v>0.50238300000000002</v>
      </c>
      <c r="J271" s="57">
        <v>0.36548199999999997</v>
      </c>
      <c r="K271" s="56"/>
      <c r="L271" s="56" t="s">
        <v>488</v>
      </c>
    </row>
    <row r="272" spans="2:12" x14ac:dyDescent="0.2">
      <c r="B272" s="62" t="s">
        <v>5766</v>
      </c>
      <c r="C272" s="61" t="s">
        <v>5765</v>
      </c>
      <c r="D272" s="60">
        <v>0.46244499999999999</v>
      </c>
      <c r="E272" s="59">
        <v>31.49051</v>
      </c>
      <c r="F272" s="59">
        <v>33.058630000000001</v>
      </c>
      <c r="G272" s="56">
        <v>1338.59</v>
      </c>
      <c r="H272" s="56">
        <v>2894.58</v>
      </c>
      <c r="I272" s="58">
        <v>0.86359300000000006</v>
      </c>
      <c r="J272" s="57">
        <v>1.80121</v>
      </c>
      <c r="K272" s="56"/>
      <c r="L272" s="56" t="s">
        <v>488</v>
      </c>
    </row>
    <row r="273" spans="2:12" x14ac:dyDescent="0.2">
      <c r="B273" s="62" t="s">
        <v>5764</v>
      </c>
      <c r="C273" s="61" t="s">
        <v>526</v>
      </c>
      <c r="D273" s="60">
        <v>0.65259100000000003</v>
      </c>
      <c r="E273" s="59">
        <v>6.75108</v>
      </c>
      <c r="F273" s="59">
        <v>9.2614999999999998</v>
      </c>
      <c r="G273" s="56">
        <v>2239.34</v>
      </c>
      <c r="H273" s="56">
        <v>3431.47</v>
      </c>
      <c r="I273" s="58">
        <v>0.77551000000000003</v>
      </c>
      <c r="J273" s="57">
        <v>1.1153299999999999</v>
      </c>
      <c r="K273" s="56" t="s">
        <v>3968</v>
      </c>
      <c r="L273" s="56" t="s">
        <v>563</v>
      </c>
    </row>
    <row r="274" spans="2:12" x14ac:dyDescent="0.2">
      <c r="B274" s="62" t="s">
        <v>5763</v>
      </c>
      <c r="C274" s="61" t="s">
        <v>1174</v>
      </c>
      <c r="D274" s="60">
        <v>0.97601800000000005</v>
      </c>
      <c r="E274" s="59">
        <v>2.5705100000000001</v>
      </c>
      <c r="F274" s="59">
        <v>4.23611</v>
      </c>
      <c r="G274" s="56">
        <v>0</v>
      </c>
      <c r="H274" s="56">
        <v>0</v>
      </c>
      <c r="I274" s="58">
        <v>0.211206</v>
      </c>
      <c r="J274" s="57">
        <v>0.51608200000000004</v>
      </c>
      <c r="K274" s="56"/>
      <c r="L274" s="56" t="s">
        <v>488</v>
      </c>
    </row>
    <row r="275" spans="2:12" x14ac:dyDescent="0.2">
      <c r="B275" s="62" t="s">
        <v>5762</v>
      </c>
      <c r="C275" s="61" t="s">
        <v>632</v>
      </c>
      <c r="D275" s="60">
        <v>2.8923399999999999</v>
      </c>
      <c r="E275" s="59">
        <v>3.3801000000000001</v>
      </c>
      <c r="F275" s="59">
        <v>4.0368399999999998</v>
      </c>
      <c r="G275" s="56">
        <v>0</v>
      </c>
      <c r="H275" s="56">
        <v>0</v>
      </c>
      <c r="I275" s="58">
        <v>0.48618800000000001</v>
      </c>
      <c r="J275" s="57">
        <v>0.125669</v>
      </c>
      <c r="K275" s="56"/>
      <c r="L275" s="56" t="s">
        <v>488</v>
      </c>
    </row>
    <row r="276" spans="2:12" x14ac:dyDescent="0.2">
      <c r="B276" s="62" t="s">
        <v>5761</v>
      </c>
      <c r="C276" s="61" t="s">
        <v>1126</v>
      </c>
      <c r="D276" s="60">
        <v>2.0888800000000001</v>
      </c>
      <c r="E276" s="59">
        <v>4.5896400000000002</v>
      </c>
      <c r="F276" s="59">
        <v>5.4971699999999997</v>
      </c>
      <c r="G276" s="56">
        <v>703.03499999999997</v>
      </c>
      <c r="H276" s="56">
        <v>336.56</v>
      </c>
      <c r="I276" s="58">
        <v>0.29051199999999999</v>
      </c>
      <c r="J276" s="57">
        <v>0.217976</v>
      </c>
      <c r="K276" s="56"/>
      <c r="L276" s="56" t="s">
        <v>488</v>
      </c>
    </row>
    <row r="277" spans="2:12" x14ac:dyDescent="0.2">
      <c r="B277" s="62" t="s">
        <v>5760</v>
      </c>
      <c r="C277" s="61" t="s">
        <v>5759</v>
      </c>
      <c r="D277" s="60">
        <v>2.7436400000000001</v>
      </c>
      <c r="E277" s="59">
        <v>2.62615</v>
      </c>
      <c r="F277" s="59">
        <v>3.3836300000000001</v>
      </c>
      <c r="G277" s="56">
        <v>0</v>
      </c>
      <c r="H277" s="56">
        <v>0</v>
      </c>
      <c r="I277" s="58">
        <v>0.159412</v>
      </c>
      <c r="J277" s="57">
        <v>9.3260200000000001E-2</v>
      </c>
      <c r="K277" s="56"/>
      <c r="L277" s="56" t="s">
        <v>488</v>
      </c>
    </row>
    <row r="278" spans="2:12" x14ac:dyDescent="0.2">
      <c r="B278" s="62" t="s">
        <v>5758</v>
      </c>
      <c r="C278" s="61" t="s">
        <v>5756</v>
      </c>
      <c r="D278" s="60">
        <v>3.1922000000000001</v>
      </c>
      <c r="E278" s="59">
        <v>2.9224299999999999</v>
      </c>
      <c r="F278" s="59">
        <v>3.62967</v>
      </c>
      <c r="G278" s="56">
        <v>0</v>
      </c>
      <c r="H278" s="56">
        <v>0</v>
      </c>
      <c r="I278" s="58">
        <v>9.6690999999999999E-2</v>
      </c>
      <c r="J278" s="57">
        <v>9.6257499999999996E-2</v>
      </c>
      <c r="K278" s="56"/>
      <c r="L278" s="56" t="s">
        <v>488</v>
      </c>
    </row>
    <row r="279" spans="2:12" x14ac:dyDescent="0.2">
      <c r="B279" s="62" t="s">
        <v>5757</v>
      </c>
      <c r="C279" s="61" t="s">
        <v>5756</v>
      </c>
      <c r="D279" s="60">
        <v>3.1946500000000002</v>
      </c>
      <c r="E279" s="59">
        <v>3.0124900000000001</v>
      </c>
      <c r="F279" s="59">
        <v>3.67713</v>
      </c>
      <c r="G279" s="56">
        <v>0</v>
      </c>
      <c r="H279" s="56">
        <v>0</v>
      </c>
      <c r="I279" s="58">
        <v>8.9875099999999999E-2</v>
      </c>
      <c r="J279" s="57">
        <v>9.5650399999999997E-2</v>
      </c>
      <c r="K279" s="56"/>
      <c r="L279" s="56" t="s">
        <v>488</v>
      </c>
    </row>
    <row r="280" spans="2:12" x14ac:dyDescent="0.2">
      <c r="B280" s="62" t="s">
        <v>5755</v>
      </c>
      <c r="C280" s="61" t="s">
        <v>502</v>
      </c>
      <c r="D280" s="60">
        <v>1.2875399999999999</v>
      </c>
      <c r="E280" s="59">
        <v>5.2143499999999996</v>
      </c>
      <c r="F280" s="59">
        <v>7.2103599999999997</v>
      </c>
      <c r="G280" s="56">
        <v>735.74199999999996</v>
      </c>
      <c r="H280" s="56">
        <v>571.43299999999999</v>
      </c>
      <c r="I280" s="58">
        <v>0.306757</v>
      </c>
      <c r="J280" s="57">
        <v>0.35976000000000002</v>
      </c>
      <c r="K280" s="56"/>
      <c r="L280" s="56" t="s">
        <v>488</v>
      </c>
    </row>
    <row r="281" spans="2:12" x14ac:dyDescent="0.2">
      <c r="B281" s="62" t="s">
        <v>5754</v>
      </c>
      <c r="C281" s="61" t="s">
        <v>495</v>
      </c>
      <c r="D281" s="60">
        <v>1.03427</v>
      </c>
      <c r="E281" s="59">
        <v>4.2787800000000002</v>
      </c>
      <c r="F281" s="59">
        <v>5.9225599999999998</v>
      </c>
      <c r="G281" s="56">
        <v>1151.23</v>
      </c>
      <c r="H281" s="56">
        <v>1113.08</v>
      </c>
      <c r="I281" s="58">
        <v>0.54083099999999995</v>
      </c>
      <c r="J281" s="57">
        <v>0.55565500000000001</v>
      </c>
      <c r="K281" s="56"/>
      <c r="L281" s="56" t="s">
        <v>488</v>
      </c>
    </row>
    <row r="282" spans="2:12" x14ac:dyDescent="0.2">
      <c r="B282" s="62" t="s">
        <v>5753</v>
      </c>
      <c r="C282" s="61" t="s">
        <v>510</v>
      </c>
      <c r="D282" s="60">
        <v>1.0856600000000001</v>
      </c>
      <c r="E282" s="59">
        <v>4.1969000000000003</v>
      </c>
      <c r="F282" s="59">
        <v>5.6474399999999996</v>
      </c>
      <c r="G282" s="56">
        <v>1055.7</v>
      </c>
      <c r="H282" s="56">
        <v>972.40499999999997</v>
      </c>
      <c r="I282" s="58">
        <v>0.51269799999999999</v>
      </c>
      <c r="J282" s="57">
        <v>0.51676500000000003</v>
      </c>
      <c r="K282" s="56"/>
      <c r="L282" s="56" t="s">
        <v>488</v>
      </c>
    </row>
    <row r="283" spans="2:12" x14ac:dyDescent="0.2">
      <c r="B283" s="62" t="s">
        <v>5752</v>
      </c>
      <c r="C283" s="61" t="s">
        <v>495</v>
      </c>
      <c r="D283" s="60">
        <v>1.22221</v>
      </c>
      <c r="E283" s="59">
        <v>3.5619299999999998</v>
      </c>
      <c r="F283" s="59">
        <v>5.93065</v>
      </c>
      <c r="G283" s="56">
        <v>0</v>
      </c>
      <c r="H283" s="56">
        <v>0</v>
      </c>
      <c r="I283" s="58">
        <v>0.380714</v>
      </c>
      <c r="J283" s="57">
        <v>0.39702100000000001</v>
      </c>
      <c r="K283" s="56"/>
      <c r="L283" s="56" t="s">
        <v>492</v>
      </c>
    </row>
    <row r="284" spans="2:12" x14ac:dyDescent="0.2">
      <c r="B284" s="62" t="s">
        <v>5751</v>
      </c>
      <c r="C284" s="61" t="s">
        <v>495</v>
      </c>
      <c r="D284" s="60">
        <v>0.88586399999999998</v>
      </c>
      <c r="E284" s="59">
        <v>4.9247300000000003</v>
      </c>
      <c r="F284" s="59">
        <v>6.9903599999999999</v>
      </c>
      <c r="G284" s="56">
        <v>1674.13</v>
      </c>
      <c r="H284" s="56">
        <v>1889.83</v>
      </c>
      <c r="I284" s="58">
        <v>0.56159000000000003</v>
      </c>
      <c r="J284" s="57">
        <v>0.69863699999999995</v>
      </c>
      <c r="K284" s="56"/>
      <c r="L284" s="56" t="s">
        <v>492</v>
      </c>
    </row>
    <row r="285" spans="2:12" x14ac:dyDescent="0.2">
      <c r="B285" s="62" t="s">
        <v>5750</v>
      </c>
      <c r="C285" s="61" t="s">
        <v>798</v>
      </c>
      <c r="D285" s="60">
        <v>0.96329399999999998</v>
      </c>
      <c r="E285" s="59">
        <v>3.0973099999999998</v>
      </c>
      <c r="F285" s="59">
        <v>4.0335000000000001</v>
      </c>
      <c r="G285" s="56">
        <v>0</v>
      </c>
      <c r="H285" s="56">
        <v>0</v>
      </c>
      <c r="I285" s="58">
        <v>0.312218</v>
      </c>
      <c r="J285" s="57">
        <v>0.57822399999999996</v>
      </c>
      <c r="K285" s="56"/>
      <c r="L285" s="56" t="s">
        <v>488</v>
      </c>
    </row>
    <row r="286" spans="2:12" x14ac:dyDescent="0.2">
      <c r="B286" s="62" t="s">
        <v>5749</v>
      </c>
      <c r="C286" s="61" t="s">
        <v>499</v>
      </c>
      <c r="D286" s="60">
        <v>1.44845</v>
      </c>
      <c r="E286" s="59">
        <v>3.48041</v>
      </c>
      <c r="F286" s="59">
        <v>4.1140499999999998</v>
      </c>
      <c r="G286" s="56">
        <v>0</v>
      </c>
      <c r="H286" s="56">
        <v>0</v>
      </c>
      <c r="I286" s="58">
        <v>0.33685300000000001</v>
      </c>
      <c r="J286" s="57">
        <v>0.34570099999999998</v>
      </c>
      <c r="K286" s="56"/>
      <c r="L286" s="56" t="s">
        <v>488</v>
      </c>
    </row>
    <row r="287" spans="2:12" x14ac:dyDescent="0.2">
      <c r="B287" s="62" t="s">
        <v>5748</v>
      </c>
      <c r="C287" s="61" t="s">
        <v>499</v>
      </c>
      <c r="D287" s="60">
        <v>1.4733000000000001</v>
      </c>
      <c r="E287" s="59">
        <v>3.4233600000000002</v>
      </c>
      <c r="F287" s="59">
        <v>4.1021700000000001</v>
      </c>
      <c r="G287" s="56">
        <v>0</v>
      </c>
      <c r="H287" s="56">
        <v>0</v>
      </c>
      <c r="I287" s="58">
        <v>0.343109</v>
      </c>
      <c r="J287" s="57">
        <v>0.334119</v>
      </c>
      <c r="K287" s="56"/>
      <c r="L287" s="56" t="s">
        <v>488</v>
      </c>
    </row>
    <row r="288" spans="2:12" x14ac:dyDescent="0.2">
      <c r="B288" s="62" t="s">
        <v>5747</v>
      </c>
      <c r="C288" s="61" t="s">
        <v>499</v>
      </c>
      <c r="D288" s="60">
        <v>0.88226800000000005</v>
      </c>
      <c r="E288" s="59">
        <v>10.45745</v>
      </c>
      <c r="F288" s="59">
        <v>10.546609999999999</v>
      </c>
      <c r="G288" s="56">
        <v>1234.19</v>
      </c>
      <c r="H288" s="56">
        <v>1398.89</v>
      </c>
      <c r="I288" s="58">
        <v>0.56273499999999999</v>
      </c>
      <c r="J288" s="57">
        <v>0.74787599999999999</v>
      </c>
      <c r="K288" s="56"/>
      <c r="L288" s="56" t="s">
        <v>488</v>
      </c>
    </row>
    <row r="289" spans="2:12" x14ac:dyDescent="0.2">
      <c r="B289" s="62" t="s">
        <v>5746</v>
      </c>
      <c r="C289" s="61" t="s">
        <v>499</v>
      </c>
      <c r="D289" s="60">
        <v>0.89398699999999998</v>
      </c>
      <c r="E289" s="59">
        <v>10.23297</v>
      </c>
      <c r="F289" s="59">
        <v>10.35764</v>
      </c>
      <c r="G289" s="56">
        <v>1226.57</v>
      </c>
      <c r="H289" s="56">
        <v>1372.02</v>
      </c>
      <c r="I289" s="58">
        <v>0.55899500000000002</v>
      </c>
      <c r="J289" s="57">
        <v>0.73266299999999995</v>
      </c>
      <c r="K289" s="56"/>
      <c r="L289" s="56" t="s">
        <v>488</v>
      </c>
    </row>
    <row r="290" spans="2:12" x14ac:dyDescent="0.2">
      <c r="B290" s="62" t="s">
        <v>5745</v>
      </c>
      <c r="C290" s="61" t="s">
        <v>499</v>
      </c>
      <c r="D290" s="60">
        <v>1.0126599999999999</v>
      </c>
      <c r="E290" s="59">
        <v>10.113340000000001</v>
      </c>
      <c r="F290" s="59">
        <v>10.237489999999999</v>
      </c>
      <c r="G290" s="56">
        <v>1069.1400000000001</v>
      </c>
      <c r="H290" s="56">
        <v>1055.77</v>
      </c>
      <c r="I290" s="58">
        <v>0.457318</v>
      </c>
      <c r="J290" s="57">
        <v>0.60781499999999999</v>
      </c>
      <c r="K290" s="56"/>
      <c r="L290" s="56" t="s">
        <v>488</v>
      </c>
    </row>
    <row r="291" spans="2:12" x14ac:dyDescent="0.2">
      <c r="B291" s="62" t="s">
        <v>5744</v>
      </c>
      <c r="C291" s="61" t="s">
        <v>499</v>
      </c>
      <c r="D291" s="60">
        <v>1.02149</v>
      </c>
      <c r="E291" s="59">
        <v>9.9547399999999993</v>
      </c>
      <c r="F291" s="59">
        <v>10.07029</v>
      </c>
      <c r="G291" s="56">
        <v>1070.9000000000001</v>
      </c>
      <c r="H291" s="56">
        <v>1048.3699999999999</v>
      </c>
      <c r="I291" s="58">
        <v>0.44275500000000001</v>
      </c>
      <c r="J291" s="57">
        <v>0.59868500000000002</v>
      </c>
      <c r="K291" s="56"/>
      <c r="L291" s="56" t="s">
        <v>488</v>
      </c>
    </row>
    <row r="292" spans="2:12" x14ac:dyDescent="0.2">
      <c r="B292" s="62" t="s">
        <v>5743</v>
      </c>
      <c r="C292" s="61" t="s">
        <v>499</v>
      </c>
      <c r="D292" s="60">
        <v>0.89338700000000004</v>
      </c>
      <c r="E292" s="59">
        <v>10.198829999999999</v>
      </c>
      <c r="F292" s="59">
        <v>10.322190000000001</v>
      </c>
      <c r="G292" s="56">
        <v>1233.72</v>
      </c>
      <c r="H292" s="56">
        <v>1380.95</v>
      </c>
      <c r="I292" s="58">
        <v>0.55141200000000001</v>
      </c>
      <c r="J292" s="57">
        <v>0.73415200000000003</v>
      </c>
      <c r="K292" s="56"/>
      <c r="L292" s="56" t="s">
        <v>488</v>
      </c>
    </row>
    <row r="293" spans="2:12" x14ac:dyDescent="0.2">
      <c r="B293" s="62" t="s">
        <v>5742</v>
      </c>
      <c r="C293" s="61" t="s">
        <v>499</v>
      </c>
      <c r="D293" s="60">
        <v>0.89030299999999996</v>
      </c>
      <c r="E293" s="59">
        <v>10.23127</v>
      </c>
      <c r="F293" s="59">
        <v>10.363110000000001</v>
      </c>
      <c r="G293" s="56">
        <v>1213.07</v>
      </c>
      <c r="H293" s="56">
        <v>1362.53</v>
      </c>
      <c r="I293" s="58">
        <v>0.55232199999999998</v>
      </c>
      <c r="J293" s="57">
        <v>0.73782099999999995</v>
      </c>
      <c r="K293" s="56"/>
      <c r="L293" s="56" t="s">
        <v>488</v>
      </c>
    </row>
    <row r="294" spans="2:12" x14ac:dyDescent="0.2">
      <c r="B294" s="62" t="s">
        <v>5741</v>
      </c>
      <c r="C294" s="61" t="s">
        <v>499</v>
      </c>
      <c r="D294" s="60">
        <v>1.1656899999999999</v>
      </c>
      <c r="E294" s="59">
        <v>10.2098</v>
      </c>
      <c r="F294" s="59">
        <v>10.32563</v>
      </c>
      <c r="G294" s="56">
        <v>1047.45</v>
      </c>
      <c r="H294" s="56">
        <v>898.56799999999998</v>
      </c>
      <c r="I294" s="58">
        <v>0.47745199999999999</v>
      </c>
      <c r="J294" s="57">
        <v>0.52164900000000003</v>
      </c>
      <c r="K294" s="56"/>
      <c r="L294" s="56" t="s">
        <v>488</v>
      </c>
    </row>
    <row r="295" spans="2:12" x14ac:dyDescent="0.2">
      <c r="B295" s="62" t="s">
        <v>5740</v>
      </c>
      <c r="C295" s="61" t="s">
        <v>499</v>
      </c>
      <c r="D295" s="60">
        <v>1.03173</v>
      </c>
      <c r="E295" s="59">
        <v>9.7895400000000006</v>
      </c>
      <c r="F295" s="59">
        <v>9.9082000000000008</v>
      </c>
      <c r="G295" s="56">
        <v>1044.3800000000001</v>
      </c>
      <c r="H295" s="56">
        <v>1012.26</v>
      </c>
      <c r="I295" s="58">
        <v>0.43439499999999998</v>
      </c>
      <c r="J295" s="57">
        <v>0.587924</v>
      </c>
      <c r="K295" s="56"/>
      <c r="L295" s="56" t="s">
        <v>488</v>
      </c>
    </row>
    <row r="296" spans="2:12" x14ac:dyDescent="0.2">
      <c r="B296" s="62" t="s">
        <v>5739</v>
      </c>
      <c r="C296" s="61" t="s">
        <v>499</v>
      </c>
      <c r="D296" s="60">
        <v>0.99043800000000004</v>
      </c>
      <c r="E296" s="59">
        <v>9.63706</v>
      </c>
      <c r="F296" s="59">
        <v>9.7740899999999993</v>
      </c>
      <c r="G296" s="56">
        <v>1082.29</v>
      </c>
      <c r="H296" s="56">
        <v>1092.74</v>
      </c>
      <c r="I296" s="58">
        <v>0.48690699999999998</v>
      </c>
      <c r="J296" s="57">
        <v>0.59981799999999996</v>
      </c>
      <c r="K296" s="56"/>
      <c r="L296" s="56" t="s">
        <v>488</v>
      </c>
    </row>
    <row r="297" spans="2:12" x14ac:dyDescent="0.2">
      <c r="B297" s="62" t="s">
        <v>5738</v>
      </c>
      <c r="C297" s="61" t="s">
        <v>499</v>
      </c>
      <c r="D297" s="60">
        <v>0.96073200000000003</v>
      </c>
      <c r="E297" s="59">
        <v>9.8909199999999995</v>
      </c>
      <c r="F297" s="59">
        <v>10.03622</v>
      </c>
      <c r="G297" s="56">
        <v>1098.9000000000001</v>
      </c>
      <c r="H297" s="56">
        <v>1143.82</v>
      </c>
      <c r="I297" s="58">
        <v>0.496556</v>
      </c>
      <c r="J297" s="57">
        <v>0.63163999999999998</v>
      </c>
      <c r="K297" s="56"/>
      <c r="L297" s="56" t="s">
        <v>488</v>
      </c>
    </row>
    <row r="298" spans="2:12" x14ac:dyDescent="0.2">
      <c r="B298" s="62" t="s">
        <v>5737</v>
      </c>
      <c r="C298" s="61" t="s">
        <v>510</v>
      </c>
      <c r="D298" s="60">
        <v>0.76437100000000002</v>
      </c>
      <c r="E298" s="59">
        <v>6.0355800000000004</v>
      </c>
      <c r="F298" s="59">
        <v>10.21454</v>
      </c>
      <c r="G298" s="56">
        <v>1932.55</v>
      </c>
      <c r="H298" s="56">
        <v>2528.29</v>
      </c>
      <c r="I298" s="58">
        <v>0.73581600000000003</v>
      </c>
      <c r="J298" s="57">
        <v>0.890517</v>
      </c>
      <c r="K298" s="56"/>
      <c r="L298" s="56" t="s">
        <v>488</v>
      </c>
    </row>
    <row r="299" spans="2:12" x14ac:dyDescent="0.2">
      <c r="B299" s="62" t="s">
        <v>5736</v>
      </c>
      <c r="C299" s="61" t="s">
        <v>708</v>
      </c>
      <c r="D299" s="60">
        <v>0.73003799999999996</v>
      </c>
      <c r="E299" s="59">
        <v>5.9679399999999996</v>
      </c>
      <c r="F299" s="59">
        <v>8.0030599999999996</v>
      </c>
      <c r="G299" s="56">
        <v>2203.35</v>
      </c>
      <c r="H299" s="56">
        <v>3018.13</v>
      </c>
      <c r="I299" s="58">
        <v>0.75774300000000006</v>
      </c>
      <c r="J299" s="57">
        <v>0.94253100000000001</v>
      </c>
      <c r="K299" s="56"/>
      <c r="L299" s="56" t="s">
        <v>488</v>
      </c>
    </row>
    <row r="300" spans="2:12" x14ac:dyDescent="0.2">
      <c r="B300" s="62" t="s">
        <v>5735</v>
      </c>
      <c r="C300" s="61" t="s">
        <v>502</v>
      </c>
      <c r="D300" s="60">
        <v>1.36696</v>
      </c>
      <c r="E300" s="59">
        <v>3.25406</v>
      </c>
      <c r="F300" s="59">
        <v>4.4639600000000002</v>
      </c>
      <c r="G300" s="56">
        <v>0</v>
      </c>
      <c r="H300" s="56">
        <v>0</v>
      </c>
      <c r="I300" s="58">
        <v>0.20685999999999999</v>
      </c>
      <c r="J300" s="57">
        <v>0.35606399999999999</v>
      </c>
      <c r="K300" s="56"/>
      <c r="L300" s="56" t="s">
        <v>488</v>
      </c>
    </row>
    <row r="301" spans="2:12" x14ac:dyDescent="0.2">
      <c r="B301" s="62" t="s">
        <v>5734</v>
      </c>
      <c r="C301" s="61" t="s">
        <v>502</v>
      </c>
      <c r="D301" s="60">
        <v>1.2695399999999999</v>
      </c>
      <c r="E301" s="59">
        <v>4.4463800000000004</v>
      </c>
      <c r="F301" s="59">
        <v>5.7687499999999998</v>
      </c>
      <c r="G301" s="56">
        <v>725.23</v>
      </c>
      <c r="H301" s="56">
        <v>571.25300000000004</v>
      </c>
      <c r="I301" s="58">
        <v>0.31470300000000001</v>
      </c>
      <c r="J301" s="57">
        <v>0.41284900000000002</v>
      </c>
      <c r="K301" s="56"/>
      <c r="L301" s="56" t="s">
        <v>488</v>
      </c>
    </row>
    <row r="302" spans="2:12" x14ac:dyDescent="0.2">
      <c r="B302" s="62" t="s">
        <v>5733</v>
      </c>
      <c r="C302" s="61" t="s">
        <v>502</v>
      </c>
      <c r="D302" s="60">
        <v>1.3056399999999999</v>
      </c>
      <c r="E302" s="59">
        <v>4.2154600000000002</v>
      </c>
      <c r="F302" s="59">
        <v>5.2902899999999997</v>
      </c>
      <c r="G302" s="56">
        <v>611.98500000000001</v>
      </c>
      <c r="H302" s="56">
        <v>468.726</v>
      </c>
      <c r="I302" s="58">
        <v>0.28589599999999998</v>
      </c>
      <c r="J302" s="57">
        <v>0.39080999999999999</v>
      </c>
      <c r="K302" s="56"/>
      <c r="L302" s="56" t="s">
        <v>488</v>
      </c>
    </row>
    <row r="303" spans="2:12" x14ac:dyDescent="0.2">
      <c r="B303" s="62" t="s">
        <v>5732</v>
      </c>
      <c r="C303" s="61" t="s">
        <v>502</v>
      </c>
      <c r="D303" s="60">
        <v>1.3507199999999999</v>
      </c>
      <c r="E303" s="59">
        <v>3.9785400000000002</v>
      </c>
      <c r="F303" s="59">
        <v>5.1236199999999998</v>
      </c>
      <c r="G303" s="56">
        <v>575.03200000000004</v>
      </c>
      <c r="H303" s="56">
        <v>432.77699999999999</v>
      </c>
      <c r="I303" s="58">
        <v>0.24987799999999999</v>
      </c>
      <c r="J303" s="57">
        <v>0.36518200000000001</v>
      </c>
      <c r="K303" s="56"/>
      <c r="L303" s="56" t="s">
        <v>488</v>
      </c>
    </row>
    <row r="304" spans="2:12" x14ac:dyDescent="0.2">
      <c r="B304" s="62" t="s">
        <v>5731</v>
      </c>
      <c r="C304" s="61" t="s">
        <v>502</v>
      </c>
      <c r="D304" s="60">
        <v>1.3287</v>
      </c>
      <c r="E304" s="59">
        <v>3.77095</v>
      </c>
      <c r="F304" s="59">
        <v>4.8749799999999999</v>
      </c>
      <c r="G304" s="56">
        <v>525.65800000000002</v>
      </c>
      <c r="H304" s="56">
        <v>389.16899999999998</v>
      </c>
      <c r="I304" s="58">
        <v>0.26620899999999997</v>
      </c>
      <c r="J304" s="57">
        <v>0.37906699999999999</v>
      </c>
      <c r="K304" s="56"/>
      <c r="L304" s="56" t="s">
        <v>488</v>
      </c>
    </row>
    <row r="305" spans="2:12" x14ac:dyDescent="0.2">
      <c r="B305" s="62" t="s">
        <v>5730</v>
      </c>
      <c r="C305" s="61" t="s">
        <v>502</v>
      </c>
      <c r="D305" s="60">
        <v>1.4428700000000001</v>
      </c>
      <c r="E305" s="59">
        <v>7.1929800000000004</v>
      </c>
      <c r="F305" s="59">
        <v>7.5854900000000001</v>
      </c>
      <c r="G305" s="56">
        <v>766.38699999999994</v>
      </c>
      <c r="H305" s="56">
        <v>531.15499999999997</v>
      </c>
      <c r="I305" s="58">
        <v>0.34600399999999998</v>
      </c>
      <c r="J305" s="57">
        <v>0.31453100000000001</v>
      </c>
      <c r="K305" s="56"/>
      <c r="L305" s="56" t="s">
        <v>488</v>
      </c>
    </row>
    <row r="306" spans="2:12" x14ac:dyDescent="0.2">
      <c r="B306" s="62" t="s">
        <v>5729</v>
      </c>
      <c r="C306" s="61" t="s">
        <v>510</v>
      </c>
      <c r="D306" s="60">
        <v>1.07568</v>
      </c>
      <c r="E306" s="59">
        <v>10.4512</v>
      </c>
      <c r="F306" s="59">
        <v>10.54574</v>
      </c>
      <c r="G306" s="56">
        <v>684.22199999999998</v>
      </c>
      <c r="H306" s="56">
        <v>636.08399999999995</v>
      </c>
      <c r="I306" s="58">
        <v>0.35284799999999999</v>
      </c>
      <c r="J306" s="57">
        <v>0.50233000000000005</v>
      </c>
      <c r="K306" s="56"/>
      <c r="L306" s="56" t="s">
        <v>488</v>
      </c>
    </row>
    <row r="307" spans="2:12" x14ac:dyDescent="0.2">
      <c r="B307" s="62" t="s">
        <v>5728</v>
      </c>
      <c r="C307" s="61" t="s">
        <v>499</v>
      </c>
      <c r="D307" s="60">
        <v>1.95363</v>
      </c>
      <c r="E307" s="59">
        <v>2.7143700000000002</v>
      </c>
      <c r="F307" s="59">
        <v>4.0784700000000003</v>
      </c>
      <c r="G307" s="56">
        <v>0</v>
      </c>
      <c r="H307" s="56">
        <v>0</v>
      </c>
      <c r="I307" s="58">
        <v>0.179976</v>
      </c>
      <c r="J307" s="57">
        <v>0.199569</v>
      </c>
      <c r="K307" s="56"/>
      <c r="L307" s="56" t="s">
        <v>488</v>
      </c>
    </row>
    <row r="308" spans="2:12" x14ac:dyDescent="0.2">
      <c r="B308" s="62" t="s">
        <v>5727</v>
      </c>
      <c r="C308" s="61" t="s">
        <v>499</v>
      </c>
      <c r="D308" s="60">
        <v>1.49712</v>
      </c>
      <c r="E308" s="59">
        <v>2.6343999999999999</v>
      </c>
      <c r="F308" s="59">
        <v>5.2632899999999996</v>
      </c>
      <c r="G308" s="56">
        <v>0</v>
      </c>
      <c r="H308" s="56">
        <v>0</v>
      </c>
      <c r="I308" s="58">
        <v>0.29986499999999999</v>
      </c>
      <c r="J308" s="57">
        <v>0.32447300000000001</v>
      </c>
      <c r="K308" s="56"/>
      <c r="L308" s="56" t="s">
        <v>488</v>
      </c>
    </row>
    <row r="309" spans="2:12" x14ac:dyDescent="0.2">
      <c r="B309" s="62" t="s">
        <v>5726</v>
      </c>
      <c r="C309" s="61" t="s">
        <v>499</v>
      </c>
      <c r="D309" s="60">
        <v>1.50824</v>
      </c>
      <c r="E309" s="59">
        <v>2.6757200000000001</v>
      </c>
      <c r="F309" s="59">
        <v>5.2876099999999999</v>
      </c>
      <c r="G309" s="56">
        <v>0</v>
      </c>
      <c r="H309" s="56">
        <v>0</v>
      </c>
      <c r="I309" s="58">
        <v>0.30457099999999998</v>
      </c>
      <c r="J309" s="57">
        <v>0.323631</v>
      </c>
      <c r="K309" s="56"/>
      <c r="L309" s="56" t="s">
        <v>488</v>
      </c>
    </row>
    <row r="310" spans="2:12" x14ac:dyDescent="0.2">
      <c r="B310" s="62" t="s">
        <v>5725</v>
      </c>
      <c r="C310" s="61" t="s">
        <v>558</v>
      </c>
      <c r="D310" s="60">
        <v>1.16306</v>
      </c>
      <c r="E310" s="59">
        <v>4.3501300000000001</v>
      </c>
      <c r="F310" s="59">
        <v>6.2026500000000002</v>
      </c>
      <c r="G310" s="56">
        <v>1995.53</v>
      </c>
      <c r="H310" s="56">
        <v>1715.76</v>
      </c>
      <c r="I310" s="58">
        <v>0.64943700000000004</v>
      </c>
      <c r="J310" s="57">
        <v>0.53749899999999995</v>
      </c>
      <c r="K310" s="56"/>
      <c r="L310" s="56" t="s">
        <v>488</v>
      </c>
    </row>
    <row r="311" spans="2:12" x14ac:dyDescent="0.2">
      <c r="B311" s="62" t="s">
        <v>5724</v>
      </c>
      <c r="C311" s="61" t="s">
        <v>537</v>
      </c>
      <c r="D311" s="60">
        <v>1.1646000000000001</v>
      </c>
      <c r="E311" s="59">
        <v>4.2736799999999997</v>
      </c>
      <c r="F311" s="59">
        <v>6.1933499999999997</v>
      </c>
      <c r="G311" s="56">
        <v>1924.17</v>
      </c>
      <c r="H311" s="56">
        <v>1652.22</v>
      </c>
      <c r="I311" s="58">
        <v>0.65013799999999999</v>
      </c>
      <c r="J311" s="57">
        <v>0.53415800000000002</v>
      </c>
      <c r="K311" s="56"/>
      <c r="L311" s="56" t="s">
        <v>488</v>
      </c>
    </row>
    <row r="312" spans="2:12" x14ac:dyDescent="0.2">
      <c r="B312" s="62" t="s">
        <v>5723</v>
      </c>
      <c r="C312" s="61" t="s">
        <v>535</v>
      </c>
      <c r="D312" s="60">
        <v>1.1806000000000001</v>
      </c>
      <c r="E312" s="59">
        <v>3.8845800000000001</v>
      </c>
      <c r="F312" s="59">
        <v>6.1109400000000003</v>
      </c>
      <c r="G312" s="56">
        <v>1642</v>
      </c>
      <c r="H312" s="56">
        <v>1390.82</v>
      </c>
      <c r="I312" s="58">
        <v>0.63821600000000001</v>
      </c>
      <c r="J312" s="57">
        <v>0.52047600000000005</v>
      </c>
      <c r="K312" s="56"/>
      <c r="L312" s="56" t="s">
        <v>488</v>
      </c>
    </row>
    <row r="313" spans="2:12" x14ac:dyDescent="0.2">
      <c r="B313" s="62" t="s">
        <v>5722</v>
      </c>
      <c r="C313" s="61" t="s">
        <v>531</v>
      </c>
      <c r="D313" s="60">
        <v>1.1690499999999999</v>
      </c>
      <c r="E313" s="59">
        <v>3.7841</v>
      </c>
      <c r="F313" s="59">
        <v>6.0365900000000003</v>
      </c>
      <c r="G313" s="56">
        <v>1426.73</v>
      </c>
      <c r="H313" s="56">
        <v>1220.42</v>
      </c>
      <c r="I313" s="58">
        <v>0.61770599999999998</v>
      </c>
      <c r="J313" s="57">
        <v>0.52303999999999995</v>
      </c>
      <c r="K313" s="56"/>
      <c r="L313" s="56" t="s">
        <v>488</v>
      </c>
    </row>
    <row r="314" spans="2:12" x14ac:dyDescent="0.2">
      <c r="B314" s="62" t="s">
        <v>5721</v>
      </c>
      <c r="C314" s="61" t="s">
        <v>582</v>
      </c>
      <c r="D314" s="60">
        <v>1.1110800000000001</v>
      </c>
      <c r="E314" s="59">
        <v>4.3196899999999996</v>
      </c>
      <c r="F314" s="59">
        <v>6.1926699999999997</v>
      </c>
      <c r="G314" s="56">
        <v>1943.73</v>
      </c>
      <c r="H314" s="56">
        <v>1749.4</v>
      </c>
      <c r="I314" s="58">
        <v>0.64903200000000005</v>
      </c>
      <c r="J314" s="57">
        <v>0.56500300000000003</v>
      </c>
      <c r="K314" s="56"/>
      <c r="L314" s="56" t="s">
        <v>488</v>
      </c>
    </row>
    <row r="315" spans="2:12" x14ac:dyDescent="0.2">
      <c r="B315" s="62" t="s">
        <v>5720</v>
      </c>
      <c r="C315" s="61" t="s">
        <v>579</v>
      </c>
      <c r="D315" s="60">
        <v>1.0786199999999999</v>
      </c>
      <c r="E315" s="59">
        <v>4.3210899999999999</v>
      </c>
      <c r="F315" s="59">
        <v>6.2062200000000001</v>
      </c>
      <c r="G315" s="56">
        <v>1910.33</v>
      </c>
      <c r="H315" s="56">
        <v>1771.09</v>
      </c>
      <c r="I315" s="58">
        <v>0.64277300000000004</v>
      </c>
      <c r="J315" s="57">
        <v>0.584345</v>
      </c>
      <c r="K315" s="56"/>
      <c r="L315" s="56" t="s">
        <v>488</v>
      </c>
    </row>
    <row r="316" spans="2:12" x14ac:dyDescent="0.2">
      <c r="B316" s="62" t="s">
        <v>5719</v>
      </c>
      <c r="C316" s="61" t="s">
        <v>507</v>
      </c>
      <c r="D316" s="60">
        <v>1.0629500000000001</v>
      </c>
      <c r="E316" s="59">
        <v>4.2625999999999999</v>
      </c>
      <c r="F316" s="59">
        <v>6.1461399999999999</v>
      </c>
      <c r="G316" s="56">
        <v>1995.57</v>
      </c>
      <c r="H316" s="56">
        <v>1877.39</v>
      </c>
      <c r="I316" s="58">
        <v>0.63501799999999997</v>
      </c>
      <c r="J316" s="57">
        <v>0.59367400000000004</v>
      </c>
      <c r="K316" s="56"/>
      <c r="L316" s="56" t="s">
        <v>488</v>
      </c>
    </row>
    <row r="317" spans="2:12" x14ac:dyDescent="0.2">
      <c r="B317" s="62" t="s">
        <v>5718</v>
      </c>
      <c r="C317" s="61" t="s">
        <v>641</v>
      </c>
      <c r="D317" s="60">
        <v>1.0615300000000001</v>
      </c>
      <c r="E317" s="59">
        <v>4.2147800000000002</v>
      </c>
      <c r="F317" s="59">
        <v>6.1094999999999997</v>
      </c>
      <c r="G317" s="56">
        <v>1967.36</v>
      </c>
      <c r="H317" s="56">
        <v>1853.33</v>
      </c>
      <c r="I317" s="58">
        <v>0.63725500000000002</v>
      </c>
      <c r="J317" s="57">
        <v>0.59440700000000002</v>
      </c>
      <c r="K317" s="56"/>
      <c r="L317" s="56" t="s">
        <v>488</v>
      </c>
    </row>
    <row r="318" spans="2:12" x14ac:dyDescent="0.2">
      <c r="B318" s="62" t="s">
        <v>5717</v>
      </c>
      <c r="C318" s="61" t="s">
        <v>495</v>
      </c>
      <c r="D318" s="60">
        <v>1.06732</v>
      </c>
      <c r="E318" s="59">
        <v>4.7209099999999999</v>
      </c>
      <c r="F318" s="59">
        <v>7.7535699999999999</v>
      </c>
      <c r="G318" s="56">
        <v>1367.52</v>
      </c>
      <c r="H318" s="56">
        <v>1281.26</v>
      </c>
      <c r="I318" s="58">
        <v>0.51519199999999998</v>
      </c>
      <c r="J318" s="57">
        <v>0.52204600000000001</v>
      </c>
      <c r="K318" s="56"/>
      <c r="L318" s="56" t="s">
        <v>488</v>
      </c>
    </row>
    <row r="319" spans="2:12" x14ac:dyDescent="0.2">
      <c r="B319" s="62" t="s">
        <v>5716</v>
      </c>
      <c r="C319" s="61" t="s">
        <v>5715</v>
      </c>
      <c r="D319" s="60">
        <v>1.9658199999999999</v>
      </c>
      <c r="E319" s="59">
        <v>2.9781</v>
      </c>
      <c r="F319" s="59">
        <v>3.1488100000000001</v>
      </c>
      <c r="G319" s="56">
        <v>0</v>
      </c>
      <c r="H319" s="56">
        <v>0</v>
      </c>
      <c r="I319" s="58">
        <v>0.26354899999999998</v>
      </c>
      <c r="J319" s="57">
        <v>0.24579699999999999</v>
      </c>
      <c r="K319" s="56"/>
      <c r="L319" s="56" t="s">
        <v>488</v>
      </c>
    </row>
    <row r="320" spans="2:12" x14ac:dyDescent="0.2">
      <c r="B320" s="62" t="s">
        <v>5714</v>
      </c>
      <c r="C320" s="61" t="s">
        <v>5713</v>
      </c>
      <c r="D320" s="60">
        <v>1.9378299999999999</v>
      </c>
      <c r="E320" s="59">
        <v>2.45444</v>
      </c>
      <c r="F320" s="59">
        <v>2.8750499999999999</v>
      </c>
      <c r="G320" s="56">
        <v>0</v>
      </c>
      <c r="H320" s="56">
        <v>0</v>
      </c>
      <c r="I320" s="58">
        <v>0.13727600000000001</v>
      </c>
      <c r="J320" s="57">
        <v>0.213642</v>
      </c>
      <c r="K320" s="56"/>
      <c r="L320" s="56" t="s">
        <v>488</v>
      </c>
    </row>
    <row r="321" spans="2:12" x14ac:dyDescent="0.2">
      <c r="B321" s="62" t="s">
        <v>5712</v>
      </c>
      <c r="C321" s="61" t="s">
        <v>4855</v>
      </c>
      <c r="D321" s="60">
        <v>1.6279300000000001</v>
      </c>
      <c r="E321" s="59">
        <v>2.7628400000000002</v>
      </c>
      <c r="F321" s="59">
        <v>2.9923500000000001</v>
      </c>
      <c r="G321" s="56">
        <v>0</v>
      </c>
      <c r="H321" s="56">
        <v>0</v>
      </c>
      <c r="I321" s="58">
        <v>0.167462</v>
      </c>
      <c r="J321" s="57">
        <v>0.27700799999999998</v>
      </c>
      <c r="K321" s="56"/>
      <c r="L321" s="56" t="s">
        <v>488</v>
      </c>
    </row>
    <row r="322" spans="2:12" x14ac:dyDescent="0.2">
      <c r="B322" s="62" t="s">
        <v>5711</v>
      </c>
      <c r="C322" s="61" t="s">
        <v>708</v>
      </c>
      <c r="D322" s="60">
        <v>0.83041600000000004</v>
      </c>
      <c r="E322" s="59">
        <v>8.6230600000000006</v>
      </c>
      <c r="F322" s="59">
        <v>10.481820000000001</v>
      </c>
      <c r="G322" s="56">
        <v>1230.99</v>
      </c>
      <c r="H322" s="56">
        <v>1482.38</v>
      </c>
      <c r="I322" s="58">
        <v>0.523169</v>
      </c>
      <c r="J322" s="57">
        <v>0.74558199999999997</v>
      </c>
      <c r="K322" s="56"/>
      <c r="L322" s="56" t="s">
        <v>488</v>
      </c>
    </row>
    <row r="323" spans="2:12" x14ac:dyDescent="0.2">
      <c r="B323" s="62" t="s">
        <v>5710</v>
      </c>
      <c r="C323" s="61" t="s">
        <v>708</v>
      </c>
      <c r="D323" s="60">
        <v>0.84667599999999998</v>
      </c>
      <c r="E323" s="59">
        <v>8.1903799999999993</v>
      </c>
      <c r="F323" s="59">
        <v>10.02149</v>
      </c>
      <c r="G323" s="56">
        <v>1243.04</v>
      </c>
      <c r="H323" s="56">
        <v>1468.14</v>
      </c>
      <c r="I323" s="58">
        <v>0.51508200000000004</v>
      </c>
      <c r="J323" s="57">
        <v>0.72396899999999997</v>
      </c>
      <c r="K323" s="56"/>
      <c r="L323" s="56" t="s">
        <v>488</v>
      </c>
    </row>
    <row r="324" spans="2:12" x14ac:dyDescent="0.2">
      <c r="B324" s="62" t="s">
        <v>5709</v>
      </c>
      <c r="C324" s="61" t="s">
        <v>708</v>
      </c>
      <c r="D324" s="60">
        <v>0.74900900000000004</v>
      </c>
      <c r="E324" s="59">
        <v>5.82599</v>
      </c>
      <c r="F324" s="59">
        <v>6.1771700000000003</v>
      </c>
      <c r="G324" s="56">
        <v>3094.42</v>
      </c>
      <c r="H324" s="56">
        <v>4131.3500000000004</v>
      </c>
      <c r="I324" s="58">
        <v>0.77268800000000004</v>
      </c>
      <c r="J324" s="57">
        <v>0.94221299999999997</v>
      </c>
      <c r="K324" s="56"/>
      <c r="L324" s="56" t="s">
        <v>488</v>
      </c>
    </row>
    <row r="325" spans="2:12" x14ac:dyDescent="0.2">
      <c r="B325" s="62" t="s">
        <v>5708</v>
      </c>
      <c r="C325" s="61" t="s">
        <v>708</v>
      </c>
      <c r="D325" s="60">
        <v>1.0707500000000001</v>
      </c>
      <c r="E325" s="59">
        <v>4.7142400000000002</v>
      </c>
      <c r="F325" s="59">
        <v>6.4939900000000002</v>
      </c>
      <c r="G325" s="56">
        <v>1161.83</v>
      </c>
      <c r="H325" s="56">
        <v>1085.07</v>
      </c>
      <c r="I325" s="58">
        <v>0.49539100000000003</v>
      </c>
      <c r="J325" s="57">
        <v>0.55022099999999996</v>
      </c>
      <c r="K325" s="56"/>
      <c r="L325" s="56" t="s">
        <v>488</v>
      </c>
    </row>
    <row r="326" spans="2:12" x14ac:dyDescent="0.2">
      <c r="B326" s="62" t="s">
        <v>5707</v>
      </c>
      <c r="C326" s="61" t="s">
        <v>495</v>
      </c>
      <c r="D326" s="60">
        <v>0.99277099999999996</v>
      </c>
      <c r="E326" s="59">
        <v>4.7206200000000003</v>
      </c>
      <c r="F326" s="59">
        <v>6.21678</v>
      </c>
      <c r="G326" s="56">
        <v>1159.24</v>
      </c>
      <c r="H326" s="56">
        <v>1167.68</v>
      </c>
      <c r="I326" s="58">
        <v>0.50367300000000004</v>
      </c>
      <c r="J326" s="57">
        <v>0.59077800000000003</v>
      </c>
      <c r="K326" s="56"/>
      <c r="L326" s="56" t="s">
        <v>488</v>
      </c>
    </row>
    <row r="327" spans="2:12" x14ac:dyDescent="0.2">
      <c r="B327" s="62" t="s">
        <v>5706</v>
      </c>
      <c r="C327" s="61" t="s">
        <v>502</v>
      </c>
      <c r="D327" s="60">
        <v>0.943025</v>
      </c>
      <c r="E327" s="59">
        <v>4.7942200000000001</v>
      </c>
      <c r="F327" s="59">
        <v>6.2706900000000001</v>
      </c>
      <c r="G327" s="56">
        <v>1759.22</v>
      </c>
      <c r="H327" s="56">
        <v>1865.51</v>
      </c>
      <c r="I327" s="58">
        <v>0.68474400000000002</v>
      </c>
      <c r="J327" s="57">
        <v>0.70097500000000001</v>
      </c>
      <c r="K327" s="56"/>
      <c r="L327" s="56" t="s">
        <v>488</v>
      </c>
    </row>
    <row r="328" spans="2:12" x14ac:dyDescent="0.2">
      <c r="B328" s="62" t="s">
        <v>5705</v>
      </c>
      <c r="C328" s="61" t="s">
        <v>495</v>
      </c>
      <c r="D328" s="60">
        <v>1.30528</v>
      </c>
      <c r="E328" s="59">
        <v>3.7888500000000001</v>
      </c>
      <c r="F328" s="59">
        <v>4.2832299999999996</v>
      </c>
      <c r="G328" s="56">
        <v>668.75800000000004</v>
      </c>
      <c r="H328" s="56">
        <v>512.34900000000005</v>
      </c>
      <c r="I328" s="58">
        <v>0.48581200000000002</v>
      </c>
      <c r="J328" s="57">
        <v>0.38772499999999999</v>
      </c>
      <c r="K328" s="56"/>
      <c r="L328" s="56" t="s">
        <v>488</v>
      </c>
    </row>
    <row r="329" spans="2:12" x14ac:dyDescent="0.2">
      <c r="B329" s="62" t="s">
        <v>5704</v>
      </c>
      <c r="C329" s="61" t="s">
        <v>502</v>
      </c>
      <c r="D329" s="60">
        <v>0.78283499999999995</v>
      </c>
      <c r="E329" s="59">
        <v>6.1568800000000001</v>
      </c>
      <c r="F329" s="59">
        <v>9.9762599999999999</v>
      </c>
      <c r="G329" s="56">
        <v>2222.23</v>
      </c>
      <c r="H329" s="56">
        <v>2838.69</v>
      </c>
      <c r="I329" s="58">
        <v>0.79536799999999996</v>
      </c>
      <c r="J329" s="57">
        <v>0.93462000000000001</v>
      </c>
      <c r="K329" s="56"/>
      <c r="L329" s="56" t="s">
        <v>488</v>
      </c>
    </row>
    <row r="330" spans="2:12" x14ac:dyDescent="0.2">
      <c r="B330" s="62" t="s">
        <v>5703</v>
      </c>
      <c r="C330" s="61" t="s">
        <v>510</v>
      </c>
      <c r="D330" s="60">
        <v>1.1797800000000001</v>
      </c>
      <c r="E330" s="59">
        <v>4.7479800000000001</v>
      </c>
      <c r="F330" s="59">
        <v>5.6173099999999998</v>
      </c>
      <c r="G330" s="56">
        <v>1185.2</v>
      </c>
      <c r="H330" s="56">
        <v>1004.59</v>
      </c>
      <c r="I330" s="58">
        <v>0.40965299999999999</v>
      </c>
      <c r="J330" s="57">
        <v>0.46116499999999999</v>
      </c>
      <c r="K330" s="56"/>
      <c r="L330" s="56" t="s">
        <v>488</v>
      </c>
    </row>
    <row r="331" spans="2:12" x14ac:dyDescent="0.2">
      <c r="B331" s="62" t="s">
        <v>5702</v>
      </c>
      <c r="C331" s="61" t="s">
        <v>1681</v>
      </c>
      <c r="D331" s="60">
        <v>1.7574799999999999</v>
      </c>
      <c r="E331" s="59">
        <v>4.1418699999999999</v>
      </c>
      <c r="F331" s="59">
        <v>5.5002199999999997</v>
      </c>
      <c r="G331" s="56">
        <v>1683.27</v>
      </c>
      <c r="H331" s="56">
        <v>957.77700000000004</v>
      </c>
      <c r="I331" s="58">
        <v>0.61143199999999998</v>
      </c>
      <c r="J331" s="57">
        <v>0.39975300000000002</v>
      </c>
      <c r="K331" s="56"/>
      <c r="L331" s="56" t="s">
        <v>488</v>
      </c>
    </row>
    <row r="332" spans="2:12" x14ac:dyDescent="0.2">
      <c r="B332" s="62" t="s">
        <v>5701</v>
      </c>
      <c r="C332" s="61" t="s">
        <v>499</v>
      </c>
      <c r="D332" s="60">
        <v>1.32039</v>
      </c>
      <c r="E332" s="59">
        <v>3.3170199999999999</v>
      </c>
      <c r="F332" s="59">
        <v>3.8587799999999999</v>
      </c>
      <c r="G332" s="56">
        <v>0</v>
      </c>
      <c r="H332" s="56">
        <v>0</v>
      </c>
      <c r="I332" s="58">
        <v>0.14524699999999999</v>
      </c>
      <c r="J332" s="57">
        <v>0.31712800000000002</v>
      </c>
      <c r="K332" s="56"/>
      <c r="L332" s="56" t="s">
        <v>488</v>
      </c>
    </row>
    <row r="333" spans="2:12" x14ac:dyDescent="0.2">
      <c r="B333" s="62" t="s">
        <v>5700</v>
      </c>
      <c r="C333" s="61" t="s">
        <v>708</v>
      </c>
      <c r="D333" s="60">
        <v>0.40955399999999997</v>
      </c>
      <c r="E333" s="59">
        <v>7.9865399999999998</v>
      </c>
      <c r="F333" s="59">
        <v>19.689499999999999</v>
      </c>
      <c r="G333" s="56">
        <v>2016.62</v>
      </c>
      <c r="H333" s="56">
        <v>4923.9399999999996</v>
      </c>
      <c r="I333" s="58">
        <v>0.86833800000000005</v>
      </c>
      <c r="J333" s="57">
        <v>2.0364399999999998</v>
      </c>
      <c r="K333" s="56"/>
      <c r="L333" s="56" t="s">
        <v>488</v>
      </c>
    </row>
    <row r="334" spans="2:12" x14ac:dyDescent="0.2">
      <c r="B334" s="62" t="s">
        <v>5699</v>
      </c>
      <c r="C334" s="61" t="s">
        <v>708</v>
      </c>
      <c r="D334" s="60">
        <v>0.73980599999999996</v>
      </c>
      <c r="E334" s="59">
        <v>5.1264700000000003</v>
      </c>
      <c r="F334" s="59">
        <v>14.72526</v>
      </c>
      <c r="G334" s="56">
        <v>1866.36</v>
      </c>
      <c r="H334" s="56">
        <v>2522.77</v>
      </c>
      <c r="I334" s="58">
        <v>0.76670400000000005</v>
      </c>
      <c r="J334" s="57">
        <v>0.96623899999999996</v>
      </c>
      <c r="K334" s="56"/>
      <c r="L334" s="56" t="s">
        <v>488</v>
      </c>
    </row>
    <row r="335" spans="2:12" x14ac:dyDescent="0.2">
      <c r="B335" s="62" t="s">
        <v>5698</v>
      </c>
      <c r="C335" s="61" t="s">
        <v>499</v>
      </c>
      <c r="D335" s="60">
        <v>0.65298999999999996</v>
      </c>
      <c r="E335" s="59">
        <v>6.6864400000000002</v>
      </c>
      <c r="F335" s="59">
        <v>11.50004</v>
      </c>
      <c r="G335" s="56">
        <v>2322.46</v>
      </c>
      <c r="H335" s="56">
        <v>3556.66</v>
      </c>
      <c r="I335" s="58">
        <v>0.83799900000000005</v>
      </c>
      <c r="J335" s="57">
        <v>1.1958800000000001</v>
      </c>
      <c r="K335" s="56"/>
      <c r="L335" s="56" t="s">
        <v>488</v>
      </c>
    </row>
    <row r="336" spans="2:12" x14ac:dyDescent="0.2">
      <c r="B336" s="62" t="s">
        <v>5697</v>
      </c>
      <c r="C336" s="61" t="s">
        <v>1226</v>
      </c>
      <c r="D336" s="60">
        <v>0.54385899999999998</v>
      </c>
      <c r="E336" s="59">
        <v>9.9060600000000001</v>
      </c>
      <c r="F336" s="59">
        <v>13.79678</v>
      </c>
      <c r="G336" s="56">
        <v>2073.75</v>
      </c>
      <c r="H336" s="56">
        <v>3813.03</v>
      </c>
      <c r="I336" s="58">
        <v>0.88351000000000002</v>
      </c>
      <c r="J336" s="57">
        <v>1.4984599999999999</v>
      </c>
      <c r="K336" s="56"/>
      <c r="L336" s="56" t="s">
        <v>488</v>
      </c>
    </row>
    <row r="337" spans="2:12" x14ac:dyDescent="0.2">
      <c r="B337" s="62" t="s">
        <v>5696</v>
      </c>
      <c r="C337" s="61" t="s">
        <v>502</v>
      </c>
      <c r="D337" s="60">
        <v>1.02128</v>
      </c>
      <c r="E337" s="59">
        <v>4.3432000000000004</v>
      </c>
      <c r="F337" s="59">
        <v>5.9270300000000002</v>
      </c>
      <c r="G337" s="56">
        <v>1400.49</v>
      </c>
      <c r="H337" s="56">
        <v>1371.3</v>
      </c>
      <c r="I337" s="58">
        <v>0.57088399999999995</v>
      </c>
      <c r="J337" s="57">
        <v>0.60185599999999995</v>
      </c>
      <c r="K337" s="56"/>
      <c r="L337" s="56" t="s">
        <v>488</v>
      </c>
    </row>
    <row r="338" spans="2:12" x14ac:dyDescent="0.2">
      <c r="B338" s="62" t="s">
        <v>5695</v>
      </c>
      <c r="C338" s="61" t="s">
        <v>510</v>
      </c>
      <c r="D338" s="60">
        <v>1.36548</v>
      </c>
      <c r="E338" s="59">
        <v>2.90368</v>
      </c>
      <c r="F338" s="59">
        <v>4.8036599999999998</v>
      </c>
      <c r="G338" s="56">
        <v>0</v>
      </c>
      <c r="H338" s="56">
        <v>0</v>
      </c>
      <c r="I338" s="58">
        <v>0.24312400000000001</v>
      </c>
      <c r="J338" s="57">
        <v>0.31882300000000002</v>
      </c>
      <c r="K338" s="56"/>
      <c r="L338" s="56" t="s">
        <v>488</v>
      </c>
    </row>
    <row r="339" spans="2:12" x14ac:dyDescent="0.2">
      <c r="B339" s="62" t="s">
        <v>5694</v>
      </c>
      <c r="C339" s="61" t="s">
        <v>5693</v>
      </c>
      <c r="D339" s="60">
        <v>0.896671</v>
      </c>
      <c r="E339" s="59">
        <v>5.6971800000000004</v>
      </c>
      <c r="F339" s="59">
        <v>8.6138600000000007</v>
      </c>
      <c r="G339" s="56">
        <v>1440.31</v>
      </c>
      <c r="H339" s="56">
        <v>1606.28</v>
      </c>
      <c r="I339" s="58">
        <v>0.55296999999999996</v>
      </c>
      <c r="J339" s="57">
        <v>0.68384199999999995</v>
      </c>
      <c r="K339" s="56"/>
      <c r="L339" s="56" t="s">
        <v>488</v>
      </c>
    </row>
    <row r="340" spans="2:12" x14ac:dyDescent="0.2">
      <c r="B340" s="62" t="s">
        <v>5692</v>
      </c>
      <c r="C340" s="61" t="s">
        <v>5691</v>
      </c>
      <c r="D340" s="60">
        <v>0.85598399999999997</v>
      </c>
      <c r="E340" s="59">
        <v>6.26342</v>
      </c>
      <c r="F340" s="59">
        <v>8.3584999999999994</v>
      </c>
      <c r="G340" s="56">
        <v>1512.03</v>
      </c>
      <c r="H340" s="56">
        <v>1766.42</v>
      </c>
      <c r="I340" s="58">
        <v>0.563531</v>
      </c>
      <c r="J340" s="57">
        <v>0.71796800000000005</v>
      </c>
      <c r="K340" s="56"/>
      <c r="L340" s="56" t="s">
        <v>488</v>
      </c>
    </row>
    <row r="341" spans="2:12" x14ac:dyDescent="0.2">
      <c r="B341" s="62" t="s">
        <v>5690</v>
      </c>
      <c r="C341" s="61" t="s">
        <v>502</v>
      </c>
      <c r="D341" s="60">
        <v>1.38964</v>
      </c>
      <c r="E341" s="59">
        <v>3.4373200000000002</v>
      </c>
      <c r="F341" s="59">
        <v>4.6768400000000003</v>
      </c>
      <c r="G341" s="56">
        <v>0</v>
      </c>
      <c r="H341" s="56">
        <v>0</v>
      </c>
      <c r="I341" s="58">
        <v>0.47887999999999997</v>
      </c>
      <c r="J341" s="57">
        <v>0.38953900000000002</v>
      </c>
      <c r="K341" s="56"/>
      <c r="L341" s="56" t="s">
        <v>488</v>
      </c>
    </row>
    <row r="342" spans="2:12" x14ac:dyDescent="0.2">
      <c r="B342" s="62" t="s">
        <v>5689</v>
      </c>
      <c r="C342" s="61" t="s">
        <v>502</v>
      </c>
      <c r="D342" s="60">
        <v>1.39622</v>
      </c>
      <c r="E342" s="59">
        <v>3.51213</v>
      </c>
      <c r="F342" s="59">
        <v>5.2072799999999999</v>
      </c>
      <c r="G342" s="56">
        <v>0</v>
      </c>
      <c r="H342" s="56">
        <v>0</v>
      </c>
      <c r="I342" s="58">
        <v>0.493535</v>
      </c>
      <c r="J342" s="57">
        <v>0.389679</v>
      </c>
      <c r="K342" s="56"/>
      <c r="L342" s="56" t="s">
        <v>488</v>
      </c>
    </row>
    <row r="343" spans="2:12" x14ac:dyDescent="0.2">
      <c r="B343" s="62" t="s">
        <v>5688</v>
      </c>
      <c r="C343" s="61" t="s">
        <v>499</v>
      </c>
      <c r="D343" s="60">
        <v>1.6156699999999999</v>
      </c>
      <c r="E343" s="59">
        <v>8.3663799999999995</v>
      </c>
      <c r="F343" s="59">
        <v>9.5532699999999995</v>
      </c>
      <c r="G343" s="56">
        <v>873.48199999999997</v>
      </c>
      <c r="H343" s="56">
        <v>540.63199999999995</v>
      </c>
      <c r="I343" s="58">
        <v>0.36414999999999997</v>
      </c>
      <c r="J343" s="57">
        <v>0.311089</v>
      </c>
      <c r="K343" s="56"/>
      <c r="L343" s="56" t="s">
        <v>492</v>
      </c>
    </row>
    <row r="344" spans="2:12" x14ac:dyDescent="0.2">
      <c r="B344" s="62" t="s">
        <v>5687</v>
      </c>
      <c r="C344" s="61" t="s">
        <v>510</v>
      </c>
      <c r="D344" s="60">
        <v>0.58396899999999996</v>
      </c>
      <c r="E344" s="59">
        <v>8.6262299999999996</v>
      </c>
      <c r="F344" s="59">
        <v>13.3117</v>
      </c>
      <c r="G344" s="56">
        <v>2072.41</v>
      </c>
      <c r="H344" s="56">
        <v>3548.84</v>
      </c>
      <c r="I344" s="58">
        <v>0.739375</v>
      </c>
      <c r="J344" s="57">
        <v>1.2459800000000001</v>
      </c>
      <c r="K344" s="56" t="s">
        <v>1816</v>
      </c>
      <c r="L344" s="56" t="s">
        <v>563</v>
      </c>
    </row>
    <row r="345" spans="2:12" x14ac:dyDescent="0.2">
      <c r="B345" s="62" t="s">
        <v>5686</v>
      </c>
      <c r="C345" s="61" t="s">
        <v>708</v>
      </c>
      <c r="D345" s="60">
        <v>0.60059899999999999</v>
      </c>
      <c r="E345" s="59">
        <v>8.4971200000000007</v>
      </c>
      <c r="F345" s="59">
        <v>13.14316</v>
      </c>
      <c r="G345" s="56">
        <v>2052.54</v>
      </c>
      <c r="H345" s="56">
        <v>3417.49</v>
      </c>
      <c r="I345" s="58">
        <v>0.73527200000000004</v>
      </c>
      <c r="J345" s="57">
        <v>1.2038599999999999</v>
      </c>
      <c r="K345" s="56" t="s">
        <v>1816</v>
      </c>
      <c r="L345" s="56" t="s">
        <v>563</v>
      </c>
    </row>
    <row r="346" spans="2:12" x14ac:dyDescent="0.2">
      <c r="B346" s="62" t="s">
        <v>5685</v>
      </c>
      <c r="C346" s="61" t="s">
        <v>510</v>
      </c>
      <c r="D346" s="60">
        <v>1.42012</v>
      </c>
      <c r="E346" s="59">
        <v>3.1382699999999999</v>
      </c>
      <c r="F346" s="59">
        <v>4.3834400000000002</v>
      </c>
      <c r="G346" s="56">
        <v>0</v>
      </c>
      <c r="H346" s="56">
        <v>0</v>
      </c>
      <c r="I346" s="58">
        <v>0.26518799999999998</v>
      </c>
      <c r="J346" s="57">
        <v>0.29510599999999998</v>
      </c>
      <c r="K346" s="56"/>
      <c r="L346" s="56" t="s">
        <v>488</v>
      </c>
    </row>
    <row r="347" spans="2:12" x14ac:dyDescent="0.2">
      <c r="B347" s="62" t="s">
        <v>5684</v>
      </c>
      <c r="C347" s="61" t="s">
        <v>502</v>
      </c>
      <c r="D347" s="60">
        <v>0.46694099999999999</v>
      </c>
      <c r="E347" s="59">
        <v>11.96997</v>
      </c>
      <c r="F347" s="59">
        <v>29.735109999999999</v>
      </c>
      <c r="G347" s="56">
        <v>1058.55</v>
      </c>
      <c r="H347" s="56">
        <v>2266.9899999999998</v>
      </c>
      <c r="I347" s="58">
        <v>0.80719300000000005</v>
      </c>
      <c r="J347" s="57">
        <v>1.8006599999999999</v>
      </c>
      <c r="K347" s="56"/>
      <c r="L347" s="56" t="s">
        <v>624</v>
      </c>
    </row>
    <row r="348" spans="2:12" x14ac:dyDescent="0.2">
      <c r="B348" s="62" t="s">
        <v>5683</v>
      </c>
      <c r="C348" s="61" t="s">
        <v>495</v>
      </c>
      <c r="D348" s="60">
        <v>0.67698000000000003</v>
      </c>
      <c r="E348" s="59">
        <v>3.9069799999999999</v>
      </c>
      <c r="F348" s="59">
        <v>18.63655</v>
      </c>
      <c r="G348" s="56">
        <v>1698.12</v>
      </c>
      <c r="H348" s="56">
        <v>2508.38</v>
      </c>
      <c r="I348" s="58">
        <v>0.71830700000000003</v>
      </c>
      <c r="J348" s="57">
        <v>1.0655699999999999</v>
      </c>
      <c r="K348" s="56"/>
      <c r="L348" s="56" t="s">
        <v>624</v>
      </c>
    </row>
    <row r="349" spans="2:12" x14ac:dyDescent="0.2">
      <c r="B349" s="62" t="s">
        <v>5682</v>
      </c>
      <c r="C349" s="61" t="s">
        <v>541</v>
      </c>
      <c r="D349" s="60">
        <v>0.72229500000000002</v>
      </c>
      <c r="E349" s="59">
        <v>5.52874</v>
      </c>
      <c r="F349" s="59">
        <v>7.2461000000000002</v>
      </c>
      <c r="G349" s="56">
        <v>2774.59</v>
      </c>
      <c r="H349" s="56">
        <v>3841.35</v>
      </c>
      <c r="I349" s="58">
        <v>0.69630800000000004</v>
      </c>
      <c r="J349" s="57">
        <v>1.0632600000000001</v>
      </c>
      <c r="K349" s="56"/>
      <c r="L349" s="56" t="s">
        <v>488</v>
      </c>
    </row>
    <row r="350" spans="2:12" x14ac:dyDescent="0.2">
      <c r="B350" s="62" t="s">
        <v>5681</v>
      </c>
      <c r="C350" s="61" t="s">
        <v>499</v>
      </c>
      <c r="D350" s="60">
        <v>1.38595</v>
      </c>
      <c r="E350" s="59">
        <v>6.3920700000000004</v>
      </c>
      <c r="F350" s="59">
        <v>6.5452500000000002</v>
      </c>
      <c r="G350" s="56">
        <v>898.68799999999999</v>
      </c>
      <c r="H350" s="56">
        <v>648.42700000000002</v>
      </c>
      <c r="I350" s="58">
        <v>0.40643699999999999</v>
      </c>
      <c r="J350" s="57">
        <v>0.38589299999999999</v>
      </c>
      <c r="K350" s="56"/>
      <c r="L350" s="56" t="s">
        <v>488</v>
      </c>
    </row>
    <row r="351" spans="2:12" x14ac:dyDescent="0.2">
      <c r="B351" s="62" t="s">
        <v>5680</v>
      </c>
      <c r="C351" s="61" t="s">
        <v>535</v>
      </c>
      <c r="D351" s="60">
        <v>1.37869</v>
      </c>
      <c r="E351" s="59">
        <v>3.4210099999999999</v>
      </c>
      <c r="F351" s="59">
        <v>4.8152600000000003</v>
      </c>
      <c r="G351" s="56">
        <v>0</v>
      </c>
      <c r="H351" s="56">
        <v>0</v>
      </c>
      <c r="I351" s="58">
        <v>0.48658699999999999</v>
      </c>
      <c r="J351" s="57">
        <v>0.43946499999999999</v>
      </c>
      <c r="K351" s="56"/>
      <c r="L351" s="56" t="s">
        <v>488</v>
      </c>
    </row>
    <row r="352" spans="2:12" x14ac:dyDescent="0.2">
      <c r="B352" s="62" t="s">
        <v>5679</v>
      </c>
      <c r="C352" s="61" t="s">
        <v>495</v>
      </c>
      <c r="D352" s="60">
        <v>1.45797</v>
      </c>
      <c r="E352" s="59">
        <v>2.7250700000000001</v>
      </c>
      <c r="F352" s="59">
        <v>3.21949</v>
      </c>
      <c r="G352" s="56">
        <v>0</v>
      </c>
      <c r="H352" s="56">
        <v>0</v>
      </c>
      <c r="I352" s="58">
        <v>0.18363199999999999</v>
      </c>
      <c r="J352" s="57">
        <v>0.31584200000000001</v>
      </c>
      <c r="K352" s="56"/>
      <c r="L352" s="56" t="s">
        <v>488</v>
      </c>
    </row>
    <row r="353" spans="2:12" x14ac:dyDescent="0.2">
      <c r="B353" s="62" t="s">
        <v>5678</v>
      </c>
      <c r="C353" s="61" t="s">
        <v>669</v>
      </c>
      <c r="D353" s="60">
        <v>1.10605</v>
      </c>
      <c r="E353" s="59">
        <v>5.25047</v>
      </c>
      <c r="F353" s="59">
        <v>5.5488900000000001</v>
      </c>
      <c r="G353" s="56">
        <v>558.43299999999999</v>
      </c>
      <c r="H353" s="56">
        <v>504.88799999999998</v>
      </c>
      <c r="I353" s="58">
        <v>0.27859899999999999</v>
      </c>
      <c r="J353" s="57">
        <v>0.47062500000000002</v>
      </c>
      <c r="K353" s="56"/>
      <c r="L353" s="56" t="s">
        <v>488</v>
      </c>
    </row>
    <row r="354" spans="2:12" x14ac:dyDescent="0.2">
      <c r="B354" s="62" t="s">
        <v>5677</v>
      </c>
      <c r="C354" s="61" t="s">
        <v>553</v>
      </c>
      <c r="D354" s="60">
        <v>0.90016799999999997</v>
      </c>
      <c r="E354" s="59">
        <v>5.1030100000000003</v>
      </c>
      <c r="F354" s="59">
        <v>7.9137399999999998</v>
      </c>
      <c r="G354" s="56">
        <v>1737.3</v>
      </c>
      <c r="H354" s="56">
        <v>1929.98</v>
      </c>
      <c r="I354" s="58">
        <v>0.64856800000000003</v>
      </c>
      <c r="J354" s="57">
        <v>0.72037899999999999</v>
      </c>
      <c r="K354" s="56"/>
      <c r="L354" s="56" t="s">
        <v>488</v>
      </c>
    </row>
    <row r="355" spans="2:12" x14ac:dyDescent="0.2">
      <c r="B355" s="62" t="s">
        <v>5676</v>
      </c>
      <c r="C355" s="61" t="s">
        <v>553</v>
      </c>
      <c r="D355" s="60">
        <v>0.89027500000000004</v>
      </c>
      <c r="E355" s="59">
        <v>5.7390299999999996</v>
      </c>
      <c r="F355" s="59">
        <v>7.1665900000000002</v>
      </c>
      <c r="G355" s="56">
        <v>1913.56</v>
      </c>
      <c r="H355" s="56">
        <v>2149.4</v>
      </c>
      <c r="I355" s="58">
        <v>0.64380800000000005</v>
      </c>
      <c r="J355" s="57">
        <v>0.73807599999999995</v>
      </c>
      <c r="K355" s="56"/>
      <c r="L355" s="56" t="s">
        <v>488</v>
      </c>
    </row>
    <row r="356" spans="2:12" x14ac:dyDescent="0.2">
      <c r="B356" s="62" t="s">
        <v>5675</v>
      </c>
      <c r="C356" s="61" t="s">
        <v>526</v>
      </c>
      <c r="D356" s="60">
        <v>1.9232</v>
      </c>
      <c r="E356" s="59">
        <v>2.6766000000000001</v>
      </c>
      <c r="F356" s="59">
        <v>2.9276800000000001</v>
      </c>
      <c r="G356" s="56">
        <v>0</v>
      </c>
      <c r="H356" s="56">
        <v>0</v>
      </c>
      <c r="I356" s="58">
        <v>0.14530399999999999</v>
      </c>
      <c r="J356" s="57">
        <v>0.23022100000000001</v>
      </c>
      <c r="K356" s="56"/>
      <c r="L356" s="56" t="s">
        <v>492</v>
      </c>
    </row>
    <row r="357" spans="2:12" x14ac:dyDescent="0.2">
      <c r="B357" s="62" t="s">
        <v>5674</v>
      </c>
      <c r="C357" s="61" t="s">
        <v>708</v>
      </c>
      <c r="D357" s="60">
        <v>0.85631599999999997</v>
      </c>
      <c r="E357" s="59">
        <v>5.02989</v>
      </c>
      <c r="F357" s="59">
        <v>6.1964800000000002</v>
      </c>
      <c r="G357" s="56">
        <v>1665.41</v>
      </c>
      <c r="H357" s="56">
        <v>1944.86</v>
      </c>
      <c r="I357" s="58">
        <v>0.64000400000000002</v>
      </c>
      <c r="J357" s="57">
        <v>0.74460300000000001</v>
      </c>
      <c r="K357" s="56"/>
      <c r="L357" s="56" t="s">
        <v>488</v>
      </c>
    </row>
    <row r="358" spans="2:12" x14ac:dyDescent="0.2">
      <c r="B358" s="62" t="s">
        <v>5673</v>
      </c>
      <c r="C358" s="61" t="s">
        <v>708</v>
      </c>
      <c r="D358" s="60">
        <v>0.85762799999999995</v>
      </c>
      <c r="E358" s="59">
        <v>5.2905699999999998</v>
      </c>
      <c r="F358" s="59">
        <v>6.5609000000000002</v>
      </c>
      <c r="G358" s="56">
        <v>1585.41</v>
      </c>
      <c r="H358" s="56">
        <v>1848.6</v>
      </c>
      <c r="I358" s="58">
        <v>0.64242200000000005</v>
      </c>
      <c r="J358" s="57">
        <v>0.74202699999999999</v>
      </c>
      <c r="K358" s="56"/>
      <c r="L358" s="56" t="s">
        <v>488</v>
      </c>
    </row>
    <row r="359" spans="2:12" x14ac:dyDescent="0.2">
      <c r="B359" s="62" t="s">
        <v>5672</v>
      </c>
      <c r="C359" s="61" t="s">
        <v>550</v>
      </c>
      <c r="D359" s="60">
        <v>1.41859</v>
      </c>
      <c r="E359" s="59">
        <v>3.03382</v>
      </c>
      <c r="F359" s="59">
        <v>4.0984299999999996</v>
      </c>
      <c r="G359" s="56">
        <v>0</v>
      </c>
      <c r="H359" s="56">
        <v>0</v>
      </c>
      <c r="I359" s="58">
        <v>0.20374600000000001</v>
      </c>
      <c r="J359" s="57">
        <v>0.30893199999999998</v>
      </c>
      <c r="K359" s="56"/>
      <c r="L359" s="56" t="s">
        <v>488</v>
      </c>
    </row>
    <row r="360" spans="2:12" x14ac:dyDescent="0.2">
      <c r="B360" s="62" t="s">
        <v>5671</v>
      </c>
      <c r="C360" s="61" t="s">
        <v>499</v>
      </c>
      <c r="D360" s="60">
        <v>1.9186799999999999</v>
      </c>
      <c r="E360" s="59">
        <v>2.72512</v>
      </c>
      <c r="F360" s="59">
        <v>3.83514</v>
      </c>
      <c r="G360" s="56">
        <v>0</v>
      </c>
      <c r="H360" s="56">
        <v>0</v>
      </c>
      <c r="I360" s="58">
        <v>0.19519</v>
      </c>
      <c r="J360" s="57">
        <v>0.229597</v>
      </c>
      <c r="K360" s="56"/>
      <c r="L360" s="56" t="s">
        <v>488</v>
      </c>
    </row>
    <row r="361" spans="2:12" x14ac:dyDescent="0.2">
      <c r="B361" s="62" t="s">
        <v>5670</v>
      </c>
      <c r="C361" s="61" t="s">
        <v>499</v>
      </c>
      <c r="D361" s="60">
        <v>1.7315</v>
      </c>
      <c r="E361" s="59">
        <v>2.9314100000000001</v>
      </c>
      <c r="F361" s="59">
        <v>3.7073100000000001</v>
      </c>
      <c r="G361" s="56">
        <v>0</v>
      </c>
      <c r="H361" s="56">
        <v>0</v>
      </c>
      <c r="I361" s="58">
        <v>0.105722</v>
      </c>
      <c r="J361" s="57">
        <v>0.21753</v>
      </c>
      <c r="K361" s="56"/>
      <c r="L361" s="56" t="s">
        <v>488</v>
      </c>
    </row>
    <row r="362" spans="2:12" x14ac:dyDescent="0.2">
      <c r="B362" s="62" t="s">
        <v>5669</v>
      </c>
      <c r="C362" s="61" t="s">
        <v>1438</v>
      </c>
      <c r="D362" s="60">
        <v>1.1026199999999999</v>
      </c>
      <c r="E362" s="59">
        <v>3.9759500000000001</v>
      </c>
      <c r="F362" s="59">
        <v>6.0352499999999996</v>
      </c>
      <c r="G362" s="56">
        <v>935.34199999999998</v>
      </c>
      <c r="H362" s="56">
        <v>848.28800000000001</v>
      </c>
      <c r="I362" s="58">
        <v>0.43467899999999998</v>
      </c>
      <c r="J362" s="57">
        <v>0.49315399999999998</v>
      </c>
      <c r="K362" s="56"/>
      <c r="L362" s="56" t="s">
        <v>488</v>
      </c>
    </row>
    <row r="363" spans="2:12" x14ac:dyDescent="0.2">
      <c r="B363" s="62" t="s">
        <v>5668</v>
      </c>
      <c r="C363" s="61" t="s">
        <v>499</v>
      </c>
      <c r="D363" s="60">
        <v>1.46384</v>
      </c>
      <c r="E363" s="59">
        <v>3.1394799999999998</v>
      </c>
      <c r="F363" s="59">
        <v>3.49003</v>
      </c>
      <c r="G363" s="56">
        <v>0</v>
      </c>
      <c r="H363" s="56">
        <v>0</v>
      </c>
      <c r="I363" s="58">
        <v>0.17394699999999999</v>
      </c>
      <c r="J363" s="57">
        <v>0.26852100000000001</v>
      </c>
      <c r="K363" s="56"/>
      <c r="L363" s="56" t="s">
        <v>488</v>
      </c>
    </row>
    <row r="364" spans="2:12" x14ac:dyDescent="0.2">
      <c r="B364" s="62" t="s">
        <v>5667</v>
      </c>
      <c r="C364" s="61" t="s">
        <v>502</v>
      </c>
      <c r="D364" s="60">
        <v>1.2110700000000001</v>
      </c>
      <c r="E364" s="59">
        <v>3.2619400000000001</v>
      </c>
      <c r="F364" s="59">
        <v>5.04155</v>
      </c>
      <c r="G364" s="56">
        <v>0</v>
      </c>
      <c r="H364" s="56">
        <v>0</v>
      </c>
      <c r="I364" s="58">
        <v>0.348049</v>
      </c>
      <c r="J364" s="57">
        <v>0.39938800000000002</v>
      </c>
      <c r="K364" s="56"/>
      <c r="L364" s="56" t="s">
        <v>488</v>
      </c>
    </row>
    <row r="365" spans="2:12" x14ac:dyDescent="0.2">
      <c r="B365" s="62" t="s">
        <v>5666</v>
      </c>
      <c r="C365" s="61" t="s">
        <v>550</v>
      </c>
      <c r="D365" s="60">
        <v>0.79226799999999997</v>
      </c>
      <c r="E365" s="59">
        <v>10.0389</v>
      </c>
      <c r="F365" s="59">
        <v>17.621420000000001</v>
      </c>
      <c r="G365" s="56">
        <v>1093.46</v>
      </c>
      <c r="H365" s="56">
        <v>1380.16</v>
      </c>
      <c r="I365" s="58">
        <v>0.58206599999999997</v>
      </c>
      <c r="J365" s="57">
        <v>0.836646</v>
      </c>
      <c r="K365" s="56"/>
      <c r="L365" s="56" t="s">
        <v>492</v>
      </c>
    </row>
    <row r="366" spans="2:12" x14ac:dyDescent="0.2">
      <c r="B366" s="62" t="s">
        <v>5665</v>
      </c>
      <c r="C366" s="61" t="s">
        <v>537</v>
      </c>
      <c r="D366" s="60">
        <v>0.79052599999999995</v>
      </c>
      <c r="E366" s="59">
        <v>10.42327</v>
      </c>
      <c r="F366" s="59">
        <v>18.062090000000001</v>
      </c>
      <c r="G366" s="56">
        <v>1282.01</v>
      </c>
      <c r="H366" s="56">
        <v>1621.71</v>
      </c>
      <c r="I366" s="58">
        <v>0.65846000000000005</v>
      </c>
      <c r="J366" s="57">
        <v>0.88224100000000005</v>
      </c>
      <c r="K366" s="56"/>
      <c r="L366" s="56" t="s">
        <v>488</v>
      </c>
    </row>
    <row r="367" spans="2:12" x14ac:dyDescent="0.2">
      <c r="B367" s="62" t="s">
        <v>5664</v>
      </c>
      <c r="C367" s="61" t="s">
        <v>2665</v>
      </c>
      <c r="D367" s="60">
        <v>1.4953000000000001</v>
      </c>
      <c r="E367" s="59">
        <v>2.7177500000000001</v>
      </c>
      <c r="F367" s="59">
        <v>5.0070300000000003</v>
      </c>
      <c r="G367" s="56">
        <v>0</v>
      </c>
      <c r="H367" s="56">
        <v>0</v>
      </c>
      <c r="I367" s="58">
        <v>0.31955499999999998</v>
      </c>
      <c r="J367" s="57">
        <v>0.30276900000000001</v>
      </c>
      <c r="K367" s="56"/>
      <c r="L367" s="56" t="s">
        <v>492</v>
      </c>
    </row>
    <row r="368" spans="2:12" x14ac:dyDescent="0.2">
      <c r="B368" s="62" t="s">
        <v>5663</v>
      </c>
      <c r="C368" s="61" t="s">
        <v>5662</v>
      </c>
      <c r="D368" s="60">
        <v>1.4676</v>
      </c>
      <c r="E368" s="59">
        <v>2.75684</v>
      </c>
      <c r="F368" s="59">
        <v>5.101</v>
      </c>
      <c r="G368" s="56">
        <v>0</v>
      </c>
      <c r="H368" s="56">
        <v>0</v>
      </c>
      <c r="I368" s="58">
        <v>0.32516</v>
      </c>
      <c r="J368" s="57">
        <v>0.31217299999999998</v>
      </c>
      <c r="K368" s="56"/>
      <c r="L368" s="56" t="s">
        <v>492</v>
      </c>
    </row>
    <row r="369" spans="2:12" x14ac:dyDescent="0.2">
      <c r="B369" s="62" t="s">
        <v>5661</v>
      </c>
      <c r="C369" s="61" t="s">
        <v>499</v>
      </c>
      <c r="D369" s="60">
        <v>1.7117</v>
      </c>
      <c r="E369" s="59">
        <v>2.6241099999999999</v>
      </c>
      <c r="F369" s="59">
        <v>5.2507200000000003</v>
      </c>
      <c r="G369" s="56">
        <v>0</v>
      </c>
      <c r="H369" s="56">
        <v>0</v>
      </c>
      <c r="I369" s="58">
        <v>0.30019200000000001</v>
      </c>
      <c r="J369" s="57">
        <v>0.27790100000000001</v>
      </c>
      <c r="K369" s="56"/>
      <c r="L369" s="56" t="s">
        <v>488</v>
      </c>
    </row>
    <row r="370" spans="2:12" x14ac:dyDescent="0.2">
      <c r="B370" s="62" t="s">
        <v>5660</v>
      </c>
      <c r="C370" s="61" t="s">
        <v>567</v>
      </c>
      <c r="D370" s="60">
        <v>1.49438</v>
      </c>
      <c r="E370" s="59">
        <v>2.84666</v>
      </c>
      <c r="F370" s="59">
        <v>3.2920500000000001</v>
      </c>
      <c r="G370" s="56">
        <v>0</v>
      </c>
      <c r="H370" s="56">
        <v>0</v>
      </c>
      <c r="I370" s="58">
        <v>9.5195600000000005E-2</v>
      </c>
      <c r="J370" s="57">
        <v>0.172625</v>
      </c>
      <c r="K370" s="56"/>
      <c r="L370" s="56" t="s">
        <v>488</v>
      </c>
    </row>
    <row r="371" spans="2:12" x14ac:dyDescent="0.2">
      <c r="B371" s="62" t="s">
        <v>5659</v>
      </c>
      <c r="C371" s="61" t="s">
        <v>550</v>
      </c>
      <c r="D371" s="60">
        <v>0.80082500000000001</v>
      </c>
      <c r="E371" s="59">
        <v>9.8018999999999998</v>
      </c>
      <c r="F371" s="59">
        <v>17.38419</v>
      </c>
      <c r="G371" s="56">
        <v>1112.3900000000001</v>
      </c>
      <c r="H371" s="56">
        <v>1389.05</v>
      </c>
      <c r="I371" s="58">
        <v>0.59497599999999995</v>
      </c>
      <c r="J371" s="57">
        <v>0.82634399999999997</v>
      </c>
      <c r="K371" s="56"/>
      <c r="L371" s="56" t="s">
        <v>492</v>
      </c>
    </row>
    <row r="372" spans="2:12" x14ac:dyDescent="0.2">
      <c r="B372" s="62" t="s">
        <v>5658</v>
      </c>
      <c r="C372" s="61" t="s">
        <v>550</v>
      </c>
      <c r="D372" s="60">
        <v>0.77848200000000001</v>
      </c>
      <c r="E372" s="59">
        <v>10.026339999999999</v>
      </c>
      <c r="F372" s="59">
        <v>17.54007</v>
      </c>
      <c r="G372" s="56">
        <v>1132.52</v>
      </c>
      <c r="H372" s="56">
        <v>1454.79</v>
      </c>
      <c r="I372" s="58">
        <v>0.60799599999999998</v>
      </c>
      <c r="J372" s="57">
        <v>0.86673100000000003</v>
      </c>
      <c r="K372" s="56"/>
      <c r="L372" s="56" t="s">
        <v>492</v>
      </c>
    </row>
    <row r="373" spans="2:12" x14ac:dyDescent="0.2">
      <c r="B373" s="62" t="s">
        <v>5657</v>
      </c>
      <c r="C373" s="61" t="s">
        <v>687</v>
      </c>
      <c r="D373" s="60">
        <v>0.88320299999999996</v>
      </c>
      <c r="E373" s="59">
        <v>10.50821</v>
      </c>
      <c r="F373" s="59">
        <v>17.73142</v>
      </c>
      <c r="G373" s="56">
        <v>1117.73</v>
      </c>
      <c r="H373" s="56">
        <v>1256.4100000000001</v>
      </c>
      <c r="I373" s="58">
        <v>0.61366200000000004</v>
      </c>
      <c r="J373" s="57">
        <v>0.76504499999999998</v>
      </c>
      <c r="K373" s="56"/>
      <c r="L373" s="56" t="s">
        <v>492</v>
      </c>
    </row>
    <row r="374" spans="2:12" x14ac:dyDescent="0.2">
      <c r="B374" s="62" t="s">
        <v>5656</v>
      </c>
      <c r="C374" s="61" t="s">
        <v>687</v>
      </c>
      <c r="D374" s="60">
        <v>0.88962600000000003</v>
      </c>
      <c r="E374" s="59">
        <v>10.582420000000001</v>
      </c>
      <c r="F374" s="59">
        <v>17.814920000000001</v>
      </c>
      <c r="G374" s="56">
        <v>1116.58</v>
      </c>
      <c r="H374" s="56">
        <v>1264.24</v>
      </c>
      <c r="I374" s="58">
        <v>0.60924100000000003</v>
      </c>
      <c r="J374" s="57">
        <v>0.757969</v>
      </c>
      <c r="K374" s="56"/>
      <c r="L374" s="56" t="s">
        <v>492</v>
      </c>
    </row>
    <row r="375" spans="2:12" x14ac:dyDescent="0.2">
      <c r="B375" s="62" t="s">
        <v>5655</v>
      </c>
      <c r="C375" s="61" t="s">
        <v>537</v>
      </c>
      <c r="D375" s="60">
        <v>1.68326</v>
      </c>
      <c r="E375" s="59">
        <v>4.1431899999999997</v>
      </c>
      <c r="F375" s="59">
        <v>4.6791299999999998</v>
      </c>
      <c r="G375" s="56">
        <v>869.86400000000003</v>
      </c>
      <c r="H375" s="56">
        <v>516.77200000000005</v>
      </c>
      <c r="I375" s="58">
        <v>0.34719499999999998</v>
      </c>
      <c r="J375" s="57">
        <v>0.30779800000000002</v>
      </c>
      <c r="K375" s="56"/>
      <c r="L375" s="56" t="s">
        <v>488</v>
      </c>
    </row>
    <row r="376" spans="2:12" x14ac:dyDescent="0.2">
      <c r="B376" s="62" t="s">
        <v>5654</v>
      </c>
      <c r="C376" s="61" t="s">
        <v>531</v>
      </c>
      <c r="D376" s="60">
        <v>1.6087899999999999</v>
      </c>
      <c r="E376" s="59">
        <v>4.1908200000000004</v>
      </c>
      <c r="F376" s="59">
        <v>4.7208500000000004</v>
      </c>
      <c r="G376" s="56">
        <v>898.28899999999999</v>
      </c>
      <c r="H376" s="56">
        <v>558.36400000000003</v>
      </c>
      <c r="I376" s="58">
        <v>0.34747499999999998</v>
      </c>
      <c r="J376" s="57">
        <v>0.32515899999999998</v>
      </c>
      <c r="K376" s="56"/>
      <c r="L376" s="56" t="s">
        <v>488</v>
      </c>
    </row>
    <row r="377" spans="2:12" x14ac:dyDescent="0.2">
      <c r="B377" s="62" t="s">
        <v>5653</v>
      </c>
      <c r="C377" s="61" t="s">
        <v>533</v>
      </c>
      <c r="D377" s="60">
        <v>1.6379999999999999</v>
      </c>
      <c r="E377" s="59">
        <v>4.1827500000000004</v>
      </c>
      <c r="F377" s="59">
        <v>4.7275099999999997</v>
      </c>
      <c r="G377" s="56">
        <v>883.26300000000003</v>
      </c>
      <c r="H377" s="56">
        <v>539.23299999999995</v>
      </c>
      <c r="I377" s="58">
        <v>0.347611</v>
      </c>
      <c r="J377" s="57">
        <v>0.31844699999999998</v>
      </c>
      <c r="K377" s="56"/>
      <c r="L377" s="56" t="s">
        <v>488</v>
      </c>
    </row>
    <row r="378" spans="2:12" x14ac:dyDescent="0.2">
      <c r="B378" s="62" t="s">
        <v>5652</v>
      </c>
      <c r="C378" s="61" t="s">
        <v>535</v>
      </c>
      <c r="D378" s="60">
        <v>1.6594100000000001</v>
      </c>
      <c r="E378" s="59">
        <v>4.1637500000000003</v>
      </c>
      <c r="F378" s="59">
        <v>4.6950799999999999</v>
      </c>
      <c r="G378" s="56">
        <v>880.72900000000004</v>
      </c>
      <c r="H378" s="56">
        <v>530.74800000000005</v>
      </c>
      <c r="I378" s="58">
        <v>0.34598600000000002</v>
      </c>
      <c r="J378" s="57">
        <v>0.31309700000000001</v>
      </c>
      <c r="K378" s="56"/>
      <c r="L378" s="56" t="s">
        <v>488</v>
      </c>
    </row>
    <row r="379" spans="2:12" x14ac:dyDescent="0.2">
      <c r="B379" s="62" t="s">
        <v>5651</v>
      </c>
      <c r="C379" s="61" t="s">
        <v>499</v>
      </c>
      <c r="D379" s="60">
        <v>0.85141100000000003</v>
      </c>
      <c r="E379" s="59">
        <v>5.0621700000000001</v>
      </c>
      <c r="F379" s="59">
        <v>5.7879399999999999</v>
      </c>
      <c r="G379" s="56">
        <v>2690.62</v>
      </c>
      <c r="H379" s="56">
        <v>3160.19</v>
      </c>
      <c r="I379" s="58">
        <v>0.713005</v>
      </c>
      <c r="J379" s="57">
        <v>0.83415099999999998</v>
      </c>
      <c r="K379" s="56"/>
      <c r="L379" s="56" t="s">
        <v>488</v>
      </c>
    </row>
    <row r="380" spans="2:12" x14ac:dyDescent="0.2">
      <c r="B380" s="62" t="s">
        <v>5650</v>
      </c>
      <c r="C380" s="61" t="s">
        <v>510</v>
      </c>
      <c r="D380" s="60">
        <v>1.3662099999999999</v>
      </c>
      <c r="E380" s="59">
        <v>4.6241099999999999</v>
      </c>
      <c r="F380" s="59">
        <v>5.25312</v>
      </c>
      <c r="G380" s="56">
        <v>596.88900000000001</v>
      </c>
      <c r="H380" s="56">
        <v>436.89499999999998</v>
      </c>
      <c r="I380" s="58">
        <v>0.28690900000000003</v>
      </c>
      <c r="J380" s="57">
        <v>0.31598700000000002</v>
      </c>
      <c r="K380" s="56"/>
      <c r="L380" s="56" t="s">
        <v>488</v>
      </c>
    </row>
    <row r="381" spans="2:12" x14ac:dyDescent="0.2">
      <c r="B381" s="62" t="s">
        <v>5649</v>
      </c>
      <c r="C381" s="61" t="s">
        <v>1518</v>
      </c>
      <c r="D381" s="60">
        <v>2.2113</v>
      </c>
      <c r="E381" s="59">
        <v>3.2871199999999998</v>
      </c>
      <c r="F381" s="59">
        <v>3.6616200000000001</v>
      </c>
      <c r="G381" s="56">
        <v>0</v>
      </c>
      <c r="H381" s="56">
        <v>0</v>
      </c>
      <c r="I381" s="58">
        <v>0.124972</v>
      </c>
      <c r="J381" s="57">
        <v>0.16022700000000001</v>
      </c>
      <c r="K381" s="56"/>
      <c r="L381" s="56" t="s">
        <v>488</v>
      </c>
    </row>
    <row r="382" spans="2:12" x14ac:dyDescent="0.2">
      <c r="B382" s="62" t="s">
        <v>5648</v>
      </c>
      <c r="C382" s="61" t="s">
        <v>878</v>
      </c>
      <c r="D382" s="60">
        <v>2.1205099999999999</v>
      </c>
      <c r="E382" s="59">
        <v>3.3227799999999998</v>
      </c>
      <c r="F382" s="59">
        <v>3.7229100000000002</v>
      </c>
      <c r="G382" s="56">
        <v>0</v>
      </c>
      <c r="H382" s="56">
        <v>0</v>
      </c>
      <c r="I382" s="58">
        <v>0.13086600000000001</v>
      </c>
      <c r="J382" s="57">
        <v>0.170409</v>
      </c>
      <c r="K382" s="56"/>
      <c r="L382" s="56" t="s">
        <v>488</v>
      </c>
    </row>
    <row r="383" spans="2:12" x14ac:dyDescent="0.2">
      <c r="B383" s="62" t="s">
        <v>5647</v>
      </c>
      <c r="C383" s="61" t="s">
        <v>510</v>
      </c>
      <c r="D383" s="60">
        <v>1.1587000000000001</v>
      </c>
      <c r="E383" s="59">
        <v>5.8963700000000001</v>
      </c>
      <c r="F383" s="59">
        <v>7.3395099999999998</v>
      </c>
      <c r="G383" s="56">
        <v>815.63300000000004</v>
      </c>
      <c r="H383" s="56">
        <v>703.92499999999995</v>
      </c>
      <c r="I383" s="58">
        <v>0.29693399999999998</v>
      </c>
      <c r="J383" s="57">
        <v>0.43070599999999998</v>
      </c>
      <c r="K383" s="56"/>
      <c r="L383" s="56" t="s">
        <v>488</v>
      </c>
    </row>
    <row r="384" spans="2:12" x14ac:dyDescent="0.2">
      <c r="B384" s="62" t="s">
        <v>5646</v>
      </c>
      <c r="C384" s="61" t="s">
        <v>510</v>
      </c>
      <c r="D384" s="60">
        <v>1.23597</v>
      </c>
      <c r="E384" s="59">
        <v>5.43194</v>
      </c>
      <c r="F384" s="59">
        <v>7.0789499999999999</v>
      </c>
      <c r="G384" s="56">
        <v>636.38699999999994</v>
      </c>
      <c r="H384" s="56">
        <v>514.88800000000003</v>
      </c>
      <c r="I384" s="58">
        <v>0.26033899999999999</v>
      </c>
      <c r="J384" s="57">
        <v>0.36557400000000001</v>
      </c>
      <c r="K384" s="56"/>
      <c r="L384" s="56" t="s">
        <v>488</v>
      </c>
    </row>
    <row r="385" spans="2:12" x14ac:dyDescent="0.2">
      <c r="B385" s="62" t="s">
        <v>5645</v>
      </c>
      <c r="C385" s="61" t="s">
        <v>495</v>
      </c>
      <c r="D385" s="60">
        <v>0.95133299999999998</v>
      </c>
      <c r="E385" s="59">
        <v>3.7404000000000002</v>
      </c>
      <c r="F385" s="59">
        <v>5.2877299999999998</v>
      </c>
      <c r="G385" s="56">
        <v>410.59899999999999</v>
      </c>
      <c r="H385" s="56">
        <v>431.60399999999998</v>
      </c>
      <c r="I385" s="58">
        <v>0.50834000000000001</v>
      </c>
      <c r="J385" s="57">
        <v>0.58057599999999998</v>
      </c>
      <c r="K385" s="56"/>
      <c r="L385" s="56" t="s">
        <v>488</v>
      </c>
    </row>
    <row r="386" spans="2:12" x14ac:dyDescent="0.2">
      <c r="B386" s="62" t="s">
        <v>5644</v>
      </c>
      <c r="C386" s="61" t="s">
        <v>548</v>
      </c>
      <c r="D386" s="60">
        <v>1.5698300000000001</v>
      </c>
      <c r="E386" s="59">
        <v>3.7271800000000002</v>
      </c>
      <c r="F386" s="59">
        <v>4.44055</v>
      </c>
      <c r="G386" s="56">
        <v>435.82400000000001</v>
      </c>
      <c r="H386" s="56">
        <v>277.62599999999998</v>
      </c>
      <c r="I386" s="58">
        <v>0.61417500000000003</v>
      </c>
      <c r="J386" s="57">
        <v>0.273426</v>
      </c>
      <c r="K386" s="56"/>
      <c r="L386" s="56" t="s">
        <v>488</v>
      </c>
    </row>
    <row r="387" spans="2:12" x14ac:dyDescent="0.2">
      <c r="B387" s="62" t="s">
        <v>5643</v>
      </c>
      <c r="C387" s="61" t="s">
        <v>502</v>
      </c>
      <c r="D387" s="60">
        <v>1.36154</v>
      </c>
      <c r="E387" s="59">
        <v>2.5602</v>
      </c>
      <c r="F387" s="59">
        <v>4.5108499999999996</v>
      </c>
      <c r="G387" s="56">
        <v>0</v>
      </c>
      <c r="H387" s="56">
        <v>0</v>
      </c>
      <c r="I387" s="58">
        <v>0.20905499999999999</v>
      </c>
      <c r="J387" s="57">
        <v>0.32490999999999998</v>
      </c>
      <c r="K387" s="56"/>
      <c r="L387" s="56" t="s">
        <v>488</v>
      </c>
    </row>
    <row r="388" spans="2:12" x14ac:dyDescent="0.2">
      <c r="B388" s="62" t="s">
        <v>5642</v>
      </c>
      <c r="C388" s="61" t="s">
        <v>612</v>
      </c>
      <c r="D388" s="60">
        <v>1.22872</v>
      </c>
      <c r="E388" s="59">
        <v>5.3826999999999998</v>
      </c>
      <c r="F388" s="59">
        <v>7.02745</v>
      </c>
      <c r="G388" s="56">
        <v>694.67399999999998</v>
      </c>
      <c r="H388" s="56">
        <v>565.36400000000003</v>
      </c>
      <c r="I388" s="58">
        <v>0.26599499999999998</v>
      </c>
      <c r="J388" s="57">
        <v>0.38215300000000002</v>
      </c>
      <c r="K388" s="56"/>
      <c r="L388" s="56" t="s">
        <v>488</v>
      </c>
    </row>
    <row r="389" spans="2:12" x14ac:dyDescent="0.2">
      <c r="B389" s="62" t="s">
        <v>5641</v>
      </c>
      <c r="C389" s="61" t="s">
        <v>612</v>
      </c>
      <c r="D389" s="60">
        <v>1.19421</v>
      </c>
      <c r="E389" s="59">
        <v>5.7092999999999998</v>
      </c>
      <c r="F389" s="59">
        <v>7.08216</v>
      </c>
      <c r="G389" s="56">
        <v>684.10199999999998</v>
      </c>
      <c r="H389" s="56">
        <v>572.851</v>
      </c>
      <c r="I389" s="58">
        <v>0.28676000000000001</v>
      </c>
      <c r="J389" s="57">
        <v>0.41001100000000001</v>
      </c>
      <c r="K389" s="56"/>
      <c r="L389" s="56" t="s">
        <v>488</v>
      </c>
    </row>
    <row r="390" spans="2:12" x14ac:dyDescent="0.2">
      <c r="B390" s="62" t="s">
        <v>5640</v>
      </c>
      <c r="C390" s="61" t="s">
        <v>612</v>
      </c>
      <c r="D390" s="60">
        <v>1.26745</v>
      </c>
      <c r="E390" s="59">
        <v>5.43032</v>
      </c>
      <c r="F390" s="59">
        <v>7.0791300000000001</v>
      </c>
      <c r="G390" s="56">
        <v>677.57500000000005</v>
      </c>
      <c r="H390" s="56">
        <v>552.77200000000005</v>
      </c>
      <c r="I390" s="58">
        <v>0.25478899999999999</v>
      </c>
      <c r="J390" s="57">
        <v>0.35866500000000001</v>
      </c>
      <c r="K390" s="56"/>
      <c r="L390" s="56" t="s">
        <v>488</v>
      </c>
    </row>
    <row r="391" spans="2:12" x14ac:dyDescent="0.2">
      <c r="B391" s="62" t="s">
        <v>5639</v>
      </c>
      <c r="C391" s="61" t="s">
        <v>612</v>
      </c>
      <c r="D391" s="60">
        <v>1.2257800000000001</v>
      </c>
      <c r="E391" s="59">
        <v>5.2099799999999998</v>
      </c>
      <c r="F391" s="59">
        <v>6.8253199999999996</v>
      </c>
      <c r="G391" s="56">
        <v>665.86</v>
      </c>
      <c r="H391" s="56">
        <v>525.35599999999999</v>
      </c>
      <c r="I391" s="58">
        <v>0.263988</v>
      </c>
      <c r="J391" s="57">
        <v>0.38375399999999998</v>
      </c>
      <c r="K391" s="56"/>
      <c r="L391" s="56" t="s">
        <v>488</v>
      </c>
    </row>
    <row r="392" spans="2:12" x14ac:dyDescent="0.2">
      <c r="B392" s="62" t="s">
        <v>5638</v>
      </c>
      <c r="C392" s="61" t="s">
        <v>612</v>
      </c>
      <c r="D392" s="60">
        <v>1.21167</v>
      </c>
      <c r="E392" s="59">
        <v>5.5588100000000003</v>
      </c>
      <c r="F392" s="59">
        <v>7.01349</v>
      </c>
      <c r="G392" s="56">
        <v>670.94100000000003</v>
      </c>
      <c r="H392" s="56">
        <v>553.73299999999995</v>
      </c>
      <c r="I392" s="58">
        <v>0.279806</v>
      </c>
      <c r="J392" s="57">
        <v>0.39820899999999998</v>
      </c>
      <c r="K392" s="56"/>
      <c r="L392" s="56" t="s">
        <v>488</v>
      </c>
    </row>
    <row r="393" spans="2:12" x14ac:dyDescent="0.2">
      <c r="B393" s="62" t="s">
        <v>5637</v>
      </c>
      <c r="C393" s="61" t="s">
        <v>612</v>
      </c>
      <c r="D393" s="60">
        <v>0.702067</v>
      </c>
      <c r="E393" s="59">
        <v>8.6262799999999995</v>
      </c>
      <c r="F393" s="59">
        <v>10.81747</v>
      </c>
      <c r="G393" s="56">
        <v>1982.66</v>
      </c>
      <c r="H393" s="56">
        <v>2902.91</v>
      </c>
      <c r="I393" s="58">
        <v>0.71155900000000005</v>
      </c>
      <c r="J393" s="57">
        <v>0.99130499999999999</v>
      </c>
      <c r="K393" s="56"/>
      <c r="L393" s="56" t="s">
        <v>488</v>
      </c>
    </row>
    <row r="394" spans="2:12" x14ac:dyDescent="0.2">
      <c r="B394" s="62" t="s">
        <v>5636</v>
      </c>
      <c r="C394" s="61" t="s">
        <v>612</v>
      </c>
      <c r="D394" s="60">
        <v>0.68298899999999996</v>
      </c>
      <c r="E394" s="59">
        <v>8.5561299999999996</v>
      </c>
      <c r="F394" s="59">
        <v>10.888109999999999</v>
      </c>
      <c r="G394" s="56">
        <v>1845.59</v>
      </c>
      <c r="H394" s="56">
        <v>2628.79</v>
      </c>
      <c r="I394" s="58">
        <v>0.73023899999999997</v>
      </c>
      <c r="J394" s="57">
        <v>1.0332300000000001</v>
      </c>
      <c r="K394" s="56"/>
      <c r="L394" s="56" t="s">
        <v>488</v>
      </c>
    </row>
    <row r="395" spans="2:12" x14ac:dyDescent="0.2">
      <c r="B395" s="62" t="s">
        <v>5635</v>
      </c>
      <c r="C395" s="61" t="s">
        <v>502</v>
      </c>
      <c r="D395" s="60">
        <v>1.43835</v>
      </c>
      <c r="E395" s="59">
        <v>5.5151199999999996</v>
      </c>
      <c r="F395" s="59">
        <v>5.7800700000000003</v>
      </c>
      <c r="G395" s="56">
        <v>748.81799999999998</v>
      </c>
      <c r="H395" s="56">
        <v>520.61</v>
      </c>
      <c r="I395" s="58">
        <v>0.2974</v>
      </c>
      <c r="J395" s="57">
        <v>0.32217899999999999</v>
      </c>
      <c r="K395" s="56"/>
      <c r="L395" s="56" t="s">
        <v>488</v>
      </c>
    </row>
    <row r="396" spans="2:12" x14ac:dyDescent="0.2">
      <c r="B396" s="62" t="s">
        <v>5634</v>
      </c>
      <c r="C396" s="61" t="s">
        <v>502</v>
      </c>
      <c r="D396" s="60">
        <v>1.3311999999999999</v>
      </c>
      <c r="E396" s="59">
        <v>5.8225300000000004</v>
      </c>
      <c r="F396" s="59">
        <v>6.3525299999999998</v>
      </c>
      <c r="G396" s="56">
        <v>1123.68</v>
      </c>
      <c r="H396" s="56">
        <v>844.10599999999999</v>
      </c>
      <c r="I396" s="58">
        <v>0.42603600000000003</v>
      </c>
      <c r="J396" s="57">
        <v>0.38844899999999999</v>
      </c>
      <c r="K396" s="56"/>
      <c r="L396" s="56" t="s">
        <v>488</v>
      </c>
    </row>
    <row r="397" spans="2:12" x14ac:dyDescent="0.2">
      <c r="B397" s="62" t="s">
        <v>5633</v>
      </c>
      <c r="C397" s="61" t="s">
        <v>499</v>
      </c>
      <c r="D397" s="60">
        <v>0.91867299999999996</v>
      </c>
      <c r="E397" s="59">
        <v>3.9685100000000002</v>
      </c>
      <c r="F397" s="59">
        <v>4.6210000000000004</v>
      </c>
      <c r="G397" s="56">
        <v>1131.67</v>
      </c>
      <c r="H397" s="56">
        <v>1231.8499999999999</v>
      </c>
      <c r="I397" s="58">
        <v>0.46959400000000001</v>
      </c>
      <c r="J397" s="57">
        <v>0.62197100000000005</v>
      </c>
      <c r="K397" s="56"/>
      <c r="L397" s="56" t="s">
        <v>492</v>
      </c>
    </row>
    <row r="398" spans="2:12" x14ac:dyDescent="0.2">
      <c r="B398" s="62" t="s">
        <v>5632</v>
      </c>
      <c r="C398" s="61" t="s">
        <v>510</v>
      </c>
      <c r="D398" s="60">
        <v>1.6391</v>
      </c>
      <c r="E398" s="59">
        <v>2.7060300000000002</v>
      </c>
      <c r="F398" s="59">
        <v>3.7640500000000001</v>
      </c>
      <c r="G398" s="56">
        <v>0</v>
      </c>
      <c r="H398" s="56">
        <v>0</v>
      </c>
      <c r="I398" s="58">
        <v>0.14652100000000001</v>
      </c>
      <c r="J398" s="57">
        <v>0.26688600000000001</v>
      </c>
      <c r="K398" s="56"/>
      <c r="L398" s="56" t="s">
        <v>488</v>
      </c>
    </row>
    <row r="399" spans="2:12" x14ac:dyDescent="0.2">
      <c r="B399" s="62" t="s">
        <v>5631</v>
      </c>
      <c r="C399" s="61" t="s">
        <v>499</v>
      </c>
      <c r="D399" s="60">
        <v>2.0369799999999998</v>
      </c>
      <c r="E399" s="59">
        <v>5.0586099999999998</v>
      </c>
      <c r="F399" s="59">
        <v>5.83169</v>
      </c>
      <c r="G399" s="56">
        <v>241.69200000000001</v>
      </c>
      <c r="H399" s="56">
        <v>118.652</v>
      </c>
      <c r="I399" s="58">
        <v>0.13113</v>
      </c>
      <c r="J399" s="57">
        <v>0.17827100000000001</v>
      </c>
      <c r="K399" s="56"/>
      <c r="L399" s="56" t="s">
        <v>488</v>
      </c>
    </row>
    <row r="400" spans="2:12" x14ac:dyDescent="0.2">
      <c r="B400" s="62" t="s">
        <v>5630</v>
      </c>
      <c r="C400" s="61" t="s">
        <v>579</v>
      </c>
      <c r="D400" s="60">
        <v>1.11548</v>
      </c>
      <c r="E400" s="59">
        <v>4.78268</v>
      </c>
      <c r="F400" s="59">
        <v>6.6388299999999996</v>
      </c>
      <c r="G400" s="56">
        <v>1961.35</v>
      </c>
      <c r="H400" s="56">
        <v>1758.31</v>
      </c>
      <c r="I400" s="58">
        <v>0.66306900000000002</v>
      </c>
      <c r="J400" s="57">
        <v>0.57742099999999996</v>
      </c>
      <c r="K400" s="56"/>
      <c r="L400" s="56" t="s">
        <v>488</v>
      </c>
    </row>
    <row r="401" spans="2:12" x14ac:dyDescent="0.2">
      <c r="B401" s="62" t="s">
        <v>5629</v>
      </c>
      <c r="C401" s="61" t="s">
        <v>507</v>
      </c>
      <c r="D401" s="60">
        <v>1.0967499999999999</v>
      </c>
      <c r="E401" s="59">
        <v>4.8193299999999999</v>
      </c>
      <c r="F401" s="59">
        <v>6.7158199999999999</v>
      </c>
      <c r="G401" s="56">
        <v>1916.77</v>
      </c>
      <c r="H401" s="56">
        <v>1747.68</v>
      </c>
      <c r="I401" s="58">
        <v>0.64972300000000005</v>
      </c>
      <c r="J401" s="57">
        <v>0.59167400000000003</v>
      </c>
      <c r="K401" s="56"/>
      <c r="L401" s="56" t="s">
        <v>488</v>
      </c>
    </row>
    <row r="402" spans="2:12" x14ac:dyDescent="0.2">
      <c r="B402" s="62" t="s">
        <v>5628</v>
      </c>
      <c r="C402" s="61" t="s">
        <v>499</v>
      </c>
      <c r="D402" s="60">
        <v>0.96169899999999997</v>
      </c>
      <c r="E402" s="59">
        <v>5.2930799999999998</v>
      </c>
      <c r="F402" s="59">
        <v>9.0279900000000008</v>
      </c>
      <c r="G402" s="56">
        <v>1758.23</v>
      </c>
      <c r="H402" s="56">
        <v>1828.26</v>
      </c>
      <c r="I402" s="58">
        <v>0.64973099999999995</v>
      </c>
      <c r="J402" s="57">
        <v>0.688087</v>
      </c>
      <c r="K402" s="56"/>
      <c r="L402" s="56" t="s">
        <v>488</v>
      </c>
    </row>
    <row r="403" spans="2:12" x14ac:dyDescent="0.2">
      <c r="B403" s="62" t="s">
        <v>5627</v>
      </c>
      <c r="C403" s="61" t="s">
        <v>1100</v>
      </c>
      <c r="D403" s="60">
        <v>2.5149300000000001</v>
      </c>
      <c r="E403" s="59">
        <v>3.1193399999999998</v>
      </c>
      <c r="F403" s="59">
        <v>3.7609400000000002</v>
      </c>
      <c r="G403" s="56">
        <v>0</v>
      </c>
      <c r="H403" s="56">
        <v>0</v>
      </c>
      <c r="I403" s="58">
        <v>7.1154400000000007E-2</v>
      </c>
      <c r="J403" s="57">
        <v>0.15143200000000001</v>
      </c>
      <c r="K403" s="56"/>
      <c r="L403" s="56" t="s">
        <v>488</v>
      </c>
    </row>
    <row r="404" spans="2:12" x14ac:dyDescent="0.2">
      <c r="B404" s="62" t="s">
        <v>5626</v>
      </c>
      <c r="C404" s="61" t="s">
        <v>625</v>
      </c>
      <c r="D404" s="60">
        <v>2.33657</v>
      </c>
      <c r="E404" s="59">
        <v>3.0850200000000001</v>
      </c>
      <c r="F404" s="59">
        <v>4.2178000000000004</v>
      </c>
      <c r="G404" s="56">
        <v>0</v>
      </c>
      <c r="H404" s="56">
        <v>0</v>
      </c>
      <c r="I404" s="58">
        <v>0.167463</v>
      </c>
      <c r="J404" s="57">
        <v>0.16443099999999999</v>
      </c>
      <c r="K404" s="56"/>
      <c r="L404" s="56" t="s">
        <v>488</v>
      </c>
    </row>
    <row r="405" spans="2:12" x14ac:dyDescent="0.2">
      <c r="B405" s="62" t="s">
        <v>5625</v>
      </c>
      <c r="C405" s="61" t="s">
        <v>612</v>
      </c>
      <c r="D405" s="60">
        <v>2.2942499999999999</v>
      </c>
      <c r="E405" s="59">
        <v>2.7787899999999999</v>
      </c>
      <c r="F405" s="59">
        <v>4.0416400000000001</v>
      </c>
      <c r="G405" s="56">
        <v>0</v>
      </c>
      <c r="H405" s="56">
        <v>0</v>
      </c>
      <c r="I405" s="58">
        <v>0.180059</v>
      </c>
      <c r="J405" s="57">
        <v>0.16361600000000001</v>
      </c>
      <c r="K405" s="56"/>
      <c r="L405" s="56" t="s">
        <v>488</v>
      </c>
    </row>
    <row r="406" spans="2:12" x14ac:dyDescent="0.2">
      <c r="B406" s="62" t="s">
        <v>5624</v>
      </c>
      <c r="C406" s="61" t="s">
        <v>502</v>
      </c>
      <c r="D406" s="60">
        <v>0.70566200000000001</v>
      </c>
      <c r="E406" s="59">
        <v>8.2304600000000008</v>
      </c>
      <c r="F406" s="59">
        <v>13.93661</v>
      </c>
      <c r="G406" s="56">
        <v>1872.91</v>
      </c>
      <c r="H406" s="56">
        <v>2654.12</v>
      </c>
      <c r="I406" s="58">
        <v>0.80880300000000005</v>
      </c>
      <c r="J406" s="57">
        <v>1.06331</v>
      </c>
      <c r="K406" s="56"/>
      <c r="L406" s="56" t="s">
        <v>488</v>
      </c>
    </row>
    <row r="407" spans="2:12" x14ac:dyDescent="0.2">
      <c r="B407" s="62" t="s">
        <v>5623</v>
      </c>
      <c r="C407" s="61" t="s">
        <v>502</v>
      </c>
      <c r="D407" s="60">
        <v>0.545408</v>
      </c>
      <c r="E407" s="59">
        <v>7.6129300000000004</v>
      </c>
      <c r="F407" s="59">
        <v>13.27741</v>
      </c>
      <c r="G407" s="56">
        <v>2039.68</v>
      </c>
      <c r="H407" s="56">
        <v>3739.73</v>
      </c>
      <c r="I407" s="58">
        <v>0.82838500000000004</v>
      </c>
      <c r="J407" s="57">
        <v>1.4416599999999999</v>
      </c>
      <c r="K407" s="56"/>
      <c r="L407" s="56" t="s">
        <v>488</v>
      </c>
    </row>
    <row r="408" spans="2:12" x14ac:dyDescent="0.2">
      <c r="B408" s="62" t="s">
        <v>5622</v>
      </c>
      <c r="C408" s="61" t="s">
        <v>526</v>
      </c>
      <c r="D408" s="60">
        <v>1.29979</v>
      </c>
      <c r="E408" s="59">
        <v>2.7399499999999999</v>
      </c>
      <c r="F408" s="59">
        <v>5.0931600000000001</v>
      </c>
      <c r="G408" s="56">
        <v>0</v>
      </c>
      <c r="H408" s="56">
        <v>0</v>
      </c>
      <c r="I408" s="58">
        <v>0.28539300000000001</v>
      </c>
      <c r="J408" s="57">
        <v>0.35939300000000002</v>
      </c>
      <c r="K408" s="56"/>
      <c r="L408" s="56" t="s">
        <v>492</v>
      </c>
    </row>
    <row r="409" spans="2:12" x14ac:dyDescent="0.2">
      <c r="B409" s="62" t="s">
        <v>5621</v>
      </c>
      <c r="C409" s="61" t="s">
        <v>4201</v>
      </c>
      <c r="D409" s="60">
        <v>1.2384500000000001</v>
      </c>
      <c r="E409" s="59">
        <v>4.1451000000000002</v>
      </c>
      <c r="F409" s="59">
        <v>5.2677100000000001</v>
      </c>
      <c r="G409" s="56">
        <v>828.41800000000001</v>
      </c>
      <c r="H409" s="56">
        <v>668.91300000000001</v>
      </c>
      <c r="I409" s="58">
        <v>0.57619699999999996</v>
      </c>
      <c r="J409" s="57">
        <v>0.41921199999999997</v>
      </c>
      <c r="K409" s="56"/>
      <c r="L409" s="56" t="s">
        <v>492</v>
      </c>
    </row>
    <row r="410" spans="2:12" x14ac:dyDescent="0.2">
      <c r="B410" s="62" t="s">
        <v>5620</v>
      </c>
      <c r="C410" s="61" t="s">
        <v>526</v>
      </c>
      <c r="D410" s="60">
        <v>1.27142</v>
      </c>
      <c r="E410" s="59">
        <v>4.0253500000000004</v>
      </c>
      <c r="F410" s="59">
        <v>5.6875999999999998</v>
      </c>
      <c r="G410" s="56">
        <v>889.63300000000004</v>
      </c>
      <c r="H410" s="56">
        <v>699.71500000000003</v>
      </c>
      <c r="I410" s="58">
        <v>0.543821</v>
      </c>
      <c r="J410" s="57">
        <v>0.39169799999999999</v>
      </c>
      <c r="K410" s="56"/>
      <c r="L410" s="56" t="s">
        <v>492</v>
      </c>
    </row>
    <row r="411" spans="2:12" x14ac:dyDescent="0.2">
      <c r="B411" s="62" t="s">
        <v>5619</v>
      </c>
      <c r="C411" s="61" t="s">
        <v>4201</v>
      </c>
      <c r="D411" s="60">
        <v>1.0789200000000001</v>
      </c>
      <c r="E411" s="59">
        <v>3.7974100000000002</v>
      </c>
      <c r="F411" s="59">
        <v>6.1999599999999999</v>
      </c>
      <c r="G411" s="56">
        <v>906.96100000000001</v>
      </c>
      <c r="H411" s="56">
        <v>840.61800000000005</v>
      </c>
      <c r="I411" s="58">
        <v>0.49321999999999999</v>
      </c>
      <c r="J411" s="57">
        <v>0.50162300000000004</v>
      </c>
      <c r="K411" s="56"/>
      <c r="L411" s="56" t="s">
        <v>624</v>
      </c>
    </row>
    <row r="412" spans="2:12" x14ac:dyDescent="0.2">
      <c r="B412" s="62" t="s">
        <v>5618</v>
      </c>
      <c r="C412" s="61" t="s">
        <v>533</v>
      </c>
      <c r="D412" s="60">
        <v>1.9175</v>
      </c>
      <c r="E412" s="59">
        <v>2.9179200000000001</v>
      </c>
      <c r="F412" s="59">
        <v>3.6525500000000002</v>
      </c>
      <c r="G412" s="56">
        <v>0</v>
      </c>
      <c r="H412" s="56">
        <v>0</v>
      </c>
      <c r="I412" s="58">
        <v>0.113078</v>
      </c>
      <c r="J412" s="57">
        <v>0.19053800000000001</v>
      </c>
      <c r="K412" s="56"/>
      <c r="L412" s="56" t="s">
        <v>488</v>
      </c>
    </row>
    <row r="413" spans="2:12" x14ac:dyDescent="0.2">
      <c r="B413" s="62" t="s">
        <v>5617</v>
      </c>
      <c r="C413" s="61" t="s">
        <v>535</v>
      </c>
      <c r="D413" s="60">
        <v>1.93567</v>
      </c>
      <c r="E413" s="59">
        <v>2.9051800000000001</v>
      </c>
      <c r="F413" s="59">
        <v>3.64019</v>
      </c>
      <c r="G413" s="56">
        <v>0</v>
      </c>
      <c r="H413" s="56">
        <v>0</v>
      </c>
      <c r="I413" s="58">
        <v>0.113536</v>
      </c>
      <c r="J413" s="57">
        <v>0.18768000000000001</v>
      </c>
      <c r="K413" s="56"/>
      <c r="L413" s="56" t="s">
        <v>488</v>
      </c>
    </row>
    <row r="414" spans="2:12" x14ac:dyDescent="0.2">
      <c r="B414" s="62" t="s">
        <v>5616</v>
      </c>
      <c r="C414" s="61" t="s">
        <v>582</v>
      </c>
      <c r="D414" s="60">
        <v>1.9440500000000001</v>
      </c>
      <c r="E414" s="59">
        <v>2.8277600000000001</v>
      </c>
      <c r="F414" s="59">
        <v>4.1452299999999997</v>
      </c>
      <c r="G414" s="56">
        <v>0</v>
      </c>
      <c r="H414" s="56">
        <v>0</v>
      </c>
      <c r="I414" s="58">
        <v>0.271119</v>
      </c>
      <c r="J414" s="57">
        <v>0.23633899999999999</v>
      </c>
      <c r="K414" s="56"/>
      <c r="L414" s="56" t="s">
        <v>488</v>
      </c>
    </row>
    <row r="415" spans="2:12" x14ac:dyDescent="0.2">
      <c r="B415" s="62" t="s">
        <v>5615</v>
      </c>
      <c r="C415" s="61" t="s">
        <v>531</v>
      </c>
      <c r="D415" s="60">
        <v>1.95983</v>
      </c>
      <c r="E415" s="59">
        <v>2.81759</v>
      </c>
      <c r="F415" s="59">
        <v>4.13408</v>
      </c>
      <c r="G415" s="56">
        <v>0</v>
      </c>
      <c r="H415" s="56">
        <v>0</v>
      </c>
      <c r="I415" s="58">
        <v>0.27115899999999998</v>
      </c>
      <c r="J415" s="57">
        <v>0.233988</v>
      </c>
      <c r="K415" s="56"/>
      <c r="L415" s="56" t="s">
        <v>488</v>
      </c>
    </row>
    <row r="416" spans="2:12" x14ac:dyDescent="0.2">
      <c r="B416" s="62" t="s">
        <v>5614</v>
      </c>
      <c r="C416" s="61" t="s">
        <v>533</v>
      </c>
      <c r="D416" s="60">
        <v>2.0064099999999998</v>
      </c>
      <c r="E416" s="59">
        <v>2.7977500000000002</v>
      </c>
      <c r="F416" s="59">
        <v>4.1187500000000004</v>
      </c>
      <c r="G416" s="56">
        <v>0</v>
      </c>
      <c r="H416" s="56">
        <v>0</v>
      </c>
      <c r="I416" s="58">
        <v>0.27000400000000002</v>
      </c>
      <c r="J416" s="57">
        <v>0.22720599999999999</v>
      </c>
      <c r="K416" s="56"/>
      <c r="L416" s="56" t="s">
        <v>488</v>
      </c>
    </row>
    <row r="417" spans="2:12" x14ac:dyDescent="0.2">
      <c r="B417" s="62" t="s">
        <v>5613</v>
      </c>
      <c r="C417" s="61" t="s">
        <v>535</v>
      </c>
      <c r="D417" s="60">
        <v>2.0243099999999998</v>
      </c>
      <c r="E417" s="59">
        <v>2.7907700000000002</v>
      </c>
      <c r="F417" s="59">
        <v>4.1004399999999999</v>
      </c>
      <c r="G417" s="56">
        <v>0</v>
      </c>
      <c r="H417" s="56">
        <v>0</v>
      </c>
      <c r="I417" s="58">
        <v>0.270202</v>
      </c>
      <c r="J417" s="57">
        <v>0.22475600000000001</v>
      </c>
      <c r="K417" s="56"/>
      <c r="L417" s="56" t="s">
        <v>488</v>
      </c>
    </row>
    <row r="418" spans="2:12" x14ac:dyDescent="0.2">
      <c r="B418" s="62" t="s">
        <v>5612</v>
      </c>
      <c r="C418" s="61" t="s">
        <v>537</v>
      </c>
      <c r="D418" s="60">
        <v>2.04806</v>
      </c>
      <c r="E418" s="59">
        <v>2.78322</v>
      </c>
      <c r="F418" s="59">
        <v>4.0899700000000001</v>
      </c>
      <c r="G418" s="56">
        <v>0</v>
      </c>
      <c r="H418" s="56">
        <v>0</v>
      </c>
      <c r="I418" s="58">
        <v>0.26877299999999998</v>
      </c>
      <c r="J418" s="57">
        <v>0.22192700000000001</v>
      </c>
      <c r="K418" s="56"/>
      <c r="L418" s="56" t="s">
        <v>488</v>
      </c>
    </row>
    <row r="419" spans="2:12" x14ac:dyDescent="0.2">
      <c r="B419" s="62" t="s">
        <v>5611</v>
      </c>
      <c r="C419" s="61" t="s">
        <v>558</v>
      </c>
      <c r="D419" s="60">
        <v>2.0753499999999998</v>
      </c>
      <c r="E419" s="59">
        <v>2.7579500000000001</v>
      </c>
      <c r="F419" s="59">
        <v>4.0531600000000001</v>
      </c>
      <c r="G419" s="56">
        <v>0</v>
      </c>
      <c r="H419" s="56">
        <v>0</v>
      </c>
      <c r="I419" s="58">
        <v>0.268343</v>
      </c>
      <c r="J419" s="57">
        <v>0.21816099999999999</v>
      </c>
      <c r="K419" s="56"/>
      <c r="L419" s="56" t="s">
        <v>488</v>
      </c>
    </row>
    <row r="420" spans="2:12" x14ac:dyDescent="0.2">
      <c r="B420" s="62" t="s">
        <v>5610</v>
      </c>
      <c r="C420" s="61" t="s">
        <v>859</v>
      </c>
      <c r="D420" s="60">
        <v>2.1027200000000001</v>
      </c>
      <c r="E420" s="59">
        <v>2.74254</v>
      </c>
      <c r="F420" s="59">
        <v>4.0293599999999996</v>
      </c>
      <c r="G420" s="56">
        <v>0</v>
      </c>
      <c r="H420" s="56">
        <v>0</v>
      </c>
      <c r="I420" s="58">
        <v>0.26607500000000001</v>
      </c>
      <c r="J420" s="57">
        <v>0.21435699999999999</v>
      </c>
      <c r="K420" s="56"/>
      <c r="L420" s="56" t="s">
        <v>488</v>
      </c>
    </row>
    <row r="421" spans="2:12" x14ac:dyDescent="0.2">
      <c r="B421" s="62" t="s">
        <v>5609</v>
      </c>
      <c r="C421" s="61" t="s">
        <v>5608</v>
      </c>
      <c r="D421" s="60">
        <v>0.86155700000000002</v>
      </c>
      <c r="E421" s="59">
        <v>4.4353100000000003</v>
      </c>
      <c r="F421" s="59">
        <v>6.98874</v>
      </c>
      <c r="G421" s="56">
        <v>1502.08</v>
      </c>
      <c r="H421" s="56">
        <v>1743.44</v>
      </c>
      <c r="I421" s="58">
        <v>0.58049399999999995</v>
      </c>
      <c r="J421" s="57">
        <v>0.70391099999999995</v>
      </c>
      <c r="K421" s="56"/>
      <c r="L421" s="56" t="s">
        <v>488</v>
      </c>
    </row>
    <row r="422" spans="2:12" x14ac:dyDescent="0.2">
      <c r="B422" s="62" t="s">
        <v>5607</v>
      </c>
      <c r="C422" s="61" t="s">
        <v>5606</v>
      </c>
      <c r="D422" s="60">
        <v>0.94437300000000002</v>
      </c>
      <c r="E422" s="59">
        <v>4.2169400000000001</v>
      </c>
      <c r="F422" s="59">
        <v>6.9393500000000001</v>
      </c>
      <c r="G422" s="56">
        <v>1476.05</v>
      </c>
      <c r="H422" s="56">
        <v>1562.99</v>
      </c>
      <c r="I422" s="58">
        <v>0.574129</v>
      </c>
      <c r="J422" s="57">
        <v>0.63577899999999998</v>
      </c>
      <c r="K422" s="56"/>
      <c r="L422" s="56" t="s">
        <v>488</v>
      </c>
    </row>
    <row r="423" spans="2:12" x14ac:dyDescent="0.2">
      <c r="B423" s="62" t="s">
        <v>5605</v>
      </c>
      <c r="C423" s="61" t="s">
        <v>5604</v>
      </c>
      <c r="D423" s="60">
        <v>0.88456699999999999</v>
      </c>
      <c r="E423" s="59">
        <v>4.9271000000000003</v>
      </c>
      <c r="F423" s="59">
        <v>6.5732100000000004</v>
      </c>
      <c r="G423" s="56">
        <v>1402.29</v>
      </c>
      <c r="H423" s="56">
        <v>1585.29</v>
      </c>
      <c r="I423" s="58">
        <v>0.58695799999999998</v>
      </c>
      <c r="J423" s="57">
        <v>0.67446200000000001</v>
      </c>
      <c r="K423" s="56"/>
      <c r="L423" s="56" t="s">
        <v>488</v>
      </c>
    </row>
    <row r="424" spans="2:12" x14ac:dyDescent="0.2">
      <c r="B424" s="62" t="s">
        <v>5603</v>
      </c>
      <c r="C424" s="61" t="s">
        <v>510</v>
      </c>
      <c r="D424" s="60">
        <v>1.07172</v>
      </c>
      <c r="E424" s="59">
        <v>8.4694900000000004</v>
      </c>
      <c r="F424" s="59">
        <v>8.9312500000000004</v>
      </c>
      <c r="G424" s="56">
        <v>1527.19</v>
      </c>
      <c r="H424" s="56">
        <v>1424.98</v>
      </c>
      <c r="I424" s="58">
        <v>0.62614499999999995</v>
      </c>
      <c r="J424" s="57">
        <v>0.58431100000000002</v>
      </c>
      <c r="K424" s="56"/>
      <c r="L424" s="56" t="s">
        <v>488</v>
      </c>
    </row>
    <row r="425" spans="2:12" x14ac:dyDescent="0.2">
      <c r="B425" s="62" t="s">
        <v>5602</v>
      </c>
      <c r="C425" s="61" t="s">
        <v>5601</v>
      </c>
      <c r="D425" s="60">
        <v>3.4433500000000001</v>
      </c>
      <c r="E425" s="59">
        <v>3.6588500000000002</v>
      </c>
      <c r="F425" s="59">
        <v>4.10806</v>
      </c>
      <c r="G425" s="56">
        <v>0</v>
      </c>
      <c r="H425" s="56">
        <v>0</v>
      </c>
      <c r="I425" s="58">
        <v>9.3580700000000003E-2</v>
      </c>
      <c r="J425" s="57">
        <v>9.7503999999999993E-2</v>
      </c>
      <c r="K425" s="56"/>
      <c r="L425" s="56" t="s">
        <v>488</v>
      </c>
    </row>
    <row r="426" spans="2:12" x14ac:dyDescent="0.2">
      <c r="B426" s="62" t="s">
        <v>5600</v>
      </c>
      <c r="C426" s="61" t="s">
        <v>555</v>
      </c>
      <c r="D426" s="60">
        <v>1.3332900000000001</v>
      </c>
      <c r="E426" s="59">
        <v>2.4524499999999998</v>
      </c>
      <c r="F426" s="59">
        <v>3.5255200000000002</v>
      </c>
      <c r="G426" s="56">
        <v>0</v>
      </c>
      <c r="H426" s="56">
        <v>0</v>
      </c>
      <c r="I426" s="58">
        <v>0.23433200000000001</v>
      </c>
      <c r="J426" s="57">
        <v>0.35320000000000001</v>
      </c>
      <c r="K426" s="56"/>
      <c r="L426" s="56" t="s">
        <v>488</v>
      </c>
    </row>
    <row r="427" spans="2:12" x14ac:dyDescent="0.2">
      <c r="B427" s="62" t="s">
        <v>5599</v>
      </c>
      <c r="C427" s="61" t="s">
        <v>499</v>
      </c>
      <c r="D427" s="60">
        <v>0.95945400000000003</v>
      </c>
      <c r="E427" s="59">
        <v>9.3695500000000003</v>
      </c>
      <c r="F427" s="59">
        <v>10.28847</v>
      </c>
      <c r="G427" s="56">
        <v>1182.3</v>
      </c>
      <c r="H427" s="56">
        <v>1232.27</v>
      </c>
      <c r="I427" s="58">
        <v>0.529949</v>
      </c>
      <c r="J427" s="57">
        <v>0.62060499999999996</v>
      </c>
      <c r="K427" s="56"/>
      <c r="L427" s="56" t="s">
        <v>488</v>
      </c>
    </row>
    <row r="428" spans="2:12" x14ac:dyDescent="0.2">
      <c r="B428" s="62" t="s">
        <v>5598</v>
      </c>
      <c r="C428" s="61" t="s">
        <v>510</v>
      </c>
      <c r="D428" s="60">
        <v>0.40268999999999999</v>
      </c>
      <c r="E428" s="59">
        <v>7.7782</v>
      </c>
      <c r="F428" s="59">
        <v>20.259070000000001</v>
      </c>
      <c r="G428" s="56">
        <v>1908.5</v>
      </c>
      <c r="H428" s="56">
        <v>4739.37</v>
      </c>
      <c r="I428" s="58">
        <v>0.85634600000000005</v>
      </c>
      <c r="J428" s="57">
        <v>2.0405600000000002</v>
      </c>
      <c r="K428" s="56" t="s">
        <v>3968</v>
      </c>
      <c r="L428" s="56" t="s">
        <v>563</v>
      </c>
    </row>
    <row r="429" spans="2:12" x14ac:dyDescent="0.2">
      <c r="B429" s="62" t="s">
        <v>5597</v>
      </c>
      <c r="C429" s="61" t="s">
        <v>502</v>
      </c>
      <c r="D429" s="60">
        <v>0.41614800000000002</v>
      </c>
      <c r="E429" s="59">
        <v>7.7515000000000001</v>
      </c>
      <c r="F429" s="59">
        <v>19.920349999999999</v>
      </c>
      <c r="G429" s="56">
        <v>1936.81</v>
      </c>
      <c r="H429" s="56">
        <v>4654.13</v>
      </c>
      <c r="I429" s="58">
        <v>0.85331299999999999</v>
      </c>
      <c r="J429" s="57">
        <v>1.96879</v>
      </c>
      <c r="K429" s="56" t="s">
        <v>3968</v>
      </c>
      <c r="L429" s="56" t="s">
        <v>563</v>
      </c>
    </row>
    <row r="430" spans="2:12" x14ac:dyDescent="0.2">
      <c r="B430" s="62" t="s">
        <v>5596</v>
      </c>
      <c r="C430" s="61" t="s">
        <v>499</v>
      </c>
      <c r="D430" s="60">
        <v>0.40745599999999998</v>
      </c>
      <c r="E430" s="59">
        <v>7.7803699999999996</v>
      </c>
      <c r="F430" s="59">
        <v>20.427520000000001</v>
      </c>
      <c r="G430" s="56">
        <v>1914.25</v>
      </c>
      <c r="H430" s="56">
        <v>4698.0600000000004</v>
      </c>
      <c r="I430" s="58">
        <v>0.85740099999999997</v>
      </c>
      <c r="J430" s="57">
        <v>2.0207700000000002</v>
      </c>
      <c r="K430" s="56" t="s">
        <v>3968</v>
      </c>
      <c r="L430" s="56" t="s">
        <v>563</v>
      </c>
    </row>
    <row r="431" spans="2:12" x14ac:dyDescent="0.2">
      <c r="B431" s="62" t="s">
        <v>5595</v>
      </c>
      <c r="C431" s="61" t="s">
        <v>499</v>
      </c>
      <c r="D431" s="60">
        <v>0.99408799999999997</v>
      </c>
      <c r="E431" s="59">
        <v>6.4301300000000001</v>
      </c>
      <c r="F431" s="59">
        <v>8.0644899999999993</v>
      </c>
      <c r="G431" s="56">
        <v>1683.57</v>
      </c>
      <c r="H431" s="56">
        <v>1693.58</v>
      </c>
      <c r="I431" s="58">
        <v>0.64090899999999995</v>
      </c>
      <c r="J431" s="57">
        <v>0.65117000000000003</v>
      </c>
      <c r="K431" s="56"/>
      <c r="L431" s="56" t="s">
        <v>488</v>
      </c>
    </row>
    <row r="432" spans="2:12" x14ac:dyDescent="0.2">
      <c r="B432" s="62" t="s">
        <v>5594</v>
      </c>
      <c r="C432" s="61" t="s">
        <v>499</v>
      </c>
      <c r="D432" s="60">
        <v>1.0266500000000001</v>
      </c>
      <c r="E432" s="59">
        <v>5.3005399999999998</v>
      </c>
      <c r="F432" s="59">
        <v>7.1807100000000004</v>
      </c>
      <c r="G432" s="56">
        <v>1791.62</v>
      </c>
      <c r="H432" s="56">
        <v>1745.11</v>
      </c>
      <c r="I432" s="58">
        <v>0.62162200000000001</v>
      </c>
      <c r="J432" s="57">
        <v>0.621726</v>
      </c>
      <c r="K432" s="56"/>
      <c r="L432" s="56" t="s">
        <v>488</v>
      </c>
    </row>
    <row r="433" spans="2:12" x14ac:dyDescent="0.2">
      <c r="B433" s="62" t="s">
        <v>5593</v>
      </c>
      <c r="C433" s="61" t="s">
        <v>641</v>
      </c>
      <c r="D433" s="60">
        <v>1.5832999999999999</v>
      </c>
      <c r="E433" s="59">
        <v>3.0343499999999999</v>
      </c>
      <c r="F433" s="59">
        <v>4.1666699999999999</v>
      </c>
      <c r="G433" s="56">
        <v>0</v>
      </c>
      <c r="H433" s="56">
        <v>0</v>
      </c>
      <c r="I433" s="58">
        <v>0.170991</v>
      </c>
      <c r="J433" s="57">
        <v>0.28835</v>
      </c>
      <c r="K433" s="56"/>
      <c r="L433" s="56" t="s">
        <v>488</v>
      </c>
    </row>
    <row r="434" spans="2:12" x14ac:dyDescent="0.2">
      <c r="B434" s="62" t="s">
        <v>5592</v>
      </c>
      <c r="C434" s="61" t="s">
        <v>641</v>
      </c>
      <c r="D434" s="60">
        <v>1.3783399999999999</v>
      </c>
      <c r="E434" s="59">
        <v>5.4691900000000002</v>
      </c>
      <c r="F434" s="59">
        <v>6.0346700000000002</v>
      </c>
      <c r="G434" s="56">
        <v>878.74800000000005</v>
      </c>
      <c r="H434" s="56">
        <v>637.54</v>
      </c>
      <c r="I434" s="58">
        <v>0.35511399999999999</v>
      </c>
      <c r="J434" s="57">
        <v>0.38287700000000002</v>
      </c>
      <c r="K434" s="56"/>
      <c r="L434" s="56" t="s">
        <v>488</v>
      </c>
    </row>
    <row r="435" spans="2:12" x14ac:dyDescent="0.2">
      <c r="B435" s="62" t="s">
        <v>5591</v>
      </c>
      <c r="C435" s="61" t="s">
        <v>641</v>
      </c>
      <c r="D435" s="60">
        <v>1.54626</v>
      </c>
      <c r="E435" s="59">
        <v>3.2556500000000002</v>
      </c>
      <c r="F435" s="59">
        <v>4.1976500000000003</v>
      </c>
      <c r="G435" s="56">
        <v>0</v>
      </c>
      <c r="H435" s="56">
        <v>0</v>
      </c>
      <c r="I435" s="58">
        <v>0.20905499999999999</v>
      </c>
      <c r="J435" s="57">
        <v>0.30261199999999999</v>
      </c>
      <c r="K435" s="56"/>
      <c r="L435" s="56" t="s">
        <v>488</v>
      </c>
    </row>
    <row r="436" spans="2:12" x14ac:dyDescent="0.2">
      <c r="B436" s="62" t="s">
        <v>5590</v>
      </c>
      <c r="C436" s="61" t="s">
        <v>502</v>
      </c>
      <c r="D436" s="60">
        <v>1.1172</v>
      </c>
      <c r="E436" s="59">
        <v>2.61978</v>
      </c>
      <c r="F436" s="59">
        <v>4.1814799999999996</v>
      </c>
      <c r="G436" s="56">
        <v>0</v>
      </c>
      <c r="H436" s="56">
        <v>0</v>
      </c>
      <c r="I436" s="58">
        <v>0.43468800000000002</v>
      </c>
      <c r="J436" s="57">
        <v>0.48354200000000003</v>
      </c>
      <c r="K436" s="56"/>
      <c r="L436" s="56" t="s">
        <v>492</v>
      </c>
    </row>
    <row r="437" spans="2:12" x14ac:dyDescent="0.2">
      <c r="B437" s="62" t="s">
        <v>5589</v>
      </c>
      <c r="C437" s="61" t="s">
        <v>502</v>
      </c>
      <c r="D437" s="60">
        <v>1.4706399999999999</v>
      </c>
      <c r="E437" s="59">
        <v>4.9314299999999998</v>
      </c>
      <c r="F437" s="59">
        <v>6.9781599999999999</v>
      </c>
      <c r="G437" s="56">
        <v>1399.58</v>
      </c>
      <c r="H437" s="56">
        <v>1546.13</v>
      </c>
      <c r="I437" s="58">
        <v>0.14984800000000001</v>
      </c>
      <c r="J437" s="57">
        <v>0.29749199999999998</v>
      </c>
      <c r="K437" s="56"/>
      <c r="L437" s="56" t="s">
        <v>492</v>
      </c>
    </row>
    <row r="438" spans="2:12" x14ac:dyDescent="0.2">
      <c r="B438" s="62" t="s">
        <v>5588</v>
      </c>
      <c r="C438" s="61" t="s">
        <v>502</v>
      </c>
      <c r="D438" s="60">
        <v>0.90521399999999996</v>
      </c>
      <c r="E438" s="59">
        <v>3.85745</v>
      </c>
      <c r="F438" s="59">
        <v>5.5144799999999998</v>
      </c>
      <c r="G438" s="56">
        <v>780.19399999999996</v>
      </c>
      <c r="H438" s="56">
        <v>698.346</v>
      </c>
      <c r="I438" s="58">
        <v>0.57380600000000004</v>
      </c>
      <c r="J438" s="57">
        <v>0.68203899999999995</v>
      </c>
      <c r="K438" s="56"/>
      <c r="L438" s="56" t="s">
        <v>488</v>
      </c>
    </row>
    <row r="439" spans="2:12" x14ac:dyDescent="0.2">
      <c r="B439" s="62" t="s">
        <v>5587</v>
      </c>
      <c r="C439" s="61" t="s">
        <v>2572</v>
      </c>
      <c r="D439" s="60">
        <v>2.0061100000000001</v>
      </c>
      <c r="E439" s="59">
        <v>2.9523899999999998</v>
      </c>
      <c r="F439" s="59">
        <v>5.2996299999999996</v>
      </c>
      <c r="G439" s="56">
        <v>0</v>
      </c>
      <c r="H439" s="56">
        <v>0</v>
      </c>
      <c r="I439" s="58">
        <v>0.36732100000000001</v>
      </c>
      <c r="J439" s="57">
        <v>0.26496500000000001</v>
      </c>
      <c r="K439" s="56"/>
      <c r="L439" s="56" t="s">
        <v>488</v>
      </c>
    </row>
    <row r="440" spans="2:12" x14ac:dyDescent="0.2">
      <c r="B440" s="62" t="s">
        <v>5586</v>
      </c>
      <c r="C440" s="61" t="s">
        <v>499</v>
      </c>
      <c r="D440" s="60">
        <v>1.2390300000000001</v>
      </c>
      <c r="E440" s="59">
        <v>4.7247599999999998</v>
      </c>
      <c r="F440" s="59">
        <v>6.4849399999999999</v>
      </c>
      <c r="G440" s="56">
        <v>713.30399999999997</v>
      </c>
      <c r="H440" s="56">
        <v>575.697</v>
      </c>
      <c r="I440" s="58">
        <v>0.36569099999999999</v>
      </c>
      <c r="J440" s="57">
        <v>0.39357500000000001</v>
      </c>
      <c r="K440" s="56"/>
      <c r="L440" s="56" t="s">
        <v>488</v>
      </c>
    </row>
    <row r="441" spans="2:12" x14ac:dyDescent="0.2">
      <c r="B441" s="62" t="s">
        <v>5585</v>
      </c>
      <c r="C441" s="61" t="s">
        <v>871</v>
      </c>
      <c r="D441" s="60">
        <v>1.4330400000000001</v>
      </c>
      <c r="E441" s="59">
        <v>3.1528700000000001</v>
      </c>
      <c r="F441" s="59">
        <v>4.7563399999999998</v>
      </c>
      <c r="G441" s="56">
        <v>0</v>
      </c>
      <c r="H441" s="56">
        <v>0</v>
      </c>
      <c r="I441" s="58">
        <v>0.194772</v>
      </c>
      <c r="J441" s="57">
        <v>0.30377399999999999</v>
      </c>
      <c r="K441" s="56"/>
      <c r="L441" s="56" t="s">
        <v>488</v>
      </c>
    </row>
    <row r="442" spans="2:12" x14ac:dyDescent="0.2">
      <c r="B442" s="62" t="s">
        <v>5584</v>
      </c>
      <c r="C442" s="61" t="s">
        <v>510</v>
      </c>
      <c r="D442" s="60">
        <v>1.8404499999999999</v>
      </c>
      <c r="E442" s="59">
        <v>2.4725799999999998</v>
      </c>
      <c r="F442" s="59">
        <v>3.46373</v>
      </c>
      <c r="G442" s="56">
        <v>0</v>
      </c>
      <c r="H442" s="56">
        <v>0</v>
      </c>
      <c r="I442" s="58">
        <v>4.3132900000000002E-2</v>
      </c>
      <c r="J442" s="57">
        <v>0.18345800000000001</v>
      </c>
      <c r="K442" s="56"/>
      <c r="L442" s="56" t="s">
        <v>488</v>
      </c>
    </row>
    <row r="443" spans="2:12" x14ac:dyDescent="0.2">
      <c r="B443" s="62" t="s">
        <v>5583</v>
      </c>
      <c r="C443" s="61" t="s">
        <v>510</v>
      </c>
      <c r="D443" s="60">
        <v>1.88836</v>
      </c>
      <c r="E443" s="59">
        <v>2.4214099999999998</v>
      </c>
      <c r="F443" s="59">
        <v>3.2012999999999998</v>
      </c>
      <c r="G443" s="56">
        <v>0</v>
      </c>
      <c r="H443" s="56">
        <v>0</v>
      </c>
      <c r="I443" s="58">
        <v>4.0519699999999999E-2</v>
      </c>
      <c r="J443" s="57">
        <v>0.172624</v>
      </c>
      <c r="K443" s="56"/>
      <c r="L443" s="56" t="s">
        <v>488</v>
      </c>
    </row>
    <row r="444" spans="2:12" x14ac:dyDescent="0.2">
      <c r="B444" s="62" t="s">
        <v>5582</v>
      </c>
      <c r="C444" s="61" t="s">
        <v>548</v>
      </c>
      <c r="D444" s="60">
        <v>0.61288399999999998</v>
      </c>
      <c r="E444" s="59">
        <v>6.6958000000000002</v>
      </c>
      <c r="F444" s="59">
        <v>13.14978</v>
      </c>
      <c r="G444" s="56">
        <v>1993</v>
      </c>
      <c r="H444" s="56">
        <v>3251.84</v>
      </c>
      <c r="I444" s="58">
        <v>0.76853199999999999</v>
      </c>
      <c r="J444" s="57">
        <v>1.18957</v>
      </c>
      <c r="K444" s="56" t="s">
        <v>1816</v>
      </c>
      <c r="L444" s="56" t="s">
        <v>563</v>
      </c>
    </row>
    <row r="445" spans="2:12" x14ac:dyDescent="0.2">
      <c r="B445" s="62" t="s">
        <v>5581</v>
      </c>
      <c r="C445" s="61" t="s">
        <v>499</v>
      </c>
      <c r="D445" s="60">
        <v>0.71030899999999997</v>
      </c>
      <c r="E445" s="59">
        <v>13.273339999999999</v>
      </c>
      <c r="F445" s="59">
        <v>13.47664</v>
      </c>
      <c r="G445" s="56">
        <v>1421.4</v>
      </c>
      <c r="H445" s="56">
        <v>2001.1</v>
      </c>
      <c r="I445" s="58">
        <v>0.70185500000000001</v>
      </c>
      <c r="J445" s="57">
        <v>0.98562000000000005</v>
      </c>
      <c r="K445" s="56"/>
      <c r="L445" s="56" t="s">
        <v>488</v>
      </c>
    </row>
    <row r="446" spans="2:12" x14ac:dyDescent="0.2">
      <c r="B446" s="62" t="s">
        <v>5580</v>
      </c>
      <c r="C446" s="61" t="s">
        <v>612</v>
      </c>
      <c r="D446" s="60">
        <v>1.12398</v>
      </c>
      <c r="E446" s="59">
        <v>10.814120000000001</v>
      </c>
      <c r="F446" s="59">
        <v>11.59355</v>
      </c>
      <c r="G446" s="56">
        <v>1448.62</v>
      </c>
      <c r="H446" s="56">
        <v>1288.82</v>
      </c>
      <c r="I446" s="58">
        <v>0.70195600000000002</v>
      </c>
      <c r="J446" s="57">
        <v>0.56947499999999995</v>
      </c>
      <c r="K446" s="56"/>
      <c r="L446" s="56" t="s">
        <v>488</v>
      </c>
    </row>
    <row r="447" spans="2:12" x14ac:dyDescent="0.2">
      <c r="B447" s="62" t="s">
        <v>5579</v>
      </c>
      <c r="C447" s="61" t="s">
        <v>612</v>
      </c>
      <c r="D447" s="60">
        <v>1.1207400000000001</v>
      </c>
      <c r="E447" s="59">
        <v>10.81841</v>
      </c>
      <c r="F447" s="59">
        <v>11.60689</v>
      </c>
      <c r="G447" s="56">
        <v>1440.88</v>
      </c>
      <c r="H447" s="56">
        <v>1285.6400000000001</v>
      </c>
      <c r="I447" s="58">
        <v>0.69987100000000002</v>
      </c>
      <c r="J447" s="57">
        <v>0.57191099999999995</v>
      </c>
      <c r="K447" s="56"/>
      <c r="L447" s="56" t="s">
        <v>488</v>
      </c>
    </row>
    <row r="448" spans="2:12" x14ac:dyDescent="0.2">
      <c r="B448" s="62" t="s">
        <v>5578</v>
      </c>
      <c r="C448" s="61" t="s">
        <v>612</v>
      </c>
      <c r="D448" s="60">
        <v>1.1471800000000001</v>
      </c>
      <c r="E448" s="59">
        <v>10.52946</v>
      </c>
      <c r="F448" s="59">
        <v>11.30625</v>
      </c>
      <c r="G448" s="56">
        <v>1459.43</v>
      </c>
      <c r="H448" s="56">
        <v>1272.19</v>
      </c>
      <c r="I448" s="58">
        <v>0.69890200000000002</v>
      </c>
      <c r="J448" s="57">
        <v>0.55128600000000005</v>
      </c>
      <c r="K448" s="56"/>
      <c r="L448" s="56" t="s">
        <v>488</v>
      </c>
    </row>
    <row r="449" spans="2:12" x14ac:dyDescent="0.2">
      <c r="B449" s="62" t="s">
        <v>5577</v>
      </c>
      <c r="C449" s="61" t="s">
        <v>612</v>
      </c>
      <c r="D449" s="60">
        <v>1.1450499999999999</v>
      </c>
      <c r="E449" s="59">
        <v>10.74592</v>
      </c>
      <c r="F449" s="59">
        <v>11.479799999999999</v>
      </c>
      <c r="G449" s="56">
        <v>1442.37</v>
      </c>
      <c r="H449" s="56">
        <v>1259.6400000000001</v>
      </c>
      <c r="I449" s="58">
        <v>0.70248500000000003</v>
      </c>
      <c r="J449" s="57">
        <v>0.55497399999999997</v>
      </c>
      <c r="K449" s="56"/>
      <c r="L449" s="56" t="s">
        <v>488</v>
      </c>
    </row>
    <row r="450" spans="2:12" x14ac:dyDescent="0.2">
      <c r="B450" s="62" t="s">
        <v>5576</v>
      </c>
      <c r="C450" s="61" t="s">
        <v>612</v>
      </c>
      <c r="D450" s="60">
        <v>1.1445099999999999</v>
      </c>
      <c r="E450" s="59">
        <v>10.80771</v>
      </c>
      <c r="F450" s="59">
        <v>11.47659</v>
      </c>
      <c r="G450" s="56">
        <v>1440.46</v>
      </c>
      <c r="H450" s="56">
        <v>1258.5899999999999</v>
      </c>
      <c r="I450" s="58">
        <v>0.70527899999999999</v>
      </c>
      <c r="J450" s="57">
        <v>0.5554</v>
      </c>
      <c r="K450" s="56"/>
      <c r="L450" s="56" t="s">
        <v>488</v>
      </c>
    </row>
    <row r="451" spans="2:12" x14ac:dyDescent="0.2">
      <c r="B451" s="62" t="s">
        <v>5575</v>
      </c>
      <c r="C451" s="61" t="s">
        <v>612</v>
      </c>
      <c r="D451" s="60">
        <v>1.143</v>
      </c>
      <c r="E451" s="59">
        <v>10.742050000000001</v>
      </c>
      <c r="F451" s="59">
        <v>11.514189999999999</v>
      </c>
      <c r="G451" s="56">
        <v>1449.3</v>
      </c>
      <c r="H451" s="56">
        <v>1267.98</v>
      </c>
      <c r="I451" s="58">
        <v>0.70449300000000004</v>
      </c>
      <c r="J451" s="57">
        <v>0.55776199999999998</v>
      </c>
      <c r="K451" s="56"/>
      <c r="L451" s="56" t="s">
        <v>488</v>
      </c>
    </row>
    <row r="452" spans="2:12" x14ac:dyDescent="0.2">
      <c r="B452" s="62" t="s">
        <v>5574</v>
      </c>
      <c r="C452" s="61" t="s">
        <v>510</v>
      </c>
      <c r="D452" s="60">
        <v>1.3231999999999999</v>
      </c>
      <c r="E452" s="59">
        <v>3.5886100000000001</v>
      </c>
      <c r="F452" s="59">
        <v>5.0942400000000001</v>
      </c>
      <c r="G452" s="56">
        <v>0</v>
      </c>
      <c r="H452" s="56">
        <v>0</v>
      </c>
      <c r="I452" s="58">
        <v>0.312</v>
      </c>
      <c r="J452" s="57">
        <v>0.36977100000000002</v>
      </c>
      <c r="K452" s="56"/>
      <c r="L452" s="56" t="s">
        <v>492</v>
      </c>
    </row>
    <row r="453" spans="2:12" x14ac:dyDescent="0.2">
      <c r="B453" s="62" t="s">
        <v>5573</v>
      </c>
      <c r="C453" s="61" t="s">
        <v>708</v>
      </c>
      <c r="D453" s="60">
        <v>1.21319</v>
      </c>
      <c r="E453" s="59">
        <v>3.8592599999999999</v>
      </c>
      <c r="F453" s="59">
        <v>6.0732499999999998</v>
      </c>
      <c r="G453" s="56">
        <v>985.00699999999995</v>
      </c>
      <c r="H453" s="56">
        <v>811.91700000000003</v>
      </c>
      <c r="I453" s="58">
        <v>0.45807300000000001</v>
      </c>
      <c r="J453" s="57">
        <v>0.44893499999999997</v>
      </c>
      <c r="K453" s="56"/>
      <c r="L453" s="56" t="s">
        <v>488</v>
      </c>
    </row>
    <row r="454" spans="2:12" x14ac:dyDescent="0.2">
      <c r="B454" s="62" t="s">
        <v>5572</v>
      </c>
      <c r="C454" s="61" t="s">
        <v>510</v>
      </c>
      <c r="D454" s="60">
        <v>0.933786</v>
      </c>
      <c r="E454" s="59">
        <v>5.5494700000000003</v>
      </c>
      <c r="F454" s="59">
        <v>9.2189599999999992</v>
      </c>
      <c r="G454" s="56">
        <v>1310.3</v>
      </c>
      <c r="H454" s="56">
        <v>1403.22</v>
      </c>
      <c r="I454" s="58">
        <v>0.59701199999999999</v>
      </c>
      <c r="J454" s="57">
        <v>0.62649999999999995</v>
      </c>
      <c r="K454" s="56"/>
      <c r="L454" s="56" t="s">
        <v>488</v>
      </c>
    </row>
    <row r="455" spans="2:12" x14ac:dyDescent="0.2">
      <c r="B455" s="62" t="s">
        <v>5571</v>
      </c>
      <c r="C455" s="61" t="s">
        <v>502</v>
      </c>
      <c r="D455" s="60">
        <v>1.4942800000000001</v>
      </c>
      <c r="E455" s="59">
        <v>3.8917700000000002</v>
      </c>
      <c r="F455" s="59">
        <v>5.4442300000000001</v>
      </c>
      <c r="G455" s="56">
        <v>409.048</v>
      </c>
      <c r="H455" s="56">
        <v>272.75700000000001</v>
      </c>
      <c r="I455" s="58">
        <v>0.31942599999999999</v>
      </c>
      <c r="J455" s="57">
        <v>0.33491399999999999</v>
      </c>
      <c r="K455" s="56"/>
      <c r="L455" s="56" t="s">
        <v>488</v>
      </c>
    </row>
    <row r="456" spans="2:12" x14ac:dyDescent="0.2">
      <c r="B456" s="62" t="s">
        <v>5570</v>
      </c>
      <c r="C456" s="61" t="s">
        <v>502</v>
      </c>
      <c r="D456" s="60">
        <v>1.4996799999999999</v>
      </c>
      <c r="E456" s="59">
        <v>4.05504</v>
      </c>
      <c r="F456" s="59">
        <v>5.3247900000000001</v>
      </c>
      <c r="G456" s="56">
        <v>646.04999999999995</v>
      </c>
      <c r="H456" s="56">
        <v>432.34899999999999</v>
      </c>
      <c r="I456" s="58">
        <v>0.26089699999999999</v>
      </c>
      <c r="J456" s="57">
        <v>0.328434</v>
      </c>
      <c r="K456" s="56"/>
      <c r="L456" s="56" t="s">
        <v>488</v>
      </c>
    </row>
    <row r="457" spans="2:12" x14ac:dyDescent="0.2">
      <c r="B457" s="62" t="s">
        <v>5569</v>
      </c>
      <c r="C457" s="61" t="s">
        <v>5568</v>
      </c>
      <c r="D457" s="60">
        <v>1.98488</v>
      </c>
      <c r="E457" s="59">
        <v>3.7443900000000001</v>
      </c>
      <c r="F457" s="59">
        <v>6.8076800000000004</v>
      </c>
      <c r="G457" s="56">
        <v>743.80200000000002</v>
      </c>
      <c r="H457" s="56">
        <v>374.733</v>
      </c>
      <c r="I457" s="58">
        <v>0.318467</v>
      </c>
      <c r="J457" s="57">
        <v>0.24082000000000001</v>
      </c>
      <c r="K457" s="56"/>
      <c r="L457" s="56" t="s">
        <v>488</v>
      </c>
    </row>
    <row r="458" spans="2:12" x14ac:dyDescent="0.2">
      <c r="B458" s="62" t="s">
        <v>5567</v>
      </c>
      <c r="C458" s="61" t="s">
        <v>5076</v>
      </c>
      <c r="D458" s="60">
        <v>1.9370000000000001</v>
      </c>
      <c r="E458" s="59">
        <v>2.5853600000000001</v>
      </c>
      <c r="F458" s="59">
        <v>5.7198099999999998</v>
      </c>
      <c r="G458" s="56">
        <v>0</v>
      </c>
      <c r="H458" s="56">
        <v>0</v>
      </c>
      <c r="I458" s="58">
        <v>0.19883300000000001</v>
      </c>
      <c r="J458" s="57">
        <v>0.211205</v>
      </c>
      <c r="K458" s="56"/>
      <c r="L458" s="56" t="s">
        <v>492</v>
      </c>
    </row>
    <row r="459" spans="2:12" x14ac:dyDescent="0.2">
      <c r="B459" s="62" t="s">
        <v>5566</v>
      </c>
      <c r="C459" s="61" t="s">
        <v>502</v>
      </c>
      <c r="D459" s="60">
        <v>1.5088200000000001</v>
      </c>
      <c r="E459" s="59">
        <v>4.88565</v>
      </c>
      <c r="F459" s="59">
        <v>5.0518999999999998</v>
      </c>
      <c r="G459" s="56">
        <v>480.94900000000001</v>
      </c>
      <c r="H459" s="56">
        <v>318.75799999999998</v>
      </c>
      <c r="I459" s="58">
        <v>0.22903599999999999</v>
      </c>
      <c r="J459" s="57">
        <v>0.30582999999999999</v>
      </c>
      <c r="K459" s="56"/>
      <c r="L459" s="56" t="s">
        <v>488</v>
      </c>
    </row>
    <row r="460" spans="2:12" x14ac:dyDescent="0.2">
      <c r="B460" s="62" t="s">
        <v>5565</v>
      </c>
      <c r="C460" s="61" t="s">
        <v>502</v>
      </c>
      <c r="D460" s="60">
        <v>1.4962299999999999</v>
      </c>
      <c r="E460" s="59">
        <v>4.9432200000000002</v>
      </c>
      <c r="F460" s="59">
        <v>5.1101700000000001</v>
      </c>
      <c r="G460" s="56">
        <v>536.53099999999995</v>
      </c>
      <c r="H460" s="56">
        <v>358.589</v>
      </c>
      <c r="I460" s="58">
        <v>0.23067699999999999</v>
      </c>
      <c r="J460" s="57">
        <v>0.31048399999999998</v>
      </c>
      <c r="K460" s="56"/>
      <c r="L460" s="56" t="s">
        <v>488</v>
      </c>
    </row>
    <row r="461" spans="2:12" x14ac:dyDescent="0.2">
      <c r="B461" s="62" t="s">
        <v>5564</v>
      </c>
      <c r="C461" s="61" t="s">
        <v>502</v>
      </c>
      <c r="D461" s="60">
        <v>1.4901199999999999</v>
      </c>
      <c r="E461" s="59">
        <v>5.0230899999999998</v>
      </c>
      <c r="F461" s="59">
        <v>5.1930899999999998</v>
      </c>
      <c r="G461" s="56">
        <v>538.16899999999998</v>
      </c>
      <c r="H461" s="56">
        <v>362.96499999999997</v>
      </c>
      <c r="I461" s="58">
        <v>0.23486899999999999</v>
      </c>
      <c r="J461" s="57">
        <v>0.31331199999999998</v>
      </c>
      <c r="K461" s="56"/>
      <c r="L461" s="56" t="s">
        <v>488</v>
      </c>
    </row>
    <row r="462" spans="2:12" x14ac:dyDescent="0.2">
      <c r="B462" s="62" t="s">
        <v>5563</v>
      </c>
      <c r="C462" s="61" t="s">
        <v>502</v>
      </c>
      <c r="D462" s="60">
        <v>1.4826999999999999</v>
      </c>
      <c r="E462" s="59">
        <v>5.0065999999999997</v>
      </c>
      <c r="F462" s="59">
        <v>5.1671699999999996</v>
      </c>
      <c r="G462" s="56">
        <v>556.79999999999995</v>
      </c>
      <c r="H462" s="56">
        <v>373.26799999999997</v>
      </c>
      <c r="I462" s="58">
        <v>0.238209</v>
      </c>
      <c r="J462" s="57">
        <v>0.31800299999999998</v>
      </c>
      <c r="K462" s="56"/>
      <c r="L462" s="56" t="s">
        <v>488</v>
      </c>
    </row>
    <row r="463" spans="2:12" x14ac:dyDescent="0.2">
      <c r="B463" s="62" t="s">
        <v>5562</v>
      </c>
      <c r="C463" s="61" t="s">
        <v>502</v>
      </c>
      <c r="D463" s="60">
        <v>1.49169</v>
      </c>
      <c r="E463" s="59">
        <v>5.0197099999999999</v>
      </c>
      <c r="F463" s="59">
        <v>5.1924999999999999</v>
      </c>
      <c r="G463" s="56">
        <v>542.19100000000003</v>
      </c>
      <c r="H463" s="56">
        <v>365.60399999999998</v>
      </c>
      <c r="I463" s="58">
        <v>0.238536</v>
      </c>
      <c r="J463" s="57">
        <v>0.31492399999999998</v>
      </c>
      <c r="K463" s="56"/>
      <c r="L463" s="56" t="s">
        <v>488</v>
      </c>
    </row>
    <row r="464" spans="2:12" x14ac:dyDescent="0.2">
      <c r="B464" s="62" t="s">
        <v>5561</v>
      </c>
      <c r="C464" s="61" t="s">
        <v>502</v>
      </c>
      <c r="D464" s="60">
        <v>1.4830000000000001</v>
      </c>
      <c r="E464" s="59">
        <v>4.9979800000000001</v>
      </c>
      <c r="F464" s="59">
        <v>5.1543999999999999</v>
      </c>
      <c r="G464" s="56">
        <v>553.95500000000004</v>
      </c>
      <c r="H464" s="56">
        <v>373.91399999999999</v>
      </c>
      <c r="I464" s="58">
        <v>0.23772599999999999</v>
      </c>
      <c r="J464" s="57">
        <v>0.31848700000000002</v>
      </c>
      <c r="K464" s="56"/>
      <c r="L464" s="56" t="s">
        <v>488</v>
      </c>
    </row>
    <row r="465" spans="2:12" x14ac:dyDescent="0.2">
      <c r="B465" s="62" t="s">
        <v>5560</v>
      </c>
      <c r="C465" s="61" t="s">
        <v>502</v>
      </c>
      <c r="D465" s="60">
        <v>1.4815</v>
      </c>
      <c r="E465" s="59">
        <v>4.9200999999999997</v>
      </c>
      <c r="F465" s="59">
        <v>5.0830099999999998</v>
      </c>
      <c r="G465" s="56">
        <v>520.01099999999997</v>
      </c>
      <c r="H465" s="56">
        <v>347.50099999999998</v>
      </c>
      <c r="I465" s="58">
        <v>0.23808699999999999</v>
      </c>
      <c r="J465" s="57">
        <v>0.31853599999999999</v>
      </c>
      <c r="K465" s="56"/>
      <c r="L465" s="56" t="s">
        <v>488</v>
      </c>
    </row>
    <row r="466" spans="2:12" x14ac:dyDescent="0.2">
      <c r="B466" s="62" t="s">
        <v>5559</v>
      </c>
      <c r="C466" s="61" t="s">
        <v>502</v>
      </c>
      <c r="D466" s="60">
        <v>1.4964299999999999</v>
      </c>
      <c r="E466" s="59">
        <v>5.0068900000000003</v>
      </c>
      <c r="F466" s="59">
        <v>5.1964100000000002</v>
      </c>
      <c r="G466" s="56">
        <v>534.70299999999997</v>
      </c>
      <c r="H466" s="56">
        <v>362.68299999999999</v>
      </c>
      <c r="I466" s="58">
        <v>0.23111999999999999</v>
      </c>
      <c r="J466" s="57">
        <v>0.31242700000000001</v>
      </c>
      <c r="K466" s="56"/>
      <c r="L466" s="56" t="s">
        <v>488</v>
      </c>
    </row>
    <row r="467" spans="2:12" x14ac:dyDescent="0.2">
      <c r="B467" s="62" t="s">
        <v>5558</v>
      </c>
      <c r="C467" s="61" t="s">
        <v>502</v>
      </c>
      <c r="D467" s="60">
        <v>1.4742999999999999</v>
      </c>
      <c r="E467" s="59">
        <v>4.9812599999999998</v>
      </c>
      <c r="F467" s="59">
        <v>5.1547200000000002</v>
      </c>
      <c r="G467" s="56">
        <v>542.15800000000002</v>
      </c>
      <c r="H467" s="56">
        <v>363.834</v>
      </c>
      <c r="I467" s="58">
        <v>0.23696800000000001</v>
      </c>
      <c r="J467" s="57">
        <v>0.32033800000000001</v>
      </c>
      <c r="K467" s="56"/>
      <c r="L467" s="56" t="s">
        <v>488</v>
      </c>
    </row>
    <row r="468" spans="2:12" x14ac:dyDescent="0.2">
      <c r="B468" s="62" t="s">
        <v>5557</v>
      </c>
      <c r="C468" s="61" t="s">
        <v>502</v>
      </c>
      <c r="D468" s="60">
        <v>1.48759</v>
      </c>
      <c r="E468" s="59">
        <v>4.9958400000000003</v>
      </c>
      <c r="F468" s="59">
        <v>5.1590600000000002</v>
      </c>
      <c r="G468" s="56">
        <v>529.98800000000006</v>
      </c>
      <c r="H468" s="56">
        <v>356.27300000000002</v>
      </c>
      <c r="I468" s="58">
        <v>0.23536099999999999</v>
      </c>
      <c r="J468" s="57">
        <v>0.31623000000000001</v>
      </c>
      <c r="K468" s="56"/>
      <c r="L468" s="56" t="s">
        <v>488</v>
      </c>
    </row>
    <row r="469" spans="2:12" x14ac:dyDescent="0.2">
      <c r="B469" s="62" t="s">
        <v>5556</v>
      </c>
      <c r="C469" s="61" t="s">
        <v>579</v>
      </c>
      <c r="D469" s="60">
        <v>1.65926</v>
      </c>
      <c r="E469" s="59">
        <v>5.5119499999999997</v>
      </c>
      <c r="F469" s="59">
        <v>6.9091699999999996</v>
      </c>
      <c r="G469" s="56">
        <v>996.88900000000001</v>
      </c>
      <c r="H469" s="56">
        <v>600.80200000000002</v>
      </c>
      <c r="I469" s="58">
        <v>0.48433399999999999</v>
      </c>
      <c r="J469" s="57">
        <v>0.32838200000000001</v>
      </c>
      <c r="K469" s="56"/>
      <c r="L469" s="56" t="s">
        <v>488</v>
      </c>
    </row>
    <row r="470" spans="2:12" x14ac:dyDescent="0.2">
      <c r="B470" s="62" t="s">
        <v>5555</v>
      </c>
      <c r="C470" s="61" t="s">
        <v>533</v>
      </c>
      <c r="D470" s="60">
        <v>1.4777400000000001</v>
      </c>
      <c r="E470" s="59">
        <v>4.3594900000000001</v>
      </c>
      <c r="F470" s="59">
        <v>5.09274</v>
      </c>
      <c r="G470" s="56">
        <v>751.12099999999998</v>
      </c>
      <c r="H470" s="56">
        <v>508.29</v>
      </c>
      <c r="I470" s="58">
        <v>0.368612</v>
      </c>
      <c r="J470" s="57">
        <v>0.32246599999999997</v>
      </c>
      <c r="K470" s="56"/>
      <c r="L470" s="56" t="s">
        <v>488</v>
      </c>
    </row>
    <row r="471" spans="2:12" x14ac:dyDescent="0.2">
      <c r="B471" s="62" t="s">
        <v>5554</v>
      </c>
      <c r="C471" s="61" t="s">
        <v>502</v>
      </c>
      <c r="D471" s="60">
        <v>0.78337699999999999</v>
      </c>
      <c r="E471" s="59">
        <v>6.1799799999999996</v>
      </c>
      <c r="F471" s="59">
        <v>11.375730000000001</v>
      </c>
      <c r="G471" s="56">
        <v>2012.38</v>
      </c>
      <c r="H471" s="56">
        <v>2568.86</v>
      </c>
      <c r="I471" s="58">
        <v>0.74872899999999998</v>
      </c>
      <c r="J471" s="57">
        <v>0.87688200000000005</v>
      </c>
      <c r="K471" s="56"/>
      <c r="L471" s="56" t="s">
        <v>488</v>
      </c>
    </row>
    <row r="472" spans="2:12" x14ac:dyDescent="0.2">
      <c r="B472" s="62" t="s">
        <v>5553</v>
      </c>
      <c r="C472" s="61" t="s">
        <v>510</v>
      </c>
      <c r="D472" s="60">
        <v>1.16777</v>
      </c>
      <c r="E472" s="59">
        <v>4.99057</v>
      </c>
      <c r="F472" s="59">
        <v>7.0136900000000004</v>
      </c>
      <c r="G472" s="56">
        <v>565.24599999999998</v>
      </c>
      <c r="H472" s="56">
        <v>484.03800000000001</v>
      </c>
      <c r="I472" s="58">
        <v>0.24044399999999999</v>
      </c>
      <c r="J472" s="57">
        <v>0.40339000000000003</v>
      </c>
      <c r="K472" s="56"/>
      <c r="L472" s="56" t="s">
        <v>488</v>
      </c>
    </row>
    <row r="473" spans="2:12" x14ac:dyDescent="0.2">
      <c r="B473" s="62" t="s">
        <v>5552</v>
      </c>
      <c r="C473" s="61" t="s">
        <v>495</v>
      </c>
      <c r="D473" s="60">
        <v>1.1559699999999999</v>
      </c>
      <c r="E473" s="59">
        <v>5.0865099999999996</v>
      </c>
      <c r="F473" s="59">
        <v>7.1006</v>
      </c>
      <c r="G473" s="56">
        <v>596.61400000000003</v>
      </c>
      <c r="H473" s="56">
        <v>516.11699999999996</v>
      </c>
      <c r="I473" s="58">
        <v>0.250832</v>
      </c>
      <c r="J473" s="57">
        <v>0.41108600000000001</v>
      </c>
      <c r="K473" s="56"/>
      <c r="L473" s="56" t="s">
        <v>488</v>
      </c>
    </row>
    <row r="474" spans="2:12" x14ac:dyDescent="0.2">
      <c r="B474" s="62" t="s">
        <v>5551</v>
      </c>
      <c r="C474" s="61" t="s">
        <v>495</v>
      </c>
      <c r="D474" s="60">
        <v>1.11951</v>
      </c>
      <c r="E474" s="59">
        <v>5.2280800000000003</v>
      </c>
      <c r="F474" s="59">
        <v>7.2338399999999998</v>
      </c>
      <c r="G474" s="56">
        <v>609.54399999999998</v>
      </c>
      <c r="H474" s="56">
        <v>544.47699999999998</v>
      </c>
      <c r="I474" s="58">
        <v>0.25029200000000001</v>
      </c>
      <c r="J474" s="57">
        <v>0.433089</v>
      </c>
      <c r="K474" s="56"/>
      <c r="L474" s="56" t="s">
        <v>488</v>
      </c>
    </row>
    <row r="475" spans="2:12" x14ac:dyDescent="0.2">
      <c r="B475" s="62" t="s">
        <v>5550</v>
      </c>
      <c r="C475" s="61" t="s">
        <v>510</v>
      </c>
      <c r="D475" s="60">
        <v>1.3112299999999999</v>
      </c>
      <c r="E475" s="59">
        <v>2.9590700000000001</v>
      </c>
      <c r="F475" s="59">
        <v>3.8900399999999999</v>
      </c>
      <c r="G475" s="56">
        <v>0</v>
      </c>
      <c r="H475" s="56">
        <v>0</v>
      </c>
      <c r="I475" s="58">
        <v>0.25897999999999999</v>
      </c>
      <c r="J475" s="57">
        <v>0.340868</v>
      </c>
      <c r="K475" s="56"/>
      <c r="L475" s="56" t="s">
        <v>488</v>
      </c>
    </row>
    <row r="476" spans="2:12" x14ac:dyDescent="0.2">
      <c r="B476" s="62" t="s">
        <v>5549</v>
      </c>
      <c r="C476" s="61" t="s">
        <v>1604</v>
      </c>
      <c r="D476" s="60">
        <v>1.7497499999999999</v>
      </c>
      <c r="E476" s="59">
        <v>3.9839699999999998</v>
      </c>
      <c r="F476" s="59">
        <v>5.0365799999999998</v>
      </c>
      <c r="G476" s="56">
        <v>180.01599999999999</v>
      </c>
      <c r="H476" s="56">
        <v>102.881</v>
      </c>
      <c r="I476" s="58">
        <v>0.25645299999999999</v>
      </c>
      <c r="J476" s="57">
        <v>0.24209600000000001</v>
      </c>
      <c r="K476" s="56"/>
      <c r="L476" s="56" t="s">
        <v>488</v>
      </c>
    </row>
    <row r="477" spans="2:12" x14ac:dyDescent="0.2">
      <c r="B477" s="62" t="s">
        <v>5548</v>
      </c>
      <c r="C477" s="61" t="s">
        <v>510</v>
      </c>
      <c r="D477" s="60">
        <v>0.83205899999999999</v>
      </c>
      <c r="E477" s="59">
        <v>5.0926400000000003</v>
      </c>
      <c r="F477" s="59">
        <v>6.2642699999999998</v>
      </c>
      <c r="G477" s="56">
        <v>1959.67</v>
      </c>
      <c r="H477" s="56">
        <v>2355.21</v>
      </c>
      <c r="I477" s="58">
        <v>0.66511699999999996</v>
      </c>
      <c r="J477" s="57">
        <v>0.78527100000000005</v>
      </c>
      <c r="K477" s="56"/>
      <c r="L477" s="56" t="s">
        <v>488</v>
      </c>
    </row>
    <row r="478" spans="2:12" x14ac:dyDescent="0.2">
      <c r="B478" s="62" t="s">
        <v>5547</v>
      </c>
      <c r="C478" s="61" t="s">
        <v>550</v>
      </c>
      <c r="D478" s="60">
        <v>1.2156800000000001</v>
      </c>
      <c r="E478" s="59">
        <v>4.4897999999999998</v>
      </c>
      <c r="F478" s="59">
        <v>6.1588799999999999</v>
      </c>
      <c r="G478" s="56">
        <v>913.11</v>
      </c>
      <c r="H478" s="56">
        <v>751.10699999999997</v>
      </c>
      <c r="I478" s="58">
        <v>0.436608</v>
      </c>
      <c r="J478" s="57">
        <v>0.43782599999999999</v>
      </c>
      <c r="K478" s="56"/>
      <c r="L478" s="56" t="s">
        <v>492</v>
      </c>
    </row>
    <row r="479" spans="2:12" x14ac:dyDescent="0.2">
      <c r="B479" s="62" t="s">
        <v>5546</v>
      </c>
      <c r="C479" s="61" t="s">
        <v>510</v>
      </c>
      <c r="D479" s="60">
        <v>0.69080699999999995</v>
      </c>
      <c r="E479" s="59">
        <v>6.53329</v>
      </c>
      <c r="F479" s="59">
        <v>9.9006299999999996</v>
      </c>
      <c r="G479" s="56">
        <v>2082.14</v>
      </c>
      <c r="H479" s="56">
        <v>3014.07</v>
      </c>
      <c r="I479" s="58">
        <v>0.74575599999999997</v>
      </c>
      <c r="J479" s="57">
        <v>1.02342</v>
      </c>
      <c r="K479" s="56"/>
      <c r="L479" s="56" t="s">
        <v>492</v>
      </c>
    </row>
    <row r="480" spans="2:12" x14ac:dyDescent="0.2">
      <c r="B480" s="62" t="s">
        <v>5545</v>
      </c>
      <c r="C480" s="61" t="s">
        <v>510</v>
      </c>
      <c r="D480" s="60">
        <v>0.69447999999999999</v>
      </c>
      <c r="E480" s="59">
        <v>7.6716699999999998</v>
      </c>
      <c r="F480" s="59">
        <v>10.278309999999999</v>
      </c>
      <c r="G480" s="56">
        <v>1986.47</v>
      </c>
      <c r="H480" s="56">
        <v>2860.36</v>
      </c>
      <c r="I480" s="58">
        <v>0.74932200000000004</v>
      </c>
      <c r="J480" s="57">
        <v>1.01776</v>
      </c>
      <c r="K480" s="56"/>
      <c r="L480" s="56" t="s">
        <v>492</v>
      </c>
    </row>
    <row r="481" spans="2:12" x14ac:dyDescent="0.2">
      <c r="B481" s="62" t="s">
        <v>5544</v>
      </c>
      <c r="C481" s="61" t="s">
        <v>550</v>
      </c>
      <c r="D481" s="60">
        <v>1.8922399999999999</v>
      </c>
      <c r="E481" s="59">
        <v>2.8089900000000001</v>
      </c>
      <c r="F481" s="59">
        <v>3.4197199999999999</v>
      </c>
      <c r="G481" s="56">
        <v>0</v>
      </c>
      <c r="H481" s="56">
        <v>0</v>
      </c>
      <c r="I481" s="58">
        <v>0.14697099999999999</v>
      </c>
      <c r="J481" s="57">
        <v>0.23919499999999999</v>
      </c>
      <c r="K481" s="56"/>
      <c r="L481" s="56" t="s">
        <v>488</v>
      </c>
    </row>
    <row r="482" spans="2:12" x14ac:dyDescent="0.2">
      <c r="B482" s="62" t="s">
        <v>5543</v>
      </c>
      <c r="C482" s="61" t="s">
        <v>550</v>
      </c>
      <c r="D482" s="60">
        <v>1.8552299999999999</v>
      </c>
      <c r="E482" s="59">
        <v>2.9862500000000001</v>
      </c>
      <c r="F482" s="59">
        <v>3.3957099999999998</v>
      </c>
      <c r="G482" s="56">
        <v>0</v>
      </c>
      <c r="H482" s="56">
        <v>0</v>
      </c>
      <c r="I482" s="58">
        <v>0.15232699999999999</v>
      </c>
      <c r="J482" s="57">
        <v>0.25285999999999997</v>
      </c>
      <c r="K482" s="56"/>
      <c r="L482" s="56" t="s">
        <v>488</v>
      </c>
    </row>
    <row r="483" spans="2:12" x14ac:dyDescent="0.2">
      <c r="B483" s="62" t="s">
        <v>5542</v>
      </c>
      <c r="C483" s="61" t="s">
        <v>550</v>
      </c>
      <c r="D483" s="60">
        <v>1.8740699999999999</v>
      </c>
      <c r="E483" s="59">
        <v>2.7699400000000001</v>
      </c>
      <c r="F483" s="59">
        <v>3.4013100000000001</v>
      </c>
      <c r="G483" s="56">
        <v>0</v>
      </c>
      <c r="H483" s="56">
        <v>0</v>
      </c>
      <c r="I483" s="58">
        <v>0.14027800000000001</v>
      </c>
      <c r="J483" s="57">
        <v>0.23876</v>
      </c>
      <c r="K483" s="56"/>
      <c r="L483" s="56" t="s">
        <v>488</v>
      </c>
    </row>
    <row r="484" spans="2:12" x14ac:dyDescent="0.2">
      <c r="B484" s="62" t="s">
        <v>5541</v>
      </c>
      <c r="C484" s="61" t="s">
        <v>550</v>
      </c>
      <c r="D484" s="60">
        <v>1.8740699999999999</v>
      </c>
      <c r="E484" s="59">
        <v>2.7256200000000002</v>
      </c>
      <c r="F484" s="59">
        <v>3.3937900000000001</v>
      </c>
      <c r="G484" s="56">
        <v>0</v>
      </c>
      <c r="H484" s="56">
        <v>0</v>
      </c>
      <c r="I484" s="58">
        <v>0.13553999999999999</v>
      </c>
      <c r="J484" s="57">
        <v>0.236652</v>
      </c>
      <c r="K484" s="56"/>
      <c r="L484" s="56" t="s">
        <v>488</v>
      </c>
    </row>
    <row r="485" spans="2:12" x14ac:dyDescent="0.2">
      <c r="B485" s="62" t="s">
        <v>5540</v>
      </c>
      <c r="C485" s="61" t="s">
        <v>550</v>
      </c>
      <c r="D485" s="60">
        <v>1.88548</v>
      </c>
      <c r="E485" s="59">
        <v>2.8549899999999999</v>
      </c>
      <c r="F485" s="59">
        <v>3.40713</v>
      </c>
      <c r="G485" s="56">
        <v>0</v>
      </c>
      <c r="H485" s="56">
        <v>0</v>
      </c>
      <c r="I485" s="58">
        <v>0.14888699999999999</v>
      </c>
      <c r="J485" s="57">
        <v>0.23983199999999999</v>
      </c>
      <c r="K485" s="56"/>
      <c r="L485" s="56" t="s">
        <v>488</v>
      </c>
    </row>
    <row r="486" spans="2:12" x14ac:dyDescent="0.2">
      <c r="B486" s="62" t="s">
        <v>5539</v>
      </c>
      <c r="C486" s="61" t="s">
        <v>587</v>
      </c>
      <c r="D486" s="60">
        <v>2.3976600000000001</v>
      </c>
      <c r="E486" s="59">
        <v>5.15984</v>
      </c>
      <c r="F486" s="59">
        <v>5.66465</v>
      </c>
      <c r="G486" s="56">
        <v>719.29100000000005</v>
      </c>
      <c r="H486" s="56">
        <v>299.99700000000001</v>
      </c>
      <c r="I486" s="58">
        <v>0.31130600000000003</v>
      </c>
      <c r="J486" s="57">
        <v>0.17289099999999999</v>
      </c>
      <c r="K486" s="56"/>
      <c r="L486" s="56" t="s">
        <v>488</v>
      </c>
    </row>
    <row r="487" spans="2:12" x14ac:dyDescent="0.2">
      <c r="B487" s="62" t="s">
        <v>5538</v>
      </c>
      <c r="C487" s="61" t="s">
        <v>502</v>
      </c>
      <c r="D487" s="60">
        <v>0.769652</v>
      </c>
      <c r="E487" s="59">
        <v>6.0319399999999996</v>
      </c>
      <c r="F487" s="59">
        <v>8.4979499999999994</v>
      </c>
      <c r="G487" s="56">
        <v>2455.2399999999998</v>
      </c>
      <c r="H487" s="56">
        <v>3190.06</v>
      </c>
      <c r="I487" s="58">
        <v>0.72661100000000001</v>
      </c>
      <c r="J487" s="57">
        <v>0.95521999999999996</v>
      </c>
      <c r="K487" s="56"/>
      <c r="L487" s="56" t="s">
        <v>488</v>
      </c>
    </row>
    <row r="488" spans="2:12" x14ac:dyDescent="0.2">
      <c r="B488" s="62" t="s">
        <v>5537</v>
      </c>
      <c r="C488" s="61" t="s">
        <v>579</v>
      </c>
      <c r="D488" s="60">
        <v>2.1724299999999999</v>
      </c>
      <c r="E488" s="59">
        <v>3.2085599999999999</v>
      </c>
      <c r="F488" s="59">
        <v>3.9485899999999998</v>
      </c>
      <c r="G488" s="56">
        <v>0</v>
      </c>
      <c r="H488" s="56">
        <v>0</v>
      </c>
      <c r="I488" s="58">
        <v>0.25666499999999998</v>
      </c>
      <c r="J488" s="57">
        <v>0.17544000000000001</v>
      </c>
      <c r="K488" s="56"/>
      <c r="L488" s="56" t="s">
        <v>488</v>
      </c>
    </row>
    <row r="489" spans="2:12" x14ac:dyDescent="0.2">
      <c r="B489" s="62" t="s">
        <v>5536</v>
      </c>
      <c r="C489" s="61" t="s">
        <v>541</v>
      </c>
      <c r="D489" s="60">
        <v>2.1981700000000002</v>
      </c>
      <c r="E489" s="59">
        <v>3.1886199999999998</v>
      </c>
      <c r="F489" s="59">
        <v>3.9386399999999999</v>
      </c>
      <c r="G489" s="56">
        <v>0</v>
      </c>
      <c r="H489" s="56">
        <v>0</v>
      </c>
      <c r="I489" s="58">
        <v>0.25708599999999998</v>
      </c>
      <c r="J489" s="57">
        <v>0.173704</v>
      </c>
      <c r="K489" s="56"/>
      <c r="L489" s="56" t="s">
        <v>488</v>
      </c>
    </row>
    <row r="490" spans="2:12" x14ac:dyDescent="0.2">
      <c r="B490" s="62" t="s">
        <v>5535</v>
      </c>
      <c r="C490" s="61" t="s">
        <v>533</v>
      </c>
      <c r="D490" s="60">
        <v>1.21421</v>
      </c>
      <c r="E490" s="59">
        <v>4.9482799999999996</v>
      </c>
      <c r="F490" s="59">
        <v>5.4923999999999999</v>
      </c>
      <c r="G490" s="56">
        <v>1670.44</v>
      </c>
      <c r="H490" s="56">
        <v>1375.74</v>
      </c>
      <c r="I490" s="58">
        <v>0.587646</v>
      </c>
      <c r="J490" s="57">
        <v>0.51086799999999999</v>
      </c>
      <c r="K490" s="56"/>
      <c r="L490" s="56" t="s">
        <v>488</v>
      </c>
    </row>
    <row r="491" spans="2:12" x14ac:dyDescent="0.2">
      <c r="B491" s="62" t="s">
        <v>5534</v>
      </c>
      <c r="C491" s="61" t="s">
        <v>5533</v>
      </c>
      <c r="D491" s="60">
        <v>1.54193</v>
      </c>
      <c r="E491" s="59">
        <v>3.1147499999999999</v>
      </c>
      <c r="F491" s="59">
        <v>7.2414300000000003</v>
      </c>
      <c r="G491" s="56">
        <v>0</v>
      </c>
      <c r="H491" s="56">
        <v>0</v>
      </c>
      <c r="I491" s="58">
        <v>0.329231</v>
      </c>
      <c r="J491" s="57">
        <v>0.320104</v>
      </c>
      <c r="K491" s="56"/>
      <c r="L491" s="56" t="s">
        <v>488</v>
      </c>
    </row>
    <row r="492" spans="2:12" x14ac:dyDescent="0.2">
      <c r="B492" s="62" t="s">
        <v>5532</v>
      </c>
      <c r="C492" s="61" t="s">
        <v>625</v>
      </c>
      <c r="D492" s="60">
        <v>1.91831</v>
      </c>
      <c r="E492" s="59">
        <v>3.9763799999999998</v>
      </c>
      <c r="F492" s="59">
        <v>4.8254099999999998</v>
      </c>
      <c r="G492" s="56">
        <v>474.49599999999998</v>
      </c>
      <c r="H492" s="56">
        <v>247.35</v>
      </c>
      <c r="I492" s="58">
        <v>0.268899</v>
      </c>
      <c r="J492" s="57">
        <v>0.24490100000000001</v>
      </c>
      <c r="K492" s="56"/>
      <c r="L492" s="56" t="s">
        <v>488</v>
      </c>
    </row>
    <row r="493" spans="2:12" x14ac:dyDescent="0.2">
      <c r="B493" s="62" t="s">
        <v>5531</v>
      </c>
      <c r="C493" s="61" t="s">
        <v>625</v>
      </c>
      <c r="D493" s="60">
        <v>1.8447800000000001</v>
      </c>
      <c r="E493" s="59">
        <v>3.5393300000000001</v>
      </c>
      <c r="F493" s="59">
        <v>4.7695400000000001</v>
      </c>
      <c r="G493" s="56">
        <v>0</v>
      </c>
      <c r="H493" s="56">
        <v>0</v>
      </c>
      <c r="I493" s="58">
        <v>0.28273399999999999</v>
      </c>
      <c r="J493" s="57">
        <v>0.26545800000000003</v>
      </c>
      <c r="K493" s="56"/>
      <c r="L493" s="56" t="s">
        <v>488</v>
      </c>
    </row>
    <row r="494" spans="2:12" x14ac:dyDescent="0.2">
      <c r="B494" s="62" t="s">
        <v>5530</v>
      </c>
      <c r="C494" s="61" t="s">
        <v>555</v>
      </c>
      <c r="D494" s="60">
        <v>1.46079</v>
      </c>
      <c r="E494" s="59">
        <v>3.87534</v>
      </c>
      <c r="F494" s="59">
        <v>4.4390099999999997</v>
      </c>
      <c r="G494" s="56">
        <v>440.80599999999998</v>
      </c>
      <c r="H494" s="56">
        <v>301.75799999999998</v>
      </c>
      <c r="I494" s="58">
        <v>0.309334</v>
      </c>
      <c r="J494" s="57">
        <v>0.28766599999999998</v>
      </c>
      <c r="K494" s="56"/>
      <c r="L494" s="56" t="s">
        <v>488</v>
      </c>
    </row>
    <row r="495" spans="2:12" x14ac:dyDescent="0.2">
      <c r="B495" s="62" t="s">
        <v>5529</v>
      </c>
      <c r="C495" s="61" t="s">
        <v>550</v>
      </c>
      <c r="D495" s="60">
        <v>1.26346</v>
      </c>
      <c r="E495" s="59">
        <v>5.89053</v>
      </c>
      <c r="F495" s="59">
        <v>6.9388100000000001</v>
      </c>
      <c r="G495" s="56">
        <v>1917.19</v>
      </c>
      <c r="H495" s="56">
        <v>1517.42</v>
      </c>
      <c r="I495" s="58">
        <v>0.67504299999999995</v>
      </c>
      <c r="J495" s="57">
        <v>0.51172700000000004</v>
      </c>
      <c r="K495" s="56"/>
      <c r="L495" s="56" t="s">
        <v>488</v>
      </c>
    </row>
    <row r="496" spans="2:12" x14ac:dyDescent="0.2">
      <c r="B496" s="62" t="s">
        <v>5528</v>
      </c>
      <c r="C496" s="61" t="s">
        <v>499</v>
      </c>
      <c r="D496" s="60">
        <v>0.85362300000000002</v>
      </c>
      <c r="E496" s="59">
        <v>5.8901000000000003</v>
      </c>
      <c r="F496" s="59">
        <v>10.214130000000001</v>
      </c>
      <c r="G496" s="56">
        <v>1995.57</v>
      </c>
      <c r="H496" s="56">
        <v>2337.7600000000002</v>
      </c>
      <c r="I496" s="58">
        <v>0.75521700000000003</v>
      </c>
      <c r="J496" s="57">
        <v>0.85363800000000001</v>
      </c>
      <c r="K496" s="56"/>
      <c r="L496" s="56" t="s">
        <v>488</v>
      </c>
    </row>
    <row r="497" spans="2:12" x14ac:dyDescent="0.2">
      <c r="B497" s="62" t="s">
        <v>5527</v>
      </c>
      <c r="C497" s="61" t="s">
        <v>502</v>
      </c>
      <c r="D497" s="60">
        <v>1.3649199999999999</v>
      </c>
      <c r="E497" s="59">
        <v>3.8263199999999999</v>
      </c>
      <c r="F497" s="59">
        <v>5.2056699999999996</v>
      </c>
      <c r="G497" s="56">
        <v>385.245</v>
      </c>
      <c r="H497" s="56">
        <v>282.24799999999999</v>
      </c>
      <c r="I497" s="58">
        <v>0.29239999999999999</v>
      </c>
      <c r="J497" s="57">
        <v>0.32836700000000002</v>
      </c>
      <c r="K497" s="56"/>
      <c r="L497" s="56" t="s">
        <v>488</v>
      </c>
    </row>
    <row r="498" spans="2:12" x14ac:dyDescent="0.2">
      <c r="B498" s="62" t="s">
        <v>5526</v>
      </c>
      <c r="C498" s="61" t="s">
        <v>708</v>
      </c>
      <c r="D498" s="60">
        <v>1.5533699999999999</v>
      </c>
      <c r="E498" s="59">
        <v>3.29583</v>
      </c>
      <c r="F498" s="59">
        <v>3.7757200000000002</v>
      </c>
      <c r="G498" s="56">
        <v>0</v>
      </c>
      <c r="H498" s="56">
        <v>0</v>
      </c>
      <c r="I498" s="58">
        <v>0.295902</v>
      </c>
      <c r="J498" s="57">
        <v>0.30494599999999999</v>
      </c>
      <c r="K498" s="56"/>
      <c r="L498" s="56" t="s">
        <v>488</v>
      </c>
    </row>
    <row r="499" spans="2:12" x14ac:dyDescent="0.2">
      <c r="B499" s="62" t="s">
        <v>5525</v>
      </c>
      <c r="C499" s="61" t="s">
        <v>708</v>
      </c>
      <c r="D499" s="60">
        <v>1.63561</v>
      </c>
      <c r="E499" s="59">
        <v>2.4618500000000001</v>
      </c>
      <c r="F499" s="59">
        <v>3.3421500000000002</v>
      </c>
      <c r="G499" s="56">
        <v>0</v>
      </c>
      <c r="H499" s="56">
        <v>0</v>
      </c>
      <c r="I499" s="58">
        <v>0.16337699999999999</v>
      </c>
      <c r="J499" s="57">
        <v>0.27375100000000002</v>
      </c>
      <c r="K499" s="56"/>
      <c r="L499" s="56" t="s">
        <v>488</v>
      </c>
    </row>
    <row r="500" spans="2:12" x14ac:dyDescent="0.2">
      <c r="B500" s="62" t="s">
        <v>5524</v>
      </c>
      <c r="C500" s="61" t="s">
        <v>550</v>
      </c>
      <c r="D500" s="60">
        <v>2.6699700000000002</v>
      </c>
      <c r="E500" s="59">
        <v>2.4694400000000001</v>
      </c>
      <c r="F500" s="59">
        <v>2.9360499999999998</v>
      </c>
      <c r="G500" s="56">
        <v>0</v>
      </c>
      <c r="H500" s="56">
        <v>0</v>
      </c>
      <c r="I500" s="58">
        <v>2.5436799999999999E-2</v>
      </c>
      <c r="J500" s="57">
        <v>0.13731199999999999</v>
      </c>
      <c r="K500" s="56"/>
      <c r="L500" s="56" t="s">
        <v>488</v>
      </c>
    </row>
    <row r="501" spans="2:12" x14ac:dyDescent="0.2">
      <c r="B501" s="62" t="s">
        <v>5523</v>
      </c>
      <c r="C501" s="61" t="s">
        <v>550</v>
      </c>
      <c r="D501" s="60">
        <v>2.6850800000000001</v>
      </c>
      <c r="E501" s="59">
        <v>2.4789400000000001</v>
      </c>
      <c r="F501" s="59">
        <v>2.9306299999999998</v>
      </c>
      <c r="G501" s="56">
        <v>0</v>
      </c>
      <c r="H501" s="56">
        <v>0</v>
      </c>
      <c r="I501" s="58">
        <v>2.7358400000000001E-2</v>
      </c>
      <c r="J501" s="57">
        <v>0.133022</v>
      </c>
      <c r="K501" s="56"/>
      <c r="L501" s="56" t="s">
        <v>488</v>
      </c>
    </row>
    <row r="502" spans="2:12" x14ac:dyDescent="0.2">
      <c r="B502" s="62" t="s">
        <v>5522</v>
      </c>
      <c r="C502" s="61" t="s">
        <v>537</v>
      </c>
      <c r="D502" s="60">
        <v>1.5751599999999999</v>
      </c>
      <c r="E502" s="59">
        <v>5.8547399999999996</v>
      </c>
      <c r="F502" s="59">
        <v>7.3303799999999999</v>
      </c>
      <c r="G502" s="56">
        <v>673.32399999999996</v>
      </c>
      <c r="H502" s="56">
        <v>427.46300000000002</v>
      </c>
      <c r="I502" s="58">
        <v>0.26570199999999999</v>
      </c>
      <c r="J502" s="57">
        <v>0.28110800000000002</v>
      </c>
      <c r="K502" s="56"/>
      <c r="L502" s="56" t="s">
        <v>488</v>
      </c>
    </row>
    <row r="503" spans="2:12" x14ac:dyDescent="0.2">
      <c r="B503" s="62" t="s">
        <v>5521</v>
      </c>
      <c r="C503" s="61" t="s">
        <v>510</v>
      </c>
      <c r="D503" s="60">
        <v>1.03983</v>
      </c>
      <c r="E503" s="59">
        <v>4.3637199999999998</v>
      </c>
      <c r="F503" s="59">
        <v>7.1900899999999996</v>
      </c>
      <c r="G503" s="56">
        <v>1235.78</v>
      </c>
      <c r="H503" s="56">
        <v>1188.45</v>
      </c>
      <c r="I503" s="58">
        <v>0.53381100000000004</v>
      </c>
      <c r="J503" s="57">
        <v>0.53449500000000005</v>
      </c>
      <c r="K503" s="56"/>
      <c r="L503" s="56" t="s">
        <v>488</v>
      </c>
    </row>
    <row r="504" spans="2:12" x14ac:dyDescent="0.2">
      <c r="B504" s="62" t="s">
        <v>5520</v>
      </c>
      <c r="C504" s="61" t="s">
        <v>510</v>
      </c>
      <c r="D504" s="60">
        <v>0.61358599999999996</v>
      </c>
      <c r="E504" s="59">
        <v>6.7918599999999998</v>
      </c>
      <c r="F504" s="59">
        <v>8.9054800000000007</v>
      </c>
      <c r="G504" s="56">
        <v>2617.7600000000002</v>
      </c>
      <c r="H504" s="56">
        <v>4266.33</v>
      </c>
      <c r="I504" s="58">
        <v>0.81698800000000005</v>
      </c>
      <c r="J504" s="57">
        <v>1.23586</v>
      </c>
      <c r="K504" s="56"/>
      <c r="L504" s="56" t="s">
        <v>488</v>
      </c>
    </row>
    <row r="505" spans="2:12" x14ac:dyDescent="0.2">
      <c r="B505" s="62" t="s">
        <v>5519</v>
      </c>
      <c r="C505" s="61" t="s">
        <v>502</v>
      </c>
      <c r="D505" s="60">
        <v>1.3547800000000001</v>
      </c>
      <c r="E505" s="59">
        <v>2.68133</v>
      </c>
      <c r="F505" s="59">
        <v>5.6698000000000004</v>
      </c>
      <c r="G505" s="56">
        <v>0</v>
      </c>
      <c r="H505" s="56">
        <v>0</v>
      </c>
      <c r="I505" s="58">
        <v>0.28667599999999999</v>
      </c>
      <c r="J505" s="57">
        <v>0.32891100000000001</v>
      </c>
      <c r="K505" s="56"/>
      <c r="L505" s="56" t="s">
        <v>488</v>
      </c>
    </row>
    <row r="506" spans="2:12" x14ac:dyDescent="0.2">
      <c r="B506" s="62" t="s">
        <v>5518</v>
      </c>
      <c r="C506" s="61" t="s">
        <v>669</v>
      </c>
      <c r="D506" s="60">
        <v>1.62985</v>
      </c>
      <c r="E506" s="59">
        <v>4.5227300000000001</v>
      </c>
      <c r="F506" s="59">
        <v>5.3254999999999999</v>
      </c>
      <c r="G506" s="56">
        <v>886.32299999999998</v>
      </c>
      <c r="H506" s="56">
        <v>543.80799999999999</v>
      </c>
      <c r="I506" s="58">
        <v>0.49174400000000001</v>
      </c>
      <c r="J506" s="57">
        <v>0.31792399999999998</v>
      </c>
      <c r="K506" s="56"/>
      <c r="L506" s="56" t="s">
        <v>488</v>
      </c>
    </row>
    <row r="507" spans="2:12" x14ac:dyDescent="0.2">
      <c r="B507" s="62" t="s">
        <v>5517</v>
      </c>
      <c r="C507" s="61" t="s">
        <v>548</v>
      </c>
      <c r="D507" s="60">
        <v>1.2729699999999999</v>
      </c>
      <c r="E507" s="59">
        <v>2.6318700000000002</v>
      </c>
      <c r="F507" s="59">
        <v>5.8832800000000001</v>
      </c>
      <c r="G507" s="56">
        <v>0</v>
      </c>
      <c r="H507" s="56">
        <v>0</v>
      </c>
      <c r="I507" s="58">
        <v>0.34190500000000001</v>
      </c>
      <c r="J507" s="57">
        <v>0.37123</v>
      </c>
      <c r="K507" s="56"/>
      <c r="L507" s="56" t="s">
        <v>488</v>
      </c>
    </row>
    <row r="508" spans="2:12" x14ac:dyDescent="0.2">
      <c r="B508" s="62" t="s">
        <v>5516</v>
      </c>
      <c r="C508" s="61" t="s">
        <v>548</v>
      </c>
      <c r="D508" s="60">
        <v>1.2151400000000001</v>
      </c>
      <c r="E508" s="59">
        <v>2.42374</v>
      </c>
      <c r="F508" s="59">
        <v>5.9889200000000002</v>
      </c>
      <c r="G508" s="56">
        <v>0</v>
      </c>
      <c r="H508" s="56">
        <v>0</v>
      </c>
      <c r="I508" s="58">
        <v>0.376971</v>
      </c>
      <c r="J508" s="57">
        <v>0.40475800000000001</v>
      </c>
      <c r="K508" s="56"/>
      <c r="L508" s="56" t="s">
        <v>488</v>
      </c>
    </row>
    <row r="509" spans="2:12" x14ac:dyDescent="0.2">
      <c r="B509" s="62" t="s">
        <v>5515</v>
      </c>
      <c r="C509" s="61" t="s">
        <v>548</v>
      </c>
      <c r="D509" s="60">
        <v>1.11974</v>
      </c>
      <c r="E509" s="59">
        <v>3.7637</v>
      </c>
      <c r="F509" s="59">
        <v>6.0402899999999997</v>
      </c>
      <c r="G509" s="56">
        <v>818.04</v>
      </c>
      <c r="H509" s="56">
        <v>730.56200000000001</v>
      </c>
      <c r="I509" s="58">
        <v>0.50900400000000001</v>
      </c>
      <c r="J509" s="57">
        <v>0.48185099999999997</v>
      </c>
      <c r="K509" s="56"/>
      <c r="L509" s="56" t="s">
        <v>488</v>
      </c>
    </row>
    <row r="510" spans="2:12" x14ac:dyDescent="0.2">
      <c r="B510" s="62" t="s">
        <v>5514</v>
      </c>
      <c r="C510" s="61" t="s">
        <v>502</v>
      </c>
      <c r="D510" s="60">
        <v>1.2776000000000001</v>
      </c>
      <c r="E510" s="59">
        <v>4.0398100000000001</v>
      </c>
      <c r="F510" s="59">
        <v>8.5055999999999994</v>
      </c>
      <c r="G510" s="56">
        <v>947.33299999999997</v>
      </c>
      <c r="H510" s="56">
        <v>741.49199999999996</v>
      </c>
      <c r="I510" s="58">
        <v>0.43640200000000001</v>
      </c>
      <c r="J510" s="57">
        <v>0.45188099999999998</v>
      </c>
      <c r="K510" s="56"/>
      <c r="L510" s="56" t="s">
        <v>488</v>
      </c>
    </row>
    <row r="511" spans="2:12" x14ac:dyDescent="0.2">
      <c r="B511" s="62" t="s">
        <v>5513</v>
      </c>
      <c r="C511" s="61" t="s">
        <v>502</v>
      </c>
      <c r="D511" s="60">
        <v>1.27633</v>
      </c>
      <c r="E511" s="59">
        <v>4.1218899999999996</v>
      </c>
      <c r="F511" s="59">
        <v>8.2193100000000001</v>
      </c>
      <c r="G511" s="56">
        <v>943.32799999999997</v>
      </c>
      <c r="H511" s="56">
        <v>739.09199999999998</v>
      </c>
      <c r="I511" s="58">
        <v>0.43702800000000003</v>
      </c>
      <c r="J511" s="57">
        <v>0.455623</v>
      </c>
      <c r="K511" s="56"/>
      <c r="L511" s="56" t="s">
        <v>488</v>
      </c>
    </row>
    <row r="512" spans="2:12" x14ac:dyDescent="0.2">
      <c r="B512" s="62" t="s">
        <v>5512</v>
      </c>
      <c r="C512" s="61" t="s">
        <v>798</v>
      </c>
      <c r="D512" s="60">
        <v>0.99990299999999999</v>
      </c>
      <c r="E512" s="59">
        <v>4.0589300000000001</v>
      </c>
      <c r="F512" s="59">
        <v>6.1969799999999999</v>
      </c>
      <c r="G512" s="56">
        <v>832.63900000000001</v>
      </c>
      <c r="H512" s="56">
        <v>832.72</v>
      </c>
      <c r="I512" s="58">
        <v>0.483186</v>
      </c>
      <c r="J512" s="57">
        <v>0.51770400000000005</v>
      </c>
      <c r="K512" s="56"/>
      <c r="L512" s="56" t="s">
        <v>488</v>
      </c>
    </row>
    <row r="513" spans="2:12" x14ac:dyDescent="0.2">
      <c r="B513" s="62" t="s">
        <v>5511</v>
      </c>
      <c r="C513" s="61" t="s">
        <v>499</v>
      </c>
      <c r="D513" s="60">
        <v>2.0029400000000002</v>
      </c>
      <c r="E513" s="59">
        <v>4.5735299999999999</v>
      </c>
      <c r="F513" s="59">
        <v>6.8036899999999996</v>
      </c>
      <c r="G513" s="56">
        <v>315.55900000000003</v>
      </c>
      <c r="H513" s="56">
        <v>157.548</v>
      </c>
      <c r="I513" s="58">
        <v>0.16576299999999999</v>
      </c>
      <c r="J513" s="57">
        <v>0.21051800000000001</v>
      </c>
      <c r="K513" s="56"/>
      <c r="L513" s="56" t="s">
        <v>492</v>
      </c>
    </row>
    <row r="514" spans="2:12" x14ac:dyDescent="0.2">
      <c r="B514" s="62" t="s">
        <v>5510</v>
      </c>
      <c r="C514" s="61" t="s">
        <v>579</v>
      </c>
      <c r="D514" s="60">
        <v>1.6959500000000001</v>
      </c>
      <c r="E514" s="59">
        <v>3.1516299999999999</v>
      </c>
      <c r="F514" s="59">
        <v>6.1480800000000002</v>
      </c>
      <c r="G514" s="56">
        <v>0</v>
      </c>
      <c r="H514" s="56">
        <v>0</v>
      </c>
      <c r="I514" s="58">
        <v>0.34072200000000002</v>
      </c>
      <c r="J514" s="57">
        <v>0.30262600000000001</v>
      </c>
      <c r="K514" s="56"/>
      <c r="L514" s="56" t="s">
        <v>488</v>
      </c>
    </row>
    <row r="515" spans="2:12" x14ac:dyDescent="0.2">
      <c r="B515" s="62" t="s">
        <v>5509</v>
      </c>
      <c r="C515" s="61" t="s">
        <v>625</v>
      </c>
      <c r="D515" s="60">
        <v>2.2284999999999999</v>
      </c>
      <c r="E515" s="59">
        <v>2.7667999999999999</v>
      </c>
      <c r="F515" s="59">
        <v>3.1807599999999998</v>
      </c>
      <c r="G515" s="56">
        <v>0</v>
      </c>
      <c r="H515" s="56">
        <v>0</v>
      </c>
      <c r="I515" s="58">
        <v>0.100232</v>
      </c>
      <c r="J515" s="57">
        <v>0.156282</v>
      </c>
      <c r="K515" s="56"/>
      <c r="L515" s="56" t="s">
        <v>488</v>
      </c>
    </row>
    <row r="516" spans="2:12" x14ac:dyDescent="0.2">
      <c r="B516" s="62" t="s">
        <v>5508</v>
      </c>
      <c r="C516" s="61" t="s">
        <v>625</v>
      </c>
      <c r="D516" s="60">
        <v>2.2845200000000001</v>
      </c>
      <c r="E516" s="59">
        <v>2.8831500000000001</v>
      </c>
      <c r="F516" s="59">
        <v>3.2881399999999998</v>
      </c>
      <c r="G516" s="56">
        <v>0</v>
      </c>
      <c r="H516" s="56">
        <v>0</v>
      </c>
      <c r="I516" s="58">
        <v>8.4736800000000001E-2</v>
      </c>
      <c r="J516" s="57">
        <v>0.14540600000000001</v>
      </c>
      <c r="K516" s="56"/>
      <c r="L516" s="56" t="s">
        <v>488</v>
      </c>
    </row>
    <row r="517" spans="2:12" x14ac:dyDescent="0.2">
      <c r="B517" s="62" t="s">
        <v>5507</v>
      </c>
      <c r="C517" s="61" t="s">
        <v>541</v>
      </c>
      <c r="D517" s="60">
        <v>1.36113</v>
      </c>
      <c r="E517" s="59">
        <v>5.05783</v>
      </c>
      <c r="F517" s="59">
        <v>5.8986200000000002</v>
      </c>
      <c r="G517" s="56">
        <v>1194.08</v>
      </c>
      <c r="H517" s="56">
        <v>877.27200000000005</v>
      </c>
      <c r="I517" s="58">
        <v>0.47578700000000002</v>
      </c>
      <c r="J517" s="57">
        <v>0.41672399999999998</v>
      </c>
      <c r="K517" s="56"/>
      <c r="L517" s="56" t="s">
        <v>488</v>
      </c>
    </row>
    <row r="518" spans="2:12" x14ac:dyDescent="0.2">
      <c r="B518" s="62" t="s">
        <v>5506</v>
      </c>
      <c r="C518" s="61" t="s">
        <v>579</v>
      </c>
      <c r="D518" s="60">
        <v>1.42835</v>
      </c>
      <c r="E518" s="59">
        <v>4.1074999999999999</v>
      </c>
      <c r="F518" s="59">
        <v>4.7864399999999998</v>
      </c>
      <c r="G518" s="56">
        <v>817.98199999999997</v>
      </c>
      <c r="H518" s="56">
        <v>572.67700000000002</v>
      </c>
      <c r="I518" s="58">
        <v>0.38163900000000001</v>
      </c>
      <c r="J518" s="57">
        <v>0.34503</v>
      </c>
      <c r="K518" s="56"/>
      <c r="L518" s="56" t="s">
        <v>488</v>
      </c>
    </row>
    <row r="519" spans="2:12" x14ac:dyDescent="0.2">
      <c r="B519" s="62" t="s">
        <v>5505</v>
      </c>
      <c r="C519" s="61" t="s">
        <v>708</v>
      </c>
      <c r="D519" s="60">
        <v>0.61960300000000001</v>
      </c>
      <c r="E519" s="59">
        <v>9.4107000000000003</v>
      </c>
      <c r="F519" s="59">
        <v>10.22503</v>
      </c>
      <c r="G519" s="56">
        <v>1817.83</v>
      </c>
      <c r="H519" s="56">
        <v>2933.86</v>
      </c>
      <c r="I519" s="58">
        <v>0.67821900000000002</v>
      </c>
      <c r="J519" s="57">
        <v>1.1345700000000001</v>
      </c>
      <c r="K519" s="56"/>
      <c r="L519" s="56" t="s">
        <v>488</v>
      </c>
    </row>
    <row r="520" spans="2:12" x14ac:dyDescent="0.2">
      <c r="B520" s="62" t="s">
        <v>5504</v>
      </c>
      <c r="C520" s="61" t="s">
        <v>502</v>
      </c>
      <c r="D520" s="60">
        <v>1.06464</v>
      </c>
      <c r="E520" s="59">
        <v>7.3534100000000002</v>
      </c>
      <c r="F520" s="59">
        <v>9.7143899999999999</v>
      </c>
      <c r="G520" s="56">
        <v>1619.9</v>
      </c>
      <c r="H520" s="56">
        <v>1521.55</v>
      </c>
      <c r="I520" s="58">
        <v>0.58230999999999999</v>
      </c>
      <c r="J520" s="57">
        <v>0.63710599999999995</v>
      </c>
      <c r="K520" s="56"/>
      <c r="L520" s="56" t="s">
        <v>488</v>
      </c>
    </row>
    <row r="521" spans="2:12" x14ac:dyDescent="0.2">
      <c r="B521" s="62" t="s">
        <v>5503</v>
      </c>
      <c r="C521" s="61" t="s">
        <v>510</v>
      </c>
      <c r="D521" s="60">
        <v>1.04758</v>
      </c>
      <c r="E521" s="59">
        <v>3.79569</v>
      </c>
      <c r="F521" s="59">
        <v>5.9029800000000003</v>
      </c>
      <c r="G521" s="56">
        <v>697.21</v>
      </c>
      <c r="H521" s="56">
        <v>665.54499999999996</v>
      </c>
      <c r="I521" s="58">
        <v>0.36738900000000002</v>
      </c>
      <c r="J521" s="57">
        <v>0.50568999999999997</v>
      </c>
      <c r="K521" s="56"/>
      <c r="L521" s="56" t="s">
        <v>730</v>
      </c>
    </row>
    <row r="522" spans="2:12" x14ac:dyDescent="0.2">
      <c r="B522" s="62" t="s">
        <v>5502</v>
      </c>
      <c r="C522" s="61" t="s">
        <v>502</v>
      </c>
      <c r="D522" s="60">
        <v>1.2883</v>
      </c>
      <c r="E522" s="59">
        <v>3.2883100000000001</v>
      </c>
      <c r="F522" s="59">
        <v>4.4467699999999999</v>
      </c>
      <c r="G522" s="56">
        <v>0</v>
      </c>
      <c r="H522" s="56">
        <v>0</v>
      </c>
      <c r="I522" s="58">
        <v>0.22476299999999999</v>
      </c>
      <c r="J522" s="57">
        <v>0.32462000000000002</v>
      </c>
      <c r="K522" s="56"/>
      <c r="L522" s="56" t="s">
        <v>488</v>
      </c>
    </row>
    <row r="523" spans="2:12" x14ac:dyDescent="0.2">
      <c r="B523" s="62" t="s">
        <v>5501</v>
      </c>
      <c r="C523" s="61" t="s">
        <v>1622</v>
      </c>
      <c r="D523" s="60">
        <v>1.0767199999999999</v>
      </c>
      <c r="E523" s="59">
        <v>3.6430799999999999</v>
      </c>
      <c r="F523" s="59">
        <v>5.5603300000000004</v>
      </c>
      <c r="G523" s="56">
        <v>0</v>
      </c>
      <c r="H523" s="56">
        <v>0</v>
      </c>
      <c r="I523" s="58">
        <v>0.43819599999999997</v>
      </c>
      <c r="J523" s="57">
        <v>0.50997199999999998</v>
      </c>
      <c r="K523" s="56"/>
      <c r="L523" s="56" t="s">
        <v>488</v>
      </c>
    </row>
    <row r="524" spans="2:12" x14ac:dyDescent="0.2">
      <c r="B524" s="62" t="s">
        <v>5500</v>
      </c>
      <c r="C524" s="61" t="s">
        <v>3796</v>
      </c>
      <c r="D524" s="60">
        <v>1.0969899999999999</v>
      </c>
      <c r="E524" s="59">
        <v>3.9337599999999999</v>
      </c>
      <c r="F524" s="59">
        <v>5.7858999999999998</v>
      </c>
      <c r="G524" s="56">
        <v>1057.6300000000001</v>
      </c>
      <c r="H524" s="56">
        <v>964.12199999999996</v>
      </c>
      <c r="I524" s="58">
        <v>0.47864299999999999</v>
      </c>
      <c r="J524" s="57">
        <v>0.50078699999999998</v>
      </c>
      <c r="K524" s="56"/>
      <c r="L524" s="56" t="s">
        <v>492</v>
      </c>
    </row>
    <row r="525" spans="2:12" x14ac:dyDescent="0.2">
      <c r="B525" s="62" t="s">
        <v>5499</v>
      </c>
      <c r="C525" s="61" t="s">
        <v>510</v>
      </c>
      <c r="D525" s="60">
        <v>1.20669</v>
      </c>
      <c r="E525" s="59">
        <v>3.8323700000000001</v>
      </c>
      <c r="F525" s="59">
        <v>5.3699500000000002</v>
      </c>
      <c r="G525" s="56">
        <v>737.59500000000003</v>
      </c>
      <c r="H525" s="56">
        <v>611.25699999999995</v>
      </c>
      <c r="I525" s="58">
        <v>0.45813599999999999</v>
      </c>
      <c r="J525" s="57">
        <v>0.424647</v>
      </c>
      <c r="K525" s="56"/>
      <c r="L525" s="56" t="s">
        <v>488</v>
      </c>
    </row>
    <row r="526" spans="2:12" x14ac:dyDescent="0.2">
      <c r="B526" s="62" t="s">
        <v>5498</v>
      </c>
      <c r="C526" s="61" t="s">
        <v>499</v>
      </c>
      <c r="D526" s="60">
        <v>1.1899200000000001</v>
      </c>
      <c r="E526" s="59">
        <v>3.7211400000000001</v>
      </c>
      <c r="F526" s="59">
        <v>5.3419400000000001</v>
      </c>
      <c r="G526" s="56">
        <v>331.798</v>
      </c>
      <c r="H526" s="56">
        <v>278.839</v>
      </c>
      <c r="I526" s="58">
        <v>0.34865400000000002</v>
      </c>
      <c r="J526" s="57">
        <v>0.40867700000000001</v>
      </c>
      <c r="K526" s="56"/>
      <c r="L526" s="56" t="s">
        <v>488</v>
      </c>
    </row>
    <row r="527" spans="2:12" x14ac:dyDescent="0.2">
      <c r="B527" s="62" t="s">
        <v>5497</v>
      </c>
      <c r="C527" s="61" t="s">
        <v>5495</v>
      </c>
      <c r="D527" s="60">
        <v>2.33108</v>
      </c>
      <c r="E527" s="59">
        <v>2.73115</v>
      </c>
      <c r="F527" s="59">
        <v>5.0408499999999998</v>
      </c>
      <c r="G527" s="56">
        <v>0</v>
      </c>
      <c r="H527" s="56">
        <v>0</v>
      </c>
      <c r="I527" s="58">
        <v>0.155387</v>
      </c>
      <c r="J527" s="57">
        <v>0.17091700000000001</v>
      </c>
      <c r="K527" s="56"/>
      <c r="L527" s="56" t="s">
        <v>492</v>
      </c>
    </row>
    <row r="528" spans="2:12" x14ac:dyDescent="0.2">
      <c r="B528" s="62" t="s">
        <v>5496</v>
      </c>
      <c r="C528" s="61" t="s">
        <v>5495</v>
      </c>
      <c r="D528" s="60">
        <v>2.1144099999999999</v>
      </c>
      <c r="E528" s="59">
        <v>2.93554</v>
      </c>
      <c r="F528" s="59">
        <v>5.0193500000000002</v>
      </c>
      <c r="G528" s="56">
        <v>0</v>
      </c>
      <c r="H528" s="56">
        <v>0</v>
      </c>
      <c r="I528" s="58">
        <v>0.26045600000000002</v>
      </c>
      <c r="J528" s="57">
        <v>0.22342200000000001</v>
      </c>
      <c r="K528" s="56"/>
      <c r="L528" s="56" t="s">
        <v>488</v>
      </c>
    </row>
    <row r="529" spans="2:12" x14ac:dyDescent="0.2">
      <c r="B529" s="62" t="s">
        <v>5494</v>
      </c>
      <c r="C529" s="61" t="s">
        <v>550</v>
      </c>
      <c r="D529" s="60">
        <v>2.0565000000000002</v>
      </c>
      <c r="E529" s="59">
        <v>2.7188599999999998</v>
      </c>
      <c r="F529" s="59">
        <v>3.2385299999999999</v>
      </c>
      <c r="G529" s="56">
        <v>0</v>
      </c>
      <c r="H529" s="56">
        <v>0</v>
      </c>
      <c r="I529" s="58">
        <v>0.14255999999999999</v>
      </c>
      <c r="J529" s="57">
        <v>0.198298</v>
      </c>
      <c r="K529" s="56"/>
      <c r="L529" s="56" t="s">
        <v>488</v>
      </c>
    </row>
    <row r="530" spans="2:12" x14ac:dyDescent="0.2">
      <c r="B530" s="62" t="s">
        <v>5493</v>
      </c>
      <c r="C530" s="61" t="s">
        <v>502</v>
      </c>
      <c r="D530" s="60">
        <v>1.04661</v>
      </c>
      <c r="E530" s="59">
        <v>8.3035200000000007</v>
      </c>
      <c r="F530" s="59">
        <v>9.1767299999999992</v>
      </c>
      <c r="G530" s="56">
        <v>1509.78</v>
      </c>
      <c r="H530" s="56">
        <v>1442.55</v>
      </c>
      <c r="I530" s="58">
        <v>0.61271399999999998</v>
      </c>
      <c r="J530" s="57">
        <v>0.62198200000000003</v>
      </c>
      <c r="K530" s="56"/>
      <c r="L530" s="56" t="s">
        <v>488</v>
      </c>
    </row>
    <row r="531" spans="2:12" x14ac:dyDescent="0.2">
      <c r="B531" s="62" t="s">
        <v>5492</v>
      </c>
      <c r="C531" s="61" t="s">
        <v>495</v>
      </c>
      <c r="D531" s="60">
        <v>0.97997699999999999</v>
      </c>
      <c r="E531" s="59">
        <v>4.03207</v>
      </c>
      <c r="F531" s="59">
        <v>5.5640499999999999</v>
      </c>
      <c r="G531" s="56">
        <v>1461.41</v>
      </c>
      <c r="H531" s="56">
        <v>1491.26</v>
      </c>
      <c r="I531" s="58">
        <v>0.58848500000000004</v>
      </c>
      <c r="J531" s="57">
        <v>0.61393699999999995</v>
      </c>
      <c r="K531" s="56"/>
      <c r="L531" s="56" t="s">
        <v>488</v>
      </c>
    </row>
    <row r="532" spans="2:12" x14ac:dyDescent="0.2">
      <c r="B532" s="62" t="s">
        <v>5491</v>
      </c>
      <c r="C532" s="61" t="s">
        <v>495</v>
      </c>
      <c r="D532" s="60">
        <v>0.98213600000000001</v>
      </c>
      <c r="E532" s="59">
        <v>4.1300499999999998</v>
      </c>
      <c r="F532" s="59">
        <v>6.0819000000000001</v>
      </c>
      <c r="G532" s="56">
        <v>1329.46</v>
      </c>
      <c r="H532" s="56">
        <v>1353.64</v>
      </c>
      <c r="I532" s="58">
        <v>0.582345</v>
      </c>
      <c r="J532" s="57">
        <v>0.609595</v>
      </c>
      <c r="K532" s="56"/>
      <c r="L532" s="56" t="s">
        <v>488</v>
      </c>
    </row>
    <row r="533" spans="2:12" x14ac:dyDescent="0.2">
      <c r="B533" s="62" t="s">
        <v>5490</v>
      </c>
      <c r="C533" s="61" t="s">
        <v>495</v>
      </c>
      <c r="D533" s="60">
        <v>1.17303</v>
      </c>
      <c r="E533" s="59">
        <v>5.1685600000000003</v>
      </c>
      <c r="F533" s="59">
        <v>5.8085100000000001</v>
      </c>
      <c r="G533" s="56">
        <v>1141.92</v>
      </c>
      <c r="H533" s="56">
        <v>973.47699999999998</v>
      </c>
      <c r="I533" s="58">
        <v>0.55495399999999995</v>
      </c>
      <c r="J533" s="57">
        <v>0.46689399999999998</v>
      </c>
      <c r="K533" s="56"/>
      <c r="L533" s="56" t="s">
        <v>488</v>
      </c>
    </row>
    <row r="534" spans="2:12" x14ac:dyDescent="0.2">
      <c r="B534" s="62" t="s">
        <v>5489</v>
      </c>
      <c r="C534" s="61" t="s">
        <v>510</v>
      </c>
      <c r="D534" s="60">
        <v>0.76113900000000001</v>
      </c>
      <c r="E534" s="59">
        <v>5.7648599999999997</v>
      </c>
      <c r="F534" s="59">
        <v>8.2437100000000001</v>
      </c>
      <c r="G534" s="56">
        <v>2538.94</v>
      </c>
      <c r="H534" s="56">
        <v>3335.71</v>
      </c>
      <c r="I534" s="58">
        <v>0.76812899999999995</v>
      </c>
      <c r="J534" s="57">
        <v>0.97786700000000004</v>
      </c>
      <c r="K534" s="56"/>
      <c r="L534" s="56" t="s">
        <v>488</v>
      </c>
    </row>
    <row r="535" spans="2:12" x14ac:dyDescent="0.2">
      <c r="B535" s="62" t="s">
        <v>5488</v>
      </c>
      <c r="C535" s="61" t="s">
        <v>510</v>
      </c>
      <c r="D535" s="60">
        <v>1.0880099999999999</v>
      </c>
      <c r="E535" s="59">
        <v>6.4493400000000003</v>
      </c>
      <c r="F535" s="59">
        <v>7.9006100000000004</v>
      </c>
      <c r="G535" s="56">
        <v>1663.99</v>
      </c>
      <c r="H535" s="56">
        <v>1529.38</v>
      </c>
      <c r="I535" s="58">
        <v>0.61614599999999997</v>
      </c>
      <c r="J535" s="57">
        <v>0.57033299999999998</v>
      </c>
      <c r="K535" s="56"/>
      <c r="L535" s="56" t="s">
        <v>488</v>
      </c>
    </row>
    <row r="536" spans="2:12" x14ac:dyDescent="0.2">
      <c r="B536" s="62" t="s">
        <v>5487</v>
      </c>
      <c r="C536" s="61" t="s">
        <v>537</v>
      </c>
      <c r="D536" s="60">
        <v>1.7362500000000001</v>
      </c>
      <c r="E536" s="59">
        <v>3.7336100000000001</v>
      </c>
      <c r="F536" s="59">
        <v>5.04549</v>
      </c>
      <c r="G536" s="56">
        <v>134.50800000000001</v>
      </c>
      <c r="H536" s="56">
        <v>77.470200000000006</v>
      </c>
      <c r="I536" s="58">
        <v>0.38051600000000002</v>
      </c>
      <c r="J536" s="57">
        <v>0.293103</v>
      </c>
      <c r="K536" s="56"/>
      <c r="L536" s="56" t="s">
        <v>488</v>
      </c>
    </row>
    <row r="537" spans="2:12" x14ac:dyDescent="0.2">
      <c r="B537" s="62" t="s">
        <v>5486</v>
      </c>
      <c r="C537" s="61" t="s">
        <v>535</v>
      </c>
      <c r="D537" s="60">
        <v>1.72692</v>
      </c>
      <c r="E537" s="59">
        <v>3.7146599999999999</v>
      </c>
      <c r="F537" s="59">
        <v>5.0643500000000001</v>
      </c>
      <c r="G537" s="56">
        <v>0</v>
      </c>
      <c r="H537" s="56">
        <v>0</v>
      </c>
      <c r="I537" s="58">
        <v>0.37536599999999998</v>
      </c>
      <c r="J537" s="57">
        <v>0.29241</v>
      </c>
      <c r="K537" s="56"/>
      <c r="L537" s="56" t="s">
        <v>488</v>
      </c>
    </row>
    <row r="538" spans="2:12" x14ac:dyDescent="0.2">
      <c r="B538" s="62" t="s">
        <v>5485</v>
      </c>
      <c r="C538" s="61" t="s">
        <v>541</v>
      </c>
      <c r="D538" s="60">
        <v>1.5641499999999999</v>
      </c>
      <c r="E538" s="59">
        <v>3.7022499999999998</v>
      </c>
      <c r="F538" s="59">
        <v>5.0806500000000003</v>
      </c>
      <c r="G538" s="56">
        <v>0</v>
      </c>
      <c r="H538" s="56">
        <v>0</v>
      </c>
      <c r="I538" s="58">
        <v>0.43401899999999999</v>
      </c>
      <c r="J538" s="57">
        <v>0.342223</v>
      </c>
      <c r="K538" s="56"/>
      <c r="L538" s="56" t="s">
        <v>488</v>
      </c>
    </row>
    <row r="539" spans="2:12" x14ac:dyDescent="0.2">
      <c r="B539" s="62" t="s">
        <v>5484</v>
      </c>
      <c r="C539" s="61" t="s">
        <v>612</v>
      </c>
      <c r="D539" s="60">
        <v>0.68442499999999995</v>
      </c>
      <c r="E539" s="59">
        <v>11.8329</v>
      </c>
      <c r="F539" s="59">
        <v>28.49654</v>
      </c>
      <c r="G539" s="56">
        <v>1304.1600000000001</v>
      </c>
      <c r="H539" s="56">
        <v>1905.48</v>
      </c>
      <c r="I539" s="58">
        <v>0.77425500000000003</v>
      </c>
      <c r="J539" s="57">
        <v>1.11547</v>
      </c>
      <c r="K539" s="56" t="s">
        <v>5483</v>
      </c>
      <c r="L539" s="56" t="s">
        <v>563</v>
      </c>
    </row>
    <row r="540" spans="2:12" x14ac:dyDescent="0.2">
      <c r="B540" s="62" t="s">
        <v>5482</v>
      </c>
      <c r="C540" s="61" t="s">
        <v>502</v>
      </c>
      <c r="D540" s="60">
        <v>1.59429</v>
      </c>
      <c r="E540" s="59">
        <v>2.6661899999999998</v>
      </c>
      <c r="F540" s="59">
        <v>3.87967</v>
      </c>
      <c r="G540" s="56">
        <v>0</v>
      </c>
      <c r="H540" s="56">
        <v>0</v>
      </c>
      <c r="I540" s="58">
        <v>0.123233</v>
      </c>
      <c r="J540" s="57">
        <v>0.26486700000000002</v>
      </c>
      <c r="K540" s="56"/>
      <c r="L540" s="56" t="s">
        <v>488</v>
      </c>
    </row>
    <row r="541" spans="2:12" x14ac:dyDescent="0.2">
      <c r="B541" s="62" t="s">
        <v>5481</v>
      </c>
      <c r="C541" s="61" t="s">
        <v>510</v>
      </c>
      <c r="D541" s="60">
        <v>1.24631</v>
      </c>
      <c r="E541" s="59">
        <v>4.73306</v>
      </c>
      <c r="F541" s="59">
        <v>6.7794999999999996</v>
      </c>
      <c r="G541" s="56">
        <v>1218.82</v>
      </c>
      <c r="H541" s="56">
        <v>977.93700000000001</v>
      </c>
      <c r="I541" s="58">
        <v>0.50926700000000003</v>
      </c>
      <c r="J541" s="57">
        <v>0.45389299999999999</v>
      </c>
      <c r="K541" s="56"/>
      <c r="L541" s="56" t="s">
        <v>488</v>
      </c>
    </row>
    <row r="542" spans="2:12" x14ac:dyDescent="0.2">
      <c r="B542" s="62" t="s">
        <v>5480</v>
      </c>
      <c r="C542" s="61" t="s">
        <v>550</v>
      </c>
      <c r="D542" s="60">
        <v>1.4431799999999999</v>
      </c>
      <c r="E542" s="59">
        <v>4.4368299999999996</v>
      </c>
      <c r="F542" s="59">
        <v>5.7294299999999998</v>
      </c>
      <c r="G542" s="56">
        <v>1940.46</v>
      </c>
      <c r="H542" s="56">
        <v>1360.39</v>
      </c>
      <c r="I542" s="58">
        <v>0.64049</v>
      </c>
      <c r="J542" s="57">
        <v>0.48104000000000002</v>
      </c>
      <c r="K542" s="56"/>
      <c r="L542" s="56" t="s">
        <v>488</v>
      </c>
    </row>
    <row r="543" spans="2:12" x14ac:dyDescent="0.2">
      <c r="B543" s="62" t="s">
        <v>5479</v>
      </c>
      <c r="C543" s="61" t="s">
        <v>550</v>
      </c>
      <c r="D543" s="60">
        <v>1.42641</v>
      </c>
      <c r="E543" s="59">
        <v>4.4002600000000003</v>
      </c>
      <c r="F543" s="59">
        <v>5.6731400000000001</v>
      </c>
      <c r="G543" s="56">
        <v>1845.74</v>
      </c>
      <c r="H543" s="56">
        <v>1278.94</v>
      </c>
      <c r="I543" s="58">
        <v>0.65946700000000003</v>
      </c>
      <c r="J543" s="57">
        <v>0.49053999999999998</v>
      </c>
      <c r="K543" s="56"/>
      <c r="L543" s="56" t="s">
        <v>488</v>
      </c>
    </row>
    <row r="544" spans="2:12" x14ac:dyDescent="0.2">
      <c r="B544" s="62" t="s">
        <v>5478</v>
      </c>
      <c r="C544" s="61" t="s">
        <v>1100</v>
      </c>
      <c r="D544" s="60">
        <v>2.2047300000000001</v>
      </c>
      <c r="E544" s="59">
        <v>2.5047799999999998</v>
      </c>
      <c r="F544" s="59">
        <v>3.0745300000000002</v>
      </c>
      <c r="G544" s="56">
        <v>0</v>
      </c>
      <c r="H544" s="56">
        <v>0</v>
      </c>
      <c r="I544" s="58">
        <v>3.7843099999999998E-2</v>
      </c>
      <c r="J544" s="57">
        <v>0.147984</v>
      </c>
      <c r="K544" s="56"/>
      <c r="L544" s="56" t="s">
        <v>488</v>
      </c>
    </row>
    <row r="545" spans="2:12" x14ac:dyDescent="0.2">
      <c r="B545" s="62" t="s">
        <v>5477</v>
      </c>
      <c r="C545" s="61" t="s">
        <v>875</v>
      </c>
      <c r="D545" s="60">
        <v>1.6253599999999999</v>
      </c>
      <c r="E545" s="59">
        <v>3.0204599999999999</v>
      </c>
      <c r="F545" s="59">
        <v>4.7857099999999999</v>
      </c>
      <c r="G545" s="56">
        <v>0</v>
      </c>
      <c r="H545" s="56">
        <v>0</v>
      </c>
      <c r="I545" s="58">
        <v>0.21440000000000001</v>
      </c>
      <c r="J545" s="57">
        <v>0.26073499999999999</v>
      </c>
      <c r="K545" s="56"/>
      <c r="L545" s="56" t="s">
        <v>492</v>
      </c>
    </row>
    <row r="546" spans="2:12" x14ac:dyDescent="0.2">
      <c r="B546" s="62" t="s">
        <v>5476</v>
      </c>
      <c r="C546" s="61" t="s">
        <v>2421</v>
      </c>
      <c r="D546" s="60">
        <v>1.6648099999999999</v>
      </c>
      <c r="E546" s="59">
        <v>2.90089</v>
      </c>
      <c r="F546" s="59">
        <v>4.5365500000000001</v>
      </c>
      <c r="G546" s="56">
        <v>0</v>
      </c>
      <c r="H546" s="56">
        <v>0</v>
      </c>
      <c r="I546" s="58">
        <v>0.18985299999999999</v>
      </c>
      <c r="J546" s="57">
        <v>0.24329200000000001</v>
      </c>
      <c r="K546" s="56"/>
      <c r="L546" s="56" t="s">
        <v>492</v>
      </c>
    </row>
    <row r="547" spans="2:12" x14ac:dyDescent="0.2">
      <c r="B547" s="62" t="s">
        <v>5475</v>
      </c>
      <c r="C547" s="61" t="s">
        <v>510</v>
      </c>
      <c r="D547" s="60">
        <v>1.65981</v>
      </c>
      <c r="E547" s="59">
        <v>2.6087199999999999</v>
      </c>
      <c r="F547" s="59">
        <v>3.5902799999999999</v>
      </c>
      <c r="G547" s="56">
        <v>0</v>
      </c>
      <c r="H547" s="56">
        <v>0</v>
      </c>
      <c r="I547" s="58">
        <v>0.12878500000000001</v>
      </c>
      <c r="J547" s="57">
        <v>0.25984699999999999</v>
      </c>
      <c r="K547" s="56"/>
      <c r="L547" s="56" t="s">
        <v>488</v>
      </c>
    </row>
    <row r="548" spans="2:12" x14ac:dyDescent="0.2">
      <c r="B548" s="62" t="s">
        <v>5474</v>
      </c>
      <c r="C548" s="61" t="s">
        <v>548</v>
      </c>
      <c r="D548" s="60">
        <v>1.54817</v>
      </c>
      <c r="E548" s="59">
        <v>2.53592</v>
      </c>
      <c r="F548" s="59">
        <v>4.0857099999999997</v>
      </c>
      <c r="G548" s="56">
        <v>0</v>
      </c>
      <c r="H548" s="56">
        <v>0</v>
      </c>
      <c r="I548" s="58">
        <v>0.32380100000000001</v>
      </c>
      <c r="J548" s="57">
        <v>0.29086699999999999</v>
      </c>
      <c r="K548" s="56"/>
      <c r="L548" s="56" t="s">
        <v>488</v>
      </c>
    </row>
    <row r="549" spans="2:12" x14ac:dyDescent="0.2">
      <c r="B549" s="62" t="s">
        <v>5473</v>
      </c>
      <c r="C549" s="61" t="s">
        <v>502</v>
      </c>
      <c r="D549" s="60">
        <v>1.2273099999999999</v>
      </c>
      <c r="E549" s="59">
        <v>2.7631999999999999</v>
      </c>
      <c r="F549" s="59">
        <v>5.8070500000000003</v>
      </c>
      <c r="G549" s="56">
        <v>0</v>
      </c>
      <c r="H549" s="56">
        <v>0</v>
      </c>
      <c r="I549" s="58">
        <v>0.37163400000000002</v>
      </c>
      <c r="J549" s="57">
        <v>0.44057299999999999</v>
      </c>
      <c r="K549" s="56"/>
      <c r="L549" s="56" t="s">
        <v>488</v>
      </c>
    </row>
    <row r="550" spans="2:12" x14ac:dyDescent="0.2">
      <c r="B550" s="62" t="s">
        <v>5472</v>
      </c>
      <c r="C550" s="61" t="s">
        <v>510</v>
      </c>
      <c r="D550" s="60">
        <v>1.42635</v>
      </c>
      <c r="E550" s="59">
        <v>5.8714000000000004</v>
      </c>
      <c r="F550" s="59">
        <v>6.8063799999999999</v>
      </c>
      <c r="G550" s="56">
        <v>1221.3</v>
      </c>
      <c r="H550" s="56">
        <v>856.24</v>
      </c>
      <c r="I550" s="58">
        <v>0.50784399999999996</v>
      </c>
      <c r="J550" s="57">
        <v>0.37151899999999999</v>
      </c>
      <c r="K550" s="56"/>
      <c r="L550" s="56" t="s">
        <v>488</v>
      </c>
    </row>
    <row r="551" spans="2:12" x14ac:dyDescent="0.2">
      <c r="B551" s="62" t="s">
        <v>5471</v>
      </c>
      <c r="C551" s="61" t="s">
        <v>502</v>
      </c>
      <c r="D551" s="60">
        <v>1.06088</v>
      </c>
      <c r="E551" s="59">
        <v>4.0170899999999996</v>
      </c>
      <c r="F551" s="59">
        <v>5.3880999999999997</v>
      </c>
      <c r="G551" s="56">
        <v>835.05</v>
      </c>
      <c r="H551" s="56">
        <v>787.13</v>
      </c>
      <c r="I551" s="58">
        <v>0.44595299999999999</v>
      </c>
      <c r="J551" s="57">
        <v>0.51727999999999996</v>
      </c>
      <c r="K551" s="56"/>
      <c r="L551" s="56" t="s">
        <v>488</v>
      </c>
    </row>
    <row r="552" spans="2:12" x14ac:dyDescent="0.2">
      <c r="B552" s="62" t="s">
        <v>5470</v>
      </c>
      <c r="C552" s="61" t="s">
        <v>499</v>
      </c>
      <c r="D552" s="60">
        <v>1.22499</v>
      </c>
      <c r="E552" s="59">
        <v>7.6764099999999997</v>
      </c>
      <c r="F552" s="59">
        <v>8.1443300000000001</v>
      </c>
      <c r="G552" s="56">
        <v>1547.4</v>
      </c>
      <c r="H552" s="56">
        <v>1263.2</v>
      </c>
      <c r="I552" s="58">
        <v>0.61865400000000004</v>
      </c>
      <c r="J552" s="57">
        <v>0.54317700000000002</v>
      </c>
      <c r="K552" s="56"/>
      <c r="L552" s="56" t="s">
        <v>488</v>
      </c>
    </row>
    <row r="553" spans="2:12" x14ac:dyDescent="0.2">
      <c r="B553" s="62" t="s">
        <v>5469</v>
      </c>
      <c r="C553" s="61" t="s">
        <v>499</v>
      </c>
      <c r="D553" s="60">
        <v>1.23149</v>
      </c>
      <c r="E553" s="59">
        <v>7.3278800000000004</v>
      </c>
      <c r="F553" s="59">
        <v>8.1347000000000005</v>
      </c>
      <c r="G553" s="56">
        <v>1559.45</v>
      </c>
      <c r="H553" s="56">
        <v>1266.31</v>
      </c>
      <c r="I553" s="58">
        <v>0.61936599999999997</v>
      </c>
      <c r="J553" s="57">
        <v>0.53849800000000003</v>
      </c>
      <c r="K553" s="56"/>
      <c r="L553" s="56" t="s">
        <v>488</v>
      </c>
    </row>
    <row r="554" spans="2:12" x14ac:dyDescent="0.2">
      <c r="B554" s="62" t="s">
        <v>5468</v>
      </c>
      <c r="C554" s="61" t="s">
        <v>499</v>
      </c>
      <c r="D554" s="60">
        <v>1.2104200000000001</v>
      </c>
      <c r="E554" s="59">
        <v>7.67164</v>
      </c>
      <c r="F554" s="59">
        <v>8.2178900000000006</v>
      </c>
      <c r="G554" s="56">
        <v>1598.19</v>
      </c>
      <c r="H554" s="56">
        <v>1320.36</v>
      </c>
      <c r="I554" s="58">
        <v>0.62428700000000004</v>
      </c>
      <c r="J554" s="57">
        <v>0.55246700000000004</v>
      </c>
      <c r="K554" s="56"/>
      <c r="L554" s="56" t="s">
        <v>488</v>
      </c>
    </row>
    <row r="555" spans="2:12" x14ac:dyDescent="0.2">
      <c r="B555" s="62" t="s">
        <v>5467</v>
      </c>
      <c r="C555" s="61" t="s">
        <v>499</v>
      </c>
      <c r="D555" s="60">
        <v>1.2346699999999999</v>
      </c>
      <c r="E555" s="59">
        <v>7.7998500000000002</v>
      </c>
      <c r="F555" s="59">
        <v>8.3235200000000003</v>
      </c>
      <c r="G555" s="56">
        <v>1554.44</v>
      </c>
      <c r="H555" s="56">
        <v>1258.99</v>
      </c>
      <c r="I555" s="58">
        <v>0.62222200000000005</v>
      </c>
      <c r="J555" s="57">
        <v>0.53761599999999998</v>
      </c>
      <c r="K555" s="56"/>
      <c r="L555" s="56" t="s">
        <v>488</v>
      </c>
    </row>
    <row r="556" spans="2:12" x14ac:dyDescent="0.2">
      <c r="B556" s="62" t="s">
        <v>5466</v>
      </c>
      <c r="C556" s="61" t="s">
        <v>499</v>
      </c>
      <c r="D556" s="60">
        <v>1.2217499999999999</v>
      </c>
      <c r="E556" s="59">
        <v>7.6276299999999999</v>
      </c>
      <c r="F556" s="59">
        <v>8.3077100000000002</v>
      </c>
      <c r="G556" s="56">
        <v>1558.12</v>
      </c>
      <c r="H556" s="56">
        <v>1275.32</v>
      </c>
      <c r="I556" s="58">
        <v>0.62595299999999998</v>
      </c>
      <c r="J556" s="57">
        <v>0.54571899999999995</v>
      </c>
      <c r="K556" s="56"/>
      <c r="L556" s="56" t="s">
        <v>488</v>
      </c>
    </row>
    <row r="557" spans="2:12" x14ac:dyDescent="0.2">
      <c r="B557" s="62" t="s">
        <v>5465</v>
      </c>
      <c r="C557" s="61" t="s">
        <v>510</v>
      </c>
      <c r="D557" s="60">
        <v>1.4121300000000001</v>
      </c>
      <c r="E557" s="59">
        <v>4.57125</v>
      </c>
      <c r="F557" s="59">
        <v>7.1059999999999999</v>
      </c>
      <c r="G557" s="56">
        <v>1121</v>
      </c>
      <c r="H557" s="56">
        <v>793.83500000000004</v>
      </c>
      <c r="I557" s="58">
        <v>0.483427</v>
      </c>
      <c r="J557" s="57">
        <v>0.37429699999999999</v>
      </c>
      <c r="K557" s="56"/>
      <c r="L557" s="56" t="s">
        <v>488</v>
      </c>
    </row>
    <row r="558" spans="2:12" x14ac:dyDescent="0.2">
      <c r="B558" s="62" t="s">
        <v>5464</v>
      </c>
      <c r="C558" s="61" t="s">
        <v>499</v>
      </c>
      <c r="D558" s="60">
        <v>1.2059599999999999</v>
      </c>
      <c r="E558" s="59">
        <v>7.7980299999999998</v>
      </c>
      <c r="F558" s="59">
        <v>8.4127799999999997</v>
      </c>
      <c r="G558" s="56">
        <v>1585.79</v>
      </c>
      <c r="H558" s="56">
        <v>1314.96</v>
      </c>
      <c r="I558" s="58">
        <v>0.631274</v>
      </c>
      <c r="J558" s="57">
        <v>0.55579000000000001</v>
      </c>
      <c r="K558" s="56"/>
      <c r="L558" s="56" t="s">
        <v>488</v>
      </c>
    </row>
    <row r="559" spans="2:12" x14ac:dyDescent="0.2">
      <c r="B559" s="62" t="s">
        <v>5463</v>
      </c>
      <c r="C559" s="61" t="s">
        <v>550</v>
      </c>
      <c r="D559" s="60">
        <v>1.63609</v>
      </c>
      <c r="E559" s="59">
        <v>4.2067100000000002</v>
      </c>
      <c r="F559" s="59">
        <v>5.5536599999999998</v>
      </c>
      <c r="G559" s="56">
        <v>272.60599999999999</v>
      </c>
      <c r="H559" s="56">
        <v>166.62</v>
      </c>
      <c r="I559" s="58">
        <v>0.196324</v>
      </c>
      <c r="J559" s="57">
        <v>0.28435899999999997</v>
      </c>
      <c r="K559" s="56"/>
      <c r="L559" s="56" t="s">
        <v>488</v>
      </c>
    </row>
    <row r="560" spans="2:12" x14ac:dyDescent="0.2">
      <c r="B560" s="62" t="s">
        <v>5462</v>
      </c>
      <c r="C560" s="61" t="s">
        <v>2104</v>
      </c>
      <c r="D560" s="60">
        <v>0.83979999999999999</v>
      </c>
      <c r="E560" s="59">
        <v>8.2781500000000001</v>
      </c>
      <c r="F560" s="59">
        <v>8.8928399999999996</v>
      </c>
      <c r="G560" s="56">
        <v>2398.25</v>
      </c>
      <c r="H560" s="56">
        <v>2855.74</v>
      </c>
      <c r="I560" s="58">
        <v>0.74685100000000004</v>
      </c>
      <c r="J560" s="57">
        <v>0.89320900000000003</v>
      </c>
      <c r="K560" s="56"/>
      <c r="L560" s="56" t="s">
        <v>488</v>
      </c>
    </row>
    <row r="561" spans="2:12" x14ac:dyDescent="0.2">
      <c r="B561" s="62" t="s">
        <v>5461</v>
      </c>
      <c r="C561" s="61" t="s">
        <v>495</v>
      </c>
      <c r="D561" s="60">
        <v>1.4886699999999999</v>
      </c>
      <c r="E561" s="59">
        <v>3.4928499999999998</v>
      </c>
      <c r="F561" s="59">
        <v>3.7898900000000002</v>
      </c>
      <c r="G561" s="56">
        <v>0</v>
      </c>
      <c r="H561" s="56">
        <v>0</v>
      </c>
      <c r="I561" s="58">
        <v>0.24278</v>
      </c>
      <c r="J561" s="57">
        <v>0.308172</v>
      </c>
      <c r="K561" s="56"/>
      <c r="L561" s="56" t="s">
        <v>488</v>
      </c>
    </row>
    <row r="562" spans="2:12" x14ac:dyDescent="0.2">
      <c r="B562" s="62" t="s">
        <v>5460</v>
      </c>
      <c r="C562" s="61" t="s">
        <v>579</v>
      </c>
      <c r="D562" s="60">
        <v>1.8886799999999999</v>
      </c>
      <c r="E562" s="59">
        <v>3.83846</v>
      </c>
      <c r="F562" s="59">
        <v>4.3410200000000003</v>
      </c>
      <c r="G562" s="56">
        <v>415.23899999999998</v>
      </c>
      <c r="H562" s="56">
        <v>219.85499999999999</v>
      </c>
      <c r="I562" s="58">
        <v>0.332814</v>
      </c>
      <c r="J562" s="57">
        <v>0.25877600000000001</v>
      </c>
      <c r="K562" s="56"/>
      <c r="L562" s="56" t="s">
        <v>488</v>
      </c>
    </row>
    <row r="563" spans="2:12" x14ac:dyDescent="0.2">
      <c r="B563" s="62" t="s">
        <v>5459</v>
      </c>
      <c r="C563" s="61" t="s">
        <v>541</v>
      </c>
      <c r="D563" s="60">
        <v>1.92319</v>
      </c>
      <c r="E563" s="59">
        <v>3.7938399999999999</v>
      </c>
      <c r="F563" s="59">
        <v>4.3292099999999998</v>
      </c>
      <c r="G563" s="56">
        <v>399.291</v>
      </c>
      <c r="H563" s="56">
        <v>207.619</v>
      </c>
      <c r="I563" s="58">
        <v>0.33196300000000001</v>
      </c>
      <c r="J563" s="57">
        <v>0.25389499999999998</v>
      </c>
      <c r="K563" s="56"/>
      <c r="L563" s="56" t="s">
        <v>488</v>
      </c>
    </row>
    <row r="564" spans="2:12" x14ac:dyDescent="0.2">
      <c r="B564" s="62" t="s">
        <v>5458</v>
      </c>
      <c r="C564" s="61" t="s">
        <v>499</v>
      </c>
      <c r="D564" s="60">
        <v>1.13574</v>
      </c>
      <c r="E564" s="59">
        <v>4.7015599999999997</v>
      </c>
      <c r="F564" s="59">
        <v>5.98569</v>
      </c>
      <c r="G564" s="56">
        <v>1507.48</v>
      </c>
      <c r="H564" s="56">
        <v>1327.31</v>
      </c>
      <c r="I564" s="58">
        <v>0.54073000000000004</v>
      </c>
      <c r="J564" s="57">
        <v>0.49884299999999998</v>
      </c>
      <c r="K564" s="56"/>
      <c r="L564" s="56" t="s">
        <v>488</v>
      </c>
    </row>
    <row r="565" spans="2:12" x14ac:dyDescent="0.2">
      <c r="B565" s="62" t="s">
        <v>5457</v>
      </c>
      <c r="C565" s="61" t="s">
        <v>499</v>
      </c>
      <c r="D565" s="60">
        <v>0.922041</v>
      </c>
      <c r="E565" s="59">
        <v>5.6966000000000001</v>
      </c>
      <c r="F565" s="59">
        <v>6.3699000000000003</v>
      </c>
      <c r="G565" s="56">
        <v>1602.89</v>
      </c>
      <c r="H565" s="56">
        <v>1738.42</v>
      </c>
      <c r="I565" s="58">
        <v>0.59835300000000002</v>
      </c>
      <c r="J565" s="57">
        <v>0.66435699999999998</v>
      </c>
      <c r="K565" s="56"/>
      <c r="L565" s="56" t="s">
        <v>488</v>
      </c>
    </row>
    <row r="566" spans="2:12" x14ac:dyDescent="0.2">
      <c r="B566" s="62" t="s">
        <v>5456</v>
      </c>
      <c r="C566" s="61" t="s">
        <v>1697</v>
      </c>
      <c r="D566" s="60">
        <v>0.97835399999999995</v>
      </c>
      <c r="E566" s="59">
        <v>5.0476900000000002</v>
      </c>
      <c r="F566" s="59">
        <v>6.4121699999999997</v>
      </c>
      <c r="G566" s="56">
        <v>1773.61</v>
      </c>
      <c r="H566" s="56">
        <v>1812.85</v>
      </c>
      <c r="I566" s="58">
        <v>0.60536999999999996</v>
      </c>
      <c r="J566" s="57">
        <v>0.65160700000000005</v>
      </c>
      <c r="K566" s="56"/>
      <c r="L566" s="56" t="s">
        <v>488</v>
      </c>
    </row>
    <row r="567" spans="2:12" x14ac:dyDescent="0.2">
      <c r="B567" s="62" t="s">
        <v>5455</v>
      </c>
      <c r="C567" s="61" t="s">
        <v>510</v>
      </c>
      <c r="D567" s="60">
        <v>0.71645300000000001</v>
      </c>
      <c r="E567" s="59">
        <v>9.35609</v>
      </c>
      <c r="F567" s="59">
        <v>10.091710000000001</v>
      </c>
      <c r="G567" s="56">
        <v>1651.11</v>
      </c>
      <c r="H567" s="56">
        <v>2304.56</v>
      </c>
      <c r="I567" s="58">
        <v>0.71955400000000003</v>
      </c>
      <c r="J567" s="57">
        <v>0.98642399999999997</v>
      </c>
      <c r="K567" s="56"/>
      <c r="L567" s="56" t="s">
        <v>488</v>
      </c>
    </row>
    <row r="568" spans="2:12" x14ac:dyDescent="0.2">
      <c r="B568" s="62" t="s">
        <v>5454</v>
      </c>
      <c r="C568" s="61" t="s">
        <v>632</v>
      </c>
      <c r="D568" s="60">
        <v>1.2269300000000001</v>
      </c>
      <c r="E568" s="59">
        <v>5.5392799999999998</v>
      </c>
      <c r="F568" s="59">
        <v>6.1205999999999996</v>
      </c>
      <c r="G568" s="56">
        <v>1191.76</v>
      </c>
      <c r="H568" s="56">
        <v>971.33</v>
      </c>
      <c r="I568" s="58">
        <v>0.60069799999999995</v>
      </c>
      <c r="J568" s="57">
        <v>0.47699000000000003</v>
      </c>
      <c r="K568" s="56"/>
      <c r="L568" s="56" t="s">
        <v>488</v>
      </c>
    </row>
    <row r="569" spans="2:12" x14ac:dyDescent="0.2">
      <c r="B569" s="62" t="s">
        <v>5453</v>
      </c>
      <c r="C569" s="61" t="s">
        <v>1921</v>
      </c>
      <c r="D569" s="60">
        <v>1.9583699999999999</v>
      </c>
      <c r="E569" s="59">
        <v>2.48027</v>
      </c>
      <c r="F569" s="59">
        <v>4.7907700000000002</v>
      </c>
      <c r="G569" s="56">
        <v>0</v>
      </c>
      <c r="H569" s="56">
        <v>0</v>
      </c>
      <c r="I569" s="58">
        <v>0.13214999999999999</v>
      </c>
      <c r="J569" s="57">
        <v>0.17533899999999999</v>
      </c>
      <c r="K569" s="56"/>
      <c r="L569" s="56" t="s">
        <v>488</v>
      </c>
    </row>
    <row r="570" spans="2:12" x14ac:dyDescent="0.2">
      <c r="B570" s="62" t="s">
        <v>5452</v>
      </c>
      <c r="C570" s="61" t="s">
        <v>510</v>
      </c>
      <c r="D570" s="60">
        <v>1.25742</v>
      </c>
      <c r="E570" s="59">
        <v>3.7220599999999999</v>
      </c>
      <c r="F570" s="59">
        <v>5.4740099999999998</v>
      </c>
      <c r="G570" s="56">
        <v>236.255</v>
      </c>
      <c r="H570" s="56">
        <v>187.88900000000001</v>
      </c>
      <c r="I570" s="58">
        <v>0.17674899999999999</v>
      </c>
      <c r="J570" s="57">
        <v>0.33968999999999999</v>
      </c>
      <c r="K570" s="56"/>
      <c r="L570" s="56" t="s">
        <v>488</v>
      </c>
    </row>
    <row r="571" spans="2:12" x14ac:dyDescent="0.2">
      <c r="B571" s="62" t="s">
        <v>5451</v>
      </c>
      <c r="C571" s="61" t="s">
        <v>537</v>
      </c>
      <c r="D571" s="60">
        <v>1.2229300000000001</v>
      </c>
      <c r="E571" s="59">
        <v>5.5774499999999998</v>
      </c>
      <c r="F571" s="59">
        <v>6.7361700000000004</v>
      </c>
      <c r="G571" s="56">
        <v>1857.81</v>
      </c>
      <c r="H571" s="56">
        <v>1519.15</v>
      </c>
      <c r="I571" s="58">
        <v>0.63528300000000004</v>
      </c>
      <c r="J571" s="57">
        <v>0.53056499999999995</v>
      </c>
      <c r="K571" s="56"/>
      <c r="L571" s="56" t="s">
        <v>488</v>
      </c>
    </row>
    <row r="572" spans="2:12" x14ac:dyDescent="0.2">
      <c r="B572" s="62" t="s">
        <v>5450</v>
      </c>
      <c r="C572" s="61" t="s">
        <v>535</v>
      </c>
      <c r="D572" s="60">
        <v>1.20645</v>
      </c>
      <c r="E572" s="59">
        <v>5.5324900000000001</v>
      </c>
      <c r="F572" s="59">
        <v>6.7564900000000003</v>
      </c>
      <c r="G572" s="56">
        <v>1855.86</v>
      </c>
      <c r="H572" s="56">
        <v>1538.28</v>
      </c>
      <c r="I572" s="58">
        <v>0.63189700000000004</v>
      </c>
      <c r="J572" s="57">
        <v>0.53839800000000004</v>
      </c>
      <c r="K572" s="56"/>
      <c r="L572" s="56" t="s">
        <v>488</v>
      </c>
    </row>
    <row r="573" spans="2:12" x14ac:dyDescent="0.2">
      <c r="B573" s="62" t="s">
        <v>5449</v>
      </c>
      <c r="C573" s="61" t="s">
        <v>558</v>
      </c>
      <c r="D573" s="60">
        <v>1.2382200000000001</v>
      </c>
      <c r="E573" s="59">
        <v>5.5293099999999997</v>
      </c>
      <c r="F573" s="59">
        <v>6.7422800000000001</v>
      </c>
      <c r="G573" s="56">
        <v>1837.75</v>
      </c>
      <c r="H573" s="56">
        <v>1484.19</v>
      </c>
      <c r="I573" s="58">
        <v>0.63417500000000004</v>
      </c>
      <c r="J573" s="57">
        <v>0.52342</v>
      </c>
      <c r="K573" s="56"/>
      <c r="L573" s="56" t="s">
        <v>488</v>
      </c>
    </row>
    <row r="574" spans="2:12" x14ac:dyDescent="0.2">
      <c r="B574" s="62" t="s">
        <v>5448</v>
      </c>
      <c r="C574" s="61" t="s">
        <v>859</v>
      </c>
      <c r="D574" s="60">
        <v>1.24692</v>
      </c>
      <c r="E574" s="59">
        <v>5.5632999999999999</v>
      </c>
      <c r="F574" s="59">
        <v>6.72492</v>
      </c>
      <c r="G574" s="56">
        <v>1849.83</v>
      </c>
      <c r="H574" s="56">
        <v>1483.52</v>
      </c>
      <c r="I574" s="58">
        <v>0.63200900000000004</v>
      </c>
      <c r="J574" s="57">
        <v>0.51888100000000004</v>
      </c>
      <c r="K574" s="56"/>
      <c r="L574" s="56" t="s">
        <v>488</v>
      </c>
    </row>
    <row r="575" spans="2:12" x14ac:dyDescent="0.2">
      <c r="B575" s="62" t="s">
        <v>5447</v>
      </c>
      <c r="C575" s="61" t="s">
        <v>1386</v>
      </c>
      <c r="D575" s="60">
        <v>1.25989</v>
      </c>
      <c r="E575" s="59">
        <v>5.5308999999999999</v>
      </c>
      <c r="F575" s="59">
        <v>6.7101499999999996</v>
      </c>
      <c r="G575" s="56">
        <v>1829.42</v>
      </c>
      <c r="H575" s="56">
        <v>1452.05</v>
      </c>
      <c r="I575" s="58">
        <v>0.63360000000000005</v>
      </c>
      <c r="J575" s="57">
        <v>0.51284399999999997</v>
      </c>
      <c r="K575" s="56"/>
      <c r="L575" s="56" t="s">
        <v>488</v>
      </c>
    </row>
    <row r="576" spans="2:12" x14ac:dyDescent="0.2">
      <c r="B576" s="62" t="s">
        <v>5446</v>
      </c>
      <c r="C576" s="61" t="s">
        <v>499</v>
      </c>
      <c r="D576" s="60">
        <v>1.2419500000000001</v>
      </c>
      <c r="E576" s="59">
        <v>5.06473</v>
      </c>
      <c r="F576" s="59">
        <v>5.3121700000000001</v>
      </c>
      <c r="G576" s="56">
        <v>827.41700000000003</v>
      </c>
      <c r="H576" s="56">
        <v>666.21900000000005</v>
      </c>
      <c r="I576" s="58">
        <v>0.37243199999999999</v>
      </c>
      <c r="J576" s="57">
        <v>0.38566499999999998</v>
      </c>
      <c r="K576" s="56"/>
      <c r="L576" s="56" t="s">
        <v>488</v>
      </c>
    </row>
    <row r="577" spans="2:12" x14ac:dyDescent="0.2">
      <c r="B577" s="62" t="s">
        <v>5445</v>
      </c>
      <c r="C577" s="61" t="s">
        <v>550</v>
      </c>
      <c r="D577" s="60">
        <v>1.2837400000000001</v>
      </c>
      <c r="E577" s="59">
        <v>2.9119899999999999</v>
      </c>
      <c r="F577" s="59">
        <v>5.8344300000000002</v>
      </c>
      <c r="G577" s="56">
        <v>0</v>
      </c>
      <c r="H577" s="56">
        <v>0</v>
      </c>
      <c r="I577" s="58">
        <v>0.30375000000000002</v>
      </c>
      <c r="J577" s="57">
        <v>0.39063599999999998</v>
      </c>
      <c r="K577" s="56"/>
      <c r="L577" s="56" t="s">
        <v>488</v>
      </c>
    </row>
    <row r="578" spans="2:12" x14ac:dyDescent="0.2">
      <c r="B578" s="62" t="s">
        <v>5444</v>
      </c>
      <c r="C578" s="61" t="s">
        <v>550</v>
      </c>
      <c r="D578" s="60">
        <v>1.7243900000000001</v>
      </c>
      <c r="E578" s="59">
        <v>2.8433600000000001</v>
      </c>
      <c r="F578" s="59">
        <v>3.9978899999999999</v>
      </c>
      <c r="G578" s="56">
        <v>0</v>
      </c>
      <c r="H578" s="56">
        <v>0</v>
      </c>
      <c r="I578" s="58">
        <v>0.19533800000000001</v>
      </c>
      <c r="J578" s="57">
        <v>0.248144</v>
      </c>
      <c r="K578" s="56"/>
      <c r="L578" s="56" t="s">
        <v>488</v>
      </c>
    </row>
    <row r="579" spans="2:12" x14ac:dyDescent="0.2">
      <c r="B579" s="62" t="s">
        <v>5443</v>
      </c>
      <c r="C579" s="61" t="s">
        <v>1786</v>
      </c>
      <c r="D579" s="60">
        <v>1.444</v>
      </c>
      <c r="E579" s="59">
        <v>3.8976299999999999</v>
      </c>
      <c r="F579" s="59">
        <v>5.0019400000000003</v>
      </c>
      <c r="G579" s="56">
        <v>596.91899999999998</v>
      </c>
      <c r="H579" s="56">
        <v>413.38</v>
      </c>
      <c r="I579" s="58">
        <v>0.324687</v>
      </c>
      <c r="J579" s="57">
        <v>0.35385</v>
      </c>
      <c r="K579" s="56"/>
      <c r="L579" s="56" t="s">
        <v>488</v>
      </c>
    </row>
    <row r="580" spans="2:12" x14ac:dyDescent="0.2">
      <c r="B580" s="62" t="s">
        <v>5442</v>
      </c>
      <c r="C580" s="61" t="s">
        <v>1604</v>
      </c>
      <c r="D580" s="60">
        <v>1.1648799999999999</v>
      </c>
      <c r="E580" s="59">
        <v>4.2585699999999997</v>
      </c>
      <c r="F580" s="59">
        <v>6.3022299999999998</v>
      </c>
      <c r="G580" s="56">
        <v>1322.12</v>
      </c>
      <c r="H580" s="56">
        <v>1134.98</v>
      </c>
      <c r="I580" s="58">
        <v>0.52021300000000004</v>
      </c>
      <c r="J580" s="57">
        <v>0.50825399999999998</v>
      </c>
      <c r="K580" s="56"/>
      <c r="L580" s="56" t="s">
        <v>488</v>
      </c>
    </row>
    <row r="581" spans="2:12" x14ac:dyDescent="0.2">
      <c r="B581" s="62" t="s">
        <v>5441</v>
      </c>
      <c r="C581" s="61" t="s">
        <v>1604</v>
      </c>
      <c r="D581" s="60">
        <v>0.93112300000000003</v>
      </c>
      <c r="E581" s="59">
        <v>6.9558099999999996</v>
      </c>
      <c r="F581" s="59">
        <v>9.5731300000000008</v>
      </c>
      <c r="G581" s="56">
        <v>1712.25</v>
      </c>
      <c r="H581" s="56">
        <v>1838.9</v>
      </c>
      <c r="I581" s="58">
        <v>0.65146700000000002</v>
      </c>
      <c r="J581" s="57">
        <v>0.73397199999999996</v>
      </c>
      <c r="K581" s="56"/>
      <c r="L581" s="56" t="s">
        <v>488</v>
      </c>
    </row>
    <row r="582" spans="2:12" x14ac:dyDescent="0.2">
      <c r="B582" s="62" t="s">
        <v>5440</v>
      </c>
      <c r="C582" s="61" t="s">
        <v>641</v>
      </c>
      <c r="D582" s="60">
        <v>1.78776</v>
      </c>
      <c r="E582" s="59">
        <v>3.3789699999999998</v>
      </c>
      <c r="F582" s="59">
        <v>3.8382000000000001</v>
      </c>
      <c r="G582" s="56">
        <v>0</v>
      </c>
      <c r="H582" s="56">
        <v>0</v>
      </c>
      <c r="I582" s="58">
        <v>0.400563</v>
      </c>
      <c r="J582" s="57">
        <v>0.234762</v>
      </c>
      <c r="K582" s="56"/>
      <c r="L582" s="56" t="s">
        <v>488</v>
      </c>
    </row>
    <row r="583" spans="2:12" x14ac:dyDescent="0.2">
      <c r="B583" s="62" t="s">
        <v>5439</v>
      </c>
      <c r="C583" s="61" t="s">
        <v>507</v>
      </c>
      <c r="D583" s="60">
        <v>1.79522</v>
      </c>
      <c r="E583" s="59">
        <v>3.3313000000000001</v>
      </c>
      <c r="F583" s="59">
        <v>3.8207800000000001</v>
      </c>
      <c r="G583" s="56">
        <v>0</v>
      </c>
      <c r="H583" s="56">
        <v>0</v>
      </c>
      <c r="I583" s="58">
        <v>0.39454600000000001</v>
      </c>
      <c r="J583" s="57">
        <v>0.232765</v>
      </c>
      <c r="K583" s="56"/>
      <c r="L583" s="56" t="s">
        <v>488</v>
      </c>
    </row>
    <row r="584" spans="2:12" x14ac:dyDescent="0.2">
      <c r="B584" s="62" t="s">
        <v>5438</v>
      </c>
      <c r="C584" s="61" t="s">
        <v>582</v>
      </c>
      <c r="D584" s="60">
        <v>1.8814900000000001</v>
      </c>
      <c r="E584" s="59">
        <v>3.2174800000000001</v>
      </c>
      <c r="F584" s="59">
        <v>3.78783</v>
      </c>
      <c r="G584" s="56">
        <v>0</v>
      </c>
      <c r="H584" s="56">
        <v>0</v>
      </c>
      <c r="I584" s="58">
        <v>0.39547199999999999</v>
      </c>
      <c r="J584" s="57">
        <v>0.21765799999999999</v>
      </c>
      <c r="K584" s="56"/>
      <c r="L584" s="56" t="s">
        <v>488</v>
      </c>
    </row>
    <row r="585" spans="2:12" x14ac:dyDescent="0.2">
      <c r="B585" s="62" t="s">
        <v>5437</v>
      </c>
      <c r="C585" s="61" t="s">
        <v>535</v>
      </c>
      <c r="D585" s="60">
        <v>1.889</v>
      </c>
      <c r="E585" s="59">
        <v>2.8525499999999999</v>
      </c>
      <c r="F585" s="59">
        <v>4.8568100000000003</v>
      </c>
      <c r="G585" s="56">
        <v>0</v>
      </c>
      <c r="H585" s="56">
        <v>0</v>
      </c>
      <c r="I585" s="58">
        <v>0.30562600000000001</v>
      </c>
      <c r="J585" s="57">
        <v>0.24216499999999999</v>
      </c>
      <c r="K585" s="56"/>
      <c r="L585" s="56" t="s">
        <v>488</v>
      </c>
    </row>
    <row r="586" spans="2:12" x14ac:dyDescent="0.2">
      <c r="B586" s="62" t="s">
        <v>5436</v>
      </c>
      <c r="C586" s="61" t="s">
        <v>535</v>
      </c>
      <c r="D586" s="60">
        <v>1.889</v>
      </c>
      <c r="E586" s="59">
        <v>2.9322400000000002</v>
      </c>
      <c r="F586" s="59">
        <v>4.8698800000000002</v>
      </c>
      <c r="G586" s="56">
        <v>0</v>
      </c>
      <c r="H586" s="56">
        <v>0</v>
      </c>
      <c r="I586" s="58">
        <v>0.29905900000000002</v>
      </c>
      <c r="J586" s="57">
        <v>0.24152899999999999</v>
      </c>
      <c r="K586" s="56"/>
      <c r="L586" s="56" t="s">
        <v>488</v>
      </c>
    </row>
    <row r="587" spans="2:12" x14ac:dyDescent="0.2">
      <c r="B587" s="62" t="s">
        <v>5435</v>
      </c>
      <c r="C587" s="61" t="s">
        <v>537</v>
      </c>
      <c r="D587" s="60">
        <v>1.92367</v>
      </c>
      <c r="E587" s="59">
        <v>3.2576299999999998</v>
      </c>
      <c r="F587" s="59">
        <v>4.9531299999999998</v>
      </c>
      <c r="G587" s="56">
        <v>0</v>
      </c>
      <c r="H587" s="56">
        <v>0</v>
      </c>
      <c r="I587" s="58">
        <v>0.34681800000000002</v>
      </c>
      <c r="J587" s="57">
        <v>0.23785800000000001</v>
      </c>
      <c r="K587" s="56"/>
      <c r="L587" s="56" t="s">
        <v>488</v>
      </c>
    </row>
    <row r="588" spans="2:12" x14ac:dyDescent="0.2">
      <c r="B588" s="62" t="s">
        <v>5434</v>
      </c>
      <c r="C588" s="61" t="s">
        <v>537</v>
      </c>
      <c r="D588" s="60">
        <v>1.92367</v>
      </c>
      <c r="E588" s="59">
        <v>3.2800699999999998</v>
      </c>
      <c r="F588" s="59">
        <v>5.0109399999999997</v>
      </c>
      <c r="G588" s="56">
        <v>0</v>
      </c>
      <c r="H588" s="56">
        <v>0</v>
      </c>
      <c r="I588" s="58">
        <v>0.34158100000000002</v>
      </c>
      <c r="J588" s="57">
        <v>0.23724400000000001</v>
      </c>
      <c r="K588" s="56"/>
      <c r="L588" s="56" t="s">
        <v>488</v>
      </c>
    </row>
    <row r="589" spans="2:12" x14ac:dyDescent="0.2">
      <c r="B589" s="62" t="s">
        <v>5433</v>
      </c>
      <c r="C589" s="61" t="s">
        <v>558</v>
      </c>
      <c r="D589" s="60">
        <v>1.94391</v>
      </c>
      <c r="E589" s="59">
        <v>3.0182099999999998</v>
      </c>
      <c r="F589" s="59">
        <v>4.8567</v>
      </c>
      <c r="G589" s="56">
        <v>0</v>
      </c>
      <c r="H589" s="56">
        <v>0</v>
      </c>
      <c r="I589" s="58">
        <v>0.30966199999999999</v>
      </c>
      <c r="J589" s="57">
        <v>0.23397499999999999</v>
      </c>
      <c r="K589" s="56"/>
      <c r="L589" s="56" t="s">
        <v>488</v>
      </c>
    </row>
    <row r="590" spans="2:12" x14ac:dyDescent="0.2">
      <c r="B590" s="62" t="s">
        <v>5432</v>
      </c>
      <c r="C590" s="61" t="s">
        <v>558</v>
      </c>
      <c r="D590" s="60">
        <v>1.94391</v>
      </c>
      <c r="E590" s="59">
        <v>3.06175</v>
      </c>
      <c r="F590" s="59">
        <v>4.8721100000000002</v>
      </c>
      <c r="G590" s="56">
        <v>0</v>
      </c>
      <c r="H590" s="56">
        <v>0</v>
      </c>
      <c r="I590" s="58">
        <v>0.30616300000000002</v>
      </c>
      <c r="J590" s="57">
        <v>0.233652</v>
      </c>
      <c r="K590" s="56"/>
      <c r="L590" s="56" t="s">
        <v>488</v>
      </c>
    </row>
    <row r="591" spans="2:12" x14ac:dyDescent="0.2">
      <c r="B591" s="62" t="s">
        <v>5431</v>
      </c>
      <c r="C591" s="61" t="s">
        <v>510</v>
      </c>
      <c r="D591" s="60">
        <v>0.63713299999999995</v>
      </c>
      <c r="E591" s="59">
        <v>5.3720699999999999</v>
      </c>
      <c r="F591" s="59">
        <v>10.13386</v>
      </c>
      <c r="G591" s="56">
        <v>2106.46</v>
      </c>
      <c r="H591" s="56">
        <v>3306.16</v>
      </c>
      <c r="I591" s="58">
        <v>0.77462500000000001</v>
      </c>
      <c r="J591" s="57">
        <v>1.1581600000000001</v>
      </c>
      <c r="K591" s="56"/>
      <c r="L591" s="56" t="s">
        <v>488</v>
      </c>
    </row>
    <row r="592" spans="2:12" x14ac:dyDescent="0.2">
      <c r="B592" s="62" t="s">
        <v>5430</v>
      </c>
      <c r="C592" s="61" t="s">
        <v>510</v>
      </c>
      <c r="D592" s="60">
        <v>1.3221000000000001</v>
      </c>
      <c r="E592" s="59">
        <v>4.0865200000000002</v>
      </c>
      <c r="F592" s="59">
        <v>4.8753299999999999</v>
      </c>
      <c r="G592" s="56">
        <v>455.392</v>
      </c>
      <c r="H592" s="56">
        <v>344.44499999999999</v>
      </c>
      <c r="I592" s="58">
        <v>0.37723800000000002</v>
      </c>
      <c r="J592" s="57">
        <v>0.39079799999999998</v>
      </c>
      <c r="K592" s="56"/>
      <c r="L592" s="56" t="s">
        <v>492</v>
      </c>
    </row>
    <row r="593" spans="2:12" x14ac:dyDescent="0.2">
      <c r="B593" s="62" t="s">
        <v>5429</v>
      </c>
      <c r="C593" s="61" t="s">
        <v>569</v>
      </c>
      <c r="D593" s="60">
        <v>0.84032200000000001</v>
      </c>
      <c r="E593" s="59">
        <v>4.2132399999999999</v>
      </c>
      <c r="F593" s="59">
        <v>5.5757000000000003</v>
      </c>
      <c r="G593" s="56">
        <v>934.39200000000005</v>
      </c>
      <c r="H593" s="56">
        <v>1111.95</v>
      </c>
      <c r="I593" s="58">
        <v>0.35236000000000001</v>
      </c>
      <c r="J593" s="57">
        <v>0.61513099999999998</v>
      </c>
      <c r="K593" s="56"/>
      <c r="L593" s="56" t="s">
        <v>488</v>
      </c>
    </row>
    <row r="594" spans="2:12" x14ac:dyDescent="0.2">
      <c r="B594" s="62" t="s">
        <v>5428</v>
      </c>
      <c r="C594" s="61" t="s">
        <v>502</v>
      </c>
      <c r="D594" s="60">
        <v>1.6691400000000001</v>
      </c>
      <c r="E594" s="59">
        <v>2.6438999999999999</v>
      </c>
      <c r="F594" s="59">
        <v>3.1636899999999999</v>
      </c>
      <c r="G594" s="56">
        <v>0</v>
      </c>
      <c r="H594" s="56">
        <v>0</v>
      </c>
      <c r="I594" s="58">
        <v>9.8516599999999996E-2</v>
      </c>
      <c r="J594" s="57">
        <v>0.25354100000000002</v>
      </c>
      <c r="K594" s="56"/>
      <c r="L594" s="56" t="s">
        <v>488</v>
      </c>
    </row>
    <row r="595" spans="2:12" x14ac:dyDescent="0.2">
      <c r="B595" s="62" t="s">
        <v>5427</v>
      </c>
      <c r="C595" s="61" t="s">
        <v>502</v>
      </c>
      <c r="D595" s="60">
        <v>1.6844600000000001</v>
      </c>
      <c r="E595" s="59">
        <v>2.5693600000000001</v>
      </c>
      <c r="F595" s="59">
        <v>3.1413600000000002</v>
      </c>
      <c r="G595" s="56">
        <v>0</v>
      </c>
      <c r="H595" s="56">
        <v>0</v>
      </c>
      <c r="I595" s="58">
        <v>9.8666500000000004E-2</v>
      </c>
      <c r="J595" s="57">
        <v>0.249303</v>
      </c>
      <c r="K595" s="56"/>
      <c r="L595" s="56" t="s">
        <v>488</v>
      </c>
    </row>
    <row r="596" spans="2:12" x14ac:dyDescent="0.2">
      <c r="B596" s="62" t="s">
        <v>5426</v>
      </c>
      <c r="C596" s="61" t="s">
        <v>502</v>
      </c>
      <c r="D596" s="60">
        <v>1.68079</v>
      </c>
      <c r="E596" s="59">
        <v>2.69075</v>
      </c>
      <c r="F596" s="59">
        <v>3.1798799999999998</v>
      </c>
      <c r="G596" s="56">
        <v>0</v>
      </c>
      <c r="H596" s="56">
        <v>0</v>
      </c>
      <c r="I596" s="58">
        <v>8.8971400000000006E-2</v>
      </c>
      <c r="J596" s="57">
        <v>0.249311</v>
      </c>
      <c r="K596" s="56"/>
      <c r="L596" s="56" t="s">
        <v>488</v>
      </c>
    </row>
    <row r="597" spans="2:12" x14ac:dyDescent="0.2">
      <c r="B597" s="62" t="s">
        <v>5425</v>
      </c>
      <c r="C597" s="61" t="s">
        <v>502</v>
      </c>
      <c r="D597" s="60">
        <v>1.32199</v>
      </c>
      <c r="E597" s="59">
        <v>4.5697799999999997</v>
      </c>
      <c r="F597" s="59">
        <v>6.4623200000000001</v>
      </c>
      <c r="G597" s="56">
        <v>540.37</v>
      </c>
      <c r="H597" s="56">
        <v>408.75900000000001</v>
      </c>
      <c r="I597" s="58">
        <v>0.218444</v>
      </c>
      <c r="J597" s="57">
        <v>0.33980399999999999</v>
      </c>
      <c r="K597" s="56"/>
      <c r="L597" s="56" t="s">
        <v>488</v>
      </c>
    </row>
    <row r="598" spans="2:12" x14ac:dyDescent="0.2">
      <c r="B598" s="62" t="s">
        <v>5424</v>
      </c>
      <c r="C598" s="61" t="s">
        <v>550</v>
      </c>
      <c r="D598" s="60">
        <v>0.89237</v>
      </c>
      <c r="E598" s="59">
        <v>5.8412600000000001</v>
      </c>
      <c r="F598" s="59">
        <v>7.6102499999999997</v>
      </c>
      <c r="G598" s="56">
        <v>1991.33</v>
      </c>
      <c r="H598" s="56">
        <v>2231.5100000000002</v>
      </c>
      <c r="I598" s="58">
        <v>0.68908700000000001</v>
      </c>
      <c r="J598" s="57">
        <v>0.74834400000000001</v>
      </c>
      <c r="K598" s="56"/>
      <c r="L598" s="56" t="s">
        <v>488</v>
      </c>
    </row>
    <row r="599" spans="2:12" x14ac:dyDescent="0.2">
      <c r="B599" s="62" t="s">
        <v>5423</v>
      </c>
      <c r="C599" s="61" t="s">
        <v>502</v>
      </c>
      <c r="D599" s="60">
        <v>1.66764</v>
      </c>
      <c r="E599" s="59">
        <v>3.7959299999999998</v>
      </c>
      <c r="F599" s="59">
        <v>4.5789</v>
      </c>
      <c r="G599" s="56">
        <v>67.3536</v>
      </c>
      <c r="H599" s="56">
        <v>40.388500000000001</v>
      </c>
      <c r="I599" s="58">
        <v>7.1770899999999999E-2</v>
      </c>
      <c r="J599" s="57">
        <v>0.22800699999999999</v>
      </c>
      <c r="K599" s="56"/>
      <c r="L599" s="56" t="s">
        <v>730</v>
      </c>
    </row>
    <row r="600" spans="2:12" x14ac:dyDescent="0.2">
      <c r="B600" s="62" t="s">
        <v>5422</v>
      </c>
      <c r="C600" s="61" t="s">
        <v>510</v>
      </c>
      <c r="D600" s="60">
        <v>1.3015099999999999</v>
      </c>
      <c r="E600" s="59">
        <v>2.5606</v>
      </c>
      <c r="F600" s="59">
        <v>3.40788</v>
      </c>
      <c r="G600" s="56">
        <v>0</v>
      </c>
      <c r="H600" s="56">
        <v>0</v>
      </c>
      <c r="I600" s="58">
        <v>0.12637599999999999</v>
      </c>
      <c r="J600" s="57">
        <v>0.323411</v>
      </c>
      <c r="K600" s="56"/>
      <c r="L600" s="56" t="s">
        <v>488</v>
      </c>
    </row>
    <row r="601" spans="2:12" x14ac:dyDescent="0.2">
      <c r="B601" s="62" t="s">
        <v>5421</v>
      </c>
      <c r="C601" s="61" t="s">
        <v>535</v>
      </c>
      <c r="D601" s="60">
        <v>1.65503</v>
      </c>
      <c r="E601" s="59">
        <v>4.27142</v>
      </c>
      <c r="F601" s="59">
        <v>4.7073400000000003</v>
      </c>
      <c r="G601" s="56">
        <v>751.38099999999997</v>
      </c>
      <c r="H601" s="56">
        <v>453.99900000000002</v>
      </c>
      <c r="I601" s="58">
        <v>0.4284</v>
      </c>
      <c r="J601" s="57">
        <v>0.32316099999999998</v>
      </c>
      <c r="K601" s="56"/>
      <c r="L601" s="56" t="s">
        <v>488</v>
      </c>
    </row>
    <row r="602" spans="2:12" x14ac:dyDescent="0.2">
      <c r="B602" s="62" t="s">
        <v>5420</v>
      </c>
      <c r="C602" s="61" t="s">
        <v>531</v>
      </c>
      <c r="D602" s="60">
        <v>1.61022</v>
      </c>
      <c r="E602" s="59">
        <v>4.3063700000000003</v>
      </c>
      <c r="F602" s="59">
        <v>4.7181199999999999</v>
      </c>
      <c r="G602" s="56">
        <v>780.94899999999996</v>
      </c>
      <c r="H602" s="56">
        <v>484.99400000000003</v>
      </c>
      <c r="I602" s="58">
        <v>0.43037199999999998</v>
      </c>
      <c r="J602" s="57">
        <v>0.33341500000000002</v>
      </c>
      <c r="K602" s="56"/>
      <c r="L602" s="56" t="s">
        <v>488</v>
      </c>
    </row>
    <row r="603" spans="2:12" x14ac:dyDescent="0.2">
      <c r="B603" s="62" t="s">
        <v>5419</v>
      </c>
      <c r="C603" s="61" t="s">
        <v>537</v>
      </c>
      <c r="D603" s="60">
        <v>1.65805</v>
      </c>
      <c r="E603" s="59">
        <v>4.2934799999999997</v>
      </c>
      <c r="F603" s="59">
        <v>4.7189100000000002</v>
      </c>
      <c r="G603" s="56">
        <v>782.06100000000004</v>
      </c>
      <c r="H603" s="56">
        <v>471.67500000000001</v>
      </c>
      <c r="I603" s="58">
        <v>0.43182700000000002</v>
      </c>
      <c r="J603" s="57">
        <v>0.323571</v>
      </c>
      <c r="K603" s="56"/>
      <c r="L603" s="56" t="s">
        <v>488</v>
      </c>
    </row>
    <row r="604" spans="2:12" x14ac:dyDescent="0.2">
      <c r="B604" s="62" t="s">
        <v>5418</v>
      </c>
      <c r="C604" s="61" t="s">
        <v>641</v>
      </c>
      <c r="D604" s="60">
        <v>2.0117400000000001</v>
      </c>
      <c r="E604" s="59">
        <v>4.2582899999999997</v>
      </c>
      <c r="F604" s="59">
        <v>5.0578099999999999</v>
      </c>
      <c r="G604" s="56">
        <v>553.1</v>
      </c>
      <c r="H604" s="56">
        <v>274.93599999999998</v>
      </c>
      <c r="I604" s="58">
        <v>0.27757100000000001</v>
      </c>
      <c r="J604" s="57">
        <v>0.19403599999999999</v>
      </c>
      <c r="K604" s="56"/>
      <c r="L604" s="56" t="s">
        <v>488</v>
      </c>
    </row>
    <row r="605" spans="2:12" x14ac:dyDescent="0.2">
      <c r="B605" s="62" t="s">
        <v>5417</v>
      </c>
      <c r="C605" s="61" t="s">
        <v>541</v>
      </c>
      <c r="D605" s="60">
        <v>1.6005400000000001</v>
      </c>
      <c r="E605" s="59">
        <v>4.9703900000000001</v>
      </c>
      <c r="F605" s="59">
        <v>5.65665</v>
      </c>
      <c r="G605" s="56">
        <v>962.30799999999999</v>
      </c>
      <c r="H605" s="56">
        <v>601.24</v>
      </c>
      <c r="I605" s="58">
        <v>0.34831400000000001</v>
      </c>
      <c r="J605" s="57">
        <v>0.32997900000000002</v>
      </c>
      <c r="K605" s="56"/>
      <c r="L605" s="56" t="s">
        <v>488</v>
      </c>
    </row>
    <row r="606" spans="2:12" x14ac:dyDescent="0.2">
      <c r="B606" s="62" t="s">
        <v>5416</v>
      </c>
      <c r="C606" s="61" t="s">
        <v>502</v>
      </c>
      <c r="D606" s="60">
        <v>1.6366799999999999</v>
      </c>
      <c r="E606" s="59">
        <v>5.7671099999999997</v>
      </c>
      <c r="F606" s="59">
        <v>8.6494199999999992</v>
      </c>
      <c r="G606" s="56">
        <v>1604.81</v>
      </c>
      <c r="H606" s="56">
        <v>971.07100000000003</v>
      </c>
      <c r="I606" s="58">
        <v>0.52993999999999997</v>
      </c>
      <c r="J606" s="57">
        <v>0.39138000000000001</v>
      </c>
      <c r="K606" s="56"/>
      <c r="L606" s="56" t="s">
        <v>488</v>
      </c>
    </row>
    <row r="607" spans="2:12" x14ac:dyDescent="0.2">
      <c r="B607" s="62" t="s">
        <v>5415</v>
      </c>
      <c r="C607" s="61" t="s">
        <v>502</v>
      </c>
      <c r="D607" s="60">
        <v>1.6526099999999999</v>
      </c>
      <c r="E607" s="59">
        <v>5.6508000000000003</v>
      </c>
      <c r="F607" s="59">
        <v>9.0575799999999997</v>
      </c>
      <c r="G607" s="56">
        <v>1640.6</v>
      </c>
      <c r="H607" s="56">
        <v>1002.4</v>
      </c>
      <c r="I607" s="58">
        <v>0.52347100000000002</v>
      </c>
      <c r="J607" s="57">
        <v>0.38434099999999999</v>
      </c>
      <c r="K607" s="56"/>
      <c r="L607" s="56" t="s">
        <v>488</v>
      </c>
    </row>
    <row r="608" spans="2:12" x14ac:dyDescent="0.2">
      <c r="B608" s="62" t="s">
        <v>5414</v>
      </c>
      <c r="C608" s="61" t="s">
        <v>550</v>
      </c>
      <c r="D608" s="60">
        <v>1.2314400000000001</v>
      </c>
      <c r="E608" s="59">
        <v>6.4854900000000004</v>
      </c>
      <c r="F608" s="59">
        <v>7.0966800000000001</v>
      </c>
      <c r="G608" s="56">
        <v>1030.55</v>
      </c>
      <c r="H608" s="56">
        <v>836.86300000000006</v>
      </c>
      <c r="I608" s="58">
        <v>0.46341900000000003</v>
      </c>
      <c r="J608" s="57">
        <v>0.42205799999999999</v>
      </c>
      <c r="K608" s="56"/>
      <c r="L608" s="56" t="s">
        <v>488</v>
      </c>
    </row>
    <row r="609" spans="2:12" x14ac:dyDescent="0.2">
      <c r="B609" s="62" t="s">
        <v>5413</v>
      </c>
      <c r="C609" s="61" t="s">
        <v>548</v>
      </c>
      <c r="D609" s="60">
        <v>1.90489</v>
      </c>
      <c r="E609" s="59">
        <v>2.7720500000000001</v>
      </c>
      <c r="F609" s="59">
        <v>4.7309099999999997</v>
      </c>
      <c r="G609" s="56">
        <v>0</v>
      </c>
      <c r="H609" s="56">
        <v>0</v>
      </c>
      <c r="I609" s="58">
        <v>0.66785099999999997</v>
      </c>
      <c r="J609" s="57">
        <v>0.221224</v>
      </c>
      <c r="K609" s="56"/>
      <c r="L609" s="56" t="s">
        <v>488</v>
      </c>
    </row>
    <row r="610" spans="2:12" x14ac:dyDescent="0.2">
      <c r="B610" s="62" t="s">
        <v>5412</v>
      </c>
      <c r="C610" s="61" t="s">
        <v>548</v>
      </c>
      <c r="D610" s="60">
        <v>1.90489</v>
      </c>
      <c r="E610" s="59">
        <v>2.7720500000000001</v>
      </c>
      <c r="F610" s="59">
        <v>4.7309099999999997</v>
      </c>
      <c r="G610" s="56">
        <v>0</v>
      </c>
      <c r="H610" s="56">
        <v>0</v>
      </c>
      <c r="I610" s="58">
        <v>0.66894699999999996</v>
      </c>
      <c r="J610" s="57">
        <v>0.221224</v>
      </c>
      <c r="K610" s="56"/>
      <c r="L610" s="56" t="s">
        <v>488</v>
      </c>
    </row>
    <row r="611" spans="2:12" x14ac:dyDescent="0.2">
      <c r="B611" s="62" t="s">
        <v>5411</v>
      </c>
      <c r="C611" s="61" t="s">
        <v>499</v>
      </c>
      <c r="D611" s="60">
        <v>1.2640199999999999</v>
      </c>
      <c r="E611" s="59">
        <v>4.7203799999999996</v>
      </c>
      <c r="F611" s="59">
        <v>9.5250400000000006</v>
      </c>
      <c r="G611" s="56">
        <v>1593.23</v>
      </c>
      <c r="H611" s="56">
        <v>1260.44</v>
      </c>
      <c r="I611" s="58">
        <v>0.58797699999999997</v>
      </c>
      <c r="J611" s="57">
        <v>0.51918699999999995</v>
      </c>
      <c r="K611" s="56"/>
      <c r="L611" s="56" t="s">
        <v>488</v>
      </c>
    </row>
    <row r="612" spans="2:12" x14ac:dyDescent="0.2">
      <c r="B612" s="62" t="s">
        <v>5410</v>
      </c>
      <c r="C612" s="61" t="s">
        <v>502</v>
      </c>
      <c r="D612" s="60">
        <v>1.0203899999999999</v>
      </c>
      <c r="E612" s="59">
        <v>5.5813600000000001</v>
      </c>
      <c r="F612" s="59">
        <v>13.095370000000001</v>
      </c>
      <c r="G612" s="56">
        <v>1618.35</v>
      </c>
      <c r="H612" s="56">
        <v>1586.02</v>
      </c>
      <c r="I612" s="58">
        <v>0.64901200000000003</v>
      </c>
      <c r="J612" s="57">
        <v>0.65697000000000005</v>
      </c>
      <c r="K612" s="56"/>
      <c r="L612" s="56" t="s">
        <v>492</v>
      </c>
    </row>
    <row r="613" spans="2:12" x14ac:dyDescent="0.2">
      <c r="B613" s="62" t="s">
        <v>5409</v>
      </c>
      <c r="C613" s="61" t="s">
        <v>5407</v>
      </c>
      <c r="D613" s="60">
        <v>0.88288599999999995</v>
      </c>
      <c r="E613" s="59">
        <v>6.7752699999999999</v>
      </c>
      <c r="F613" s="59">
        <v>8.3886199999999995</v>
      </c>
      <c r="G613" s="56">
        <v>1208.48</v>
      </c>
      <c r="H613" s="56">
        <v>1368.79</v>
      </c>
      <c r="I613" s="58">
        <v>0.428954</v>
      </c>
      <c r="J613" s="57">
        <v>0.66554000000000002</v>
      </c>
      <c r="K613" s="56"/>
      <c r="L613" s="56" t="s">
        <v>492</v>
      </c>
    </row>
    <row r="614" spans="2:12" x14ac:dyDescent="0.2">
      <c r="B614" s="62" t="s">
        <v>5408</v>
      </c>
      <c r="C614" s="61" t="s">
        <v>5407</v>
      </c>
      <c r="D614" s="60">
        <v>0.99671900000000002</v>
      </c>
      <c r="E614" s="59">
        <v>4.4901600000000004</v>
      </c>
      <c r="F614" s="59">
        <v>6.4772499999999997</v>
      </c>
      <c r="G614" s="56">
        <v>1009.16</v>
      </c>
      <c r="H614" s="56">
        <v>1012.48</v>
      </c>
      <c r="I614" s="58">
        <v>0.43841799999999997</v>
      </c>
      <c r="J614" s="57">
        <v>0.54761700000000002</v>
      </c>
      <c r="K614" s="56"/>
      <c r="L614" s="56" t="s">
        <v>492</v>
      </c>
    </row>
    <row r="615" spans="2:12" x14ac:dyDescent="0.2">
      <c r="B615" s="62" t="s">
        <v>5406</v>
      </c>
      <c r="C615" s="61" t="s">
        <v>499</v>
      </c>
      <c r="D615" s="60">
        <v>1.1866300000000001</v>
      </c>
      <c r="E615" s="59">
        <v>4.1381800000000002</v>
      </c>
      <c r="F615" s="59">
        <v>5.4596299999999998</v>
      </c>
      <c r="G615" s="56">
        <v>633.24400000000003</v>
      </c>
      <c r="H615" s="56">
        <v>533.64800000000002</v>
      </c>
      <c r="I615" s="58">
        <v>0.38353700000000002</v>
      </c>
      <c r="J615" s="57">
        <v>0.42263200000000001</v>
      </c>
      <c r="K615" s="56"/>
      <c r="L615" s="56" t="s">
        <v>488</v>
      </c>
    </row>
    <row r="616" spans="2:12" x14ac:dyDescent="0.2">
      <c r="B616" s="62" t="s">
        <v>5405</v>
      </c>
      <c r="C616" s="61" t="s">
        <v>495</v>
      </c>
      <c r="D616" s="60">
        <v>1.02515</v>
      </c>
      <c r="E616" s="59">
        <v>5.0608599999999999</v>
      </c>
      <c r="F616" s="59">
        <v>6.2514599999999998</v>
      </c>
      <c r="G616" s="56">
        <v>1275.55</v>
      </c>
      <c r="H616" s="56">
        <v>1244.26</v>
      </c>
      <c r="I616" s="58">
        <v>0.56440900000000005</v>
      </c>
      <c r="J616" s="57">
        <v>0.52829099999999996</v>
      </c>
      <c r="K616" s="56"/>
      <c r="L616" s="56" t="s">
        <v>488</v>
      </c>
    </row>
    <row r="617" spans="2:12" x14ac:dyDescent="0.2">
      <c r="B617" s="62" t="s">
        <v>5404</v>
      </c>
      <c r="C617" s="61" t="s">
        <v>495</v>
      </c>
      <c r="D617" s="60">
        <v>1.0021199999999999</v>
      </c>
      <c r="E617" s="59">
        <v>4.5385</v>
      </c>
      <c r="F617" s="59">
        <v>5.5965299999999996</v>
      </c>
      <c r="G617" s="56">
        <v>1301.04</v>
      </c>
      <c r="H617" s="56">
        <v>1298.28</v>
      </c>
      <c r="I617" s="58">
        <v>0.56937000000000004</v>
      </c>
      <c r="J617" s="57">
        <v>0.53868499999999997</v>
      </c>
      <c r="K617" s="56"/>
      <c r="L617" s="56" t="s">
        <v>488</v>
      </c>
    </row>
    <row r="618" spans="2:12" x14ac:dyDescent="0.2">
      <c r="B618" s="62" t="s">
        <v>5403</v>
      </c>
      <c r="C618" s="61" t="s">
        <v>541</v>
      </c>
      <c r="D618" s="60">
        <v>1.65472</v>
      </c>
      <c r="E618" s="59">
        <v>12.02453</v>
      </c>
      <c r="F618" s="59">
        <v>12.78064</v>
      </c>
      <c r="G618" s="56">
        <v>1270.27</v>
      </c>
      <c r="H618" s="56">
        <v>767.66300000000001</v>
      </c>
      <c r="I618" s="58">
        <v>0.58411800000000003</v>
      </c>
      <c r="J618" s="57">
        <v>0.39158700000000002</v>
      </c>
      <c r="K618" s="56"/>
      <c r="L618" s="56" t="s">
        <v>488</v>
      </c>
    </row>
    <row r="619" spans="2:12" x14ac:dyDescent="0.2">
      <c r="B619" s="62" t="s">
        <v>5402</v>
      </c>
      <c r="C619" s="61" t="s">
        <v>541</v>
      </c>
      <c r="D619" s="60">
        <v>1.6592100000000001</v>
      </c>
      <c r="E619" s="59">
        <v>12.02225</v>
      </c>
      <c r="F619" s="59">
        <v>12.86501</v>
      </c>
      <c r="G619" s="56">
        <v>1279.97</v>
      </c>
      <c r="H619" s="56">
        <v>770.88699999999994</v>
      </c>
      <c r="I619" s="58">
        <v>0.57986700000000002</v>
      </c>
      <c r="J619" s="57">
        <v>0.38843100000000003</v>
      </c>
      <c r="K619" s="56"/>
      <c r="L619" s="56" t="s">
        <v>730</v>
      </c>
    </row>
    <row r="620" spans="2:12" x14ac:dyDescent="0.2">
      <c r="B620" s="62" t="s">
        <v>5401</v>
      </c>
      <c r="C620" s="61" t="s">
        <v>541</v>
      </c>
      <c r="D620" s="60">
        <v>1.66038</v>
      </c>
      <c r="E620" s="59">
        <v>12.031129999999999</v>
      </c>
      <c r="F620" s="59">
        <v>12.815619999999999</v>
      </c>
      <c r="G620" s="56">
        <v>1254.3</v>
      </c>
      <c r="H620" s="56">
        <v>756.58</v>
      </c>
      <c r="I620" s="58">
        <v>0.58892999999999995</v>
      </c>
      <c r="J620" s="57">
        <v>0.389295</v>
      </c>
      <c r="K620" s="56"/>
      <c r="L620" s="56" t="s">
        <v>488</v>
      </c>
    </row>
    <row r="621" spans="2:12" x14ac:dyDescent="0.2">
      <c r="B621" s="62" t="s">
        <v>5400</v>
      </c>
      <c r="C621" s="61" t="s">
        <v>541</v>
      </c>
      <c r="D621" s="60">
        <v>1.6578599999999999</v>
      </c>
      <c r="E621" s="59">
        <v>12.04523</v>
      </c>
      <c r="F621" s="59">
        <v>12.876139999999999</v>
      </c>
      <c r="G621" s="56">
        <v>1237.4100000000001</v>
      </c>
      <c r="H621" s="56">
        <v>745.78200000000004</v>
      </c>
      <c r="I621" s="58">
        <v>0.57857899999999995</v>
      </c>
      <c r="J621" s="57">
        <v>0.38845299999999999</v>
      </c>
      <c r="K621" s="56"/>
      <c r="L621" s="56" t="s">
        <v>730</v>
      </c>
    </row>
    <row r="622" spans="2:12" x14ac:dyDescent="0.2">
      <c r="B622" s="62" t="s">
        <v>5399</v>
      </c>
      <c r="C622" s="61" t="s">
        <v>510</v>
      </c>
      <c r="D622" s="60">
        <v>1.1756899999999999</v>
      </c>
      <c r="E622" s="59">
        <v>10.88335</v>
      </c>
      <c r="F622" s="59">
        <v>11.49174</v>
      </c>
      <c r="G622" s="56">
        <v>1432.3</v>
      </c>
      <c r="H622" s="56">
        <v>1218.26</v>
      </c>
      <c r="I622" s="58">
        <v>0.71053299999999997</v>
      </c>
      <c r="J622" s="57">
        <v>0.54181699999999999</v>
      </c>
      <c r="K622" s="56"/>
      <c r="L622" s="56" t="s">
        <v>488</v>
      </c>
    </row>
    <row r="623" spans="2:12" x14ac:dyDescent="0.2">
      <c r="B623" s="62" t="s">
        <v>5398</v>
      </c>
      <c r="C623" s="61" t="s">
        <v>495</v>
      </c>
      <c r="D623" s="60">
        <v>1.06179</v>
      </c>
      <c r="E623" s="59">
        <v>4.7761899999999997</v>
      </c>
      <c r="F623" s="59">
        <v>6.5065200000000001</v>
      </c>
      <c r="G623" s="56">
        <v>1420.14</v>
      </c>
      <c r="H623" s="56">
        <v>1337.49</v>
      </c>
      <c r="I623" s="58">
        <v>0.51397199999999998</v>
      </c>
      <c r="J623" s="57">
        <v>0.538771</v>
      </c>
      <c r="K623" s="56"/>
      <c r="L623" s="56" t="s">
        <v>488</v>
      </c>
    </row>
    <row r="624" spans="2:12" x14ac:dyDescent="0.2">
      <c r="B624" s="62" t="s">
        <v>5397</v>
      </c>
      <c r="C624" s="61" t="s">
        <v>499</v>
      </c>
      <c r="D624" s="60">
        <v>1.3132699999999999</v>
      </c>
      <c r="E624" s="59">
        <v>3.1464799999999999</v>
      </c>
      <c r="F624" s="59">
        <v>3.5623900000000002</v>
      </c>
      <c r="G624" s="56">
        <v>0</v>
      </c>
      <c r="H624" s="56">
        <v>0</v>
      </c>
      <c r="I624" s="58">
        <v>0.14285100000000001</v>
      </c>
      <c r="J624" s="57">
        <v>0.32590400000000003</v>
      </c>
      <c r="K624" s="56"/>
      <c r="L624" s="56" t="s">
        <v>488</v>
      </c>
    </row>
    <row r="625" spans="2:12" x14ac:dyDescent="0.2">
      <c r="B625" s="62" t="s">
        <v>5396</v>
      </c>
      <c r="C625" s="61" t="s">
        <v>499</v>
      </c>
      <c r="D625" s="60">
        <v>1.3096399999999999</v>
      </c>
      <c r="E625" s="59">
        <v>3.1407699999999998</v>
      </c>
      <c r="F625" s="59">
        <v>3.73047</v>
      </c>
      <c r="G625" s="56">
        <v>0</v>
      </c>
      <c r="H625" s="56">
        <v>0</v>
      </c>
      <c r="I625" s="58">
        <v>0.206147</v>
      </c>
      <c r="J625" s="57">
        <v>0.346605</v>
      </c>
      <c r="K625" s="56"/>
      <c r="L625" s="56" t="s">
        <v>488</v>
      </c>
    </row>
    <row r="626" spans="2:12" x14ac:dyDescent="0.2">
      <c r="B626" s="62" t="s">
        <v>5395</v>
      </c>
      <c r="C626" s="61" t="s">
        <v>499</v>
      </c>
      <c r="D626" s="60">
        <v>1.97065</v>
      </c>
      <c r="E626" s="59">
        <v>2.85981</v>
      </c>
      <c r="F626" s="59">
        <v>3.9594800000000001</v>
      </c>
      <c r="G626" s="56">
        <v>0</v>
      </c>
      <c r="H626" s="56">
        <v>0</v>
      </c>
      <c r="I626" s="58">
        <v>7.2110599999999997E-2</v>
      </c>
      <c r="J626" s="57">
        <v>0.19800599999999999</v>
      </c>
      <c r="K626" s="56"/>
      <c r="L626" s="56" t="s">
        <v>488</v>
      </c>
    </row>
    <row r="627" spans="2:12" x14ac:dyDescent="0.2">
      <c r="B627" s="62" t="s">
        <v>5394</v>
      </c>
      <c r="C627" s="61" t="s">
        <v>499</v>
      </c>
      <c r="D627" s="60">
        <v>1.4251799999999999</v>
      </c>
      <c r="E627" s="59">
        <v>2.6315</v>
      </c>
      <c r="F627" s="59">
        <v>4.5242800000000001</v>
      </c>
      <c r="G627" s="56">
        <v>0</v>
      </c>
      <c r="H627" s="56">
        <v>0</v>
      </c>
      <c r="I627" s="58">
        <v>0.23142799999999999</v>
      </c>
      <c r="J627" s="57">
        <v>0.31079200000000001</v>
      </c>
      <c r="K627" s="56"/>
      <c r="L627" s="56" t="s">
        <v>488</v>
      </c>
    </row>
    <row r="628" spans="2:12" x14ac:dyDescent="0.2">
      <c r="B628" s="62" t="s">
        <v>5393</v>
      </c>
      <c r="C628" s="61" t="s">
        <v>502</v>
      </c>
      <c r="D628" s="60">
        <v>0.94286400000000004</v>
      </c>
      <c r="E628" s="59">
        <v>4.5860500000000002</v>
      </c>
      <c r="F628" s="59">
        <v>7.4767200000000003</v>
      </c>
      <c r="G628" s="56">
        <v>1578.13</v>
      </c>
      <c r="H628" s="56">
        <v>1673.76</v>
      </c>
      <c r="I628" s="58">
        <v>0.63473299999999999</v>
      </c>
      <c r="J628" s="57">
        <v>0.66322999999999999</v>
      </c>
      <c r="K628" s="56"/>
      <c r="L628" s="56" t="s">
        <v>488</v>
      </c>
    </row>
    <row r="629" spans="2:12" x14ac:dyDescent="0.2">
      <c r="B629" s="62" t="s">
        <v>5392</v>
      </c>
      <c r="C629" s="61" t="s">
        <v>550</v>
      </c>
      <c r="D629" s="60">
        <v>1.16048</v>
      </c>
      <c r="E629" s="59">
        <v>3.8336700000000001</v>
      </c>
      <c r="F629" s="59">
        <v>5.0494399999999997</v>
      </c>
      <c r="G629" s="56">
        <v>859.899</v>
      </c>
      <c r="H629" s="56">
        <v>740.98500000000001</v>
      </c>
      <c r="I629" s="58">
        <v>0.52654299999999998</v>
      </c>
      <c r="J629" s="57">
        <v>0.497004</v>
      </c>
      <c r="K629" s="56"/>
      <c r="L629" s="56" t="s">
        <v>488</v>
      </c>
    </row>
    <row r="630" spans="2:12" x14ac:dyDescent="0.2">
      <c r="B630" s="62" t="s">
        <v>5391</v>
      </c>
      <c r="C630" s="61" t="s">
        <v>550</v>
      </c>
      <c r="D630" s="60">
        <v>1.1613899999999999</v>
      </c>
      <c r="E630" s="59">
        <v>3.8214100000000002</v>
      </c>
      <c r="F630" s="59">
        <v>5.05464</v>
      </c>
      <c r="G630" s="56">
        <v>880.14400000000001</v>
      </c>
      <c r="H630" s="56">
        <v>757.83299999999997</v>
      </c>
      <c r="I630" s="58">
        <v>0.52635500000000002</v>
      </c>
      <c r="J630" s="57">
        <v>0.49592700000000001</v>
      </c>
      <c r="K630" s="56"/>
      <c r="L630" s="56" t="s">
        <v>488</v>
      </c>
    </row>
    <row r="631" spans="2:12" x14ac:dyDescent="0.2">
      <c r="B631" s="62" t="s">
        <v>5390</v>
      </c>
      <c r="C631" s="61" t="s">
        <v>502</v>
      </c>
      <c r="D631" s="60">
        <v>0.92755100000000001</v>
      </c>
      <c r="E631" s="59">
        <v>3.8474400000000002</v>
      </c>
      <c r="F631" s="59">
        <v>6.3237800000000002</v>
      </c>
      <c r="G631" s="56">
        <v>1279.42</v>
      </c>
      <c r="H631" s="56">
        <v>1379.36</v>
      </c>
      <c r="I631" s="58">
        <v>0.60945700000000003</v>
      </c>
      <c r="J631" s="57">
        <v>0.68321299999999996</v>
      </c>
      <c r="K631" s="56"/>
      <c r="L631" s="56" t="s">
        <v>488</v>
      </c>
    </row>
    <row r="632" spans="2:12" x14ac:dyDescent="0.2">
      <c r="B632" s="62" t="s">
        <v>5389</v>
      </c>
      <c r="C632" s="61" t="s">
        <v>535</v>
      </c>
      <c r="D632" s="60">
        <v>1.4494800000000001</v>
      </c>
      <c r="E632" s="59">
        <v>3.25603</v>
      </c>
      <c r="F632" s="59">
        <v>5.17401</v>
      </c>
      <c r="G632" s="56">
        <v>0</v>
      </c>
      <c r="H632" s="56">
        <v>0</v>
      </c>
      <c r="I632" s="58">
        <v>0.32075700000000001</v>
      </c>
      <c r="J632" s="57">
        <v>0.31266899999999997</v>
      </c>
      <c r="K632" s="56"/>
      <c r="L632" s="56" t="s">
        <v>488</v>
      </c>
    </row>
    <row r="633" spans="2:12" x14ac:dyDescent="0.2">
      <c r="B633" s="62" t="s">
        <v>5388</v>
      </c>
      <c r="C633" s="61" t="s">
        <v>558</v>
      </c>
      <c r="D633" s="60">
        <v>1.48041</v>
      </c>
      <c r="E633" s="59">
        <v>3.22682</v>
      </c>
      <c r="F633" s="59">
        <v>5.1596500000000001</v>
      </c>
      <c r="G633" s="56">
        <v>0</v>
      </c>
      <c r="H633" s="56">
        <v>0</v>
      </c>
      <c r="I633" s="58">
        <v>0.32216800000000001</v>
      </c>
      <c r="J633" s="57">
        <v>0.30548500000000001</v>
      </c>
      <c r="K633" s="56"/>
      <c r="L633" s="56" t="s">
        <v>488</v>
      </c>
    </row>
    <row r="634" spans="2:12" x14ac:dyDescent="0.2">
      <c r="B634" s="62" t="s">
        <v>5387</v>
      </c>
      <c r="C634" s="61" t="s">
        <v>1226</v>
      </c>
      <c r="D634" s="60">
        <v>1.4664900000000001</v>
      </c>
      <c r="E634" s="59">
        <v>3.30064</v>
      </c>
      <c r="F634" s="59">
        <v>5.20878</v>
      </c>
      <c r="G634" s="56">
        <v>0</v>
      </c>
      <c r="H634" s="56">
        <v>0</v>
      </c>
      <c r="I634" s="58">
        <v>0.32771400000000001</v>
      </c>
      <c r="J634" s="57">
        <v>0.31309500000000001</v>
      </c>
      <c r="K634" s="56"/>
      <c r="L634" s="56" t="s">
        <v>488</v>
      </c>
    </row>
    <row r="635" spans="2:12" x14ac:dyDescent="0.2">
      <c r="B635" s="62" t="s">
        <v>5386</v>
      </c>
      <c r="C635" s="61" t="s">
        <v>550</v>
      </c>
      <c r="D635" s="60">
        <v>1.6500900000000001</v>
      </c>
      <c r="E635" s="59">
        <v>3.5873300000000001</v>
      </c>
      <c r="F635" s="59">
        <v>6.5363699999999998</v>
      </c>
      <c r="G635" s="56">
        <v>0</v>
      </c>
      <c r="H635" s="56">
        <v>0</v>
      </c>
      <c r="I635" s="58">
        <v>0.447376</v>
      </c>
      <c r="J635" s="57">
        <v>0.32499099999999997</v>
      </c>
      <c r="K635" s="56"/>
      <c r="L635" s="56" t="s">
        <v>488</v>
      </c>
    </row>
    <row r="636" spans="2:12" x14ac:dyDescent="0.2">
      <c r="B636" s="62" t="s">
        <v>5385</v>
      </c>
      <c r="C636" s="61" t="s">
        <v>550</v>
      </c>
      <c r="D636" s="60">
        <v>1.4989699999999999</v>
      </c>
      <c r="E636" s="59">
        <v>3.5394000000000001</v>
      </c>
      <c r="F636" s="59">
        <v>5.2737699999999998</v>
      </c>
      <c r="G636" s="56">
        <v>0</v>
      </c>
      <c r="H636" s="56">
        <v>0</v>
      </c>
      <c r="I636" s="58">
        <v>0.40740500000000002</v>
      </c>
      <c r="J636" s="57">
        <v>0.35412700000000003</v>
      </c>
      <c r="K636" s="56"/>
      <c r="L636" s="56" t="s">
        <v>488</v>
      </c>
    </row>
    <row r="637" spans="2:12" x14ac:dyDescent="0.2">
      <c r="B637" s="62" t="s">
        <v>5384</v>
      </c>
      <c r="C637" s="61" t="s">
        <v>5383</v>
      </c>
      <c r="D637" s="60">
        <v>1.41716</v>
      </c>
      <c r="E637" s="59">
        <v>2.5561600000000002</v>
      </c>
      <c r="F637" s="59">
        <v>4.2142400000000002</v>
      </c>
      <c r="G637" s="56">
        <v>0</v>
      </c>
      <c r="H637" s="56">
        <v>0</v>
      </c>
      <c r="I637" s="58">
        <v>7.7332200000000004E-2</v>
      </c>
      <c r="J637" s="57">
        <v>0.251608</v>
      </c>
      <c r="K637" s="56"/>
      <c r="L637" s="56" t="s">
        <v>488</v>
      </c>
    </row>
    <row r="638" spans="2:12" x14ac:dyDescent="0.2">
      <c r="B638" s="62" t="s">
        <v>5382</v>
      </c>
      <c r="C638" s="61" t="s">
        <v>531</v>
      </c>
      <c r="D638" s="60">
        <v>1.8491200000000001</v>
      </c>
      <c r="E638" s="59">
        <v>2.9307799999999999</v>
      </c>
      <c r="F638" s="59">
        <v>3.6265399999999999</v>
      </c>
      <c r="G638" s="56">
        <v>0</v>
      </c>
      <c r="H638" s="56">
        <v>0</v>
      </c>
      <c r="I638" s="58">
        <v>0.11361599999999999</v>
      </c>
      <c r="J638" s="57">
        <v>0.20246800000000001</v>
      </c>
      <c r="K638" s="56"/>
      <c r="L638" s="56" t="s">
        <v>488</v>
      </c>
    </row>
    <row r="639" spans="2:12" x14ac:dyDescent="0.2">
      <c r="B639" s="62" t="s">
        <v>5381</v>
      </c>
      <c r="C639" s="61" t="s">
        <v>510</v>
      </c>
      <c r="D639" s="60">
        <v>1.3011999999999999</v>
      </c>
      <c r="E639" s="59">
        <v>3.3849399999999998</v>
      </c>
      <c r="F639" s="59">
        <v>4.9261400000000002</v>
      </c>
      <c r="G639" s="56">
        <v>0</v>
      </c>
      <c r="H639" s="56">
        <v>0</v>
      </c>
      <c r="I639" s="58">
        <v>0.31529499999999999</v>
      </c>
      <c r="J639" s="57">
        <v>0.33591199999999999</v>
      </c>
      <c r="K639" s="56" t="s">
        <v>1816</v>
      </c>
      <c r="L639" s="56" t="s">
        <v>563</v>
      </c>
    </row>
    <row r="640" spans="2:12" x14ac:dyDescent="0.2">
      <c r="B640" s="62" t="s">
        <v>5380</v>
      </c>
      <c r="C640" s="61" t="s">
        <v>510</v>
      </c>
      <c r="D640" s="60">
        <v>1.3110200000000001</v>
      </c>
      <c r="E640" s="59">
        <v>3.2059899999999999</v>
      </c>
      <c r="F640" s="59">
        <v>4.35025</v>
      </c>
      <c r="G640" s="56">
        <v>0</v>
      </c>
      <c r="H640" s="56">
        <v>0</v>
      </c>
      <c r="I640" s="58">
        <v>0.26968900000000001</v>
      </c>
      <c r="J640" s="57">
        <v>0.34261799999999998</v>
      </c>
      <c r="K640" s="56"/>
      <c r="L640" s="56" t="s">
        <v>488</v>
      </c>
    </row>
    <row r="641" spans="2:12" x14ac:dyDescent="0.2">
      <c r="B641" s="62" t="s">
        <v>5379</v>
      </c>
      <c r="C641" s="61" t="s">
        <v>499</v>
      </c>
      <c r="D641" s="60">
        <v>0.81442700000000001</v>
      </c>
      <c r="E641" s="59">
        <v>6.6722000000000001</v>
      </c>
      <c r="F641" s="59">
        <v>10.83342</v>
      </c>
      <c r="G641" s="56">
        <v>1830.99</v>
      </c>
      <c r="H641" s="56">
        <v>2248.19</v>
      </c>
      <c r="I641" s="58">
        <v>0.77278999999999998</v>
      </c>
      <c r="J641" s="57">
        <v>0.88031199999999998</v>
      </c>
      <c r="K641" s="56"/>
      <c r="L641" s="56" t="s">
        <v>488</v>
      </c>
    </row>
    <row r="642" spans="2:12" x14ac:dyDescent="0.2">
      <c r="B642" s="62" t="s">
        <v>5378</v>
      </c>
      <c r="C642" s="61" t="s">
        <v>502</v>
      </c>
      <c r="D642" s="60">
        <v>0.82549499999999998</v>
      </c>
      <c r="E642" s="59">
        <v>6.6141899999999998</v>
      </c>
      <c r="F642" s="59">
        <v>10.79495</v>
      </c>
      <c r="G642" s="56">
        <v>1819.73</v>
      </c>
      <c r="H642" s="56">
        <v>2204.41</v>
      </c>
      <c r="I642" s="58">
        <v>0.76411399999999996</v>
      </c>
      <c r="J642" s="57">
        <v>0.86393399999999998</v>
      </c>
      <c r="K642" s="56"/>
      <c r="L642" s="56" t="s">
        <v>488</v>
      </c>
    </row>
    <row r="643" spans="2:12" x14ac:dyDescent="0.2">
      <c r="B643" s="62" t="s">
        <v>5377</v>
      </c>
      <c r="C643" s="61" t="s">
        <v>502</v>
      </c>
      <c r="D643" s="60">
        <v>1.2202</v>
      </c>
      <c r="E643" s="59">
        <v>3.1692100000000001</v>
      </c>
      <c r="F643" s="59">
        <v>4.17258</v>
      </c>
      <c r="G643" s="56">
        <v>0</v>
      </c>
      <c r="H643" s="56">
        <v>0</v>
      </c>
      <c r="I643" s="58">
        <v>0.182445</v>
      </c>
      <c r="J643" s="57">
        <v>0.37721100000000002</v>
      </c>
      <c r="K643" s="56"/>
      <c r="L643" s="56" t="s">
        <v>492</v>
      </c>
    </row>
    <row r="644" spans="2:12" x14ac:dyDescent="0.2">
      <c r="B644" s="62" t="s">
        <v>5376</v>
      </c>
      <c r="C644" s="61" t="s">
        <v>550</v>
      </c>
      <c r="D644" s="60">
        <v>1.08633</v>
      </c>
      <c r="E644" s="59">
        <v>8.1188099999999999</v>
      </c>
      <c r="F644" s="59">
        <v>9.7157900000000001</v>
      </c>
      <c r="G644" s="56">
        <v>1493.38</v>
      </c>
      <c r="H644" s="56">
        <v>1374.71</v>
      </c>
      <c r="I644" s="58">
        <v>0.569442</v>
      </c>
      <c r="J644" s="57">
        <v>0.56495200000000001</v>
      </c>
      <c r="K644" s="56"/>
      <c r="L644" s="56" t="s">
        <v>492</v>
      </c>
    </row>
    <row r="645" spans="2:12" x14ac:dyDescent="0.2">
      <c r="B645" s="62" t="s">
        <v>5375</v>
      </c>
      <c r="C645" s="61" t="s">
        <v>495</v>
      </c>
      <c r="D645" s="60">
        <v>0.98212299999999997</v>
      </c>
      <c r="E645" s="59">
        <v>8.1520399999999995</v>
      </c>
      <c r="F645" s="59">
        <v>9.7157199999999992</v>
      </c>
      <c r="G645" s="56">
        <v>1194.49</v>
      </c>
      <c r="H645" s="56">
        <v>1216.23</v>
      </c>
      <c r="I645" s="58">
        <v>0.51656100000000005</v>
      </c>
      <c r="J645" s="57">
        <v>0.59594499999999995</v>
      </c>
      <c r="K645" s="56"/>
      <c r="L645" s="56" t="s">
        <v>492</v>
      </c>
    </row>
    <row r="646" spans="2:12" x14ac:dyDescent="0.2">
      <c r="B646" s="62" t="s">
        <v>5374</v>
      </c>
      <c r="C646" s="61" t="s">
        <v>1613</v>
      </c>
      <c r="D646" s="60">
        <v>0.96641200000000005</v>
      </c>
      <c r="E646" s="59">
        <v>8.4859100000000005</v>
      </c>
      <c r="F646" s="59">
        <v>9.9679500000000001</v>
      </c>
      <c r="G646" s="56">
        <v>1591.43</v>
      </c>
      <c r="H646" s="56">
        <v>1646.74</v>
      </c>
      <c r="I646" s="58">
        <v>0.63350600000000001</v>
      </c>
      <c r="J646" s="57">
        <v>0.65698100000000004</v>
      </c>
      <c r="K646" s="56"/>
      <c r="L646" s="56" t="s">
        <v>492</v>
      </c>
    </row>
    <row r="647" spans="2:12" x14ac:dyDescent="0.2">
      <c r="B647" s="62" t="s">
        <v>5373</v>
      </c>
      <c r="C647" s="61" t="s">
        <v>495</v>
      </c>
      <c r="D647" s="60">
        <v>0.95319600000000004</v>
      </c>
      <c r="E647" s="59">
        <v>4.8408800000000003</v>
      </c>
      <c r="F647" s="59">
        <v>11.28951</v>
      </c>
      <c r="G647" s="56">
        <v>1283.04</v>
      </c>
      <c r="H647" s="56">
        <v>1346.03</v>
      </c>
      <c r="I647" s="58">
        <v>0.59323400000000004</v>
      </c>
      <c r="J647" s="57">
        <v>0.69037899999999996</v>
      </c>
      <c r="K647" s="56"/>
      <c r="L647" s="56" t="s">
        <v>823</v>
      </c>
    </row>
    <row r="648" spans="2:12" x14ac:dyDescent="0.2">
      <c r="B648" s="62" t="s">
        <v>5372</v>
      </c>
      <c r="C648" s="61" t="s">
        <v>510</v>
      </c>
      <c r="D648" s="60">
        <v>0.98875400000000002</v>
      </c>
      <c r="E648" s="59">
        <v>5.1266999999999996</v>
      </c>
      <c r="F648" s="59">
        <v>11.123849999999999</v>
      </c>
      <c r="G648" s="56">
        <v>1336.28</v>
      </c>
      <c r="H648" s="56">
        <v>1351.48</v>
      </c>
      <c r="I648" s="58">
        <v>0.60717200000000005</v>
      </c>
      <c r="J648" s="57">
        <v>0.66575899999999999</v>
      </c>
      <c r="K648" s="56"/>
      <c r="L648" s="56" t="s">
        <v>823</v>
      </c>
    </row>
    <row r="649" spans="2:12" x14ac:dyDescent="0.2">
      <c r="B649" s="62" t="s">
        <v>5371</v>
      </c>
      <c r="C649" s="61" t="s">
        <v>5370</v>
      </c>
      <c r="D649" s="60">
        <v>2.2445900000000001</v>
      </c>
      <c r="E649" s="59">
        <v>3.282</v>
      </c>
      <c r="F649" s="59">
        <v>4.82667</v>
      </c>
      <c r="G649" s="56">
        <v>0</v>
      </c>
      <c r="H649" s="56">
        <v>0</v>
      </c>
      <c r="I649" s="58">
        <v>0.44741399999999998</v>
      </c>
      <c r="J649" s="57">
        <v>0.21640400000000001</v>
      </c>
      <c r="K649" s="56"/>
      <c r="L649" s="56" t="s">
        <v>488</v>
      </c>
    </row>
    <row r="650" spans="2:12" x14ac:dyDescent="0.2">
      <c r="B650" s="62" t="s">
        <v>5369</v>
      </c>
      <c r="C650" s="61" t="s">
        <v>714</v>
      </c>
      <c r="D650" s="60">
        <v>0.76489399999999996</v>
      </c>
      <c r="E650" s="59">
        <v>12.09179</v>
      </c>
      <c r="F650" s="59">
        <v>14.13138</v>
      </c>
      <c r="G650" s="56">
        <v>1663.82</v>
      </c>
      <c r="H650" s="56">
        <v>2175.23</v>
      </c>
      <c r="I650" s="58">
        <v>0.702851</v>
      </c>
      <c r="J650" s="57">
        <v>0.93027400000000005</v>
      </c>
      <c r="K650" s="56"/>
      <c r="L650" s="56" t="s">
        <v>624</v>
      </c>
    </row>
    <row r="651" spans="2:12" x14ac:dyDescent="0.2">
      <c r="B651" s="62" t="s">
        <v>5368</v>
      </c>
      <c r="C651" s="61" t="s">
        <v>550</v>
      </c>
      <c r="D651" s="60">
        <v>1.0711299999999999</v>
      </c>
      <c r="E651" s="59">
        <v>4.39114</v>
      </c>
      <c r="F651" s="59">
        <v>10.035170000000001</v>
      </c>
      <c r="G651" s="56">
        <v>1363.57</v>
      </c>
      <c r="H651" s="56">
        <v>1273.02</v>
      </c>
      <c r="I651" s="58">
        <v>0.52908500000000003</v>
      </c>
      <c r="J651" s="57">
        <v>0.55462699999999998</v>
      </c>
      <c r="K651" s="56"/>
      <c r="L651" s="56" t="s">
        <v>488</v>
      </c>
    </row>
    <row r="652" spans="2:12" x14ac:dyDescent="0.2">
      <c r="B652" s="62" t="s">
        <v>5367</v>
      </c>
      <c r="C652" s="61" t="s">
        <v>561</v>
      </c>
      <c r="D652" s="60">
        <v>1.00634</v>
      </c>
      <c r="E652" s="59">
        <v>4.5223599999999999</v>
      </c>
      <c r="F652" s="59">
        <v>7.1708999999999996</v>
      </c>
      <c r="G652" s="56">
        <v>1500.77</v>
      </c>
      <c r="H652" s="56">
        <v>1491.32</v>
      </c>
      <c r="I652" s="58">
        <v>0.60358999999999996</v>
      </c>
      <c r="J652" s="57">
        <v>0.59924200000000005</v>
      </c>
      <c r="K652" s="56"/>
      <c r="L652" s="56" t="s">
        <v>488</v>
      </c>
    </row>
    <row r="653" spans="2:12" x14ac:dyDescent="0.2">
      <c r="B653" s="62" t="s">
        <v>5366</v>
      </c>
      <c r="C653" s="61" t="s">
        <v>1226</v>
      </c>
      <c r="D653" s="60">
        <v>1.1970099999999999</v>
      </c>
      <c r="E653" s="59">
        <v>4.4227999999999996</v>
      </c>
      <c r="F653" s="59">
        <v>7.18947</v>
      </c>
      <c r="G653" s="56">
        <v>1459.6</v>
      </c>
      <c r="H653" s="56">
        <v>1219.3699999999999</v>
      </c>
      <c r="I653" s="58">
        <v>0.60433499999999996</v>
      </c>
      <c r="J653" s="57">
        <v>0.49612299999999998</v>
      </c>
      <c r="K653" s="56"/>
      <c r="L653" s="56" t="s">
        <v>488</v>
      </c>
    </row>
    <row r="654" spans="2:12" x14ac:dyDescent="0.2">
      <c r="B654" s="62" t="s">
        <v>5365</v>
      </c>
      <c r="C654" s="61" t="s">
        <v>1652</v>
      </c>
      <c r="D654" s="60">
        <v>1.1950099999999999</v>
      </c>
      <c r="E654" s="59">
        <v>4.4732200000000004</v>
      </c>
      <c r="F654" s="59">
        <v>7.1059700000000001</v>
      </c>
      <c r="G654" s="56">
        <v>1476.96</v>
      </c>
      <c r="H654" s="56">
        <v>1235.94</v>
      </c>
      <c r="I654" s="58">
        <v>0.60343599999999997</v>
      </c>
      <c r="J654" s="57">
        <v>0.49971399999999999</v>
      </c>
      <c r="K654" s="56"/>
      <c r="L654" s="56" t="s">
        <v>488</v>
      </c>
    </row>
    <row r="655" spans="2:12" x14ac:dyDescent="0.2">
      <c r="B655" s="62" t="s">
        <v>5364</v>
      </c>
      <c r="C655" s="61" t="s">
        <v>582</v>
      </c>
      <c r="D655" s="60">
        <v>1.10002</v>
      </c>
      <c r="E655" s="59">
        <v>4.6155299999999997</v>
      </c>
      <c r="F655" s="59">
        <v>7.44109</v>
      </c>
      <c r="G655" s="56">
        <v>1495.58</v>
      </c>
      <c r="H655" s="56">
        <v>1359.59</v>
      </c>
      <c r="I655" s="58">
        <v>0.60630300000000004</v>
      </c>
      <c r="J655" s="57">
        <v>0.55448399999999998</v>
      </c>
      <c r="K655" s="56"/>
      <c r="L655" s="56" t="s">
        <v>488</v>
      </c>
    </row>
    <row r="656" spans="2:12" x14ac:dyDescent="0.2">
      <c r="B656" s="62" t="s">
        <v>5363</v>
      </c>
      <c r="C656" s="61" t="s">
        <v>531</v>
      </c>
      <c r="D656" s="60">
        <v>1.11524</v>
      </c>
      <c r="E656" s="59">
        <v>4.5467300000000002</v>
      </c>
      <c r="F656" s="59">
        <v>7.3271100000000002</v>
      </c>
      <c r="G656" s="56">
        <v>1501.69</v>
      </c>
      <c r="H656" s="56">
        <v>1346.52</v>
      </c>
      <c r="I656" s="58">
        <v>0.60389599999999999</v>
      </c>
      <c r="J656" s="57">
        <v>0.54418699999999998</v>
      </c>
      <c r="K656" s="56"/>
      <c r="L656" s="56" t="s">
        <v>488</v>
      </c>
    </row>
    <row r="657" spans="2:12" x14ac:dyDescent="0.2">
      <c r="B657" s="62" t="s">
        <v>5362</v>
      </c>
      <c r="C657" s="61" t="s">
        <v>533</v>
      </c>
      <c r="D657" s="60">
        <v>1.13544</v>
      </c>
      <c r="E657" s="59">
        <v>4.5190700000000001</v>
      </c>
      <c r="F657" s="59">
        <v>7.5704900000000004</v>
      </c>
      <c r="G657" s="56">
        <v>1442.72</v>
      </c>
      <c r="H657" s="56">
        <v>1270.6300000000001</v>
      </c>
      <c r="I657" s="58">
        <v>0.59773900000000002</v>
      </c>
      <c r="J657" s="57">
        <v>0.53081999999999996</v>
      </c>
      <c r="K657" s="56"/>
      <c r="L657" s="56" t="s">
        <v>488</v>
      </c>
    </row>
    <row r="658" spans="2:12" x14ac:dyDescent="0.2">
      <c r="B658" s="62" t="s">
        <v>5361</v>
      </c>
      <c r="C658" s="61" t="s">
        <v>535</v>
      </c>
      <c r="D658" s="60">
        <v>1.12856</v>
      </c>
      <c r="E658" s="59">
        <v>4.5785600000000004</v>
      </c>
      <c r="F658" s="59">
        <v>7.30748</v>
      </c>
      <c r="G658" s="56">
        <v>1507.95</v>
      </c>
      <c r="H658" s="56">
        <v>1336.16</v>
      </c>
      <c r="I658" s="58">
        <v>0.60662300000000002</v>
      </c>
      <c r="J658" s="57">
        <v>0.53659999999999997</v>
      </c>
      <c r="K658" s="56"/>
      <c r="L658" s="56" t="s">
        <v>488</v>
      </c>
    </row>
    <row r="659" spans="2:12" x14ac:dyDescent="0.2">
      <c r="B659" s="62" t="s">
        <v>5360</v>
      </c>
      <c r="C659" s="61" t="s">
        <v>537</v>
      </c>
      <c r="D659" s="60">
        <v>1.1354200000000001</v>
      </c>
      <c r="E659" s="59">
        <v>4.5785600000000004</v>
      </c>
      <c r="F659" s="59">
        <v>7.30748</v>
      </c>
      <c r="G659" s="56">
        <v>1507.95</v>
      </c>
      <c r="H659" s="56">
        <v>1328.1</v>
      </c>
      <c r="I659" s="58">
        <v>0.60497599999999996</v>
      </c>
      <c r="J659" s="57">
        <v>0.533362</v>
      </c>
      <c r="K659" s="56"/>
      <c r="L659" s="56" t="s">
        <v>488</v>
      </c>
    </row>
    <row r="660" spans="2:12" x14ac:dyDescent="0.2">
      <c r="B660" s="62" t="s">
        <v>5359</v>
      </c>
      <c r="C660" s="61" t="s">
        <v>558</v>
      </c>
      <c r="D660" s="60">
        <v>1.16787</v>
      </c>
      <c r="E660" s="59">
        <v>4.4640700000000004</v>
      </c>
      <c r="F660" s="59">
        <v>7.2895500000000002</v>
      </c>
      <c r="G660" s="56">
        <v>1471.42</v>
      </c>
      <c r="H660" s="56">
        <v>1259.92</v>
      </c>
      <c r="I660" s="58">
        <v>0.59887000000000001</v>
      </c>
      <c r="J660" s="57">
        <v>0.51140799999999997</v>
      </c>
      <c r="K660" s="56"/>
      <c r="L660" s="56" t="s">
        <v>488</v>
      </c>
    </row>
    <row r="661" spans="2:12" x14ac:dyDescent="0.2">
      <c r="B661" s="62" t="s">
        <v>5358</v>
      </c>
      <c r="C661" s="61" t="s">
        <v>859</v>
      </c>
      <c r="D661" s="60">
        <v>1.17666</v>
      </c>
      <c r="E661" s="59">
        <v>4.4625399999999997</v>
      </c>
      <c r="F661" s="59">
        <v>7.3356000000000003</v>
      </c>
      <c r="G661" s="56">
        <v>1441.91</v>
      </c>
      <c r="H661" s="56">
        <v>1225.43</v>
      </c>
      <c r="I661" s="58">
        <v>0.59482400000000002</v>
      </c>
      <c r="J661" s="57">
        <v>0.50618700000000005</v>
      </c>
      <c r="K661" s="56"/>
      <c r="L661" s="56" t="s">
        <v>488</v>
      </c>
    </row>
    <row r="662" spans="2:12" x14ac:dyDescent="0.2">
      <c r="B662" s="62" t="s">
        <v>5357</v>
      </c>
      <c r="C662" s="61" t="s">
        <v>1386</v>
      </c>
      <c r="D662" s="60">
        <v>1.1848000000000001</v>
      </c>
      <c r="E662" s="59">
        <v>4.4439399999999996</v>
      </c>
      <c r="F662" s="59">
        <v>7.2557400000000003</v>
      </c>
      <c r="G662" s="56">
        <v>1460.25</v>
      </c>
      <c r="H662" s="56">
        <v>1232.49</v>
      </c>
      <c r="I662" s="58">
        <v>0.59684000000000004</v>
      </c>
      <c r="J662" s="57">
        <v>0.50163400000000002</v>
      </c>
      <c r="K662" s="56"/>
      <c r="L662" s="56" t="s">
        <v>488</v>
      </c>
    </row>
    <row r="663" spans="2:12" x14ac:dyDescent="0.2">
      <c r="B663" s="62" t="s">
        <v>5356</v>
      </c>
      <c r="C663" s="61" t="s">
        <v>5355</v>
      </c>
      <c r="D663" s="60">
        <v>1.71556</v>
      </c>
      <c r="E663" s="59">
        <v>2.40008</v>
      </c>
      <c r="F663" s="59">
        <v>5.5975700000000002</v>
      </c>
      <c r="G663" s="56">
        <v>0</v>
      </c>
      <c r="H663" s="56">
        <v>0</v>
      </c>
      <c r="I663" s="58">
        <v>0.15441099999999999</v>
      </c>
      <c r="J663" s="57">
        <v>0.26018400000000003</v>
      </c>
      <c r="K663" s="56"/>
      <c r="L663" s="56" t="s">
        <v>492</v>
      </c>
    </row>
    <row r="664" spans="2:12" x14ac:dyDescent="0.2">
      <c r="B664" s="62" t="s">
        <v>5354</v>
      </c>
      <c r="C664" s="61" t="s">
        <v>550</v>
      </c>
      <c r="D664" s="60">
        <v>0.91489900000000002</v>
      </c>
      <c r="E664" s="59">
        <v>7.1511399999999998</v>
      </c>
      <c r="F664" s="59">
        <v>9.0225600000000004</v>
      </c>
      <c r="G664" s="56">
        <v>1590.45</v>
      </c>
      <c r="H664" s="56">
        <v>1738.39</v>
      </c>
      <c r="I664" s="58">
        <v>0.59761200000000003</v>
      </c>
      <c r="J664" s="57">
        <v>0.70336600000000005</v>
      </c>
      <c r="K664" s="56"/>
      <c r="L664" s="56" t="s">
        <v>488</v>
      </c>
    </row>
    <row r="665" spans="2:12" x14ac:dyDescent="0.2">
      <c r="B665" s="62" t="s">
        <v>5353</v>
      </c>
      <c r="C665" s="61" t="s">
        <v>499</v>
      </c>
      <c r="D665" s="60">
        <v>1.3707100000000001</v>
      </c>
      <c r="E665" s="59">
        <v>3.8959100000000002</v>
      </c>
      <c r="F665" s="59">
        <v>5.0943300000000002</v>
      </c>
      <c r="G665" s="56">
        <v>324.02199999999999</v>
      </c>
      <c r="H665" s="56">
        <v>236.39</v>
      </c>
      <c r="I665" s="58">
        <v>0.348806</v>
      </c>
      <c r="J665" s="57">
        <v>0.35948999999999998</v>
      </c>
      <c r="K665" s="56"/>
      <c r="L665" s="56" t="s">
        <v>492</v>
      </c>
    </row>
    <row r="666" spans="2:12" x14ac:dyDescent="0.2">
      <c r="B666" s="62" t="s">
        <v>5352</v>
      </c>
      <c r="C666" s="61" t="s">
        <v>541</v>
      </c>
      <c r="D666" s="60">
        <v>1.88262</v>
      </c>
      <c r="E666" s="59">
        <v>3.7129699999999999</v>
      </c>
      <c r="F666" s="59">
        <v>5.55335</v>
      </c>
      <c r="G666" s="56">
        <v>0</v>
      </c>
      <c r="H666" s="56">
        <v>0</v>
      </c>
      <c r="I666" s="58">
        <v>0.25900600000000001</v>
      </c>
      <c r="J666" s="57">
        <v>0.23830499999999999</v>
      </c>
      <c r="K666" s="56"/>
      <c r="L666" s="56" t="s">
        <v>488</v>
      </c>
    </row>
    <row r="667" spans="2:12" x14ac:dyDescent="0.2">
      <c r="B667" s="62" t="s">
        <v>5351</v>
      </c>
      <c r="C667" s="61" t="s">
        <v>531</v>
      </c>
      <c r="D667" s="60">
        <v>2.4327700000000001</v>
      </c>
      <c r="E667" s="59">
        <v>3.4470200000000002</v>
      </c>
      <c r="F667" s="59">
        <v>5.0065</v>
      </c>
      <c r="G667" s="56">
        <v>0</v>
      </c>
      <c r="H667" s="56">
        <v>0</v>
      </c>
      <c r="I667" s="58">
        <v>0.24857099999999999</v>
      </c>
      <c r="J667" s="57">
        <v>0.165467</v>
      </c>
      <c r="K667" s="56"/>
      <c r="L667" s="56" t="s">
        <v>488</v>
      </c>
    </row>
    <row r="668" spans="2:12" x14ac:dyDescent="0.2">
      <c r="B668" s="62" t="s">
        <v>5350</v>
      </c>
      <c r="C668" s="61" t="s">
        <v>510</v>
      </c>
      <c r="D668" s="60">
        <v>1.6017399999999999</v>
      </c>
      <c r="E668" s="59">
        <v>2.5392899999999998</v>
      </c>
      <c r="F668" s="59">
        <v>4.8530100000000003</v>
      </c>
      <c r="G668" s="56">
        <v>0</v>
      </c>
      <c r="H668" s="56">
        <v>0</v>
      </c>
      <c r="I668" s="58">
        <v>0.14089199999999999</v>
      </c>
      <c r="J668" s="57">
        <v>0.22239500000000001</v>
      </c>
      <c r="K668" s="56"/>
      <c r="L668" s="56" t="s">
        <v>488</v>
      </c>
    </row>
    <row r="669" spans="2:12" x14ac:dyDescent="0.2">
      <c r="B669" s="62" t="s">
        <v>5349</v>
      </c>
      <c r="C669" s="61" t="s">
        <v>510</v>
      </c>
      <c r="D669" s="60">
        <v>1.4046400000000001</v>
      </c>
      <c r="E669" s="59">
        <v>4.5986900000000004</v>
      </c>
      <c r="F669" s="59">
        <v>5.3674499999999998</v>
      </c>
      <c r="G669" s="56">
        <v>678.62699999999995</v>
      </c>
      <c r="H669" s="56">
        <v>483.13200000000001</v>
      </c>
      <c r="I669" s="58">
        <v>0.35420600000000002</v>
      </c>
      <c r="J669" s="57">
        <v>0.32963799999999999</v>
      </c>
      <c r="K669" s="56"/>
      <c r="L669" s="56" t="s">
        <v>488</v>
      </c>
    </row>
    <row r="670" spans="2:12" x14ac:dyDescent="0.2">
      <c r="B670" s="62" t="s">
        <v>5348</v>
      </c>
      <c r="C670" s="61" t="s">
        <v>708</v>
      </c>
      <c r="D670" s="60">
        <v>1.4041300000000001</v>
      </c>
      <c r="E670" s="59">
        <v>4.6549100000000001</v>
      </c>
      <c r="F670" s="59">
        <v>5.3891400000000003</v>
      </c>
      <c r="G670" s="56">
        <v>713.2</v>
      </c>
      <c r="H670" s="56">
        <v>507.93099999999998</v>
      </c>
      <c r="I670" s="58">
        <v>0.36477300000000001</v>
      </c>
      <c r="J670" s="57">
        <v>0.33737200000000001</v>
      </c>
      <c r="K670" s="56"/>
      <c r="L670" s="56" t="s">
        <v>488</v>
      </c>
    </row>
    <row r="671" spans="2:12" x14ac:dyDescent="0.2">
      <c r="B671" s="62" t="s">
        <v>5347</v>
      </c>
      <c r="C671" s="61" t="s">
        <v>510</v>
      </c>
      <c r="D671" s="60">
        <v>1.3370200000000001</v>
      </c>
      <c r="E671" s="59">
        <v>4.4124600000000003</v>
      </c>
      <c r="F671" s="59">
        <v>5.5251000000000001</v>
      </c>
      <c r="G671" s="56">
        <v>777.47199999999998</v>
      </c>
      <c r="H671" s="56">
        <v>581.49400000000003</v>
      </c>
      <c r="I671" s="58">
        <v>0.38397300000000001</v>
      </c>
      <c r="J671" s="57">
        <v>0.356798</v>
      </c>
      <c r="K671" s="56"/>
      <c r="L671" s="56" t="s">
        <v>488</v>
      </c>
    </row>
    <row r="672" spans="2:12" x14ac:dyDescent="0.2">
      <c r="B672" s="62" t="s">
        <v>5346</v>
      </c>
      <c r="C672" s="61" t="s">
        <v>708</v>
      </c>
      <c r="D672" s="60">
        <v>1.3533200000000001</v>
      </c>
      <c r="E672" s="59">
        <v>4.3714000000000004</v>
      </c>
      <c r="F672" s="59">
        <v>5.5008600000000003</v>
      </c>
      <c r="G672" s="56">
        <v>774.66600000000005</v>
      </c>
      <c r="H672" s="56">
        <v>572.42100000000005</v>
      </c>
      <c r="I672" s="58">
        <v>0.38936100000000001</v>
      </c>
      <c r="J672" s="57">
        <v>0.35631299999999999</v>
      </c>
      <c r="K672" s="56"/>
      <c r="L672" s="56" t="s">
        <v>488</v>
      </c>
    </row>
    <row r="673" spans="2:12" x14ac:dyDescent="0.2">
      <c r="B673" s="62" t="s">
        <v>5345</v>
      </c>
      <c r="C673" s="61" t="s">
        <v>499</v>
      </c>
      <c r="D673" s="60">
        <v>0.99532600000000004</v>
      </c>
      <c r="E673" s="59">
        <v>5.5436699999999997</v>
      </c>
      <c r="F673" s="59">
        <v>7.0796200000000002</v>
      </c>
      <c r="G673" s="56">
        <v>1620.71</v>
      </c>
      <c r="H673" s="56">
        <v>1628.32</v>
      </c>
      <c r="I673" s="58">
        <v>0.61233199999999999</v>
      </c>
      <c r="J673" s="57">
        <v>0.63508200000000004</v>
      </c>
      <c r="K673" s="56"/>
      <c r="L673" s="56" t="s">
        <v>488</v>
      </c>
    </row>
    <row r="674" spans="2:12" x14ac:dyDescent="0.2">
      <c r="B674" s="62" t="s">
        <v>5344</v>
      </c>
      <c r="C674" s="61" t="s">
        <v>495</v>
      </c>
      <c r="D674" s="60">
        <v>0.97682899999999995</v>
      </c>
      <c r="E674" s="59">
        <v>4.3811099999999996</v>
      </c>
      <c r="F674" s="59">
        <v>6.4424299999999999</v>
      </c>
      <c r="G674" s="56">
        <v>1473.11</v>
      </c>
      <c r="H674" s="56">
        <v>1508.06</v>
      </c>
      <c r="I674" s="58">
        <v>0.60233400000000004</v>
      </c>
      <c r="J674" s="57">
        <v>0.60873999999999995</v>
      </c>
      <c r="K674" s="56"/>
      <c r="L674" s="56" t="s">
        <v>488</v>
      </c>
    </row>
    <row r="675" spans="2:12" x14ac:dyDescent="0.2">
      <c r="B675" s="62" t="s">
        <v>5343</v>
      </c>
      <c r="C675" s="61" t="s">
        <v>550</v>
      </c>
      <c r="D675" s="60">
        <v>1.41655</v>
      </c>
      <c r="E675" s="59">
        <v>3.4750299999999998</v>
      </c>
      <c r="F675" s="59">
        <v>5.0518900000000002</v>
      </c>
      <c r="G675" s="56">
        <v>0</v>
      </c>
      <c r="H675" s="56">
        <v>0</v>
      </c>
      <c r="I675" s="58">
        <v>0.34368700000000002</v>
      </c>
      <c r="J675" s="57">
        <v>0.34038299999999999</v>
      </c>
      <c r="K675" s="56"/>
      <c r="L675" s="56" t="s">
        <v>488</v>
      </c>
    </row>
    <row r="676" spans="2:12" x14ac:dyDescent="0.2">
      <c r="B676" s="62" t="s">
        <v>5342</v>
      </c>
      <c r="C676" s="61" t="s">
        <v>502</v>
      </c>
      <c r="D676" s="60">
        <v>0.26621699999999998</v>
      </c>
      <c r="E676" s="59">
        <v>14.32516</v>
      </c>
      <c r="F676" s="59">
        <v>28.65016</v>
      </c>
      <c r="G676" s="56">
        <v>1527.18</v>
      </c>
      <c r="H676" s="56">
        <v>5736.62</v>
      </c>
      <c r="I676" s="58">
        <v>0.92927099999999996</v>
      </c>
      <c r="J676" s="57">
        <v>3.3332000000000002</v>
      </c>
      <c r="K676" s="56"/>
      <c r="L676" s="56" t="s">
        <v>488</v>
      </c>
    </row>
    <row r="677" spans="2:12" x14ac:dyDescent="0.2">
      <c r="B677" s="62" t="s">
        <v>5341</v>
      </c>
      <c r="C677" s="61" t="s">
        <v>510</v>
      </c>
      <c r="D677" s="60">
        <v>1.07778</v>
      </c>
      <c r="E677" s="59">
        <v>5.3389899999999999</v>
      </c>
      <c r="F677" s="59">
        <v>7.0337899999999998</v>
      </c>
      <c r="G677" s="56">
        <v>1960.94</v>
      </c>
      <c r="H677" s="56">
        <v>1819.43</v>
      </c>
      <c r="I677" s="58">
        <v>0.62133899999999997</v>
      </c>
      <c r="J677" s="57">
        <v>0.57790200000000003</v>
      </c>
      <c r="K677" s="56"/>
      <c r="L677" s="56" t="s">
        <v>488</v>
      </c>
    </row>
    <row r="678" spans="2:12" x14ac:dyDescent="0.2">
      <c r="B678" s="62" t="s">
        <v>5340</v>
      </c>
      <c r="C678" s="61" t="s">
        <v>495</v>
      </c>
      <c r="D678" s="60">
        <v>1.4601</v>
      </c>
      <c r="E678" s="59">
        <v>2.7932000000000001</v>
      </c>
      <c r="F678" s="59">
        <v>4.1516000000000002</v>
      </c>
      <c r="G678" s="56">
        <v>0</v>
      </c>
      <c r="H678" s="56">
        <v>0</v>
      </c>
      <c r="I678" s="58">
        <v>0.33818199999999998</v>
      </c>
      <c r="J678" s="57">
        <v>0.32033699999999998</v>
      </c>
      <c r="K678" s="56"/>
      <c r="L678" s="56" t="s">
        <v>488</v>
      </c>
    </row>
    <row r="679" spans="2:12" x14ac:dyDescent="0.2">
      <c r="B679" s="62" t="s">
        <v>5339</v>
      </c>
      <c r="C679" s="61" t="s">
        <v>499</v>
      </c>
      <c r="D679" s="60">
        <v>1.2444599999999999</v>
      </c>
      <c r="E679" s="59">
        <v>2.49532</v>
      </c>
      <c r="F679" s="59">
        <v>4.3675800000000002</v>
      </c>
      <c r="G679" s="56">
        <v>0</v>
      </c>
      <c r="H679" s="56">
        <v>0</v>
      </c>
      <c r="I679" s="58">
        <v>0.406893</v>
      </c>
      <c r="J679" s="57">
        <v>0.42143000000000003</v>
      </c>
      <c r="K679" s="56"/>
      <c r="L679" s="56" t="s">
        <v>488</v>
      </c>
    </row>
    <row r="680" spans="2:12" x14ac:dyDescent="0.2">
      <c r="B680" s="62" t="s">
        <v>5338</v>
      </c>
      <c r="C680" s="61" t="s">
        <v>612</v>
      </c>
      <c r="D680" s="60">
        <v>0.88205900000000004</v>
      </c>
      <c r="E680" s="59">
        <v>6.9681100000000002</v>
      </c>
      <c r="F680" s="59">
        <v>7.6768299999999998</v>
      </c>
      <c r="G680" s="56">
        <v>1848.38</v>
      </c>
      <c r="H680" s="56">
        <v>2093.21</v>
      </c>
      <c r="I680" s="58">
        <v>0.67372799999999999</v>
      </c>
      <c r="J680" s="57">
        <v>0.75545700000000005</v>
      </c>
      <c r="K680" s="56"/>
      <c r="L680" s="56" t="s">
        <v>488</v>
      </c>
    </row>
    <row r="681" spans="2:12" x14ac:dyDescent="0.2">
      <c r="B681" s="62" t="s">
        <v>5337</v>
      </c>
      <c r="C681" s="61" t="s">
        <v>612</v>
      </c>
      <c r="D681" s="60">
        <v>0.88303500000000001</v>
      </c>
      <c r="E681" s="59">
        <v>6.9247699999999996</v>
      </c>
      <c r="F681" s="59">
        <v>7.6222200000000004</v>
      </c>
      <c r="G681" s="56">
        <v>1854.51</v>
      </c>
      <c r="H681" s="56">
        <v>2102.48</v>
      </c>
      <c r="I681" s="58">
        <v>0.67594399999999999</v>
      </c>
      <c r="J681" s="57">
        <v>0.75366100000000003</v>
      </c>
      <c r="K681" s="56"/>
      <c r="L681" s="56" t="s">
        <v>488</v>
      </c>
    </row>
    <row r="682" spans="2:12" x14ac:dyDescent="0.2">
      <c r="B682" s="62" t="s">
        <v>5336</v>
      </c>
      <c r="C682" s="61" t="s">
        <v>612</v>
      </c>
      <c r="D682" s="60">
        <v>0.87653199999999998</v>
      </c>
      <c r="E682" s="59">
        <v>6.8110400000000002</v>
      </c>
      <c r="F682" s="59">
        <v>7.5794899999999998</v>
      </c>
      <c r="G682" s="56">
        <v>1907.34</v>
      </c>
      <c r="H682" s="56">
        <v>2142.52</v>
      </c>
      <c r="I682" s="58">
        <v>0.67478700000000003</v>
      </c>
      <c r="J682" s="57">
        <v>0.76183199999999995</v>
      </c>
      <c r="K682" s="56"/>
      <c r="L682" s="56" t="s">
        <v>488</v>
      </c>
    </row>
    <row r="683" spans="2:12" x14ac:dyDescent="0.2">
      <c r="B683" s="62" t="s">
        <v>5335</v>
      </c>
      <c r="C683" s="61" t="s">
        <v>612</v>
      </c>
      <c r="D683" s="60">
        <v>0.890235</v>
      </c>
      <c r="E683" s="59">
        <v>6.7853700000000003</v>
      </c>
      <c r="F683" s="59">
        <v>7.5001499999999997</v>
      </c>
      <c r="G683" s="56">
        <v>1893.41</v>
      </c>
      <c r="H683" s="56">
        <v>2160.12</v>
      </c>
      <c r="I683" s="58">
        <v>0.68188400000000005</v>
      </c>
      <c r="J683" s="57">
        <v>0.74660499999999996</v>
      </c>
      <c r="K683" s="56"/>
      <c r="L683" s="56" t="s">
        <v>488</v>
      </c>
    </row>
    <row r="684" spans="2:12" x14ac:dyDescent="0.2">
      <c r="B684" s="62" t="s">
        <v>5334</v>
      </c>
      <c r="C684" s="61" t="s">
        <v>526</v>
      </c>
      <c r="D684" s="60">
        <v>1.4620500000000001</v>
      </c>
      <c r="E684" s="59">
        <v>2.92632</v>
      </c>
      <c r="F684" s="59">
        <v>4.4729900000000002</v>
      </c>
      <c r="G684" s="56">
        <v>0</v>
      </c>
      <c r="H684" s="56">
        <v>0</v>
      </c>
      <c r="I684" s="58">
        <v>0.33955299999999999</v>
      </c>
      <c r="J684" s="57">
        <v>0.35220299999999999</v>
      </c>
      <c r="K684" s="56"/>
      <c r="L684" s="56" t="s">
        <v>492</v>
      </c>
    </row>
    <row r="685" spans="2:12" x14ac:dyDescent="0.2">
      <c r="B685" s="62" t="s">
        <v>5333</v>
      </c>
      <c r="C685" s="61" t="s">
        <v>499</v>
      </c>
      <c r="D685" s="60">
        <v>1.2732000000000001</v>
      </c>
      <c r="E685" s="59">
        <v>5.1265200000000002</v>
      </c>
      <c r="F685" s="59">
        <v>5.5692199999999996</v>
      </c>
      <c r="G685" s="56">
        <v>1097.83</v>
      </c>
      <c r="H685" s="56">
        <v>862.26199999999994</v>
      </c>
      <c r="I685" s="58">
        <v>0.53149800000000003</v>
      </c>
      <c r="J685" s="57">
        <v>0.44065799999999999</v>
      </c>
      <c r="K685" s="56"/>
      <c r="L685" s="56" t="s">
        <v>488</v>
      </c>
    </row>
    <row r="686" spans="2:12" x14ac:dyDescent="0.2">
      <c r="B686" s="62" t="s">
        <v>5332</v>
      </c>
      <c r="C686" s="61" t="s">
        <v>510</v>
      </c>
      <c r="D686" s="60">
        <v>1.1202700000000001</v>
      </c>
      <c r="E686" s="59">
        <v>4.3859199999999996</v>
      </c>
      <c r="F686" s="59">
        <v>6.7384899999999996</v>
      </c>
      <c r="G686" s="56">
        <v>1074.8900000000001</v>
      </c>
      <c r="H686" s="56">
        <v>959.48699999999997</v>
      </c>
      <c r="I686" s="58">
        <v>0.413686</v>
      </c>
      <c r="J686" s="57">
        <v>0.50264200000000003</v>
      </c>
      <c r="K686" s="56"/>
      <c r="L686" s="56" t="s">
        <v>488</v>
      </c>
    </row>
    <row r="687" spans="2:12" x14ac:dyDescent="0.2">
      <c r="B687" s="62" t="s">
        <v>5331</v>
      </c>
      <c r="C687" s="61" t="s">
        <v>499</v>
      </c>
      <c r="D687" s="60">
        <v>1.31115</v>
      </c>
      <c r="E687" s="59">
        <v>3.4693900000000002</v>
      </c>
      <c r="F687" s="59">
        <v>4.2234400000000001</v>
      </c>
      <c r="G687" s="56">
        <v>0</v>
      </c>
      <c r="H687" s="56">
        <v>0</v>
      </c>
      <c r="I687" s="58">
        <v>0.35994500000000001</v>
      </c>
      <c r="J687" s="57">
        <v>0.37960500000000003</v>
      </c>
      <c r="K687" s="56"/>
      <c r="L687" s="56" t="s">
        <v>488</v>
      </c>
    </row>
    <row r="688" spans="2:12" x14ac:dyDescent="0.2">
      <c r="B688" s="62" t="s">
        <v>5330</v>
      </c>
      <c r="C688" s="61" t="s">
        <v>548</v>
      </c>
      <c r="D688" s="60">
        <v>1.7373099999999999</v>
      </c>
      <c r="E688" s="59">
        <v>2.6085500000000001</v>
      </c>
      <c r="F688" s="59">
        <v>3.2180200000000001</v>
      </c>
      <c r="G688" s="56">
        <v>0</v>
      </c>
      <c r="H688" s="56">
        <v>0</v>
      </c>
      <c r="I688" s="58">
        <v>0.17558299999999999</v>
      </c>
      <c r="J688" s="57">
        <v>0.21520600000000001</v>
      </c>
      <c r="K688" s="56"/>
      <c r="L688" s="56" t="s">
        <v>488</v>
      </c>
    </row>
    <row r="689" spans="2:12" x14ac:dyDescent="0.2">
      <c r="B689" s="62" t="s">
        <v>5329</v>
      </c>
      <c r="C689" s="61" t="s">
        <v>499</v>
      </c>
      <c r="D689" s="60">
        <v>1.0541499999999999</v>
      </c>
      <c r="E689" s="59">
        <v>7.0669599999999999</v>
      </c>
      <c r="F689" s="59">
        <v>9.5171399999999995</v>
      </c>
      <c r="G689" s="56">
        <v>1036.8599999999999</v>
      </c>
      <c r="H689" s="56">
        <v>983.596</v>
      </c>
      <c r="I689" s="58">
        <v>0.45516800000000002</v>
      </c>
      <c r="J689" s="57">
        <v>0.52479500000000001</v>
      </c>
      <c r="K689" s="56"/>
      <c r="L689" s="56" t="s">
        <v>488</v>
      </c>
    </row>
    <row r="690" spans="2:12" x14ac:dyDescent="0.2">
      <c r="B690" s="62" t="s">
        <v>5328</v>
      </c>
      <c r="C690" s="61" t="s">
        <v>1697</v>
      </c>
      <c r="D690" s="60">
        <v>1.1144499999999999</v>
      </c>
      <c r="E690" s="59">
        <v>7.0279299999999996</v>
      </c>
      <c r="F690" s="59">
        <v>9.3231699999999993</v>
      </c>
      <c r="G690" s="56">
        <v>1013.8</v>
      </c>
      <c r="H690" s="56">
        <v>909.68600000000004</v>
      </c>
      <c r="I690" s="58">
        <v>0.44784099999999999</v>
      </c>
      <c r="J690" s="57">
        <v>0.48698599999999997</v>
      </c>
      <c r="K690" s="56"/>
      <c r="L690" s="56" t="s">
        <v>488</v>
      </c>
    </row>
    <row r="691" spans="2:12" x14ac:dyDescent="0.2">
      <c r="B691" s="62" t="s">
        <v>5327</v>
      </c>
      <c r="C691" s="61" t="s">
        <v>502</v>
      </c>
      <c r="D691" s="60">
        <v>1.7111499999999999</v>
      </c>
      <c r="E691" s="59">
        <v>4.5438499999999999</v>
      </c>
      <c r="F691" s="59">
        <v>5.4064300000000003</v>
      </c>
      <c r="G691" s="56">
        <v>1288.78</v>
      </c>
      <c r="H691" s="56">
        <v>753.16600000000005</v>
      </c>
      <c r="I691" s="58">
        <v>0.46489000000000003</v>
      </c>
      <c r="J691" s="57">
        <v>0.31371700000000002</v>
      </c>
      <c r="K691" s="56"/>
      <c r="L691" s="56" t="s">
        <v>488</v>
      </c>
    </row>
    <row r="692" spans="2:12" x14ac:dyDescent="0.2">
      <c r="B692" s="62" t="s">
        <v>5326</v>
      </c>
      <c r="C692" s="61" t="s">
        <v>533</v>
      </c>
      <c r="D692" s="60">
        <v>1.36761</v>
      </c>
      <c r="E692" s="59">
        <v>3.4271500000000001</v>
      </c>
      <c r="F692" s="59">
        <v>4.8082000000000003</v>
      </c>
      <c r="G692" s="56">
        <v>0</v>
      </c>
      <c r="H692" s="56">
        <v>0</v>
      </c>
      <c r="I692" s="58">
        <v>0.48623499999999997</v>
      </c>
      <c r="J692" s="57">
        <v>0.44335200000000002</v>
      </c>
      <c r="K692" s="56"/>
      <c r="L692" s="56" t="s">
        <v>488</v>
      </c>
    </row>
    <row r="693" spans="2:12" x14ac:dyDescent="0.2">
      <c r="B693" s="62" t="s">
        <v>5325</v>
      </c>
      <c r="C693" s="61" t="s">
        <v>502</v>
      </c>
      <c r="D693" s="60">
        <v>1.5866</v>
      </c>
      <c r="E693" s="59">
        <v>3.8441999999999998</v>
      </c>
      <c r="F693" s="59">
        <v>4.49857</v>
      </c>
      <c r="G693" s="56">
        <v>331.07100000000003</v>
      </c>
      <c r="H693" s="56">
        <v>208.667</v>
      </c>
      <c r="I693" s="58">
        <v>0.28459899999999999</v>
      </c>
      <c r="J693" s="57">
        <v>0.288825</v>
      </c>
      <c r="K693" s="56"/>
      <c r="L693" s="56" t="s">
        <v>488</v>
      </c>
    </row>
    <row r="694" spans="2:12" x14ac:dyDescent="0.2">
      <c r="B694" s="62" t="s">
        <v>5324</v>
      </c>
      <c r="C694" s="61" t="s">
        <v>502</v>
      </c>
      <c r="D694" s="60">
        <v>1.4277</v>
      </c>
      <c r="E694" s="59">
        <v>4.2176499999999999</v>
      </c>
      <c r="F694" s="59">
        <v>7.7396000000000003</v>
      </c>
      <c r="G694" s="56">
        <v>1402.93</v>
      </c>
      <c r="H694" s="56">
        <v>982.64700000000005</v>
      </c>
      <c r="I694" s="58">
        <v>0.54916200000000004</v>
      </c>
      <c r="J694" s="57">
        <v>0.42615999999999998</v>
      </c>
      <c r="K694" s="56"/>
      <c r="L694" s="56" t="s">
        <v>492</v>
      </c>
    </row>
    <row r="695" spans="2:12" x14ac:dyDescent="0.2">
      <c r="B695" s="62" t="s">
        <v>5323</v>
      </c>
      <c r="C695" s="61" t="s">
        <v>533</v>
      </c>
      <c r="D695" s="60">
        <v>2.2132999999999998</v>
      </c>
      <c r="E695" s="59">
        <v>2.9942600000000001</v>
      </c>
      <c r="F695" s="59">
        <v>3.9662299999999999</v>
      </c>
      <c r="G695" s="56">
        <v>0</v>
      </c>
      <c r="H695" s="56">
        <v>0</v>
      </c>
      <c r="I695" s="58">
        <v>0.203517</v>
      </c>
      <c r="J695" s="57">
        <v>0.18146499999999999</v>
      </c>
      <c r="K695" s="56"/>
      <c r="L695" s="56" t="s">
        <v>488</v>
      </c>
    </row>
    <row r="696" spans="2:12" x14ac:dyDescent="0.2">
      <c r="B696" s="62" t="s">
        <v>5322</v>
      </c>
      <c r="C696" s="61" t="s">
        <v>510</v>
      </c>
      <c r="D696" s="60">
        <v>1.2359199999999999</v>
      </c>
      <c r="E696" s="59">
        <v>2.5571700000000002</v>
      </c>
      <c r="F696" s="59">
        <v>5.3155400000000004</v>
      </c>
      <c r="G696" s="56">
        <v>0</v>
      </c>
      <c r="H696" s="56">
        <v>0</v>
      </c>
      <c r="I696" s="58">
        <v>0.20838799999999999</v>
      </c>
      <c r="J696" s="57">
        <v>0.34411199999999997</v>
      </c>
      <c r="K696" s="56"/>
      <c r="L696" s="56" t="s">
        <v>488</v>
      </c>
    </row>
    <row r="697" spans="2:12" x14ac:dyDescent="0.2">
      <c r="B697" s="62" t="s">
        <v>5321</v>
      </c>
      <c r="C697" s="61" t="s">
        <v>550</v>
      </c>
      <c r="D697" s="60">
        <v>1.2668200000000001</v>
      </c>
      <c r="E697" s="59">
        <v>3.37886</v>
      </c>
      <c r="F697" s="59">
        <v>5.9139600000000003</v>
      </c>
      <c r="G697" s="56">
        <v>0</v>
      </c>
      <c r="H697" s="56">
        <v>0</v>
      </c>
      <c r="I697" s="58">
        <v>0.23353299999999999</v>
      </c>
      <c r="J697" s="57">
        <v>0.35256500000000002</v>
      </c>
      <c r="K697" s="56"/>
      <c r="L697" s="56" t="s">
        <v>488</v>
      </c>
    </row>
    <row r="698" spans="2:12" x14ac:dyDescent="0.2">
      <c r="B698" s="62" t="s">
        <v>5320</v>
      </c>
      <c r="C698" s="61" t="s">
        <v>499</v>
      </c>
      <c r="D698" s="60">
        <v>1.28345</v>
      </c>
      <c r="E698" s="59">
        <v>2.8112499999999998</v>
      </c>
      <c r="F698" s="59">
        <v>4.6845999999999997</v>
      </c>
      <c r="G698" s="56">
        <v>0</v>
      </c>
      <c r="H698" s="56">
        <v>0</v>
      </c>
      <c r="I698" s="58">
        <v>0.43956000000000001</v>
      </c>
      <c r="J698" s="57">
        <v>0.41166999999999998</v>
      </c>
      <c r="K698" s="56"/>
      <c r="L698" s="56" t="s">
        <v>488</v>
      </c>
    </row>
    <row r="699" spans="2:12" x14ac:dyDescent="0.2">
      <c r="B699" s="62" t="s">
        <v>5319</v>
      </c>
      <c r="C699" s="61" t="s">
        <v>502</v>
      </c>
      <c r="D699" s="60">
        <v>1.3729899999999999</v>
      </c>
      <c r="E699" s="59">
        <v>4.5807099999999998</v>
      </c>
      <c r="F699" s="59">
        <v>5.0792400000000004</v>
      </c>
      <c r="G699" s="56">
        <v>940.37800000000004</v>
      </c>
      <c r="H699" s="56">
        <v>684.91300000000001</v>
      </c>
      <c r="I699" s="58">
        <v>0.47433999999999998</v>
      </c>
      <c r="J699" s="57">
        <v>0.388903</v>
      </c>
      <c r="K699" s="56"/>
      <c r="L699" s="56" t="s">
        <v>488</v>
      </c>
    </row>
    <row r="700" spans="2:12" x14ac:dyDescent="0.2">
      <c r="B700" s="62" t="s">
        <v>5318</v>
      </c>
      <c r="C700" s="61" t="s">
        <v>5316</v>
      </c>
      <c r="D700" s="60">
        <v>1.1396299999999999</v>
      </c>
      <c r="E700" s="59">
        <v>3.5538099999999999</v>
      </c>
      <c r="F700" s="59">
        <v>5.5279999999999996</v>
      </c>
      <c r="G700" s="56">
        <v>0</v>
      </c>
      <c r="H700" s="56">
        <v>0</v>
      </c>
      <c r="I700" s="58">
        <v>0.37474800000000003</v>
      </c>
      <c r="J700" s="57">
        <v>0.45154</v>
      </c>
      <c r="K700" s="56"/>
      <c r="L700" s="56" t="s">
        <v>488</v>
      </c>
    </row>
    <row r="701" spans="2:12" x14ac:dyDescent="0.2">
      <c r="B701" s="62" t="s">
        <v>5317</v>
      </c>
      <c r="C701" s="61" t="s">
        <v>5316</v>
      </c>
      <c r="D701" s="60">
        <v>1.0304500000000001</v>
      </c>
      <c r="E701" s="59">
        <v>3.7802699999999998</v>
      </c>
      <c r="F701" s="59">
        <v>4.9834500000000004</v>
      </c>
      <c r="G701" s="56">
        <v>931.601</v>
      </c>
      <c r="H701" s="56">
        <v>904.07399999999996</v>
      </c>
      <c r="I701" s="58">
        <v>0.48655599999999999</v>
      </c>
      <c r="J701" s="57">
        <v>0.53999699999999995</v>
      </c>
      <c r="K701" s="56"/>
      <c r="L701" s="56" t="s">
        <v>488</v>
      </c>
    </row>
    <row r="702" spans="2:12" x14ac:dyDescent="0.2">
      <c r="B702" s="62" t="s">
        <v>5315</v>
      </c>
      <c r="C702" s="61" t="s">
        <v>495</v>
      </c>
      <c r="D702" s="60">
        <v>1.0706500000000001</v>
      </c>
      <c r="E702" s="59">
        <v>4.1438300000000003</v>
      </c>
      <c r="F702" s="59">
        <v>5.4368600000000002</v>
      </c>
      <c r="G702" s="56">
        <v>1058.96</v>
      </c>
      <c r="H702" s="56">
        <v>989.08799999999997</v>
      </c>
      <c r="I702" s="58">
        <v>0.45902799999999999</v>
      </c>
      <c r="J702" s="57">
        <v>0.49041200000000001</v>
      </c>
      <c r="K702" s="56"/>
      <c r="L702" s="56" t="s">
        <v>488</v>
      </c>
    </row>
    <row r="703" spans="2:12" x14ac:dyDescent="0.2">
      <c r="B703" s="62" t="s">
        <v>5314</v>
      </c>
      <c r="C703" s="61" t="s">
        <v>495</v>
      </c>
      <c r="D703" s="60">
        <v>1.052</v>
      </c>
      <c r="E703" s="59">
        <v>5.4181400000000002</v>
      </c>
      <c r="F703" s="59">
        <v>6.7361500000000003</v>
      </c>
      <c r="G703" s="56">
        <v>1128.68</v>
      </c>
      <c r="H703" s="56">
        <v>1072.8900000000001</v>
      </c>
      <c r="I703" s="58">
        <v>0.51654500000000003</v>
      </c>
      <c r="J703" s="57">
        <v>0.50805900000000004</v>
      </c>
      <c r="K703" s="56"/>
      <c r="L703" s="56" t="s">
        <v>488</v>
      </c>
    </row>
    <row r="704" spans="2:12" x14ac:dyDescent="0.2">
      <c r="B704" s="62" t="s">
        <v>5313</v>
      </c>
      <c r="C704" s="61" t="s">
        <v>550</v>
      </c>
      <c r="D704" s="60">
        <v>0.59956200000000004</v>
      </c>
      <c r="E704" s="59">
        <v>5.9405999999999999</v>
      </c>
      <c r="F704" s="59">
        <v>11.237959999999999</v>
      </c>
      <c r="G704" s="56">
        <v>2267</v>
      </c>
      <c r="H704" s="56">
        <v>3781.09</v>
      </c>
      <c r="I704" s="58">
        <v>0.74675000000000002</v>
      </c>
      <c r="J704" s="57">
        <v>1.24196</v>
      </c>
      <c r="K704" s="56" t="s">
        <v>3968</v>
      </c>
      <c r="L704" s="56" t="s">
        <v>563</v>
      </c>
    </row>
    <row r="705" spans="2:12" x14ac:dyDescent="0.2">
      <c r="B705" s="62" t="s">
        <v>5312</v>
      </c>
      <c r="C705" s="61" t="s">
        <v>510</v>
      </c>
      <c r="D705" s="60">
        <v>1.38639</v>
      </c>
      <c r="E705" s="59">
        <v>2.43384</v>
      </c>
      <c r="F705" s="59">
        <v>2.9872800000000002</v>
      </c>
      <c r="G705" s="56">
        <v>0</v>
      </c>
      <c r="H705" s="56">
        <v>0</v>
      </c>
      <c r="I705" s="58">
        <v>3.5163800000000002E-2</v>
      </c>
      <c r="J705" s="57">
        <v>0.28356900000000002</v>
      </c>
      <c r="K705" s="56"/>
      <c r="L705" s="56" t="s">
        <v>488</v>
      </c>
    </row>
    <row r="706" spans="2:12" x14ac:dyDescent="0.2">
      <c r="B706" s="62" t="s">
        <v>5311</v>
      </c>
      <c r="C706" s="61" t="s">
        <v>499</v>
      </c>
      <c r="D706" s="60">
        <v>1.0700799999999999</v>
      </c>
      <c r="E706" s="59">
        <v>3.9472800000000001</v>
      </c>
      <c r="F706" s="59">
        <v>5.2962800000000003</v>
      </c>
      <c r="G706" s="56">
        <v>1401.72</v>
      </c>
      <c r="H706" s="56">
        <v>1309.93</v>
      </c>
      <c r="I706" s="58">
        <v>0.61262899999999998</v>
      </c>
      <c r="J706" s="57">
        <v>0.59651100000000001</v>
      </c>
      <c r="K706" s="56"/>
      <c r="L706" s="56" t="s">
        <v>488</v>
      </c>
    </row>
    <row r="707" spans="2:12" x14ac:dyDescent="0.2">
      <c r="B707" s="62" t="s">
        <v>5310</v>
      </c>
      <c r="C707" s="61" t="s">
        <v>495</v>
      </c>
      <c r="D707" s="60">
        <v>1.2145300000000001</v>
      </c>
      <c r="E707" s="59">
        <v>4.4195200000000003</v>
      </c>
      <c r="F707" s="59">
        <v>5.4583300000000001</v>
      </c>
      <c r="G707" s="56">
        <v>1156.6199999999999</v>
      </c>
      <c r="H707" s="56">
        <v>952.31600000000003</v>
      </c>
      <c r="I707" s="58">
        <v>0.51726300000000003</v>
      </c>
      <c r="J707" s="57">
        <v>0.44117200000000001</v>
      </c>
      <c r="K707" s="56"/>
      <c r="L707" s="56" t="s">
        <v>488</v>
      </c>
    </row>
    <row r="708" spans="2:12" x14ac:dyDescent="0.2">
      <c r="B708" s="62" t="s">
        <v>5309</v>
      </c>
      <c r="C708" s="61" t="s">
        <v>495</v>
      </c>
      <c r="D708" s="60">
        <v>1.0798399999999999</v>
      </c>
      <c r="E708" s="59">
        <v>4.6946700000000003</v>
      </c>
      <c r="F708" s="59">
        <v>5.8744300000000003</v>
      </c>
      <c r="G708" s="56">
        <v>2019.46</v>
      </c>
      <c r="H708" s="56">
        <v>1870.14</v>
      </c>
      <c r="I708" s="58">
        <v>0.641127</v>
      </c>
      <c r="J708" s="57">
        <v>0.561894</v>
      </c>
      <c r="K708" s="56"/>
      <c r="L708" s="56" t="s">
        <v>488</v>
      </c>
    </row>
    <row r="709" spans="2:12" x14ac:dyDescent="0.2">
      <c r="B709" s="62" t="s">
        <v>5308</v>
      </c>
      <c r="C709" s="61" t="s">
        <v>502</v>
      </c>
      <c r="D709" s="60">
        <v>1.3398000000000001</v>
      </c>
      <c r="E709" s="59">
        <v>3.9923799999999998</v>
      </c>
      <c r="F709" s="59">
        <v>4.4303299999999997</v>
      </c>
      <c r="G709" s="56">
        <v>272.95800000000003</v>
      </c>
      <c r="H709" s="56">
        <v>203.732</v>
      </c>
      <c r="I709" s="58">
        <v>0.35830400000000001</v>
      </c>
      <c r="J709" s="57">
        <v>0.41528599999999999</v>
      </c>
      <c r="K709" s="56"/>
      <c r="L709" s="56" t="s">
        <v>488</v>
      </c>
    </row>
    <row r="710" spans="2:12" x14ac:dyDescent="0.2">
      <c r="B710" s="62" t="s">
        <v>5307</v>
      </c>
      <c r="C710" s="61" t="s">
        <v>495</v>
      </c>
      <c r="D710" s="60">
        <v>1.10154</v>
      </c>
      <c r="E710" s="59">
        <v>5.1233599999999999</v>
      </c>
      <c r="F710" s="59">
        <v>6.2813400000000001</v>
      </c>
      <c r="G710" s="56">
        <v>1144.52</v>
      </c>
      <c r="H710" s="56">
        <v>1039.02</v>
      </c>
      <c r="I710" s="58">
        <v>0.49007899999999999</v>
      </c>
      <c r="J710" s="57">
        <v>0.471356</v>
      </c>
      <c r="K710" s="56"/>
      <c r="L710" s="56" t="s">
        <v>488</v>
      </c>
    </row>
    <row r="711" spans="2:12" x14ac:dyDescent="0.2">
      <c r="B711" s="62" t="s">
        <v>5306</v>
      </c>
      <c r="C711" s="61" t="s">
        <v>531</v>
      </c>
      <c r="D711" s="60">
        <v>2.2575099999999999</v>
      </c>
      <c r="E711" s="59">
        <v>3.09402</v>
      </c>
      <c r="F711" s="59">
        <v>4.1995500000000003</v>
      </c>
      <c r="G711" s="56">
        <v>0</v>
      </c>
      <c r="H711" s="56">
        <v>0</v>
      </c>
      <c r="I711" s="58">
        <v>0.15062400000000001</v>
      </c>
      <c r="J711" s="57">
        <v>0.18266099999999999</v>
      </c>
      <c r="K711" s="56"/>
      <c r="L711" s="56" t="s">
        <v>488</v>
      </c>
    </row>
    <row r="712" spans="2:12" x14ac:dyDescent="0.2">
      <c r="B712" s="62" t="s">
        <v>5305</v>
      </c>
      <c r="C712" s="61" t="s">
        <v>495</v>
      </c>
      <c r="D712" s="60">
        <v>1.6878</v>
      </c>
      <c r="E712" s="59">
        <v>3.8389700000000002</v>
      </c>
      <c r="F712" s="59">
        <v>4.56325</v>
      </c>
      <c r="G712" s="56">
        <v>78.868200000000002</v>
      </c>
      <c r="H712" s="56">
        <v>46.7286</v>
      </c>
      <c r="I712" s="58">
        <v>9.2296799999999998E-2</v>
      </c>
      <c r="J712" s="57">
        <v>0.19870499999999999</v>
      </c>
      <c r="K712" s="56"/>
      <c r="L712" s="56" t="s">
        <v>488</v>
      </c>
    </row>
    <row r="713" spans="2:12" x14ac:dyDescent="0.2">
      <c r="B713" s="62" t="s">
        <v>5304</v>
      </c>
      <c r="C713" s="61" t="s">
        <v>489</v>
      </c>
      <c r="D713" s="60">
        <v>1.27058</v>
      </c>
      <c r="E713" s="59">
        <v>4.1200900000000003</v>
      </c>
      <c r="F713" s="59">
        <v>4.4241799999999998</v>
      </c>
      <c r="G713" s="56">
        <v>831.41200000000003</v>
      </c>
      <c r="H713" s="56">
        <v>654.35500000000002</v>
      </c>
      <c r="I713" s="58">
        <v>0.35887599999999997</v>
      </c>
      <c r="J713" s="57">
        <v>0.42119400000000001</v>
      </c>
      <c r="K713" s="56"/>
      <c r="L713" s="56" t="s">
        <v>488</v>
      </c>
    </row>
    <row r="714" spans="2:12" x14ac:dyDescent="0.2">
      <c r="B714" s="62" t="s">
        <v>5303</v>
      </c>
      <c r="C714" s="61" t="s">
        <v>871</v>
      </c>
      <c r="D714" s="60">
        <v>1.26241</v>
      </c>
      <c r="E714" s="59">
        <v>3.7915800000000002</v>
      </c>
      <c r="F714" s="59">
        <v>5.1871400000000003</v>
      </c>
      <c r="G714" s="56">
        <v>837</v>
      </c>
      <c r="H714" s="56">
        <v>663.01900000000001</v>
      </c>
      <c r="I714" s="58">
        <v>0.48776599999999998</v>
      </c>
      <c r="J714" s="57">
        <v>0.42771399999999998</v>
      </c>
      <c r="K714" s="56"/>
      <c r="L714" s="56" t="s">
        <v>488</v>
      </c>
    </row>
    <row r="715" spans="2:12" x14ac:dyDescent="0.2">
      <c r="B715" s="62" t="s">
        <v>5302</v>
      </c>
      <c r="C715" s="61" t="s">
        <v>1120</v>
      </c>
      <c r="D715" s="60">
        <v>1.2436700000000001</v>
      </c>
      <c r="E715" s="59">
        <v>3.6405500000000002</v>
      </c>
      <c r="F715" s="59">
        <v>5.2014199999999997</v>
      </c>
      <c r="G715" s="56">
        <v>0</v>
      </c>
      <c r="H715" s="56">
        <v>0</v>
      </c>
      <c r="I715" s="58">
        <v>0.49878299999999998</v>
      </c>
      <c r="J715" s="57">
        <v>0.43472300000000003</v>
      </c>
      <c r="K715" s="56"/>
      <c r="L715" s="56" t="s">
        <v>488</v>
      </c>
    </row>
    <row r="716" spans="2:12" x14ac:dyDescent="0.2">
      <c r="B716" s="62" t="s">
        <v>5301</v>
      </c>
      <c r="C716" s="61" t="s">
        <v>550</v>
      </c>
      <c r="D716" s="60">
        <v>1.6198999999999999</v>
      </c>
      <c r="E716" s="59">
        <v>4.6653599999999997</v>
      </c>
      <c r="F716" s="59">
        <v>7.28064</v>
      </c>
      <c r="G716" s="56">
        <v>796.93100000000004</v>
      </c>
      <c r="H716" s="56">
        <v>491.96199999999999</v>
      </c>
      <c r="I716" s="58">
        <v>0.37260700000000002</v>
      </c>
      <c r="J716" s="57">
        <v>0.30917600000000001</v>
      </c>
      <c r="K716" s="56"/>
      <c r="L716" s="56" t="s">
        <v>488</v>
      </c>
    </row>
    <row r="717" spans="2:12" x14ac:dyDescent="0.2">
      <c r="B717" s="62" t="s">
        <v>5300</v>
      </c>
      <c r="C717" s="61" t="s">
        <v>502</v>
      </c>
      <c r="D717" s="60">
        <v>2.4194</v>
      </c>
      <c r="E717" s="59">
        <v>3.7672599999999998</v>
      </c>
      <c r="F717" s="59">
        <v>4.6709100000000001</v>
      </c>
      <c r="G717" s="56">
        <v>80.179199999999994</v>
      </c>
      <c r="H717" s="56">
        <v>33.140099999999997</v>
      </c>
      <c r="I717" s="58">
        <v>0.17821000000000001</v>
      </c>
      <c r="J717" s="57">
        <v>0.17730199999999999</v>
      </c>
      <c r="K717" s="56"/>
      <c r="L717" s="56" t="s">
        <v>488</v>
      </c>
    </row>
    <row r="718" spans="2:12" x14ac:dyDescent="0.2">
      <c r="B718" s="62" t="s">
        <v>5299</v>
      </c>
      <c r="C718" s="61" t="s">
        <v>499</v>
      </c>
      <c r="D718" s="60">
        <v>0.96115099999999998</v>
      </c>
      <c r="E718" s="59">
        <v>4.4405299999999999</v>
      </c>
      <c r="F718" s="59">
        <v>5.3556999999999997</v>
      </c>
      <c r="G718" s="56">
        <v>1866.5</v>
      </c>
      <c r="H718" s="56">
        <v>1941.94</v>
      </c>
      <c r="I718" s="58">
        <v>0.70794000000000001</v>
      </c>
      <c r="J718" s="57">
        <v>0.66276900000000005</v>
      </c>
      <c r="K718" s="56"/>
      <c r="L718" s="56" t="s">
        <v>488</v>
      </c>
    </row>
    <row r="719" spans="2:12" x14ac:dyDescent="0.2">
      <c r="B719" s="62" t="s">
        <v>5298</v>
      </c>
      <c r="C719" s="61" t="s">
        <v>510</v>
      </c>
      <c r="D719" s="60">
        <v>1.3149</v>
      </c>
      <c r="E719" s="59">
        <v>3.3243900000000002</v>
      </c>
      <c r="F719" s="59">
        <v>4.5077699999999998</v>
      </c>
      <c r="G719" s="56">
        <v>0</v>
      </c>
      <c r="H719" s="56">
        <v>0</v>
      </c>
      <c r="I719" s="58">
        <v>0.43142000000000003</v>
      </c>
      <c r="J719" s="57">
        <v>0.38369500000000001</v>
      </c>
      <c r="K719" s="56"/>
      <c r="L719" s="56" t="s">
        <v>488</v>
      </c>
    </row>
    <row r="720" spans="2:12" x14ac:dyDescent="0.2">
      <c r="B720" s="62" t="s">
        <v>5297</v>
      </c>
      <c r="C720" s="61" t="s">
        <v>495</v>
      </c>
      <c r="D720" s="60">
        <v>0.91132500000000005</v>
      </c>
      <c r="E720" s="59">
        <v>3.7474099999999999</v>
      </c>
      <c r="F720" s="59">
        <v>8.1314600000000006</v>
      </c>
      <c r="G720" s="56">
        <v>1385.33</v>
      </c>
      <c r="H720" s="56">
        <v>1520.13</v>
      </c>
      <c r="I720" s="58">
        <v>0.57675900000000002</v>
      </c>
      <c r="J720" s="57">
        <v>0.70010099999999997</v>
      </c>
      <c r="K720" s="56"/>
      <c r="L720" s="56" t="s">
        <v>488</v>
      </c>
    </row>
    <row r="721" spans="2:12" x14ac:dyDescent="0.2">
      <c r="B721" s="62" t="s">
        <v>5296</v>
      </c>
      <c r="C721" s="61" t="s">
        <v>495</v>
      </c>
      <c r="D721" s="60">
        <v>1.4413800000000001</v>
      </c>
      <c r="E721" s="59">
        <v>2.4219300000000001</v>
      </c>
      <c r="F721" s="59">
        <v>3.5373600000000001</v>
      </c>
      <c r="G721" s="56">
        <v>0</v>
      </c>
      <c r="H721" s="56">
        <v>0</v>
      </c>
      <c r="I721" s="58">
        <v>0.13814100000000001</v>
      </c>
      <c r="J721" s="57">
        <v>0.29661500000000002</v>
      </c>
      <c r="K721" s="56"/>
      <c r="L721" s="56" t="s">
        <v>488</v>
      </c>
    </row>
    <row r="722" spans="2:12" x14ac:dyDescent="0.2">
      <c r="B722" s="62" t="s">
        <v>5295</v>
      </c>
      <c r="C722" s="61" t="s">
        <v>625</v>
      </c>
      <c r="D722" s="60">
        <v>1.0779000000000001</v>
      </c>
      <c r="E722" s="59">
        <v>5.8384099999999997</v>
      </c>
      <c r="F722" s="59">
        <v>8.2737099999999995</v>
      </c>
      <c r="G722" s="56">
        <v>1805.41</v>
      </c>
      <c r="H722" s="56">
        <v>1674.93</v>
      </c>
      <c r="I722" s="58">
        <v>0.60614699999999999</v>
      </c>
      <c r="J722" s="57">
        <v>0.64380599999999999</v>
      </c>
      <c r="K722" s="56"/>
      <c r="L722" s="56" t="s">
        <v>488</v>
      </c>
    </row>
    <row r="723" spans="2:12" x14ac:dyDescent="0.2">
      <c r="B723" s="62" t="s">
        <v>5294</v>
      </c>
      <c r="C723" s="61" t="s">
        <v>531</v>
      </c>
      <c r="D723" s="60">
        <v>1.76959</v>
      </c>
      <c r="E723" s="59">
        <v>4.7081400000000002</v>
      </c>
      <c r="F723" s="59">
        <v>5.60649</v>
      </c>
      <c r="G723" s="56">
        <v>418.44799999999998</v>
      </c>
      <c r="H723" s="56">
        <v>236.46700000000001</v>
      </c>
      <c r="I723" s="58">
        <v>0.33588099999999999</v>
      </c>
      <c r="J723" s="57">
        <v>0.24404300000000001</v>
      </c>
      <c r="K723" s="56"/>
      <c r="L723" s="56" t="s">
        <v>488</v>
      </c>
    </row>
    <row r="724" spans="2:12" x14ac:dyDescent="0.2">
      <c r="B724" s="62" t="s">
        <v>5293</v>
      </c>
      <c r="C724" s="61" t="s">
        <v>531</v>
      </c>
      <c r="D724" s="60">
        <v>1.5354099999999999</v>
      </c>
      <c r="E724" s="59">
        <v>4.1692799999999997</v>
      </c>
      <c r="F724" s="59">
        <v>6.1081700000000003</v>
      </c>
      <c r="G724" s="56">
        <v>582.16200000000003</v>
      </c>
      <c r="H724" s="56">
        <v>379.15800000000002</v>
      </c>
      <c r="I724" s="58">
        <v>0.35786499999999999</v>
      </c>
      <c r="J724" s="57">
        <v>0.32392799999999999</v>
      </c>
      <c r="K724" s="56"/>
      <c r="L724" s="56" t="s">
        <v>488</v>
      </c>
    </row>
    <row r="725" spans="2:12" x14ac:dyDescent="0.2">
      <c r="B725" s="62" t="s">
        <v>5292</v>
      </c>
      <c r="C725" s="61" t="s">
        <v>708</v>
      </c>
      <c r="D725" s="60">
        <v>1.2135</v>
      </c>
      <c r="E725" s="59">
        <v>3.33216</v>
      </c>
      <c r="F725" s="59">
        <v>4.5235399999999997</v>
      </c>
      <c r="G725" s="56">
        <v>0</v>
      </c>
      <c r="H725" s="56">
        <v>0</v>
      </c>
      <c r="I725" s="58">
        <v>0.37761</v>
      </c>
      <c r="J725" s="57">
        <v>0.408524</v>
      </c>
      <c r="K725" s="56"/>
      <c r="L725" s="56" t="s">
        <v>488</v>
      </c>
    </row>
    <row r="726" spans="2:12" x14ac:dyDescent="0.2">
      <c r="B726" s="62" t="s">
        <v>5291</v>
      </c>
      <c r="C726" s="61" t="s">
        <v>510</v>
      </c>
      <c r="D726" s="60">
        <v>0.80886000000000002</v>
      </c>
      <c r="E726" s="59">
        <v>3.4822000000000002</v>
      </c>
      <c r="F726" s="59">
        <v>16.828469999999999</v>
      </c>
      <c r="G726" s="56">
        <v>0</v>
      </c>
      <c r="H726" s="56">
        <v>0</v>
      </c>
      <c r="I726" s="58">
        <v>0.68981099999999995</v>
      </c>
      <c r="J726" s="57">
        <v>0.83870599999999995</v>
      </c>
      <c r="K726" s="56"/>
      <c r="L726" s="56" t="s">
        <v>488</v>
      </c>
    </row>
    <row r="727" spans="2:12" x14ac:dyDescent="0.2">
      <c r="B727" s="62" t="s">
        <v>5290</v>
      </c>
      <c r="C727" s="61" t="s">
        <v>510</v>
      </c>
      <c r="D727" s="60">
        <v>0.77755700000000005</v>
      </c>
      <c r="E727" s="59">
        <v>7.6303400000000003</v>
      </c>
      <c r="F727" s="59">
        <v>8.6363199999999996</v>
      </c>
      <c r="G727" s="56">
        <v>2035.89</v>
      </c>
      <c r="H727" s="56">
        <v>2618.3200000000002</v>
      </c>
      <c r="I727" s="58">
        <v>0.70287500000000003</v>
      </c>
      <c r="J727" s="57">
        <v>0.86401399999999995</v>
      </c>
      <c r="K727" s="56"/>
      <c r="L727" s="56" t="s">
        <v>488</v>
      </c>
    </row>
    <row r="728" spans="2:12" x14ac:dyDescent="0.2">
      <c r="B728" s="62" t="s">
        <v>5289</v>
      </c>
      <c r="C728" s="61" t="s">
        <v>510</v>
      </c>
      <c r="D728" s="60">
        <v>0.76011399999999996</v>
      </c>
      <c r="E728" s="59">
        <v>8.42272</v>
      </c>
      <c r="F728" s="59">
        <v>9.3755600000000001</v>
      </c>
      <c r="G728" s="56">
        <v>1966.57</v>
      </c>
      <c r="H728" s="56">
        <v>2587.1999999999998</v>
      </c>
      <c r="I728" s="58">
        <v>0.70468600000000003</v>
      </c>
      <c r="J728" s="57">
        <v>0.89712899999999995</v>
      </c>
      <c r="K728" s="56"/>
      <c r="L728" s="56" t="s">
        <v>488</v>
      </c>
    </row>
    <row r="729" spans="2:12" x14ac:dyDescent="0.2">
      <c r="B729" s="62" t="s">
        <v>5288</v>
      </c>
      <c r="C729" s="61" t="s">
        <v>708</v>
      </c>
      <c r="D729" s="60">
        <v>1.44455</v>
      </c>
      <c r="E729" s="59">
        <v>2.6321300000000001</v>
      </c>
      <c r="F729" s="59">
        <v>4.0372199999999996</v>
      </c>
      <c r="G729" s="56">
        <v>0</v>
      </c>
      <c r="H729" s="56">
        <v>0</v>
      </c>
      <c r="I729" s="58">
        <v>0.216027</v>
      </c>
      <c r="J729" s="57">
        <v>0.34356300000000001</v>
      </c>
      <c r="K729" s="56"/>
      <c r="L729" s="56" t="s">
        <v>488</v>
      </c>
    </row>
    <row r="730" spans="2:12" x14ac:dyDescent="0.2">
      <c r="B730" s="62" t="s">
        <v>5287</v>
      </c>
      <c r="C730" s="61" t="s">
        <v>1252</v>
      </c>
      <c r="D730" s="60">
        <v>1.83857</v>
      </c>
      <c r="E730" s="59">
        <v>2.9777200000000001</v>
      </c>
      <c r="F730" s="59">
        <v>4.2289199999999996</v>
      </c>
      <c r="G730" s="56">
        <v>0</v>
      </c>
      <c r="H730" s="56">
        <v>0</v>
      </c>
      <c r="I730" s="58">
        <v>0.27438000000000001</v>
      </c>
      <c r="J730" s="57">
        <v>0.23644799999999999</v>
      </c>
      <c r="K730" s="56"/>
      <c r="L730" s="56" t="s">
        <v>488</v>
      </c>
    </row>
    <row r="731" spans="2:12" x14ac:dyDescent="0.2">
      <c r="B731" s="62" t="s">
        <v>5286</v>
      </c>
      <c r="C731" s="61" t="s">
        <v>510</v>
      </c>
      <c r="D731" s="60">
        <v>1.3822099999999999</v>
      </c>
      <c r="E731" s="59">
        <v>2.6161400000000001</v>
      </c>
      <c r="F731" s="59">
        <v>4.1995300000000002</v>
      </c>
      <c r="G731" s="56">
        <v>0</v>
      </c>
      <c r="H731" s="56">
        <v>0</v>
      </c>
      <c r="I731" s="58">
        <v>0.219441</v>
      </c>
      <c r="J731" s="57">
        <v>0.35777700000000001</v>
      </c>
      <c r="K731" s="56"/>
      <c r="L731" s="56" t="s">
        <v>488</v>
      </c>
    </row>
    <row r="732" spans="2:12" x14ac:dyDescent="0.2">
      <c r="B732" s="62" t="s">
        <v>5285</v>
      </c>
      <c r="C732" s="61" t="s">
        <v>1668</v>
      </c>
      <c r="D732" s="60">
        <v>1.86992</v>
      </c>
      <c r="E732" s="59">
        <v>3.0223300000000002</v>
      </c>
      <c r="F732" s="59">
        <v>4.2313299999999998</v>
      </c>
      <c r="G732" s="56">
        <v>0</v>
      </c>
      <c r="H732" s="56">
        <v>0</v>
      </c>
      <c r="I732" s="58">
        <v>0.27689799999999998</v>
      </c>
      <c r="J732" s="57">
        <v>0.23141</v>
      </c>
      <c r="K732" s="56"/>
      <c r="L732" s="56" t="s">
        <v>488</v>
      </c>
    </row>
    <row r="733" spans="2:12" x14ac:dyDescent="0.2">
      <c r="B733" s="62" t="s">
        <v>5284</v>
      </c>
      <c r="C733" s="61" t="s">
        <v>1096</v>
      </c>
      <c r="D733" s="60">
        <v>1.8040400000000001</v>
      </c>
      <c r="E733" s="59">
        <v>2.97546</v>
      </c>
      <c r="F733" s="59">
        <v>4.2515599999999996</v>
      </c>
      <c r="G733" s="56">
        <v>0</v>
      </c>
      <c r="H733" s="56">
        <v>0</v>
      </c>
      <c r="I733" s="58">
        <v>0.28231899999999999</v>
      </c>
      <c r="J733" s="57">
        <v>0.24256800000000001</v>
      </c>
      <c r="K733" s="56"/>
      <c r="L733" s="56" t="s">
        <v>488</v>
      </c>
    </row>
    <row r="734" spans="2:12" x14ac:dyDescent="0.2">
      <c r="B734" s="62" t="s">
        <v>5283</v>
      </c>
      <c r="C734" s="61" t="s">
        <v>1518</v>
      </c>
      <c r="D734" s="60">
        <v>1.8460000000000001</v>
      </c>
      <c r="E734" s="59">
        <v>3.0240399999999998</v>
      </c>
      <c r="F734" s="59">
        <v>4.2845700000000004</v>
      </c>
      <c r="G734" s="56">
        <v>0</v>
      </c>
      <c r="H734" s="56">
        <v>0</v>
      </c>
      <c r="I734" s="58">
        <v>0.28215200000000001</v>
      </c>
      <c r="J734" s="57">
        <v>0.23621</v>
      </c>
      <c r="K734" s="56"/>
      <c r="L734" s="56" t="s">
        <v>488</v>
      </c>
    </row>
    <row r="735" spans="2:12" x14ac:dyDescent="0.2">
      <c r="B735" s="62" t="s">
        <v>5282</v>
      </c>
      <c r="C735" s="61" t="s">
        <v>502</v>
      </c>
      <c r="D735" s="60">
        <v>0.52247100000000002</v>
      </c>
      <c r="E735" s="59">
        <v>7.4100999999999999</v>
      </c>
      <c r="F735" s="59">
        <v>12.839869999999999</v>
      </c>
      <c r="G735" s="56">
        <v>2347.19</v>
      </c>
      <c r="H735" s="56">
        <v>4492.4799999999996</v>
      </c>
      <c r="I735" s="58">
        <v>0.85165199999999996</v>
      </c>
      <c r="J735" s="57">
        <v>1.53674</v>
      </c>
      <c r="K735" s="56"/>
      <c r="L735" s="56" t="s">
        <v>488</v>
      </c>
    </row>
    <row r="736" spans="2:12" x14ac:dyDescent="0.2">
      <c r="B736" s="62" t="s">
        <v>5281</v>
      </c>
      <c r="C736" s="61" t="s">
        <v>541</v>
      </c>
      <c r="D736" s="60">
        <v>1.1246400000000001</v>
      </c>
      <c r="E736" s="59">
        <v>3.53464</v>
      </c>
      <c r="F736" s="59">
        <v>6.2801099999999996</v>
      </c>
      <c r="G736" s="56">
        <v>0</v>
      </c>
      <c r="H736" s="56">
        <v>0</v>
      </c>
      <c r="I736" s="58">
        <v>0.52039800000000003</v>
      </c>
      <c r="J736" s="57">
        <v>0.51373100000000005</v>
      </c>
      <c r="K736" s="56"/>
      <c r="L736" s="56" t="s">
        <v>488</v>
      </c>
    </row>
    <row r="737" spans="2:12" x14ac:dyDescent="0.2">
      <c r="B737" s="62" t="s">
        <v>5280</v>
      </c>
      <c r="C737" s="61" t="s">
        <v>579</v>
      </c>
      <c r="D737" s="60">
        <v>1.1137300000000001</v>
      </c>
      <c r="E737" s="59">
        <v>3.5966200000000002</v>
      </c>
      <c r="F737" s="59">
        <v>6.3344100000000001</v>
      </c>
      <c r="G737" s="56">
        <v>0</v>
      </c>
      <c r="H737" s="56">
        <v>0</v>
      </c>
      <c r="I737" s="58">
        <v>0.51721300000000003</v>
      </c>
      <c r="J737" s="57">
        <v>0.51897800000000005</v>
      </c>
      <c r="K737" s="56"/>
      <c r="L737" s="56" t="s">
        <v>488</v>
      </c>
    </row>
    <row r="738" spans="2:12" x14ac:dyDescent="0.2">
      <c r="B738" s="62" t="s">
        <v>5279</v>
      </c>
      <c r="C738" s="61" t="s">
        <v>531</v>
      </c>
      <c r="D738" s="60">
        <v>1.15151</v>
      </c>
      <c r="E738" s="59">
        <v>3.4512900000000002</v>
      </c>
      <c r="F738" s="59">
        <v>6.2649499999999998</v>
      </c>
      <c r="G738" s="56">
        <v>0</v>
      </c>
      <c r="H738" s="56">
        <v>0</v>
      </c>
      <c r="I738" s="58">
        <v>0.52139800000000003</v>
      </c>
      <c r="J738" s="57">
        <v>0.49929000000000001</v>
      </c>
      <c r="K738" s="56"/>
      <c r="L738" s="56" t="s">
        <v>488</v>
      </c>
    </row>
    <row r="739" spans="2:12" x14ac:dyDescent="0.2">
      <c r="B739" s="62" t="s">
        <v>5278</v>
      </c>
      <c r="C739" s="61" t="s">
        <v>510</v>
      </c>
      <c r="D739" s="60">
        <v>0.92544999999999999</v>
      </c>
      <c r="E739" s="59">
        <v>5.7436299999999996</v>
      </c>
      <c r="F739" s="59">
        <v>9.2884700000000002</v>
      </c>
      <c r="G739" s="56">
        <v>1318.38</v>
      </c>
      <c r="H739" s="56">
        <v>1424.58</v>
      </c>
      <c r="I739" s="58">
        <v>0.59765400000000002</v>
      </c>
      <c r="J739" s="57">
        <v>0.63445600000000002</v>
      </c>
      <c r="K739" s="56"/>
      <c r="L739" s="56" t="s">
        <v>488</v>
      </c>
    </row>
    <row r="740" spans="2:12" x14ac:dyDescent="0.2">
      <c r="B740" s="62" t="s">
        <v>5277</v>
      </c>
      <c r="C740" s="61" t="s">
        <v>510</v>
      </c>
      <c r="D740" s="60">
        <v>0.92904299999999995</v>
      </c>
      <c r="E740" s="59">
        <v>5.9498899999999999</v>
      </c>
      <c r="F740" s="59">
        <v>9.1757500000000007</v>
      </c>
      <c r="G740" s="56">
        <v>1317.12</v>
      </c>
      <c r="H740" s="56">
        <v>1417.72</v>
      </c>
      <c r="I740" s="58">
        <v>0.60098399999999996</v>
      </c>
      <c r="J740" s="57">
        <v>0.63190199999999996</v>
      </c>
      <c r="K740" s="56"/>
      <c r="L740" s="56" t="s">
        <v>488</v>
      </c>
    </row>
    <row r="741" spans="2:12" x14ac:dyDescent="0.2">
      <c r="B741" s="62" t="s">
        <v>5276</v>
      </c>
      <c r="C741" s="61" t="s">
        <v>510</v>
      </c>
      <c r="D741" s="60">
        <v>0.92529899999999998</v>
      </c>
      <c r="E741" s="59">
        <v>5.8921200000000002</v>
      </c>
      <c r="F741" s="59">
        <v>9.1355199999999996</v>
      </c>
      <c r="G741" s="56">
        <v>1313.27</v>
      </c>
      <c r="H741" s="56">
        <v>1419.3</v>
      </c>
      <c r="I741" s="58">
        <v>0.60536400000000001</v>
      </c>
      <c r="J741" s="57">
        <v>0.63889200000000002</v>
      </c>
      <c r="K741" s="56"/>
      <c r="L741" s="56" t="s">
        <v>488</v>
      </c>
    </row>
    <row r="742" spans="2:12" x14ac:dyDescent="0.2">
      <c r="B742" s="62" t="s">
        <v>5275</v>
      </c>
      <c r="C742" s="61" t="s">
        <v>510</v>
      </c>
      <c r="D742" s="60">
        <v>0.92018900000000003</v>
      </c>
      <c r="E742" s="59">
        <v>5.7660099999999996</v>
      </c>
      <c r="F742" s="59">
        <v>9.1582699999999999</v>
      </c>
      <c r="G742" s="56">
        <v>1319.08</v>
      </c>
      <c r="H742" s="56">
        <v>1433.48</v>
      </c>
      <c r="I742" s="58">
        <v>0.60028499999999996</v>
      </c>
      <c r="J742" s="57">
        <v>0.64449999999999996</v>
      </c>
      <c r="K742" s="56"/>
      <c r="L742" s="56" t="s">
        <v>488</v>
      </c>
    </row>
    <row r="743" spans="2:12" x14ac:dyDescent="0.2">
      <c r="B743" s="62" t="s">
        <v>5274</v>
      </c>
      <c r="C743" s="61" t="s">
        <v>499</v>
      </c>
      <c r="D743" s="60">
        <v>0.52584200000000003</v>
      </c>
      <c r="E743" s="59">
        <v>8.1739899999999999</v>
      </c>
      <c r="F743" s="59">
        <v>9.6003100000000003</v>
      </c>
      <c r="G743" s="56">
        <v>2439.62</v>
      </c>
      <c r="H743" s="56">
        <v>4639.46</v>
      </c>
      <c r="I743" s="58">
        <v>0.82708300000000001</v>
      </c>
      <c r="J743" s="57">
        <v>1.48716</v>
      </c>
      <c r="K743" s="56"/>
      <c r="L743" s="56" t="s">
        <v>488</v>
      </c>
    </row>
    <row r="744" spans="2:12" x14ac:dyDescent="0.2">
      <c r="B744" s="62" t="s">
        <v>5273</v>
      </c>
      <c r="C744" s="61" t="s">
        <v>625</v>
      </c>
      <c r="D744" s="60">
        <v>0.94057199999999996</v>
      </c>
      <c r="E744" s="59">
        <v>4.2690700000000001</v>
      </c>
      <c r="F744" s="59">
        <v>6.0816600000000003</v>
      </c>
      <c r="G744" s="56">
        <v>1532.76</v>
      </c>
      <c r="H744" s="56">
        <v>1629.61</v>
      </c>
      <c r="I744" s="58">
        <v>0.58151200000000003</v>
      </c>
      <c r="J744" s="57">
        <v>0.65049000000000001</v>
      </c>
      <c r="K744" s="56"/>
      <c r="L744" s="56" t="s">
        <v>492</v>
      </c>
    </row>
    <row r="745" spans="2:12" x14ac:dyDescent="0.2">
      <c r="B745" s="62" t="s">
        <v>5272</v>
      </c>
      <c r="C745" s="61" t="s">
        <v>1965</v>
      </c>
      <c r="D745" s="60">
        <v>1.3972800000000001</v>
      </c>
      <c r="E745" s="59">
        <v>3.1471300000000002</v>
      </c>
      <c r="F745" s="59">
        <v>4.6888100000000001</v>
      </c>
      <c r="G745" s="56">
        <v>0</v>
      </c>
      <c r="H745" s="56">
        <v>0</v>
      </c>
      <c r="I745" s="58">
        <v>0.423286</v>
      </c>
      <c r="J745" s="57">
        <v>0.400202</v>
      </c>
      <c r="K745" s="56"/>
      <c r="L745" s="56" t="s">
        <v>488</v>
      </c>
    </row>
    <row r="746" spans="2:12" x14ac:dyDescent="0.2">
      <c r="B746" s="62" t="s">
        <v>5271</v>
      </c>
      <c r="C746" s="61" t="s">
        <v>507</v>
      </c>
      <c r="D746" s="60">
        <v>1.71391</v>
      </c>
      <c r="E746" s="59">
        <v>4.78268</v>
      </c>
      <c r="F746" s="59">
        <v>5.8779599999999999</v>
      </c>
      <c r="G746" s="56">
        <v>1313.17</v>
      </c>
      <c r="H746" s="56">
        <v>766.18600000000004</v>
      </c>
      <c r="I746" s="58">
        <v>0.42217199999999999</v>
      </c>
      <c r="J746" s="57">
        <v>0.32205600000000001</v>
      </c>
      <c r="K746" s="56"/>
      <c r="L746" s="56" t="s">
        <v>488</v>
      </c>
    </row>
    <row r="747" spans="2:12" x14ac:dyDescent="0.2">
      <c r="B747" s="62" t="s">
        <v>5270</v>
      </c>
      <c r="C747" s="61" t="s">
        <v>918</v>
      </c>
      <c r="D747" s="60">
        <v>0.52141800000000005</v>
      </c>
      <c r="E747" s="59">
        <v>9.0114699999999992</v>
      </c>
      <c r="F747" s="59">
        <v>20.363099999999999</v>
      </c>
      <c r="G747" s="56">
        <v>1771.67</v>
      </c>
      <c r="H747" s="56">
        <v>3397.8</v>
      </c>
      <c r="I747" s="58">
        <v>0.87079099999999998</v>
      </c>
      <c r="J747" s="57">
        <v>1.6034900000000001</v>
      </c>
      <c r="K747" s="56"/>
      <c r="L747" s="56" t="s">
        <v>488</v>
      </c>
    </row>
    <row r="748" spans="2:12" x14ac:dyDescent="0.2">
      <c r="B748" s="62" t="s">
        <v>5269</v>
      </c>
      <c r="C748" s="61" t="s">
        <v>702</v>
      </c>
      <c r="D748" s="60">
        <v>0.44874599999999998</v>
      </c>
      <c r="E748" s="59">
        <v>8.5907900000000001</v>
      </c>
      <c r="F748" s="59">
        <v>19.42606</v>
      </c>
      <c r="G748" s="56">
        <v>1827.88</v>
      </c>
      <c r="H748" s="56">
        <v>4073.3</v>
      </c>
      <c r="I748" s="58">
        <v>0.86308399999999996</v>
      </c>
      <c r="J748" s="57">
        <v>1.8380700000000001</v>
      </c>
      <c r="K748" s="56"/>
      <c r="L748" s="56" t="s">
        <v>488</v>
      </c>
    </row>
    <row r="749" spans="2:12" x14ac:dyDescent="0.2">
      <c r="B749" s="62" t="s">
        <v>5268</v>
      </c>
      <c r="C749" s="61" t="s">
        <v>510</v>
      </c>
      <c r="D749" s="60">
        <v>1.11612</v>
      </c>
      <c r="E749" s="59">
        <v>2.4843500000000001</v>
      </c>
      <c r="F749" s="59">
        <v>3.6689099999999999</v>
      </c>
      <c r="G749" s="56">
        <v>0</v>
      </c>
      <c r="H749" s="56">
        <v>0</v>
      </c>
      <c r="I749" s="58">
        <v>0.104654</v>
      </c>
      <c r="J749" s="57">
        <v>0.38811499999999999</v>
      </c>
      <c r="K749" s="56"/>
      <c r="L749" s="56" t="s">
        <v>488</v>
      </c>
    </row>
    <row r="750" spans="2:12" x14ac:dyDescent="0.2">
      <c r="B750" s="62" t="s">
        <v>5267</v>
      </c>
      <c r="C750" s="61" t="s">
        <v>510</v>
      </c>
      <c r="D750" s="60">
        <v>1.4139200000000001</v>
      </c>
      <c r="E750" s="59">
        <v>4.7152000000000003</v>
      </c>
      <c r="F750" s="59">
        <v>7.1658099999999996</v>
      </c>
      <c r="G750" s="56">
        <v>1115.83</v>
      </c>
      <c r="H750" s="56">
        <v>789.17200000000003</v>
      </c>
      <c r="I750" s="58">
        <v>0.47947899999999999</v>
      </c>
      <c r="J750" s="57">
        <v>0.37224800000000002</v>
      </c>
      <c r="K750" s="56"/>
      <c r="L750" s="56" t="s">
        <v>488</v>
      </c>
    </row>
    <row r="751" spans="2:12" x14ac:dyDescent="0.2">
      <c r="B751" s="62" t="s">
        <v>5266</v>
      </c>
      <c r="C751" s="61" t="s">
        <v>1031</v>
      </c>
      <c r="D751" s="60">
        <v>1.5907500000000001</v>
      </c>
      <c r="E751" s="59">
        <v>2.72478</v>
      </c>
      <c r="F751" s="59">
        <v>3.46252</v>
      </c>
      <c r="G751" s="56">
        <v>0</v>
      </c>
      <c r="H751" s="56">
        <v>0</v>
      </c>
      <c r="I751" s="58">
        <v>0.13852600000000001</v>
      </c>
      <c r="J751" s="57">
        <v>0.247171</v>
      </c>
      <c r="K751" s="56"/>
      <c r="L751" s="56" t="s">
        <v>488</v>
      </c>
    </row>
    <row r="752" spans="2:12" x14ac:dyDescent="0.2">
      <c r="B752" s="62" t="s">
        <v>5265</v>
      </c>
      <c r="C752" s="61" t="s">
        <v>899</v>
      </c>
      <c r="D752" s="60">
        <v>1.38513</v>
      </c>
      <c r="E752" s="59">
        <v>5.1470099999999999</v>
      </c>
      <c r="F752" s="59">
        <v>6.9230700000000001</v>
      </c>
      <c r="G752" s="56">
        <v>640.04700000000003</v>
      </c>
      <c r="H752" s="56">
        <v>462.08499999999998</v>
      </c>
      <c r="I752" s="58">
        <v>0.26483899999999999</v>
      </c>
      <c r="J752" s="57">
        <v>0.335532</v>
      </c>
      <c r="K752" s="56"/>
      <c r="L752" s="56" t="s">
        <v>488</v>
      </c>
    </row>
    <row r="753" spans="2:12" x14ac:dyDescent="0.2">
      <c r="B753" s="62" t="s">
        <v>5264</v>
      </c>
      <c r="C753" s="61" t="s">
        <v>708</v>
      </c>
      <c r="D753" s="60">
        <v>1.56359</v>
      </c>
      <c r="E753" s="59">
        <v>2.6429900000000002</v>
      </c>
      <c r="F753" s="59">
        <v>3.82979</v>
      </c>
      <c r="G753" s="56">
        <v>0</v>
      </c>
      <c r="H753" s="56">
        <v>0</v>
      </c>
      <c r="I753" s="58">
        <v>0.17657200000000001</v>
      </c>
      <c r="J753" s="57">
        <v>0.26208599999999999</v>
      </c>
      <c r="K753" s="56"/>
      <c r="L753" s="56" t="s">
        <v>488</v>
      </c>
    </row>
    <row r="754" spans="2:12" x14ac:dyDescent="0.2">
      <c r="B754" s="62" t="s">
        <v>5263</v>
      </c>
      <c r="C754" s="61" t="s">
        <v>859</v>
      </c>
      <c r="D754" s="60">
        <v>1.5585599999999999</v>
      </c>
      <c r="E754" s="59">
        <v>4.5205900000000003</v>
      </c>
      <c r="F754" s="59">
        <v>7.0124599999999999</v>
      </c>
      <c r="G754" s="56">
        <v>1097.01</v>
      </c>
      <c r="H754" s="56">
        <v>703.86300000000006</v>
      </c>
      <c r="I754" s="58">
        <v>0.52488800000000002</v>
      </c>
      <c r="J754" s="57">
        <v>0.348744</v>
      </c>
      <c r="K754" s="56"/>
      <c r="L754" s="56" t="s">
        <v>488</v>
      </c>
    </row>
    <row r="755" spans="2:12" x14ac:dyDescent="0.2">
      <c r="B755" s="62" t="s">
        <v>5262</v>
      </c>
      <c r="C755" s="61" t="s">
        <v>499</v>
      </c>
      <c r="D755" s="60">
        <v>1.2075100000000001</v>
      </c>
      <c r="E755" s="59">
        <v>3.3606199999999999</v>
      </c>
      <c r="F755" s="59">
        <v>5.2667799999999998</v>
      </c>
      <c r="G755" s="56">
        <v>0</v>
      </c>
      <c r="H755" s="56">
        <v>0</v>
      </c>
      <c r="I755" s="58">
        <v>0.31731100000000001</v>
      </c>
      <c r="J755" s="57">
        <v>0.41203899999999999</v>
      </c>
      <c r="K755" s="56"/>
      <c r="L755" s="56" t="s">
        <v>488</v>
      </c>
    </row>
    <row r="756" spans="2:12" x14ac:dyDescent="0.2">
      <c r="B756" s="62" t="s">
        <v>5261</v>
      </c>
      <c r="C756" s="61" t="s">
        <v>1096</v>
      </c>
      <c r="D756" s="60">
        <v>2.12696</v>
      </c>
      <c r="E756" s="59">
        <v>3.3277700000000001</v>
      </c>
      <c r="F756" s="59">
        <v>3.7311800000000002</v>
      </c>
      <c r="G756" s="56">
        <v>0</v>
      </c>
      <c r="H756" s="56">
        <v>0</v>
      </c>
      <c r="I756" s="58">
        <v>0.12014</v>
      </c>
      <c r="J756" s="57">
        <v>0.17089399999999999</v>
      </c>
      <c r="K756" s="56"/>
      <c r="L756" s="56" t="s">
        <v>488</v>
      </c>
    </row>
    <row r="757" spans="2:12" x14ac:dyDescent="0.2">
      <c r="B757" s="62" t="s">
        <v>5260</v>
      </c>
      <c r="C757" s="61" t="s">
        <v>1096</v>
      </c>
      <c r="D757" s="60">
        <v>2.1249400000000001</v>
      </c>
      <c r="E757" s="59">
        <v>3.1179999999999999</v>
      </c>
      <c r="F757" s="59">
        <v>3.6560800000000002</v>
      </c>
      <c r="G757" s="56">
        <v>0</v>
      </c>
      <c r="H757" s="56">
        <v>0</v>
      </c>
      <c r="I757" s="58">
        <v>0.13014300000000001</v>
      </c>
      <c r="J757" s="57">
        <v>0.17067399999999999</v>
      </c>
      <c r="K757" s="56"/>
      <c r="L757" s="56" t="s">
        <v>488</v>
      </c>
    </row>
    <row r="758" spans="2:12" x14ac:dyDescent="0.2">
      <c r="B758" s="62" t="s">
        <v>5259</v>
      </c>
      <c r="C758" s="61" t="s">
        <v>502</v>
      </c>
      <c r="D758" s="60">
        <v>0.71214100000000002</v>
      </c>
      <c r="E758" s="59">
        <v>13.44364</v>
      </c>
      <c r="F758" s="59">
        <v>15.14217</v>
      </c>
      <c r="G758" s="56">
        <v>1660.86</v>
      </c>
      <c r="H758" s="56">
        <v>2332.2199999999998</v>
      </c>
      <c r="I758" s="58">
        <v>0.72414000000000001</v>
      </c>
      <c r="J758" s="57">
        <v>0.99540600000000001</v>
      </c>
      <c r="K758" s="56"/>
      <c r="L758" s="56" t="s">
        <v>488</v>
      </c>
    </row>
    <row r="759" spans="2:12" x14ac:dyDescent="0.2">
      <c r="B759" s="62" t="s">
        <v>5258</v>
      </c>
      <c r="C759" s="61" t="s">
        <v>502</v>
      </c>
      <c r="D759" s="60">
        <v>1.4948300000000001</v>
      </c>
      <c r="E759" s="59">
        <v>3.7964199999999999</v>
      </c>
      <c r="F759" s="59">
        <v>4.6784999999999997</v>
      </c>
      <c r="G759" s="56">
        <v>422.05200000000002</v>
      </c>
      <c r="H759" s="56">
        <v>282.34100000000001</v>
      </c>
      <c r="I759" s="58">
        <v>0.31646000000000002</v>
      </c>
      <c r="J759" s="57">
        <v>0.32877200000000001</v>
      </c>
      <c r="K759" s="56"/>
      <c r="L759" s="56" t="s">
        <v>488</v>
      </c>
    </row>
    <row r="760" spans="2:12" x14ac:dyDescent="0.2">
      <c r="B760" s="62" t="s">
        <v>5257</v>
      </c>
      <c r="C760" s="61" t="s">
        <v>502</v>
      </c>
      <c r="D760" s="60">
        <v>1.3052699999999999</v>
      </c>
      <c r="E760" s="59">
        <v>2.9645999999999999</v>
      </c>
      <c r="F760" s="59">
        <v>5.8279300000000003</v>
      </c>
      <c r="G760" s="56">
        <v>0</v>
      </c>
      <c r="H760" s="56">
        <v>0</v>
      </c>
      <c r="I760" s="58">
        <v>0.26029799999999997</v>
      </c>
      <c r="J760" s="57">
        <v>0.36230800000000002</v>
      </c>
      <c r="K760" s="56"/>
      <c r="L760" s="56" t="s">
        <v>488</v>
      </c>
    </row>
    <row r="761" spans="2:12" x14ac:dyDescent="0.2">
      <c r="B761" s="62" t="s">
        <v>5256</v>
      </c>
      <c r="C761" s="61" t="s">
        <v>502</v>
      </c>
      <c r="D761" s="60">
        <v>1.0865100000000001</v>
      </c>
      <c r="E761" s="59">
        <v>5.3602699999999999</v>
      </c>
      <c r="F761" s="59">
        <v>6.6243499999999997</v>
      </c>
      <c r="G761" s="56">
        <v>2314.9899999999998</v>
      </c>
      <c r="H761" s="56">
        <v>2137.41</v>
      </c>
      <c r="I761" s="58">
        <v>0.55879000000000001</v>
      </c>
      <c r="J761" s="57">
        <v>0.68133999999999995</v>
      </c>
      <c r="K761" s="56"/>
      <c r="L761" s="56" t="s">
        <v>488</v>
      </c>
    </row>
    <row r="762" spans="2:12" x14ac:dyDescent="0.2">
      <c r="B762" s="62" t="s">
        <v>5255</v>
      </c>
      <c r="C762" s="61" t="s">
        <v>502</v>
      </c>
      <c r="D762" s="60">
        <v>1.08308</v>
      </c>
      <c r="E762" s="59">
        <v>5.3724400000000001</v>
      </c>
      <c r="F762" s="59">
        <v>6.63462</v>
      </c>
      <c r="G762" s="56">
        <v>2354.9299999999998</v>
      </c>
      <c r="H762" s="56">
        <v>2182.62</v>
      </c>
      <c r="I762" s="58">
        <v>0.55858099999999999</v>
      </c>
      <c r="J762" s="57">
        <v>0.68352400000000002</v>
      </c>
      <c r="K762" s="56"/>
      <c r="L762" s="56" t="s">
        <v>488</v>
      </c>
    </row>
    <row r="763" spans="2:12" x14ac:dyDescent="0.2">
      <c r="B763" s="62" t="s">
        <v>5254</v>
      </c>
      <c r="C763" s="61" t="s">
        <v>502</v>
      </c>
      <c r="D763" s="60">
        <v>1.0789500000000001</v>
      </c>
      <c r="E763" s="59">
        <v>5.3653700000000004</v>
      </c>
      <c r="F763" s="59">
        <v>6.6222599999999998</v>
      </c>
      <c r="G763" s="56">
        <v>2262.25</v>
      </c>
      <c r="H763" s="56">
        <v>2082.12</v>
      </c>
      <c r="I763" s="58">
        <v>0.55884500000000004</v>
      </c>
      <c r="J763" s="57">
        <v>0.68735999999999997</v>
      </c>
      <c r="K763" s="56"/>
      <c r="L763" s="56" t="s">
        <v>488</v>
      </c>
    </row>
    <row r="764" spans="2:12" x14ac:dyDescent="0.2">
      <c r="B764" s="62" t="s">
        <v>5253</v>
      </c>
      <c r="C764" s="61" t="s">
        <v>535</v>
      </c>
      <c r="D764" s="60">
        <v>0.68586999999999998</v>
      </c>
      <c r="E764" s="59">
        <v>13.54682</v>
      </c>
      <c r="F764" s="59">
        <v>18.250129999999999</v>
      </c>
      <c r="G764" s="56">
        <v>1348.86</v>
      </c>
      <c r="H764" s="56">
        <v>1966.65</v>
      </c>
      <c r="I764" s="58">
        <v>0.74282800000000004</v>
      </c>
      <c r="J764" s="57">
        <v>1.14327</v>
      </c>
      <c r="K764" s="56"/>
      <c r="L764" s="56" t="s">
        <v>488</v>
      </c>
    </row>
    <row r="765" spans="2:12" x14ac:dyDescent="0.2">
      <c r="B765" s="62" t="s">
        <v>5252</v>
      </c>
      <c r="C765" s="61" t="s">
        <v>632</v>
      </c>
      <c r="D765" s="60">
        <v>1.16046</v>
      </c>
      <c r="E765" s="59">
        <v>6.3929299999999998</v>
      </c>
      <c r="F765" s="59">
        <v>6.92075</v>
      </c>
      <c r="G765" s="56">
        <v>1316.72</v>
      </c>
      <c r="H765" s="56">
        <v>1134.6500000000001</v>
      </c>
      <c r="I765" s="58">
        <v>0.585032</v>
      </c>
      <c r="J765" s="57">
        <v>0.50961599999999996</v>
      </c>
      <c r="K765" s="56"/>
      <c r="L765" s="56" t="s">
        <v>488</v>
      </c>
    </row>
    <row r="766" spans="2:12" x14ac:dyDescent="0.2">
      <c r="B766" s="62" t="s">
        <v>5251</v>
      </c>
      <c r="C766" s="61" t="s">
        <v>632</v>
      </c>
      <c r="D766" s="60">
        <v>1.2349300000000001</v>
      </c>
      <c r="E766" s="59">
        <v>5.5604399999999998</v>
      </c>
      <c r="F766" s="59">
        <v>5.8385800000000003</v>
      </c>
      <c r="G766" s="56">
        <v>1107.26</v>
      </c>
      <c r="H766" s="56">
        <v>896.62199999999996</v>
      </c>
      <c r="I766" s="58">
        <v>0.58416400000000002</v>
      </c>
      <c r="J766" s="57">
        <v>0.46789199999999997</v>
      </c>
      <c r="K766" s="56"/>
      <c r="L766" s="56" t="s">
        <v>488</v>
      </c>
    </row>
    <row r="767" spans="2:12" x14ac:dyDescent="0.2">
      <c r="B767" s="62" t="s">
        <v>5250</v>
      </c>
      <c r="C767" s="61" t="s">
        <v>641</v>
      </c>
      <c r="D767" s="60">
        <v>2.2841399999999998</v>
      </c>
      <c r="E767" s="59">
        <v>3.1620499999999998</v>
      </c>
      <c r="F767" s="59">
        <v>3.5518900000000002</v>
      </c>
      <c r="G767" s="56">
        <v>0</v>
      </c>
      <c r="H767" s="56">
        <v>0</v>
      </c>
      <c r="I767" s="58">
        <v>0.23169400000000001</v>
      </c>
      <c r="J767" s="57">
        <v>0.17666799999999999</v>
      </c>
      <c r="K767" s="56"/>
      <c r="L767" s="56" t="s">
        <v>488</v>
      </c>
    </row>
    <row r="768" spans="2:12" x14ac:dyDescent="0.2">
      <c r="B768" s="62" t="s">
        <v>5249</v>
      </c>
      <c r="C768" s="61" t="s">
        <v>507</v>
      </c>
      <c r="D768" s="60">
        <v>2.30755</v>
      </c>
      <c r="E768" s="59">
        <v>3.1485500000000002</v>
      </c>
      <c r="F768" s="59">
        <v>3.53593</v>
      </c>
      <c r="G768" s="56">
        <v>0</v>
      </c>
      <c r="H768" s="56">
        <v>0</v>
      </c>
      <c r="I768" s="58">
        <v>0.231714</v>
      </c>
      <c r="J768" s="57">
        <v>0.17410100000000001</v>
      </c>
      <c r="K768" s="56"/>
      <c r="L768" s="56" t="s">
        <v>488</v>
      </c>
    </row>
    <row r="769" spans="2:12" x14ac:dyDescent="0.2">
      <c r="B769" s="62" t="s">
        <v>5248</v>
      </c>
      <c r="C769" s="61" t="s">
        <v>579</v>
      </c>
      <c r="D769" s="60">
        <v>2.3309099999999998</v>
      </c>
      <c r="E769" s="59">
        <v>3.1326900000000002</v>
      </c>
      <c r="F769" s="59">
        <v>3.5360499999999999</v>
      </c>
      <c r="G769" s="56">
        <v>0</v>
      </c>
      <c r="H769" s="56">
        <v>0</v>
      </c>
      <c r="I769" s="58">
        <v>0.22874700000000001</v>
      </c>
      <c r="J769" s="57">
        <v>0.17133899999999999</v>
      </c>
      <c r="K769" s="56"/>
      <c r="L769" s="56" t="s">
        <v>488</v>
      </c>
    </row>
    <row r="770" spans="2:12" x14ac:dyDescent="0.2">
      <c r="B770" s="62" t="s">
        <v>5247</v>
      </c>
      <c r="C770" s="61" t="s">
        <v>541</v>
      </c>
      <c r="D770" s="60">
        <v>2.37147</v>
      </c>
      <c r="E770" s="59">
        <v>3.11145</v>
      </c>
      <c r="F770" s="59">
        <v>3.5158299999999998</v>
      </c>
      <c r="G770" s="56">
        <v>0</v>
      </c>
      <c r="H770" s="56">
        <v>0</v>
      </c>
      <c r="I770" s="58">
        <v>0.228825</v>
      </c>
      <c r="J770" s="57">
        <v>0.167325</v>
      </c>
      <c r="K770" s="56"/>
      <c r="L770" s="56" t="s">
        <v>488</v>
      </c>
    </row>
    <row r="771" spans="2:12" x14ac:dyDescent="0.2">
      <c r="B771" s="62" t="s">
        <v>5246</v>
      </c>
      <c r="C771" s="61" t="s">
        <v>582</v>
      </c>
      <c r="D771" s="60">
        <v>2.4422000000000001</v>
      </c>
      <c r="E771" s="59">
        <v>3.0704400000000001</v>
      </c>
      <c r="F771" s="59">
        <v>3.4956399999999999</v>
      </c>
      <c r="G771" s="56">
        <v>0</v>
      </c>
      <c r="H771" s="56">
        <v>0</v>
      </c>
      <c r="I771" s="58">
        <v>0.227991</v>
      </c>
      <c r="J771" s="57">
        <v>0.16094800000000001</v>
      </c>
      <c r="K771" s="56"/>
      <c r="L771" s="56" t="s">
        <v>488</v>
      </c>
    </row>
    <row r="772" spans="2:12" x14ac:dyDescent="0.2">
      <c r="B772" s="62" t="s">
        <v>5245</v>
      </c>
      <c r="C772" s="61" t="s">
        <v>531</v>
      </c>
      <c r="D772" s="60">
        <v>2.45905</v>
      </c>
      <c r="E772" s="59">
        <v>3.06352</v>
      </c>
      <c r="F772" s="59">
        <v>3.4931999999999999</v>
      </c>
      <c r="G772" s="56">
        <v>0</v>
      </c>
      <c r="H772" s="56">
        <v>0</v>
      </c>
      <c r="I772" s="58">
        <v>0.224525</v>
      </c>
      <c r="J772" s="57">
        <v>0.15947700000000001</v>
      </c>
      <c r="K772" s="56"/>
      <c r="L772" s="56" t="s">
        <v>488</v>
      </c>
    </row>
    <row r="773" spans="2:12" x14ac:dyDescent="0.2">
      <c r="B773" s="62" t="s">
        <v>5244</v>
      </c>
      <c r="C773" s="61" t="s">
        <v>550</v>
      </c>
      <c r="D773" s="60">
        <v>1.71156</v>
      </c>
      <c r="E773" s="59">
        <v>2.4570699999999999</v>
      </c>
      <c r="F773" s="59">
        <v>4.1760099999999998</v>
      </c>
      <c r="G773" s="56">
        <v>0</v>
      </c>
      <c r="H773" s="56">
        <v>0</v>
      </c>
      <c r="I773" s="58">
        <v>0.13949800000000001</v>
      </c>
      <c r="J773" s="57">
        <v>0.24678700000000001</v>
      </c>
      <c r="K773" s="56"/>
      <c r="L773" s="56" t="s">
        <v>492</v>
      </c>
    </row>
    <row r="774" spans="2:12" x14ac:dyDescent="0.2">
      <c r="B774" s="62" t="s">
        <v>5243</v>
      </c>
      <c r="C774" s="61" t="s">
        <v>495</v>
      </c>
      <c r="D774" s="60">
        <v>1.1841999999999999</v>
      </c>
      <c r="E774" s="59">
        <v>2.42197</v>
      </c>
      <c r="F774" s="59">
        <v>4.5493199999999998</v>
      </c>
      <c r="G774" s="56">
        <v>0</v>
      </c>
      <c r="H774" s="56">
        <v>0</v>
      </c>
      <c r="I774" s="58">
        <v>0.35621599999999998</v>
      </c>
      <c r="J774" s="57">
        <v>0.41167799999999999</v>
      </c>
      <c r="K774" s="56"/>
      <c r="L774" s="56" t="s">
        <v>488</v>
      </c>
    </row>
    <row r="775" spans="2:12" x14ac:dyDescent="0.2">
      <c r="B775" s="62" t="s">
        <v>5242</v>
      </c>
      <c r="C775" s="61" t="s">
        <v>526</v>
      </c>
      <c r="D775" s="60">
        <v>1.1727300000000001</v>
      </c>
      <c r="E775" s="59">
        <v>4.12791</v>
      </c>
      <c r="F775" s="59">
        <v>4.5433000000000003</v>
      </c>
      <c r="G775" s="56">
        <v>434.16899999999998</v>
      </c>
      <c r="H775" s="56">
        <v>370.221</v>
      </c>
      <c r="I775" s="58">
        <v>0.30333300000000002</v>
      </c>
      <c r="J775" s="57">
        <v>0.422788</v>
      </c>
      <c r="K775" s="56"/>
      <c r="L775" s="56" t="s">
        <v>492</v>
      </c>
    </row>
    <row r="776" spans="2:12" x14ac:dyDescent="0.2">
      <c r="B776" s="62" t="s">
        <v>5241</v>
      </c>
      <c r="C776" s="61" t="s">
        <v>798</v>
      </c>
      <c r="D776" s="60">
        <v>1.2849200000000001</v>
      </c>
      <c r="E776" s="59">
        <v>3.5005000000000002</v>
      </c>
      <c r="F776" s="59">
        <v>3.8338700000000001</v>
      </c>
      <c r="G776" s="56">
        <v>0</v>
      </c>
      <c r="H776" s="56">
        <v>0</v>
      </c>
      <c r="I776" s="58">
        <v>0.251494</v>
      </c>
      <c r="J776" s="57">
        <v>0.36795600000000001</v>
      </c>
      <c r="K776" s="56"/>
      <c r="L776" s="56" t="s">
        <v>488</v>
      </c>
    </row>
    <row r="777" spans="2:12" x14ac:dyDescent="0.2">
      <c r="B777" s="62" t="s">
        <v>5240</v>
      </c>
      <c r="C777" s="61" t="s">
        <v>2431</v>
      </c>
      <c r="D777" s="60">
        <v>1.179</v>
      </c>
      <c r="E777" s="59">
        <v>3.6587700000000001</v>
      </c>
      <c r="F777" s="59">
        <v>5.3124099999999999</v>
      </c>
      <c r="G777" s="56">
        <v>0</v>
      </c>
      <c r="H777" s="56">
        <v>0</v>
      </c>
      <c r="I777" s="58">
        <v>0.39787600000000001</v>
      </c>
      <c r="J777" s="57">
        <v>0.374614</v>
      </c>
      <c r="K777" s="56"/>
      <c r="L777" s="56" t="s">
        <v>488</v>
      </c>
    </row>
    <row r="778" spans="2:12" x14ac:dyDescent="0.2">
      <c r="B778" s="62" t="s">
        <v>5239</v>
      </c>
      <c r="C778" s="61" t="s">
        <v>502</v>
      </c>
      <c r="D778" s="60">
        <v>0.88510100000000003</v>
      </c>
      <c r="E778" s="59">
        <v>6.69712</v>
      </c>
      <c r="F778" s="59">
        <v>13.26301</v>
      </c>
      <c r="G778" s="56">
        <v>1826.52</v>
      </c>
      <c r="H778" s="56">
        <v>2058.5300000000002</v>
      </c>
      <c r="I778" s="58">
        <v>0.76133200000000001</v>
      </c>
      <c r="J778" s="57">
        <v>0.81508400000000003</v>
      </c>
      <c r="K778" s="56"/>
      <c r="L778" s="56" t="s">
        <v>488</v>
      </c>
    </row>
    <row r="779" spans="2:12" x14ac:dyDescent="0.2">
      <c r="B779" s="62" t="s">
        <v>5238</v>
      </c>
      <c r="C779" s="61" t="s">
        <v>502</v>
      </c>
      <c r="D779" s="60">
        <v>0.88729100000000005</v>
      </c>
      <c r="E779" s="59">
        <v>6.6895899999999999</v>
      </c>
      <c r="F779" s="59">
        <v>13.26432</v>
      </c>
      <c r="G779" s="56">
        <v>1829.45</v>
      </c>
      <c r="H779" s="56">
        <v>2061.7800000000002</v>
      </c>
      <c r="I779" s="58">
        <v>0.76400900000000005</v>
      </c>
      <c r="J779" s="57">
        <v>0.81322399999999995</v>
      </c>
      <c r="K779" s="56"/>
      <c r="L779" s="56" t="s">
        <v>488</v>
      </c>
    </row>
    <row r="780" spans="2:12" x14ac:dyDescent="0.2">
      <c r="B780" s="62" t="s">
        <v>5237</v>
      </c>
      <c r="C780" s="61" t="s">
        <v>502</v>
      </c>
      <c r="D780" s="60">
        <v>0.88731899999999997</v>
      </c>
      <c r="E780" s="59">
        <v>6.6883900000000001</v>
      </c>
      <c r="F780" s="59">
        <v>13.265969999999999</v>
      </c>
      <c r="G780" s="56">
        <v>1829.04</v>
      </c>
      <c r="H780" s="56">
        <v>2061.94</v>
      </c>
      <c r="I780" s="58">
        <v>0.76455600000000001</v>
      </c>
      <c r="J780" s="57">
        <v>0.81318500000000005</v>
      </c>
      <c r="K780" s="56"/>
      <c r="L780" s="56" t="s">
        <v>488</v>
      </c>
    </row>
    <row r="781" spans="2:12" x14ac:dyDescent="0.2">
      <c r="B781" s="62" t="s">
        <v>5236</v>
      </c>
      <c r="C781" s="61" t="s">
        <v>502</v>
      </c>
      <c r="D781" s="60">
        <v>0.88704700000000003</v>
      </c>
      <c r="E781" s="59">
        <v>6.6882999999999999</v>
      </c>
      <c r="F781" s="59">
        <v>13.267379999999999</v>
      </c>
      <c r="G781" s="56">
        <v>1831.78</v>
      </c>
      <c r="H781" s="56">
        <v>2065.4299999999998</v>
      </c>
      <c r="I781" s="58">
        <v>0.76169699999999996</v>
      </c>
      <c r="J781" s="57">
        <v>0.81322300000000003</v>
      </c>
      <c r="K781" s="56"/>
      <c r="L781" s="56" t="s">
        <v>488</v>
      </c>
    </row>
    <row r="782" spans="2:12" x14ac:dyDescent="0.2">
      <c r="B782" s="62" t="s">
        <v>5235</v>
      </c>
      <c r="C782" s="61" t="s">
        <v>502</v>
      </c>
      <c r="D782" s="60">
        <v>0.88687499999999997</v>
      </c>
      <c r="E782" s="59">
        <v>6.6884800000000002</v>
      </c>
      <c r="F782" s="59">
        <v>13.269590000000001</v>
      </c>
      <c r="G782" s="56">
        <v>1829.79</v>
      </c>
      <c r="H782" s="56">
        <v>2063.7600000000002</v>
      </c>
      <c r="I782" s="58">
        <v>0.76363199999999998</v>
      </c>
      <c r="J782" s="57">
        <v>0.81356899999999999</v>
      </c>
      <c r="K782" s="56"/>
      <c r="L782" s="56" t="s">
        <v>488</v>
      </c>
    </row>
    <row r="783" spans="2:12" x14ac:dyDescent="0.2">
      <c r="B783" s="62" t="s">
        <v>5234</v>
      </c>
      <c r="C783" s="61" t="s">
        <v>502</v>
      </c>
      <c r="D783" s="60">
        <v>0.88663099999999995</v>
      </c>
      <c r="E783" s="59">
        <v>6.6862599999999999</v>
      </c>
      <c r="F783" s="59">
        <v>13.27192</v>
      </c>
      <c r="G783" s="56">
        <v>1831.77</v>
      </c>
      <c r="H783" s="56">
        <v>2066.46</v>
      </c>
      <c r="I783" s="58">
        <v>0.76243700000000003</v>
      </c>
      <c r="J783" s="57">
        <v>0.81372999999999995</v>
      </c>
      <c r="K783" s="56"/>
      <c r="L783" s="56" t="s">
        <v>488</v>
      </c>
    </row>
    <row r="784" spans="2:12" x14ac:dyDescent="0.2">
      <c r="B784" s="62" t="s">
        <v>5233</v>
      </c>
      <c r="C784" s="61" t="s">
        <v>502</v>
      </c>
      <c r="D784" s="60">
        <v>0.88643099999999997</v>
      </c>
      <c r="E784" s="59">
        <v>6.6866399999999997</v>
      </c>
      <c r="F784" s="59">
        <v>13.27327</v>
      </c>
      <c r="G784" s="56">
        <v>1831.52</v>
      </c>
      <c r="H784" s="56">
        <v>2066.41</v>
      </c>
      <c r="I784" s="58">
        <v>0.763096</v>
      </c>
      <c r="J784" s="57">
        <v>0.81399200000000005</v>
      </c>
      <c r="K784" s="56"/>
      <c r="L784" s="56" t="s">
        <v>488</v>
      </c>
    </row>
    <row r="785" spans="2:12" x14ac:dyDescent="0.2">
      <c r="B785" s="62" t="s">
        <v>5232</v>
      </c>
      <c r="C785" s="61" t="s">
        <v>502</v>
      </c>
      <c r="D785" s="60">
        <v>0.88633099999999998</v>
      </c>
      <c r="E785" s="59">
        <v>6.6821599999999997</v>
      </c>
      <c r="F785" s="59">
        <v>13.275600000000001</v>
      </c>
      <c r="G785" s="56">
        <v>1830.47</v>
      </c>
      <c r="H785" s="56">
        <v>2066.12</v>
      </c>
      <c r="I785" s="58">
        <v>0.76264900000000002</v>
      </c>
      <c r="J785" s="57">
        <v>0.81403800000000004</v>
      </c>
      <c r="K785" s="56"/>
      <c r="L785" s="56" t="s">
        <v>488</v>
      </c>
    </row>
    <row r="786" spans="2:12" x14ac:dyDescent="0.2">
      <c r="B786" s="62" t="s">
        <v>5231</v>
      </c>
      <c r="C786" s="61" t="s">
        <v>502</v>
      </c>
      <c r="D786" s="60">
        <v>0.88594399999999995</v>
      </c>
      <c r="E786" s="59">
        <v>6.6824300000000001</v>
      </c>
      <c r="F786" s="59">
        <v>13.27641</v>
      </c>
      <c r="G786" s="56">
        <v>1831.04</v>
      </c>
      <c r="H786" s="56">
        <v>2066.94</v>
      </c>
      <c r="I786" s="58">
        <v>0.76293</v>
      </c>
      <c r="J786" s="57">
        <v>0.81425199999999998</v>
      </c>
      <c r="K786" s="56"/>
      <c r="L786" s="56" t="s">
        <v>488</v>
      </c>
    </row>
    <row r="787" spans="2:12" x14ac:dyDescent="0.2">
      <c r="B787" s="62" t="s">
        <v>5230</v>
      </c>
      <c r="C787" s="61" t="s">
        <v>502</v>
      </c>
      <c r="D787" s="60">
        <v>0.88587300000000002</v>
      </c>
      <c r="E787" s="59">
        <v>6.6814799999999996</v>
      </c>
      <c r="F787" s="59">
        <v>13.277419999999999</v>
      </c>
      <c r="G787" s="56">
        <v>1830.79</v>
      </c>
      <c r="H787" s="56">
        <v>2066.98</v>
      </c>
      <c r="I787" s="58">
        <v>0.76297700000000002</v>
      </c>
      <c r="J787" s="57">
        <v>0.81432400000000005</v>
      </c>
      <c r="K787" s="56"/>
      <c r="L787" s="56" t="s">
        <v>488</v>
      </c>
    </row>
    <row r="788" spans="2:12" x14ac:dyDescent="0.2">
      <c r="B788" s="62" t="s">
        <v>5229</v>
      </c>
      <c r="C788" s="61" t="s">
        <v>502</v>
      </c>
      <c r="D788" s="60">
        <v>0.88573000000000002</v>
      </c>
      <c r="E788" s="59">
        <v>6.6805899999999996</v>
      </c>
      <c r="F788" s="59">
        <v>13.279109999999999</v>
      </c>
      <c r="G788" s="56">
        <v>1831.53</v>
      </c>
      <c r="H788" s="56">
        <v>2068.1799999999998</v>
      </c>
      <c r="I788" s="58">
        <v>0.76313399999999998</v>
      </c>
      <c r="J788" s="57">
        <v>0.81447599999999998</v>
      </c>
      <c r="K788" s="56"/>
      <c r="L788" s="56" t="s">
        <v>488</v>
      </c>
    </row>
    <row r="789" spans="2:12" x14ac:dyDescent="0.2">
      <c r="B789" s="62" t="s">
        <v>5228</v>
      </c>
      <c r="C789" s="61" t="s">
        <v>502</v>
      </c>
      <c r="D789" s="60">
        <v>0.88557300000000005</v>
      </c>
      <c r="E789" s="59">
        <v>6.6834800000000003</v>
      </c>
      <c r="F789" s="59">
        <v>13.282109999999999</v>
      </c>
      <c r="G789" s="56">
        <v>1829.34</v>
      </c>
      <c r="H789" s="56">
        <v>2066.58</v>
      </c>
      <c r="I789" s="58">
        <v>0.76409199999999999</v>
      </c>
      <c r="J789" s="57">
        <v>0.81464000000000003</v>
      </c>
      <c r="K789" s="56"/>
      <c r="L789" s="56" t="s">
        <v>488</v>
      </c>
    </row>
    <row r="790" spans="2:12" x14ac:dyDescent="0.2">
      <c r="B790" s="62" t="s">
        <v>5227</v>
      </c>
      <c r="C790" s="61" t="s">
        <v>502</v>
      </c>
      <c r="D790" s="60">
        <v>0.88520100000000002</v>
      </c>
      <c r="E790" s="59">
        <v>6.6825900000000003</v>
      </c>
      <c r="F790" s="59">
        <v>13.283659999999999</v>
      </c>
      <c r="G790" s="56">
        <v>1831.59</v>
      </c>
      <c r="H790" s="56">
        <v>2069.4899999999998</v>
      </c>
      <c r="I790" s="58">
        <v>0.76275400000000004</v>
      </c>
      <c r="J790" s="57">
        <v>0.81491899999999995</v>
      </c>
      <c r="K790" s="56"/>
      <c r="L790" s="56" t="s">
        <v>488</v>
      </c>
    </row>
    <row r="791" spans="2:12" x14ac:dyDescent="0.2">
      <c r="B791" s="62" t="s">
        <v>5226</v>
      </c>
      <c r="C791" s="61" t="s">
        <v>502</v>
      </c>
      <c r="D791" s="60">
        <v>0.88504400000000005</v>
      </c>
      <c r="E791" s="59">
        <v>6.6818299999999997</v>
      </c>
      <c r="F791" s="59">
        <v>13.282080000000001</v>
      </c>
      <c r="G791" s="56">
        <v>1830.52</v>
      </c>
      <c r="H791" s="56">
        <v>2067.8200000000002</v>
      </c>
      <c r="I791" s="58">
        <v>0.763073</v>
      </c>
      <c r="J791" s="57">
        <v>0.81514600000000004</v>
      </c>
      <c r="K791" s="56"/>
      <c r="L791" s="56" t="s">
        <v>488</v>
      </c>
    </row>
    <row r="792" spans="2:12" x14ac:dyDescent="0.2">
      <c r="B792" s="62" t="s">
        <v>5225</v>
      </c>
      <c r="C792" s="61" t="s">
        <v>502</v>
      </c>
      <c r="D792" s="60">
        <v>0.88524400000000003</v>
      </c>
      <c r="E792" s="59">
        <v>6.6834800000000003</v>
      </c>
      <c r="F792" s="59">
        <v>13.281370000000001</v>
      </c>
      <c r="G792" s="56">
        <v>1828.59</v>
      </c>
      <c r="H792" s="56">
        <v>2065.73</v>
      </c>
      <c r="I792" s="58">
        <v>0.76301200000000002</v>
      </c>
      <c r="J792" s="57">
        <v>0.81481700000000001</v>
      </c>
      <c r="K792" s="56"/>
      <c r="L792" s="56" t="s">
        <v>488</v>
      </c>
    </row>
    <row r="793" spans="2:12" x14ac:dyDescent="0.2">
      <c r="B793" s="62" t="s">
        <v>5224</v>
      </c>
      <c r="C793" s="61" t="s">
        <v>502</v>
      </c>
      <c r="D793" s="60">
        <v>0.88520100000000002</v>
      </c>
      <c r="E793" s="59">
        <v>6.6850199999999997</v>
      </c>
      <c r="F793" s="59">
        <v>13.281079999999999</v>
      </c>
      <c r="G793" s="56">
        <v>1830.35</v>
      </c>
      <c r="H793" s="56">
        <v>2067.7600000000002</v>
      </c>
      <c r="I793" s="58">
        <v>0.76276500000000003</v>
      </c>
      <c r="J793" s="57">
        <v>0.81487699999999996</v>
      </c>
      <c r="K793" s="56"/>
      <c r="L793" s="56" t="s">
        <v>488</v>
      </c>
    </row>
    <row r="794" spans="2:12" x14ac:dyDescent="0.2">
      <c r="B794" s="62" t="s">
        <v>5223</v>
      </c>
      <c r="C794" s="61" t="s">
        <v>502</v>
      </c>
      <c r="D794" s="60">
        <v>0.88518699999999995</v>
      </c>
      <c r="E794" s="59">
        <v>6.68675</v>
      </c>
      <c r="F794" s="59">
        <v>13.27835</v>
      </c>
      <c r="G794" s="56">
        <v>1830.99</v>
      </c>
      <c r="H794" s="56">
        <v>2067.7199999999998</v>
      </c>
      <c r="I794" s="58">
        <v>0.76375800000000005</v>
      </c>
      <c r="J794" s="57">
        <v>0.81502200000000002</v>
      </c>
      <c r="K794" s="56"/>
      <c r="L794" s="56" t="s">
        <v>488</v>
      </c>
    </row>
    <row r="795" spans="2:12" x14ac:dyDescent="0.2">
      <c r="B795" s="62" t="s">
        <v>5222</v>
      </c>
      <c r="C795" s="61" t="s">
        <v>502</v>
      </c>
      <c r="D795" s="60">
        <v>0.88551500000000005</v>
      </c>
      <c r="E795" s="59">
        <v>6.68377</v>
      </c>
      <c r="F795" s="59">
        <v>13.27736</v>
      </c>
      <c r="G795" s="56">
        <v>1831.28</v>
      </c>
      <c r="H795" s="56">
        <v>2067.5700000000002</v>
      </c>
      <c r="I795" s="58">
        <v>0.76248199999999999</v>
      </c>
      <c r="J795" s="57">
        <v>0.81470699999999996</v>
      </c>
      <c r="K795" s="56"/>
      <c r="L795" s="56" t="s">
        <v>488</v>
      </c>
    </row>
    <row r="796" spans="2:12" x14ac:dyDescent="0.2">
      <c r="B796" s="62" t="s">
        <v>5221</v>
      </c>
      <c r="C796" s="61" t="s">
        <v>502</v>
      </c>
      <c r="D796" s="60">
        <v>0.88571599999999995</v>
      </c>
      <c r="E796" s="59">
        <v>6.6886799999999997</v>
      </c>
      <c r="F796" s="59">
        <v>13.275119999999999</v>
      </c>
      <c r="G796" s="56">
        <v>1829.6</v>
      </c>
      <c r="H796" s="56">
        <v>2065.0500000000002</v>
      </c>
      <c r="I796" s="58">
        <v>0.76325500000000002</v>
      </c>
      <c r="J796" s="57">
        <v>0.81466400000000005</v>
      </c>
      <c r="K796" s="56"/>
      <c r="L796" s="56" t="s">
        <v>488</v>
      </c>
    </row>
    <row r="797" spans="2:12" x14ac:dyDescent="0.2">
      <c r="B797" s="62" t="s">
        <v>5220</v>
      </c>
      <c r="C797" s="61" t="s">
        <v>502</v>
      </c>
      <c r="D797" s="60">
        <v>0.88598699999999997</v>
      </c>
      <c r="E797" s="59">
        <v>6.6896100000000001</v>
      </c>
      <c r="F797" s="59">
        <v>13.27345</v>
      </c>
      <c r="G797" s="56">
        <v>1832.82</v>
      </c>
      <c r="H797" s="56">
        <v>2068.38</v>
      </c>
      <c r="I797" s="58">
        <v>0.76251000000000002</v>
      </c>
      <c r="J797" s="57">
        <v>0.81432800000000005</v>
      </c>
      <c r="K797" s="56"/>
      <c r="L797" s="56" t="s">
        <v>488</v>
      </c>
    </row>
    <row r="798" spans="2:12" x14ac:dyDescent="0.2">
      <c r="B798" s="62" t="s">
        <v>5219</v>
      </c>
      <c r="C798" s="61" t="s">
        <v>502</v>
      </c>
      <c r="D798" s="60">
        <v>0.88611600000000001</v>
      </c>
      <c r="E798" s="59">
        <v>6.6923700000000004</v>
      </c>
      <c r="F798" s="59">
        <v>13.27181</v>
      </c>
      <c r="G798" s="56">
        <v>1829.95</v>
      </c>
      <c r="H798" s="56">
        <v>2064.5</v>
      </c>
      <c r="I798" s="58">
        <v>0.76338200000000001</v>
      </c>
      <c r="J798" s="57">
        <v>0.81450800000000001</v>
      </c>
      <c r="K798" s="56"/>
      <c r="L798" s="56" t="s">
        <v>488</v>
      </c>
    </row>
    <row r="799" spans="2:12" x14ac:dyDescent="0.2">
      <c r="B799" s="62" t="s">
        <v>5218</v>
      </c>
      <c r="C799" s="61" t="s">
        <v>502</v>
      </c>
      <c r="D799" s="60">
        <v>0.88638799999999995</v>
      </c>
      <c r="E799" s="59">
        <v>6.6893000000000002</v>
      </c>
      <c r="F799" s="59">
        <v>13.27173</v>
      </c>
      <c r="G799" s="56">
        <v>1831.72</v>
      </c>
      <c r="H799" s="56">
        <v>2066.9</v>
      </c>
      <c r="I799" s="58">
        <v>0.76516200000000001</v>
      </c>
      <c r="J799" s="57">
        <v>0.81416900000000003</v>
      </c>
      <c r="K799" s="56"/>
      <c r="L799" s="56" t="s">
        <v>488</v>
      </c>
    </row>
    <row r="800" spans="2:12" x14ac:dyDescent="0.2">
      <c r="B800" s="62" t="s">
        <v>5217</v>
      </c>
      <c r="C800" s="61" t="s">
        <v>502</v>
      </c>
      <c r="D800" s="60">
        <v>0.886216</v>
      </c>
      <c r="E800" s="59">
        <v>6.69008</v>
      </c>
      <c r="F800" s="59">
        <v>13.26986</v>
      </c>
      <c r="G800" s="56">
        <v>1829.91</v>
      </c>
      <c r="H800" s="56">
        <v>2064.4299999999998</v>
      </c>
      <c r="I800" s="58">
        <v>0.76335699999999995</v>
      </c>
      <c r="J800" s="57">
        <v>0.81428999999999996</v>
      </c>
      <c r="K800" s="56"/>
      <c r="L800" s="56" t="s">
        <v>488</v>
      </c>
    </row>
    <row r="801" spans="2:12" x14ac:dyDescent="0.2">
      <c r="B801" s="62" t="s">
        <v>5216</v>
      </c>
      <c r="C801" s="61" t="s">
        <v>502</v>
      </c>
      <c r="D801" s="60">
        <v>0.88640200000000002</v>
      </c>
      <c r="E801" s="59">
        <v>6.6935700000000002</v>
      </c>
      <c r="F801" s="59">
        <v>13.26793</v>
      </c>
      <c r="G801" s="56">
        <v>1830.91</v>
      </c>
      <c r="H801" s="56">
        <v>2064.9499999999998</v>
      </c>
      <c r="I801" s="58">
        <v>0.76356100000000005</v>
      </c>
      <c r="J801" s="57">
        <v>0.81417499999999998</v>
      </c>
      <c r="K801" s="56"/>
      <c r="L801" s="56" t="s">
        <v>488</v>
      </c>
    </row>
    <row r="802" spans="2:12" x14ac:dyDescent="0.2">
      <c r="B802" s="62" t="s">
        <v>5215</v>
      </c>
      <c r="C802" s="61" t="s">
        <v>502</v>
      </c>
      <c r="D802" s="60">
        <v>0.88666</v>
      </c>
      <c r="E802" s="59">
        <v>6.6937499999999996</v>
      </c>
      <c r="F802" s="59">
        <v>13.263999999999999</v>
      </c>
      <c r="G802" s="56">
        <v>1830.84</v>
      </c>
      <c r="H802" s="56">
        <v>2064.0700000000002</v>
      </c>
      <c r="I802" s="58">
        <v>0.76480300000000001</v>
      </c>
      <c r="J802" s="57">
        <v>0.81423000000000001</v>
      </c>
      <c r="K802" s="56"/>
      <c r="L802" s="56" t="s">
        <v>488</v>
      </c>
    </row>
    <row r="803" spans="2:12" x14ac:dyDescent="0.2">
      <c r="B803" s="62" t="s">
        <v>5214</v>
      </c>
      <c r="C803" s="61" t="s">
        <v>502</v>
      </c>
      <c r="D803" s="60">
        <v>0.88700400000000001</v>
      </c>
      <c r="E803" s="59">
        <v>6.6933199999999999</v>
      </c>
      <c r="F803" s="59">
        <v>13.263299999999999</v>
      </c>
      <c r="G803" s="56">
        <v>1833.29</v>
      </c>
      <c r="H803" s="56">
        <v>2066.5700000000002</v>
      </c>
      <c r="I803" s="58">
        <v>0.76375599999999999</v>
      </c>
      <c r="J803" s="57">
        <v>0.81388899999999997</v>
      </c>
      <c r="K803" s="56"/>
      <c r="L803" s="56" t="s">
        <v>488</v>
      </c>
    </row>
    <row r="804" spans="2:12" x14ac:dyDescent="0.2">
      <c r="B804" s="62" t="s">
        <v>5213</v>
      </c>
      <c r="C804" s="61" t="s">
        <v>502</v>
      </c>
      <c r="D804" s="60">
        <v>0.88711899999999999</v>
      </c>
      <c r="E804" s="59">
        <v>6.6959499999999998</v>
      </c>
      <c r="F804" s="59">
        <v>13.25972</v>
      </c>
      <c r="G804" s="56">
        <v>1830.67</v>
      </c>
      <c r="H804" s="56">
        <v>2062.9499999999998</v>
      </c>
      <c r="I804" s="58">
        <v>0.76541899999999996</v>
      </c>
      <c r="J804" s="57">
        <v>0.81391500000000006</v>
      </c>
      <c r="K804" s="56"/>
      <c r="L804" s="56" t="s">
        <v>488</v>
      </c>
    </row>
    <row r="805" spans="2:12" x14ac:dyDescent="0.2">
      <c r="B805" s="62" t="s">
        <v>5212</v>
      </c>
      <c r="C805" s="61" t="s">
        <v>502</v>
      </c>
      <c r="D805" s="60">
        <v>0.887405</v>
      </c>
      <c r="E805" s="59">
        <v>6.6994499999999997</v>
      </c>
      <c r="F805" s="59">
        <v>13.259740000000001</v>
      </c>
      <c r="G805" s="56">
        <v>1831.56</v>
      </c>
      <c r="H805" s="56">
        <v>2063.8200000000002</v>
      </c>
      <c r="I805" s="58">
        <v>0.76456299999999999</v>
      </c>
      <c r="J805" s="57">
        <v>0.81359499999999996</v>
      </c>
      <c r="K805" s="56"/>
      <c r="L805" s="56" t="s">
        <v>488</v>
      </c>
    </row>
    <row r="806" spans="2:12" x14ac:dyDescent="0.2">
      <c r="B806" s="62" t="s">
        <v>5211</v>
      </c>
      <c r="C806" s="61" t="s">
        <v>502</v>
      </c>
      <c r="D806" s="60">
        <v>0.887463</v>
      </c>
      <c r="E806" s="59">
        <v>6.6937499999999996</v>
      </c>
      <c r="F806" s="59">
        <v>13.266159999999999</v>
      </c>
      <c r="G806" s="56">
        <v>1834.54</v>
      </c>
      <c r="H806" s="56">
        <v>2070.08</v>
      </c>
      <c r="I806" s="58">
        <v>0.76513399999999998</v>
      </c>
      <c r="J806" s="57">
        <v>0.81356200000000001</v>
      </c>
      <c r="K806" s="56"/>
      <c r="L806" s="56" t="s">
        <v>488</v>
      </c>
    </row>
    <row r="807" spans="2:12" x14ac:dyDescent="0.2">
      <c r="B807" s="62" t="s">
        <v>5210</v>
      </c>
      <c r="C807" s="61" t="s">
        <v>502</v>
      </c>
      <c r="D807" s="60">
        <v>0.886216</v>
      </c>
      <c r="E807" s="59">
        <v>6.6894600000000004</v>
      </c>
      <c r="F807" s="59">
        <v>13.252980000000001</v>
      </c>
      <c r="G807" s="56">
        <v>1830.59</v>
      </c>
      <c r="H807" s="56">
        <v>2060.69</v>
      </c>
      <c r="I807" s="58">
        <v>0.76557299999999995</v>
      </c>
      <c r="J807" s="57">
        <v>0.814994</v>
      </c>
      <c r="K807" s="56"/>
      <c r="L807" s="56" t="s">
        <v>488</v>
      </c>
    </row>
    <row r="808" spans="2:12" x14ac:dyDescent="0.2">
      <c r="B808" s="62" t="s">
        <v>5209</v>
      </c>
      <c r="C808" s="61" t="s">
        <v>502</v>
      </c>
      <c r="D808" s="60">
        <v>0.88833799999999996</v>
      </c>
      <c r="E808" s="59">
        <v>6.6988399999999997</v>
      </c>
      <c r="F808" s="59">
        <v>13.251429999999999</v>
      </c>
      <c r="G808" s="56">
        <v>1828.3</v>
      </c>
      <c r="H808" s="56">
        <v>2057.9499999999998</v>
      </c>
      <c r="I808" s="58">
        <v>0.76388</v>
      </c>
      <c r="J808" s="57">
        <v>0.81264700000000001</v>
      </c>
      <c r="K808" s="56"/>
      <c r="L808" s="56" t="s">
        <v>488</v>
      </c>
    </row>
    <row r="809" spans="2:12" x14ac:dyDescent="0.2">
      <c r="B809" s="62" t="s">
        <v>5208</v>
      </c>
      <c r="C809" s="61" t="s">
        <v>502</v>
      </c>
      <c r="D809" s="60">
        <v>0.88841000000000003</v>
      </c>
      <c r="E809" s="59">
        <v>6.6816000000000004</v>
      </c>
      <c r="F809" s="59">
        <v>13.24122</v>
      </c>
      <c r="G809" s="56">
        <v>1828.08</v>
      </c>
      <c r="H809" s="56">
        <v>2055.7800000000002</v>
      </c>
      <c r="I809" s="58">
        <v>0.76604899999999998</v>
      </c>
      <c r="J809" s="57">
        <v>0.812616</v>
      </c>
      <c r="K809" s="56"/>
      <c r="L809" s="56" t="s">
        <v>488</v>
      </c>
    </row>
    <row r="810" spans="2:12" x14ac:dyDescent="0.2">
      <c r="B810" s="62" t="s">
        <v>5207</v>
      </c>
      <c r="C810" s="61" t="s">
        <v>502</v>
      </c>
      <c r="D810" s="60">
        <v>0.88924300000000001</v>
      </c>
      <c r="E810" s="59">
        <v>6.6888800000000002</v>
      </c>
      <c r="F810" s="59">
        <v>13.240180000000001</v>
      </c>
      <c r="G810" s="56">
        <v>1834.67</v>
      </c>
      <c r="H810" s="56">
        <v>2064.02</v>
      </c>
      <c r="I810" s="58">
        <v>0.76459999999999995</v>
      </c>
      <c r="J810" s="57">
        <v>0.81128199999999995</v>
      </c>
      <c r="K810" s="56"/>
      <c r="L810" s="56" t="s">
        <v>488</v>
      </c>
    </row>
    <row r="811" spans="2:12" x14ac:dyDescent="0.2">
      <c r="B811" s="62" t="s">
        <v>5206</v>
      </c>
      <c r="C811" s="61" t="s">
        <v>502</v>
      </c>
      <c r="D811" s="60">
        <v>0.88888400000000001</v>
      </c>
      <c r="E811" s="59">
        <v>6.6826800000000004</v>
      </c>
      <c r="F811" s="59">
        <v>13.23198</v>
      </c>
      <c r="G811" s="56">
        <v>1835.48</v>
      </c>
      <c r="H811" s="56">
        <v>2063.4</v>
      </c>
      <c r="I811" s="58">
        <v>0.76620600000000005</v>
      </c>
      <c r="J811" s="57">
        <v>0.81234499999999998</v>
      </c>
      <c r="K811" s="56"/>
      <c r="L811" s="56" t="s">
        <v>488</v>
      </c>
    </row>
    <row r="812" spans="2:12" x14ac:dyDescent="0.2">
      <c r="B812" s="62" t="s">
        <v>5205</v>
      </c>
      <c r="C812" s="61" t="s">
        <v>502</v>
      </c>
      <c r="D812" s="60">
        <v>0.88954500000000003</v>
      </c>
      <c r="E812" s="59">
        <v>6.6778899999999997</v>
      </c>
      <c r="F812" s="59">
        <v>13.222659999999999</v>
      </c>
      <c r="G812" s="56">
        <v>1836.55</v>
      </c>
      <c r="H812" s="56">
        <v>2065.3000000000002</v>
      </c>
      <c r="I812" s="58">
        <v>0.76496699999999995</v>
      </c>
      <c r="J812" s="57">
        <v>0.81149400000000005</v>
      </c>
      <c r="K812" s="56"/>
      <c r="L812" s="56" t="s">
        <v>488</v>
      </c>
    </row>
    <row r="813" spans="2:12" x14ac:dyDescent="0.2">
      <c r="B813" s="62" t="s">
        <v>5204</v>
      </c>
      <c r="C813" s="61" t="s">
        <v>502</v>
      </c>
      <c r="D813" s="60">
        <v>0.88924300000000001</v>
      </c>
      <c r="E813" s="59">
        <v>6.6717599999999999</v>
      </c>
      <c r="F813" s="59">
        <v>13.209149999999999</v>
      </c>
      <c r="G813" s="56">
        <v>1838.63</v>
      </c>
      <c r="H813" s="56">
        <v>2068.44</v>
      </c>
      <c r="I813" s="58">
        <v>0.76480300000000001</v>
      </c>
      <c r="J813" s="57">
        <v>0.81189900000000004</v>
      </c>
      <c r="K813" s="56"/>
      <c r="L813" s="56" t="s">
        <v>488</v>
      </c>
    </row>
    <row r="814" spans="2:12" x14ac:dyDescent="0.2">
      <c r="B814" s="62" t="s">
        <v>5203</v>
      </c>
      <c r="C814" s="61" t="s">
        <v>502</v>
      </c>
      <c r="D814" s="60">
        <v>0.88889799999999997</v>
      </c>
      <c r="E814" s="59">
        <v>6.68</v>
      </c>
      <c r="F814" s="59">
        <v>13.20524</v>
      </c>
      <c r="G814" s="56">
        <v>1843.39</v>
      </c>
      <c r="H814" s="56">
        <v>2074.3000000000002</v>
      </c>
      <c r="I814" s="58">
        <v>0.76671100000000003</v>
      </c>
      <c r="J814" s="57">
        <v>0.81162400000000001</v>
      </c>
      <c r="K814" s="56"/>
      <c r="L814" s="56" t="s">
        <v>488</v>
      </c>
    </row>
    <row r="815" spans="2:12" x14ac:dyDescent="0.2">
      <c r="B815" s="62" t="s">
        <v>5202</v>
      </c>
      <c r="C815" s="61" t="s">
        <v>502</v>
      </c>
      <c r="D815" s="60">
        <v>0.88868199999999997</v>
      </c>
      <c r="E815" s="59">
        <v>6.6646700000000001</v>
      </c>
      <c r="F815" s="59">
        <v>13.203720000000001</v>
      </c>
      <c r="G815" s="56">
        <v>1835.2</v>
      </c>
      <c r="H815" s="56">
        <v>2064.7800000000002</v>
      </c>
      <c r="I815" s="58">
        <v>0.76670899999999997</v>
      </c>
      <c r="J815" s="57">
        <v>0.81226200000000004</v>
      </c>
      <c r="K815" s="56"/>
      <c r="L815" s="56" t="s">
        <v>488</v>
      </c>
    </row>
    <row r="816" spans="2:12" x14ac:dyDescent="0.2">
      <c r="B816" s="62" t="s">
        <v>5201</v>
      </c>
      <c r="C816" s="61" t="s">
        <v>502</v>
      </c>
      <c r="D816" s="60">
        <v>0.88881200000000005</v>
      </c>
      <c r="E816" s="59">
        <v>6.6874200000000004</v>
      </c>
      <c r="F816" s="59">
        <v>13.20524</v>
      </c>
      <c r="G816" s="56">
        <v>1838</v>
      </c>
      <c r="H816" s="56">
        <v>2068.23</v>
      </c>
      <c r="I816" s="58">
        <v>0.76544100000000004</v>
      </c>
      <c r="J816" s="57">
        <v>0.81162500000000004</v>
      </c>
      <c r="K816" s="56"/>
      <c r="L816" s="56" t="s">
        <v>488</v>
      </c>
    </row>
    <row r="817" spans="2:12" x14ac:dyDescent="0.2">
      <c r="B817" s="62" t="s">
        <v>5200</v>
      </c>
      <c r="C817" s="61" t="s">
        <v>502</v>
      </c>
      <c r="D817" s="60">
        <v>0.88868199999999997</v>
      </c>
      <c r="E817" s="59">
        <v>6.6787000000000001</v>
      </c>
      <c r="F817" s="59">
        <v>13.19872</v>
      </c>
      <c r="G817" s="56">
        <v>1837.55</v>
      </c>
      <c r="H817" s="56">
        <v>2066.9299999999998</v>
      </c>
      <c r="I817" s="58">
        <v>0.763289</v>
      </c>
      <c r="J817" s="57">
        <v>0.811442</v>
      </c>
      <c r="K817" s="56"/>
      <c r="L817" s="56" t="s">
        <v>488</v>
      </c>
    </row>
    <row r="818" spans="2:12" x14ac:dyDescent="0.2">
      <c r="B818" s="62" t="s">
        <v>5199</v>
      </c>
      <c r="C818" s="61" t="s">
        <v>502</v>
      </c>
      <c r="D818" s="60">
        <v>0.88902700000000001</v>
      </c>
      <c r="E818" s="59">
        <v>6.6871999999999998</v>
      </c>
      <c r="F818" s="59">
        <v>13.1997</v>
      </c>
      <c r="G818" s="56">
        <v>1837.83</v>
      </c>
      <c r="H818" s="56">
        <v>2067.9</v>
      </c>
      <c r="I818" s="58">
        <v>0.76625600000000005</v>
      </c>
      <c r="J818" s="57">
        <v>0.81227800000000006</v>
      </c>
      <c r="K818" s="56"/>
      <c r="L818" s="56" t="s">
        <v>488</v>
      </c>
    </row>
    <row r="819" spans="2:12" x14ac:dyDescent="0.2">
      <c r="B819" s="62" t="s">
        <v>5198</v>
      </c>
      <c r="C819" s="61" t="s">
        <v>502</v>
      </c>
      <c r="D819" s="60">
        <v>0.88873999999999997</v>
      </c>
      <c r="E819" s="59">
        <v>6.6752399999999996</v>
      </c>
      <c r="F819" s="59">
        <v>13.30996</v>
      </c>
      <c r="G819" s="56">
        <v>1754.89</v>
      </c>
      <c r="H819" s="56">
        <v>1983.76</v>
      </c>
      <c r="I819" s="58">
        <v>0.76630900000000002</v>
      </c>
      <c r="J819" s="57">
        <v>0.81194299999999997</v>
      </c>
      <c r="K819" s="56"/>
      <c r="L819" s="56" t="s">
        <v>488</v>
      </c>
    </row>
    <row r="820" spans="2:12" x14ac:dyDescent="0.2">
      <c r="B820" s="62" t="s">
        <v>5197</v>
      </c>
      <c r="C820" s="61" t="s">
        <v>502</v>
      </c>
      <c r="D820" s="60">
        <v>0.88463000000000003</v>
      </c>
      <c r="E820" s="59">
        <v>6.6823699999999997</v>
      </c>
      <c r="F820" s="59">
        <v>13.281969999999999</v>
      </c>
      <c r="G820" s="56">
        <v>1832.89</v>
      </c>
      <c r="H820" s="56">
        <v>2070.8200000000002</v>
      </c>
      <c r="I820" s="58">
        <v>0.75181699999999996</v>
      </c>
      <c r="J820" s="57">
        <v>0.81218299999999999</v>
      </c>
      <c r="K820" s="56"/>
      <c r="L820" s="56" t="s">
        <v>488</v>
      </c>
    </row>
    <row r="821" spans="2:12" x14ac:dyDescent="0.2">
      <c r="B821" s="62" t="s">
        <v>5196</v>
      </c>
      <c r="C821" s="61" t="s">
        <v>526</v>
      </c>
      <c r="D821" s="60">
        <v>1.1472599999999999</v>
      </c>
      <c r="E821" s="59">
        <v>4.2562100000000003</v>
      </c>
      <c r="F821" s="59">
        <v>4.6298599999999999</v>
      </c>
      <c r="G821" s="56">
        <v>580.298</v>
      </c>
      <c r="H821" s="56">
        <v>505.81299999999999</v>
      </c>
      <c r="I821" s="58">
        <v>0.33822400000000002</v>
      </c>
      <c r="J821" s="57">
        <v>0.44332100000000002</v>
      </c>
      <c r="K821" s="56"/>
      <c r="L821" s="56" t="s">
        <v>492</v>
      </c>
    </row>
    <row r="822" spans="2:12" x14ac:dyDescent="0.2">
      <c r="B822" s="62" t="s">
        <v>5195</v>
      </c>
      <c r="C822" s="61" t="s">
        <v>641</v>
      </c>
      <c r="D822" s="60">
        <v>1.6315599999999999</v>
      </c>
      <c r="E822" s="59">
        <v>3.2494100000000001</v>
      </c>
      <c r="F822" s="59">
        <v>6.2642800000000003</v>
      </c>
      <c r="G822" s="56">
        <v>0</v>
      </c>
      <c r="H822" s="56">
        <v>0</v>
      </c>
      <c r="I822" s="58">
        <v>0.34969299999999998</v>
      </c>
      <c r="J822" s="57">
        <v>0.32101000000000002</v>
      </c>
      <c r="K822" s="56"/>
      <c r="L822" s="56" t="s">
        <v>488</v>
      </c>
    </row>
    <row r="823" spans="2:12" x14ac:dyDescent="0.2">
      <c r="B823" s="62" t="s">
        <v>5194</v>
      </c>
      <c r="C823" s="61" t="s">
        <v>489</v>
      </c>
      <c r="D823" s="60">
        <v>1.1931</v>
      </c>
      <c r="E823" s="59">
        <v>4.0027799999999996</v>
      </c>
      <c r="F823" s="59">
        <v>4.6831699999999996</v>
      </c>
      <c r="G823" s="56">
        <v>946.26499999999999</v>
      </c>
      <c r="H823" s="56">
        <v>793.11400000000003</v>
      </c>
      <c r="I823" s="58">
        <v>0.36392200000000002</v>
      </c>
      <c r="J823" s="57">
        <v>0.49845699999999998</v>
      </c>
      <c r="K823" s="56"/>
      <c r="L823" s="56" t="s">
        <v>488</v>
      </c>
    </row>
    <row r="824" spans="2:12" x14ac:dyDescent="0.2">
      <c r="B824" s="62" t="s">
        <v>5193</v>
      </c>
      <c r="C824" s="61" t="s">
        <v>499</v>
      </c>
      <c r="D824" s="60">
        <v>1.2728999999999999</v>
      </c>
      <c r="E824" s="59">
        <v>4.7263999999999999</v>
      </c>
      <c r="F824" s="59">
        <v>5.4173499999999999</v>
      </c>
      <c r="G824" s="56">
        <v>1525.23</v>
      </c>
      <c r="H824" s="56">
        <v>1198.23</v>
      </c>
      <c r="I824" s="58">
        <v>0.57964499999999997</v>
      </c>
      <c r="J824" s="57">
        <v>0.48112300000000002</v>
      </c>
      <c r="K824" s="56"/>
      <c r="L824" s="56" t="s">
        <v>488</v>
      </c>
    </row>
    <row r="825" spans="2:12" x14ac:dyDescent="0.2">
      <c r="B825" s="62" t="s">
        <v>5192</v>
      </c>
      <c r="C825" s="61" t="s">
        <v>502</v>
      </c>
      <c r="D825" s="60">
        <v>0.97592999999999996</v>
      </c>
      <c r="E825" s="59">
        <v>4.1045400000000001</v>
      </c>
      <c r="F825" s="59">
        <v>6.9036299999999997</v>
      </c>
      <c r="G825" s="56">
        <v>909.22699999999998</v>
      </c>
      <c r="H825" s="56">
        <v>931.65099999999995</v>
      </c>
      <c r="I825" s="58">
        <v>0.38091399999999997</v>
      </c>
      <c r="J825" s="57">
        <v>0.58617699999999995</v>
      </c>
      <c r="K825" s="56"/>
      <c r="L825" s="56" t="s">
        <v>488</v>
      </c>
    </row>
    <row r="826" spans="2:12" x14ac:dyDescent="0.2">
      <c r="B826" s="62" t="s">
        <v>5191</v>
      </c>
      <c r="C826" s="61" t="s">
        <v>1986</v>
      </c>
      <c r="D826" s="60">
        <v>2.2216300000000002</v>
      </c>
      <c r="E826" s="59">
        <v>2.6351900000000001</v>
      </c>
      <c r="F826" s="59">
        <v>3.5873599999999999</v>
      </c>
      <c r="G826" s="56">
        <v>0</v>
      </c>
      <c r="H826" s="56">
        <v>0</v>
      </c>
      <c r="I826" s="58">
        <v>0.10215299999999999</v>
      </c>
      <c r="J826" s="57">
        <v>0.16851099999999999</v>
      </c>
      <c r="K826" s="56"/>
      <c r="L826" s="56" t="s">
        <v>488</v>
      </c>
    </row>
    <row r="827" spans="2:12" x14ac:dyDescent="0.2">
      <c r="B827" s="62" t="s">
        <v>5190</v>
      </c>
      <c r="C827" s="61" t="s">
        <v>614</v>
      </c>
      <c r="D827" s="60">
        <v>1.12069</v>
      </c>
      <c r="E827" s="59">
        <v>7.8176100000000002</v>
      </c>
      <c r="F827" s="59">
        <v>8.4461600000000008</v>
      </c>
      <c r="G827" s="56">
        <v>1175.74</v>
      </c>
      <c r="H827" s="56">
        <v>1049.1199999999999</v>
      </c>
      <c r="I827" s="58">
        <v>0.46044099999999999</v>
      </c>
      <c r="J827" s="57">
        <v>0.50481900000000002</v>
      </c>
      <c r="K827" s="56"/>
      <c r="L827" s="56" t="s">
        <v>488</v>
      </c>
    </row>
    <row r="828" spans="2:12" x14ac:dyDescent="0.2">
      <c r="B828" s="62" t="s">
        <v>5189</v>
      </c>
      <c r="C828" s="61" t="s">
        <v>5188</v>
      </c>
      <c r="D828" s="60">
        <v>1.5416700000000001</v>
      </c>
      <c r="E828" s="59">
        <v>3.0853999999999999</v>
      </c>
      <c r="F828" s="59">
        <v>7.1539799999999998</v>
      </c>
      <c r="G828" s="56">
        <v>0</v>
      </c>
      <c r="H828" s="56">
        <v>0</v>
      </c>
      <c r="I828" s="58">
        <v>0.311583</v>
      </c>
      <c r="J828" s="57">
        <v>0.31618600000000002</v>
      </c>
      <c r="K828" s="56"/>
      <c r="L828" s="56" t="s">
        <v>488</v>
      </c>
    </row>
    <row r="829" spans="2:12" x14ac:dyDescent="0.2">
      <c r="B829" s="62" t="s">
        <v>5187</v>
      </c>
      <c r="C829" s="61" t="s">
        <v>5186</v>
      </c>
      <c r="D829" s="60">
        <v>1.55098</v>
      </c>
      <c r="E829" s="59">
        <v>3.1196000000000002</v>
      </c>
      <c r="F829" s="59">
        <v>7.1707599999999996</v>
      </c>
      <c r="G829" s="56">
        <v>0</v>
      </c>
      <c r="H829" s="56">
        <v>0</v>
      </c>
      <c r="I829" s="58">
        <v>0.32037300000000002</v>
      </c>
      <c r="J829" s="57">
        <v>0.31467499999999998</v>
      </c>
      <c r="K829" s="56"/>
      <c r="L829" s="56" t="s">
        <v>488</v>
      </c>
    </row>
    <row r="830" spans="2:12" x14ac:dyDescent="0.2">
      <c r="B830" s="62" t="s">
        <v>5185</v>
      </c>
      <c r="C830" s="61" t="s">
        <v>5184</v>
      </c>
      <c r="D830" s="60">
        <v>1.5717699999999999</v>
      </c>
      <c r="E830" s="59">
        <v>3.0508600000000001</v>
      </c>
      <c r="F830" s="59">
        <v>7.1343800000000002</v>
      </c>
      <c r="G830" s="56">
        <v>0</v>
      </c>
      <c r="H830" s="56">
        <v>0</v>
      </c>
      <c r="I830" s="58">
        <v>0.31569000000000003</v>
      </c>
      <c r="J830" s="57">
        <v>0.30853000000000003</v>
      </c>
      <c r="K830" s="56"/>
      <c r="L830" s="56" t="s">
        <v>488</v>
      </c>
    </row>
    <row r="831" spans="2:12" x14ac:dyDescent="0.2">
      <c r="B831" s="62" t="s">
        <v>5183</v>
      </c>
      <c r="C831" s="61" t="s">
        <v>579</v>
      </c>
      <c r="D831" s="60">
        <v>2.20289</v>
      </c>
      <c r="E831" s="59">
        <v>2.43363</v>
      </c>
      <c r="F831" s="59">
        <v>4.7806199999999999</v>
      </c>
      <c r="G831" s="56">
        <v>0</v>
      </c>
      <c r="H831" s="56">
        <v>0</v>
      </c>
      <c r="I831" s="58">
        <v>0.282999</v>
      </c>
      <c r="J831" s="57">
        <v>0.21480099999999999</v>
      </c>
      <c r="K831" s="56"/>
      <c r="L831" s="56" t="s">
        <v>488</v>
      </c>
    </row>
    <row r="832" spans="2:12" x14ac:dyDescent="0.2">
      <c r="B832" s="62" t="s">
        <v>5182</v>
      </c>
      <c r="C832" s="61" t="s">
        <v>579</v>
      </c>
      <c r="D832" s="60">
        <v>2.1975600000000002</v>
      </c>
      <c r="E832" s="59">
        <v>2.4255599999999999</v>
      </c>
      <c r="F832" s="59">
        <v>4.7620500000000003</v>
      </c>
      <c r="G832" s="56">
        <v>0</v>
      </c>
      <c r="H832" s="56">
        <v>0</v>
      </c>
      <c r="I832" s="58">
        <v>0.28386899999999998</v>
      </c>
      <c r="J832" s="57">
        <v>0.215279</v>
      </c>
      <c r="K832" s="56"/>
      <c r="L832" s="56" t="s">
        <v>488</v>
      </c>
    </row>
    <row r="833" spans="2:12" x14ac:dyDescent="0.2">
      <c r="B833" s="62" t="s">
        <v>5181</v>
      </c>
      <c r="C833" s="61" t="s">
        <v>641</v>
      </c>
      <c r="D833" s="60">
        <v>1.73065</v>
      </c>
      <c r="E833" s="59">
        <v>3.4728599999999998</v>
      </c>
      <c r="F833" s="59">
        <v>3.77576</v>
      </c>
      <c r="G833" s="56">
        <v>0</v>
      </c>
      <c r="H833" s="56">
        <v>0</v>
      </c>
      <c r="I833" s="58">
        <v>0.184613</v>
      </c>
      <c r="J833" s="57">
        <v>0.26395999999999997</v>
      </c>
      <c r="K833" s="56"/>
      <c r="L833" s="56" t="s">
        <v>488</v>
      </c>
    </row>
    <row r="834" spans="2:12" x14ac:dyDescent="0.2">
      <c r="B834" s="62" t="s">
        <v>5180</v>
      </c>
      <c r="C834" s="61" t="s">
        <v>510</v>
      </c>
      <c r="D834" s="60">
        <v>1.08134</v>
      </c>
      <c r="E834" s="59">
        <v>5.9740200000000003</v>
      </c>
      <c r="F834" s="59">
        <v>8.0089299999999994</v>
      </c>
      <c r="G834" s="56">
        <v>945.18200000000002</v>
      </c>
      <c r="H834" s="56">
        <v>856.30200000000002</v>
      </c>
      <c r="I834" s="58">
        <v>0.53166400000000003</v>
      </c>
      <c r="J834" s="57">
        <v>0.54720000000000002</v>
      </c>
      <c r="K834" s="56"/>
      <c r="L834" s="56" t="s">
        <v>492</v>
      </c>
    </row>
    <row r="835" spans="2:12" x14ac:dyDescent="0.2">
      <c r="B835" s="62" t="s">
        <v>5179</v>
      </c>
      <c r="C835" s="61" t="s">
        <v>510</v>
      </c>
      <c r="D835" s="60">
        <v>1.10379</v>
      </c>
      <c r="E835" s="59">
        <v>5.9700699999999998</v>
      </c>
      <c r="F835" s="59">
        <v>7.9346100000000002</v>
      </c>
      <c r="G835" s="56">
        <v>907.11300000000006</v>
      </c>
      <c r="H835" s="56">
        <v>838.88199999999995</v>
      </c>
      <c r="I835" s="58">
        <v>0.51147699999999996</v>
      </c>
      <c r="J835" s="57">
        <v>0.52618500000000001</v>
      </c>
      <c r="K835" s="56"/>
      <c r="L835" s="56" t="s">
        <v>492</v>
      </c>
    </row>
    <row r="836" spans="2:12" x14ac:dyDescent="0.2">
      <c r="B836" s="62" t="s">
        <v>5178</v>
      </c>
      <c r="C836" s="61" t="s">
        <v>871</v>
      </c>
      <c r="D836" s="60">
        <v>1.4586399999999999</v>
      </c>
      <c r="E836" s="59">
        <v>2.6670600000000002</v>
      </c>
      <c r="F836" s="59">
        <v>5.1965199999999996</v>
      </c>
      <c r="G836" s="56">
        <v>0</v>
      </c>
      <c r="H836" s="56">
        <v>0</v>
      </c>
      <c r="I836" s="58">
        <v>0.225713</v>
      </c>
      <c r="J836" s="57">
        <v>0.30334499999999998</v>
      </c>
      <c r="K836" s="56"/>
      <c r="L836" s="56" t="s">
        <v>488</v>
      </c>
    </row>
    <row r="837" spans="2:12" x14ac:dyDescent="0.2">
      <c r="B837" s="62" t="s">
        <v>5177</v>
      </c>
      <c r="C837" s="61" t="s">
        <v>616</v>
      </c>
      <c r="D837" s="60">
        <v>1.23834</v>
      </c>
      <c r="E837" s="59">
        <v>6.9008200000000004</v>
      </c>
      <c r="F837" s="59">
        <v>7.67361</v>
      </c>
      <c r="G837" s="56">
        <v>1230.22</v>
      </c>
      <c r="H837" s="56">
        <v>993.44200000000001</v>
      </c>
      <c r="I837" s="58">
        <v>0.49025000000000002</v>
      </c>
      <c r="J837" s="57">
        <v>0.47334199999999998</v>
      </c>
      <c r="K837" s="56"/>
      <c r="L837" s="56" t="s">
        <v>488</v>
      </c>
    </row>
    <row r="838" spans="2:12" x14ac:dyDescent="0.2">
      <c r="B838" s="62" t="s">
        <v>5176</v>
      </c>
      <c r="C838" s="61" t="s">
        <v>495</v>
      </c>
      <c r="D838" s="60">
        <v>1.15892</v>
      </c>
      <c r="E838" s="59">
        <v>3.8873199999999999</v>
      </c>
      <c r="F838" s="59">
        <v>4.5282400000000003</v>
      </c>
      <c r="G838" s="56">
        <v>674.43899999999996</v>
      </c>
      <c r="H838" s="56">
        <v>581.95299999999997</v>
      </c>
      <c r="I838" s="58">
        <v>0.49045299999999997</v>
      </c>
      <c r="J838" s="57">
        <v>0.448938</v>
      </c>
      <c r="K838" s="56"/>
      <c r="L838" s="56" t="s">
        <v>488</v>
      </c>
    </row>
    <row r="839" spans="2:12" x14ac:dyDescent="0.2">
      <c r="B839" s="62" t="s">
        <v>5175</v>
      </c>
      <c r="C839" s="61" t="s">
        <v>5084</v>
      </c>
      <c r="D839" s="60">
        <v>1.0468599999999999</v>
      </c>
      <c r="E839" s="59">
        <v>4.3673400000000004</v>
      </c>
      <c r="F839" s="59">
        <v>5.8562099999999999</v>
      </c>
      <c r="G839" s="56">
        <v>2390.85</v>
      </c>
      <c r="H839" s="56">
        <v>2283.83</v>
      </c>
      <c r="I839" s="58">
        <v>0.58736699999999997</v>
      </c>
      <c r="J839" s="57">
        <v>0.665628</v>
      </c>
      <c r="K839" s="56"/>
      <c r="L839" s="56" t="s">
        <v>488</v>
      </c>
    </row>
    <row r="840" spans="2:12" x14ac:dyDescent="0.2">
      <c r="B840" s="62" t="s">
        <v>5174</v>
      </c>
      <c r="C840" s="61" t="s">
        <v>599</v>
      </c>
      <c r="D840" s="60">
        <v>3.4347300000000001</v>
      </c>
      <c r="E840" s="59">
        <v>3.6652999999999998</v>
      </c>
      <c r="F840" s="59">
        <v>5.4050200000000004</v>
      </c>
      <c r="G840" s="56">
        <v>0</v>
      </c>
      <c r="H840" s="56">
        <v>0</v>
      </c>
      <c r="I840" s="58">
        <v>0.28302699999999997</v>
      </c>
      <c r="J840" s="57">
        <v>0.13413</v>
      </c>
      <c r="K840" s="56"/>
      <c r="L840" s="56" t="s">
        <v>488</v>
      </c>
    </row>
    <row r="841" spans="2:12" x14ac:dyDescent="0.2">
      <c r="B841" s="62" t="s">
        <v>5173</v>
      </c>
      <c r="C841" s="61" t="s">
        <v>5172</v>
      </c>
      <c r="D841" s="60">
        <v>3.4109799999999999</v>
      </c>
      <c r="E841" s="59">
        <v>3.69977</v>
      </c>
      <c r="F841" s="59">
        <v>5.4183700000000004</v>
      </c>
      <c r="G841" s="56">
        <v>0</v>
      </c>
      <c r="H841" s="56">
        <v>0</v>
      </c>
      <c r="I841" s="58">
        <v>0.28624699999999997</v>
      </c>
      <c r="J841" s="57">
        <v>0.135681</v>
      </c>
      <c r="K841" s="56"/>
      <c r="L841" s="56" t="s">
        <v>488</v>
      </c>
    </row>
    <row r="842" spans="2:12" x14ac:dyDescent="0.2">
      <c r="B842" s="62" t="s">
        <v>5171</v>
      </c>
      <c r="C842" s="61" t="s">
        <v>601</v>
      </c>
      <c r="D842" s="60">
        <v>3.3980000000000001</v>
      </c>
      <c r="E842" s="59">
        <v>3.6901999999999999</v>
      </c>
      <c r="F842" s="59">
        <v>5.2795699999999997</v>
      </c>
      <c r="G842" s="56">
        <v>0</v>
      </c>
      <c r="H842" s="56">
        <v>0</v>
      </c>
      <c r="I842" s="58">
        <v>0.28200700000000001</v>
      </c>
      <c r="J842" s="57">
        <v>0.13553699999999999</v>
      </c>
      <c r="K842" s="56"/>
      <c r="L842" s="56" t="s">
        <v>488</v>
      </c>
    </row>
    <row r="843" spans="2:12" x14ac:dyDescent="0.2">
      <c r="B843" s="62" t="s">
        <v>5170</v>
      </c>
      <c r="C843" s="61" t="s">
        <v>5169</v>
      </c>
      <c r="D843" s="60">
        <v>3.36341</v>
      </c>
      <c r="E843" s="59">
        <v>3.77956</v>
      </c>
      <c r="F843" s="59">
        <v>5.3056700000000001</v>
      </c>
      <c r="G843" s="56">
        <v>413.714</v>
      </c>
      <c r="H843" s="56">
        <v>123.004</v>
      </c>
      <c r="I843" s="58">
        <v>0.286553</v>
      </c>
      <c r="J843" s="57">
        <v>0.13814499999999999</v>
      </c>
      <c r="K843" s="56"/>
      <c r="L843" s="56" t="s">
        <v>488</v>
      </c>
    </row>
    <row r="844" spans="2:12" x14ac:dyDescent="0.2">
      <c r="B844" s="62" t="s">
        <v>5168</v>
      </c>
      <c r="C844" s="61" t="s">
        <v>708</v>
      </c>
      <c r="D844" s="60">
        <v>1.0522100000000001</v>
      </c>
      <c r="E844" s="59">
        <v>4.2841399999999998</v>
      </c>
      <c r="F844" s="59">
        <v>7.9586100000000002</v>
      </c>
      <c r="G844" s="56">
        <v>899.41099999999994</v>
      </c>
      <c r="H844" s="56">
        <v>854.78700000000003</v>
      </c>
      <c r="I844" s="58">
        <v>0.59636199999999995</v>
      </c>
      <c r="J844" s="57">
        <v>0.57365100000000002</v>
      </c>
      <c r="K844" s="56"/>
      <c r="L844" s="56" t="s">
        <v>488</v>
      </c>
    </row>
    <row r="845" spans="2:12" x14ac:dyDescent="0.2">
      <c r="B845" s="62" t="s">
        <v>5167</v>
      </c>
      <c r="C845" s="61" t="s">
        <v>529</v>
      </c>
      <c r="D845" s="60">
        <v>1.92052</v>
      </c>
      <c r="E845" s="59">
        <v>3.1879</v>
      </c>
      <c r="F845" s="59">
        <v>3.5923699999999998</v>
      </c>
      <c r="G845" s="56">
        <v>0</v>
      </c>
      <c r="H845" s="56">
        <v>0</v>
      </c>
      <c r="I845" s="58">
        <v>0.18931799999999999</v>
      </c>
      <c r="J845" s="57">
        <v>0.192993</v>
      </c>
      <c r="K845" s="56"/>
      <c r="L845" s="56" t="s">
        <v>488</v>
      </c>
    </row>
    <row r="846" spans="2:12" x14ac:dyDescent="0.2">
      <c r="B846" s="62" t="s">
        <v>5166</v>
      </c>
      <c r="C846" s="61" t="s">
        <v>550</v>
      </c>
      <c r="D846" s="60">
        <v>1.2560500000000001</v>
      </c>
      <c r="E846" s="59">
        <v>3.6707399999999999</v>
      </c>
      <c r="F846" s="59">
        <v>5.8937499999999998</v>
      </c>
      <c r="G846" s="56">
        <v>0</v>
      </c>
      <c r="H846" s="56">
        <v>0</v>
      </c>
      <c r="I846" s="58">
        <v>0.425537</v>
      </c>
      <c r="J846" s="57">
        <v>0.43363099999999999</v>
      </c>
      <c r="K846" s="56"/>
      <c r="L846" s="56" t="s">
        <v>488</v>
      </c>
    </row>
    <row r="847" spans="2:12" x14ac:dyDescent="0.2">
      <c r="B847" s="62" t="s">
        <v>5165</v>
      </c>
      <c r="C847" s="61" t="s">
        <v>5084</v>
      </c>
      <c r="D847" s="60">
        <v>1.0904499999999999</v>
      </c>
      <c r="E847" s="59">
        <v>4.0125900000000003</v>
      </c>
      <c r="F847" s="59">
        <v>5.0652299999999997</v>
      </c>
      <c r="G847" s="56">
        <v>1103.18</v>
      </c>
      <c r="H847" s="56">
        <v>1011.67</v>
      </c>
      <c r="I847" s="58">
        <v>0.50496399999999997</v>
      </c>
      <c r="J847" s="57">
        <v>0.53064900000000004</v>
      </c>
      <c r="K847" s="56"/>
      <c r="L847" s="56" t="s">
        <v>488</v>
      </c>
    </row>
    <row r="848" spans="2:12" x14ac:dyDescent="0.2">
      <c r="B848" s="62" t="s">
        <v>5164</v>
      </c>
      <c r="C848" s="61" t="s">
        <v>550</v>
      </c>
      <c r="D848" s="60">
        <v>1.61026</v>
      </c>
      <c r="E848" s="59">
        <v>3.61774</v>
      </c>
      <c r="F848" s="59">
        <v>4.8235099999999997</v>
      </c>
      <c r="G848" s="56">
        <v>0</v>
      </c>
      <c r="H848" s="56">
        <v>0</v>
      </c>
      <c r="I848" s="58">
        <v>0.22559899999999999</v>
      </c>
      <c r="J848" s="57">
        <v>0.25427499999999997</v>
      </c>
      <c r="K848" s="56"/>
      <c r="L848" s="56" t="s">
        <v>488</v>
      </c>
    </row>
    <row r="849" spans="2:12" x14ac:dyDescent="0.2">
      <c r="B849" s="62" t="s">
        <v>5163</v>
      </c>
      <c r="C849" s="61" t="s">
        <v>5084</v>
      </c>
      <c r="D849" s="60">
        <v>1.23366</v>
      </c>
      <c r="E849" s="59">
        <v>3.4356599999999999</v>
      </c>
      <c r="F849" s="59">
        <v>4.2794999999999996</v>
      </c>
      <c r="G849" s="56">
        <v>0</v>
      </c>
      <c r="H849" s="56">
        <v>0</v>
      </c>
      <c r="I849" s="58">
        <v>0.44536500000000001</v>
      </c>
      <c r="J849" s="57">
        <v>0.51931099999999997</v>
      </c>
      <c r="K849" s="56"/>
      <c r="L849" s="56" t="s">
        <v>488</v>
      </c>
    </row>
    <row r="850" spans="2:12" x14ac:dyDescent="0.2">
      <c r="B850" s="62" t="s">
        <v>5162</v>
      </c>
      <c r="C850" s="61" t="s">
        <v>550</v>
      </c>
      <c r="D850" s="60">
        <v>1.57979</v>
      </c>
      <c r="E850" s="59">
        <v>3.5777899999999998</v>
      </c>
      <c r="F850" s="59">
        <v>4.7488700000000001</v>
      </c>
      <c r="G850" s="56">
        <v>0</v>
      </c>
      <c r="H850" s="56">
        <v>0</v>
      </c>
      <c r="I850" s="58">
        <v>0.21809999999999999</v>
      </c>
      <c r="J850" s="57">
        <v>0.25659599999999999</v>
      </c>
      <c r="K850" s="56"/>
      <c r="L850" s="56" t="s">
        <v>488</v>
      </c>
    </row>
    <row r="851" spans="2:12" x14ac:dyDescent="0.2">
      <c r="B851" s="62" t="s">
        <v>5161</v>
      </c>
      <c r="C851" s="61" t="s">
        <v>550</v>
      </c>
      <c r="D851" s="60">
        <v>1.59219</v>
      </c>
      <c r="E851" s="59">
        <v>3.74952</v>
      </c>
      <c r="F851" s="59">
        <v>4.8765799999999997</v>
      </c>
      <c r="G851" s="56">
        <v>362.04300000000001</v>
      </c>
      <c r="H851" s="56">
        <v>227.387</v>
      </c>
      <c r="I851" s="58">
        <v>0.23588999999999999</v>
      </c>
      <c r="J851" s="57">
        <v>0.26259100000000002</v>
      </c>
      <c r="K851" s="56"/>
      <c r="L851" s="56" t="s">
        <v>488</v>
      </c>
    </row>
    <row r="852" spans="2:12" x14ac:dyDescent="0.2">
      <c r="B852" s="62" t="s">
        <v>5160</v>
      </c>
      <c r="C852" s="61" t="s">
        <v>550</v>
      </c>
      <c r="D852" s="60">
        <v>1.03965</v>
      </c>
      <c r="E852" s="59">
        <v>4.68</v>
      </c>
      <c r="F852" s="59">
        <v>6.6463900000000002</v>
      </c>
      <c r="G852" s="56">
        <v>1678.24</v>
      </c>
      <c r="H852" s="56">
        <v>1614.24</v>
      </c>
      <c r="I852" s="58">
        <v>0.58804400000000001</v>
      </c>
      <c r="J852" s="57">
        <v>0.59525899999999998</v>
      </c>
      <c r="K852" s="56"/>
      <c r="L852" s="56" t="s">
        <v>488</v>
      </c>
    </row>
    <row r="853" spans="2:12" x14ac:dyDescent="0.2">
      <c r="B853" s="62" t="s">
        <v>5159</v>
      </c>
      <c r="C853" s="61" t="s">
        <v>550</v>
      </c>
      <c r="D853" s="60">
        <v>1.0416000000000001</v>
      </c>
      <c r="E853" s="59">
        <v>6.3151000000000002</v>
      </c>
      <c r="F853" s="59">
        <v>7.5480600000000004</v>
      </c>
      <c r="G853" s="56">
        <v>1145.7</v>
      </c>
      <c r="H853" s="56">
        <v>1099.94</v>
      </c>
      <c r="I853" s="58">
        <v>0.46915699999999999</v>
      </c>
      <c r="J853" s="57">
        <v>0.54718500000000003</v>
      </c>
      <c r="K853" s="56"/>
      <c r="L853" s="56" t="s">
        <v>492</v>
      </c>
    </row>
    <row r="854" spans="2:12" x14ac:dyDescent="0.2">
      <c r="B854" s="62" t="s">
        <v>5158</v>
      </c>
      <c r="C854" s="61" t="s">
        <v>533</v>
      </c>
      <c r="D854" s="60">
        <v>1.55436</v>
      </c>
      <c r="E854" s="59">
        <v>6.6417700000000002</v>
      </c>
      <c r="F854" s="59">
        <v>6.9875699999999998</v>
      </c>
      <c r="G854" s="56">
        <v>1375.17</v>
      </c>
      <c r="H854" s="56">
        <v>884.71799999999996</v>
      </c>
      <c r="I854" s="58">
        <v>0.60138899999999995</v>
      </c>
      <c r="J854" s="57">
        <v>0.36899399999999999</v>
      </c>
      <c r="K854" s="56"/>
      <c r="L854" s="56" t="s">
        <v>488</v>
      </c>
    </row>
    <row r="855" spans="2:12" x14ac:dyDescent="0.2">
      <c r="B855" s="62" t="s">
        <v>5157</v>
      </c>
      <c r="C855" s="61" t="s">
        <v>533</v>
      </c>
      <c r="D855" s="60">
        <v>1.6291</v>
      </c>
      <c r="E855" s="59">
        <v>6.6097999999999999</v>
      </c>
      <c r="F855" s="59">
        <v>6.9733299999999998</v>
      </c>
      <c r="G855" s="56">
        <v>1332.7</v>
      </c>
      <c r="H855" s="56">
        <v>818.80399999999997</v>
      </c>
      <c r="I855" s="58">
        <v>0.59990100000000002</v>
      </c>
      <c r="J855" s="57">
        <v>0.34318399999999999</v>
      </c>
      <c r="K855" s="56"/>
      <c r="L855" s="56" t="s">
        <v>488</v>
      </c>
    </row>
    <row r="856" spans="2:12" x14ac:dyDescent="0.2">
      <c r="B856" s="62" t="s">
        <v>5156</v>
      </c>
      <c r="C856" s="61" t="s">
        <v>533</v>
      </c>
      <c r="D856" s="60">
        <v>1.6276200000000001</v>
      </c>
      <c r="E856" s="59">
        <v>6.5857400000000004</v>
      </c>
      <c r="F856" s="59">
        <v>6.9773699999999996</v>
      </c>
      <c r="G856" s="56">
        <v>1346.67</v>
      </c>
      <c r="H856" s="56">
        <v>826.63699999999994</v>
      </c>
      <c r="I856" s="58">
        <v>0.60180999999999996</v>
      </c>
      <c r="J856" s="57">
        <v>0.34313700000000003</v>
      </c>
      <c r="K856" s="56"/>
      <c r="L856" s="56" t="s">
        <v>488</v>
      </c>
    </row>
    <row r="857" spans="2:12" x14ac:dyDescent="0.2">
      <c r="B857" s="62" t="s">
        <v>5155</v>
      </c>
      <c r="C857" s="61" t="s">
        <v>533</v>
      </c>
      <c r="D857" s="60">
        <v>1.5072399999999999</v>
      </c>
      <c r="E857" s="59">
        <v>6.7882100000000003</v>
      </c>
      <c r="F857" s="59">
        <v>7.1311099999999996</v>
      </c>
      <c r="G857" s="56">
        <v>1375.68</v>
      </c>
      <c r="H857" s="56">
        <v>912.71500000000003</v>
      </c>
      <c r="I857" s="58">
        <v>0.59801499999999996</v>
      </c>
      <c r="J857" s="57">
        <v>0.384799</v>
      </c>
      <c r="K857" s="56"/>
      <c r="L857" s="56" t="s">
        <v>488</v>
      </c>
    </row>
    <row r="858" spans="2:12" x14ac:dyDescent="0.2">
      <c r="B858" s="62" t="s">
        <v>5154</v>
      </c>
      <c r="C858" s="61" t="s">
        <v>533</v>
      </c>
      <c r="D858" s="60">
        <v>1.61812</v>
      </c>
      <c r="E858" s="59">
        <v>6.7335599999999998</v>
      </c>
      <c r="F858" s="59">
        <v>7.0740600000000002</v>
      </c>
      <c r="G858" s="56">
        <v>1329.02</v>
      </c>
      <c r="H858" s="56">
        <v>825.15200000000004</v>
      </c>
      <c r="I858" s="58">
        <v>0.59293700000000005</v>
      </c>
      <c r="J858" s="57">
        <v>0.34237000000000001</v>
      </c>
      <c r="K858" s="56"/>
      <c r="L858" s="56" t="s">
        <v>488</v>
      </c>
    </row>
    <row r="859" spans="2:12" x14ac:dyDescent="0.2">
      <c r="B859" s="62" t="s">
        <v>5153</v>
      </c>
      <c r="C859" s="61" t="s">
        <v>533</v>
      </c>
      <c r="D859" s="60">
        <v>1.6106400000000001</v>
      </c>
      <c r="E859" s="59">
        <v>6.7051400000000001</v>
      </c>
      <c r="F859" s="59">
        <v>7.0545400000000003</v>
      </c>
      <c r="G859" s="56">
        <v>1366.81</v>
      </c>
      <c r="H859" s="56">
        <v>844.69200000000001</v>
      </c>
      <c r="I859" s="58">
        <v>0.59025399999999995</v>
      </c>
      <c r="J859" s="57">
        <v>0.34475899999999998</v>
      </c>
      <c r="K859" s="56"/>
      <c r="L859" s="56" t="s">
        <v>488</v>
      </c>
    </row>
    <row r="860" spans="2:12" x14ac:dyDescent="0.2">
      <c r="B860" s="62" t="s">
        <v>5152</v>
      </c>
      <c r="C860" s="61" t="s">
        <v>625</v>
      </c>
      <c r="D860" s="60">
        <v>1.37981</v>
      </c>
      <c r="E860" s="59">
        <v>3.3536800000000002</v>
      </c>
      <c r="F860" s="59">
        <v>4.7171000000000003</v>
      </c>
      <c r="G860" s="56">
        <v>0</v>
      </c>
      <c r="H860" s="56">
        <v>0</v>
      </c>
      <c r="I860" s="58">
        <v>0.310722</v>
      </c>
      <c r="J860" s="57">
        <v>0.36723099999999997</v>
      </c>
      <c r="K860" s="56"/>
      <c r="L860" s="56" t="s">
        <v>624</v>
      </c>
    </row>
    <row r="861" spans="2:12" x14ac:dyDescent="0.2">
      <c r="B861" s="62" t="s">
        <v>5151</v>
      </c>
      <c r="C861" s="61" t="s">
        <v>1622</v>
      </c>
      <c r="D861" s="60">
        <v>1.47387</v>
      </c>
      <c r="E861" s="59">
        <v>3.27189</v>
      </c>
      <c r="F861" s="59">
        <v>4.8653000000000004</v>
      </c>
      <c r="G861" s="56">
        <v>0</v>
      </c>
      <c r="H861" s="56">
        <v>0</v>
      </c>
      <c r="I861" s="58">
        <v>0.23832500000000001</v>
      </c>
      <c r="J861" s="57">
        <v>0.30519400000000002</v>
      </c>
      <c r="K861" s="56"/>
      <c r="L861" s="56" t="s">
        <v>492</v>
      </c>
    </row>
    <row r="862" spans="2:12" x14ac:dyDescent="0.2">
      <c r="B862" s="62" t="s">
        <v>5150</v>
      </c>
      <c r="C862" s="61" t="s">
        <v>1622</v>
      </c>
      <c r="D862" s="60">
        <v>0.88058999999999998</v>
      </c>
      <c r="E862" s="59">
        <v>7.2816799999999997</v>
      </c>
      <c r="F862" s="59">
        <v>10.151070000000001</v>
      </c>
      <c r="G862" s="56">
        <v>1570.93</v>
      </c>
      <c r="H862" s="56">
        <v>1783.95</v>
      </c>
      <c r="I862" s="58">
        <v>0.57863500000000001</v>
      </c>
      <c r="J862" s="57">
        <v>0.73200500000000002</v>
      </c>
      <c r="K862" s="56"/>
      <c r="L862" s="56" t="s">
        <v>624</v>
      </c>
    </row>
    <row r="863" spans="2:12" x14ac:dyDescent="0.2">
      <c r="B863" s="62" t="s">
        <v>5149</v>
      </c>
      <c r="C863" s="61" t="s">
        <v>612</v>
      </c>
      <c r="D863" s="60">
        <v>1.13174</v>
      </c>
      <c r="E863" s="59">
        <v>5.19916</v>
      </c>
      <c r="F863" s="59">
        <v>6.7778200000000002</v>
      </c>
      <c r="G863" s="56">
        <v>1664.48</v>
      </c>
      <c r="H863" s="56">
        <v>1470.73</v>
      </c>
      <c r="I863" s="58">
        <v>0.59802999999999995</v>
      </c>
      <c r="J863" s="57">
        <v>0.52496500000000001</v>
      </c>
      <c r="K863" s="56"/>
      <c r="L863" s="56" t="s">
        <v>488</v>
      </c>
    </row>
    <row r="864" spans="2:12" x14ac:dyDescent="0.2">
      <c r="B864" s="62" t="s">
        <v>5148</v>
      </c>
      <c r="C864" s="61" t="s">
        <v>550</v>
      </c>
      <c r="D864" s="60">
        <v>1.35778</v>
      </c>
      <c r="E864" s="59">
        <v>4.3449999999999998</v>
      </c>
      <c r="F864" s="59">
        <v>5.6941100000000002</v>
      </c>
      <c r="G864" s="56">
        <v>470.16699999999997</v>
      </c>
      <c r="H864" s="56">
        <v>346.27699999999999</v>
      </c>
      <c r="I864" s="58">
        <v>0.30688599999999999</v>
      </c>
      <c r="J864" s="57">
        <v>0.34603099999999998</v>
      </c>
      <c r="K864" s="56"/>
      <c r="L864" s="56" t="s">
        <v>488</v>
      </c>
    </row>
    <row r="865" spans="2:12" x14ac:dyDescent="0.2">
      <c r="B865" s="62" t="s">
        <v>5147</v>
      </c>
      <c r="C865" s="61" t="s">
        <v>495</v>
      </c>
      <c r="D865" s="60">
        <v>1.389</v>
      </c>
      <c r="E865" s="59">
        <v>2.4146700000000001</v>
      </c>
      <c r="F865" s="59">
        <v>4.2929500000000003</v>
      </c>
      <c r="G865" s="56">
        <v>0</v>
      </c>
      <c r="H865" s="56">
        <v>0</v>
      </c>
      <c r="I865" s="58">
        <v>0.21227799999999999</v>
      </c>
      <c r="J865" s="57">
        <v>0.30180200000000001</v>
      </c>
      <c r="K865" s="56"/>
      <c r="L865" s="56" t="s">
        <v>492</v>
      </c>
    </row>
    <row r="866" spans="2:12" x14ac:dyDescent="0.2">
      <c r="B866" s="62" t="s">
        <v>5146</v>
      </c>
      <c r="C866" s="61" t="s">
        <v>798</v>
      </c>
      <c r="D866" s="60">
        <v>1.3429500000000001</v>
      </c>
      <c r="E866" s="59">
        <v>2.59937</v>
      </c>
      <c r="F866" s="59">
        <v>4.7605599999999999</v>
      </c>
      <c r="G866" s="56">
        <v>0</v>
      </c>
      <c r="H866" s="56">
        <v>0</v>
      </c>
      <c r="I866" s="58">
        <v>0.21959400000000001</v>
      </c>
      <c r="J866" s="57">
        <v>0.29655399999999998</v>
      </c>
      <c r="K866" s="56"/>
      <c r="L866" s="56" t="s">
        <v>492</v>
      </c>
    </row>
    <row r="867" spans="2:12" x14ac:dyDescent="0.2">
      <c r="B867" s="62" t="s">
        <v>5145</v>
      </c>
      <c r="C867" s="61" t="s">
        <v>502</v>
      </c>
      <c r="D867" s="60">
        <v>1.63961</v>
      </c>
      <c r="E867" s="59">
        <v>2.76098</v>
      </c>
      <c r="F867" s="59">
        <v>3.95804</v>
      </c>
      <c r="G867" s="56">
        <v>0</v>
      </c>
      <c r="H867" s="56">
        <v>0</v>
      </c>
      <c r="I867" s="58">
        <v>0.12906500000000001</v>
      </c>
      <c r="J867" s="57">
        <v>0.242427</v>
      </c>
      <c r="K867" s="56"/>
      <c r="L867" s="56" t="s">
        <v>488</v>
      </c>
    </row>
    <row r="868" spans="2:12" x14ac:dyDescent="0.2">
      <c r="B868" s="62" t="s">
        <v>5144</v>
      </c>
      <c r="C868" s="61" t="s">
        <v>531</v>
      </c>
      <c r="D868" s="60">
        <v>2.4905900000000001</v>
      </c>
      <c r="E868" s="59">
        <v>4.6450899999999997</v>
      </c>
      <c r="F868" s="59">
        <v>5.2032400000000001</v>
      </c>
      <c r="G868" s="56">
        <v>705.40300000000002</v>
      </c>
      <c r="H868" s="56">
        <v>283.22699999999998</v>
      </c>
      <c r="I868" s="58">
        <v>0.29245300000000002</v>
      </c>
      <c r="J868" s="57">
        <v>0.18021699999999999</v>
      </c>
      <c r="K868" s="56"/>
      <c r="L868" s="56" t="s">
        <v>488</v>
      </c>
    </row>
    <row r="869" spans="2:12" x14ac:dyDescent="0.2">
      <c r="B869" s="62" t="s">
        <v>5143</v>
      </c>
      <c r="C869" s="61" t="s">
        <v>548</v>
      </c>
      <c r="D869" s="60">
        <v>1.6732199999999999</v>
      </c>
      <c r="E869" s="59">
        <v>2.4270800000000001</v>
      </c>
      <c r="F869" s="59">
        <v>3.863</v>
      </c>
      <c r="G869" s="56">
        <v>0</v>
      </c>
      <c r="H869" s="56">
        <v>0</v>
      </c>
      <c r="I869" s="58">
        <v>0.29778199999999999</v>
      </c>
      <c r="J869" s="57">
        <v>0.25278400000000001</v>
      </c>
      <c r="K869" s="56"/>
      <c r="L869" s="56" t="s">
        <v>488</v>
      </c>
    </row>
    <row r="870" spans="2:12" x14ac:dyDescent="0.2">
      <c r="B870" s="62" t="s">
        <v>5142</v>
      </c>
      <c r="C870" s="61" t="s">
        <v>510</v>
      </c>
      <c r="D870" s="60">
        <v>1.10917</v>
      </c>
      <c r="E870" s="59">
        <v>3.3947699999999998</v>
      </c>
      <c r="F870" s="59">
        <v>7.0253899999999998</v>
      </c>
      <c r="G870" s="56">
        <v>0</v>
      </c>
      <c r="H870" s="56">
        <v>0</v>
      </c>
      <c r="I870" s="58">
        <v>0.31124499999999999</v>
      </c>
      <c r="J870" s="57">
        <v>0.45125199999999999</v>
      </c>
      <c r="K870" s="56"/>
      <c r="L870" s="56" t="s">
        <v>488</v>
      </c>
    </row>
    <row r="871" spans="2:12" x14ac:dyDescent="0.2">
      <c r="B871" s="62" t="s">
        <v>5141</v>
      </c>
      <c r="C871" s="61" t="s">
        <v>1174</v>
      </c>
      <c r="D871" s="60">
        <v>0.89069399999999999</v>
      </c>
      <c r="E871" s="59">
        <v>3.9329700000000001</v>
      </c>
      <c r="F871" s="59">
        <v>6.3463500000000002</v>
      </c>
      <c r="G871" s="56">
        <v>1133.6500000000001</v>
      </c>
      <c r="H871" s="56">
        <v>1272.77</v>
      </c>
      <c r="I871" s="58">
        <v>0.58564099999999997</v>
      </c>
      <c r="J871" s="57">
        <v>0.642984</v>
      </c>
      <c r="K871" s="56"/>
      <c r="L871" s="56" t="s">
        <v>488</v>
      </c>
    </row>
    <row r="872" spans="2:12" x14ac:dyDescent="0.2">
      <c r="B872" s="62" t="s">
        <v>5140</v>
      </c>
      <c r="C872" s="61" t="s">
        <v>842</v>
      </c>
      <c r="D872" s="60">
        <v>1.1026</v>
      </c>
      <c r="E872" s="59">
        <v>4.3801100000000002</v>
      </c>
      <c r="F872" s="59">
        <v>6.0362200000000001</v>
      </c>
      <c r="G872" s="56">
        <v>683.13</v>
      </c>
      <c r="H872" s="56">
        <v>619.56100000000004</v>
      </c>
      <c r="I872" s="58">
        <v>0.45398899999999998</v>
      </c>
      <c r="J872" s="57">
        <v>0.46228900000000001</v>
      </c>
      <c r="K872" s="56"/>
      <c r="L872" s="56" t="s">
        <v>488</v>
      </c>
    </row>
    <row r="873" spans="2:12" x14ac:dyDescent="0.2">
      <c r="B873" s="62" t="s">
        <v>5139</v>
      </c>
      <c r="C873" s="61" t="s">
        <v>842</v>
      </c>
      <c r="D873" s="60">
        <v>1.1486400000000001</v>
      </c>
      <c r="E873" s="59">
        <v>3.2127699999999999</v>
      </c>
      <c r="F873" s="59">
        <v>7.8196099999999999</v>
      </c>
      <c r="G873" s="56">
        <v>0</v>
      </c>
      <c r="H873" s="56">
        <v>0</v>
      </c>
      <c r="I873" s="58">
        <v>0.30356100000000003</v>
      </c>
      <c r="J873" s="57">
        <v>0.40854200000000002</v>
      </c>
      <c r="K873" s="56"/>
      <c r="L873" s="56" t="s">
        <v>492</v>
      </c>
    </row>
    <row r="874" spans="2:12" x14ac:dyDescent="0.2">
      <c r="B874" s="62" t="s">
        <v>5138</v>
      </c>
      <c r="C874" s="61" t="s">
        <v>495</v>
      </c>
      <c r="D874" s="60">
        <v>1.31199</v>
      </c>
      <c r="E874" s="59">
        <v>4.4383499999999998</v>
      </c>
      <c r="F874" s="59">
        <v>5.1215700000000002</v>
      </c>
      <c r="G874" s="56">
        <v>976.58699999999999</v>
      </c>
      <c r="H874" s="56">
        <v>744.35799999999995</v>
      </c>
      <c r="I874" s="58">
        <v>0.394314</v>
      </c>
      <c r="J874" s="57">
        <v>0.362201</v>
      </c>
      <c r="K874" s="56"/>
      <c r="L874" s="56" t="s">
        <v>488</v>
      </c>
    </row>
    <row r="875" spans="2:12" x14ac:dyDescent="0.2">
      <c r="B875" s="62" t="s">
        <v>5137</v>
      </c>
      <c r="C875" s="61" t="s">
        <v>499</v>
      </c>
      <c r="D875" s="60">
        <v>0.85427399999999998</v>
      </c>
      <c r="E875" s="59">
        <v>11.486499999999999</v>
      </c>
      <c r="F875" s="59">
        <v>12.33039</v>
      </c>
      <c r="G875" s="56">
        <v>1006.88</v>
      </c>
      <c r="H875" s="56">
        <v>1178.6400000000001</v>
      </c>
      <c r="I875" s="58">
        <v>0.53440900000000002</v>
      </c>
      <c r="J875" s="57">
        <v>0.71792400000000001</v>
      </c>
      <c r="K875" s="56"/>
      <c r="L875" s="56" t="s">
        <v>488</v>
      </c>
    </row>
    <row r="876" spans="2:12" x14ac:dyDescent="0.2">
      <c r="B876" s="62" t="s">
        <v>5136</v>
      </c>
      <c r="C876" s="61" t="s">
        <v>502</v>
      </c>
      <c r="D876" s="60">
        <v>1.20906</v>
      </c>
      <c r="E876" s="59">
        <v>5.1748000000000003</v>
      </c>
      <c r="F876" s="59">
        <v>6.9305500000000002</v>
      </c>
      <c r="G876" s="56">
        <v>756.78399999999999</v>
      </c>
      <c r="H876" s="56">
        <v>625.92899999999997</v>
      </c>
      <c r="I876" s="58">
        <v>0.31081999999999999</v>
      </c>
      <c r="J876" s="57">
        <v>0.39927000000000001</v>
      </c>
      <c r="K876" s="56"/>
      <c r="L876" s="56" t="s">
        <v>488</v>
      </c>
    </row>
    <row r="877" spans="2:12" x14ac:dyDescent="0.2">
      <c r="B877" s="62" t="s">
        <v>5135</v>
      </c>
      <c r="C877" s="61" t="s">
        <v>502</v>
      </c>
      <c r="D877" s="60">
        <v>1.25098</v>
      </c>
      <c r="E877" s="59">
        <v>4.4487699999999997</v>
      </c>
      <c r="F877" s="59">
        <v>6.6166499999999999</v>
      </c>
      <c r="G877" s="56">
        <v>654.50400000000002</v>
      </c>
      <c r="H877" s="56">
        <v>523.19000000000005</v>
      </c>
      <c r="I877" s="58">
        <v>0.27821499999999999</v>
      </c>
      <c r="J877" s="57">
        <v>0.372529</v>
      </c>
      <c r="K877" s="56"/>
      <c r="L877" s="56" t="s">
        <v>488</v>
      </c>
    </row>
    <row r="878" spans="2:12" x14ac:dyDescent="0.2">
      <c r="B878" s="62" t="s">
        <v>5134</v>
      </c>
      <c r="C878" s="61" t="s">
        <v>502</v>
      </c>
      <c r="D878" s="60">
        <v>1.2182299999999999</v>
      </c>
      <c r="E878" s="59">
        <v>4.98271</v>
      </c>
      <c r="F878" s="59">
        <v>6.8708299999999998</v>
      </c>
      <c r="G878" s="56">
        <v>752.54600000000005</v>
      </c>
      <c r="H878" s="56">
        <v>617.73699999999997</v>
      </c>
      <c r="I878" s="58">
        <v>0.302282</v>
      </c>
      <c r="J878" s="57">
        <v>0.39274900000000001</v>
      </c>
      <c r="K878" s="56"/>
      <c r="L878" s="56" t="s">
        <v>488</v>
      </c>
    </row>
    <row r="879" spans="2:12" x14ac:dyDescent="0.2">
      <c r="B879" s="62" t="s">
        <v>5133</v>
      </c>
      <c r="C879" s="61" t="s">
        <v>499</v>
      </c>
      <c r="D879" s="60">
        <v>0.85417799999999999</v>
      </c>
      <c r="E879" s="59">
        <v>11.34056</v>
      </c>
      <c r="F879" s="59">
        <v>12.33081</v>
      </c>
      <c r="G879" s="56">
        <v>985.66</v>
      </c>
      <c r="H879" s="56">
        <v>1153.93</v>
      </c>
      <c r="I879" s="58">
        <v>0.54573799999999995</v>
      </c>
      <c r="J879" s="57">
        <v>0.71779999999999999</v>
      </c>
      <c r="K879" s="56"/>
      <c r="L879" s="56" t="s">
        <v>488</v>
      </c>
    </row>
    <row r="880" spans="2:12" x14ac:dyDescent="0.2">
      <c r="B880" s="62" t="s">
        <v>5132</v>
      </c>
      <c r="C880" s="61" t="s">
        <v>499</v>
      </c>
      <c r="D880" s="60">
        <v>1.61904</v>
      </c>
      <c r="E880" s="59">
        <v>3.6241099999999999</v>
      </c>
      <c r="F880" s="59">
        <v>4.0903900000000002</v>
      </c>
      <c r="G880" s="56">
        <v>0</v>
      </c>
      <c r="H880" s="56">
        <v>0</v>
      </c>
      <c r="I880" s="58">
        <v>0.20499700000000001</v>
      </c>
      <c r="J880" s="57">
        <v>0.29560799999999998</v>
      </c>
      <c r="K880" s="56"/>
      <c r="L880" s="56" t="s">
        <v>488</v>
      </c>
    </row>
    <row r="881" spans="2:12" x14ac:dyDescent="0.2">
      <c r="B881" s="62" t="s">
        <v>5131</v>
      </c>
      <c r="C881" s="61" t="s">
        <v>502</v>
      </c>
      <c r="D881" s="60">
        <v>1.86913</v>
      </c>
      <c r="E881" s="59">
        <v>2.8835700000000002</v>
      </c>
      <c r="F881" s="59">
        <v>3.2446000000000002</v>
      </c>
      <c r="G881" s="56">
        <v>0</v>
      </c>
      <c r="H881" s="56">
        <v>0</v>
      </c>
      <c r="I881" s="58">
        <v>0.14210900000000001</v>
      </c>
      <c r="J881" s="57">
        <v>0.18481600000000001</v>
      </c>
      <c r="K881" s="56"/>
      <c r="L881" s="56" t="s">
        <v>488</v>
      </c>
    </row>
    <row r="882" spans="2:12" x14ac:dyDescent="0.2">
      <c r="B882" s="62" t="s">
        <v>5130</v>
      </c>
      <c r="C882" s="61" t="s">
        <v>708</v>
      </c>
      <c r="D882" s="60">
        <v>1.4275500000000001</v>
      </c>
      <c r="E882" s="59">
        <v>4.0103499999999999</v>
      </c>
      <c r="F882" s="59">
        <v>4.8880400000000002</v>
      </c>
      <c r="G882" s="56">
        <v>709.50699999999995</v>
      </c>
      <c r="H882" s="56">
        <v>495.02100000000002</v>
      </c>
      <c r="I882" s="58">
        <v>0.40982400000000002</v>
      </c>
      <c r="J882" s="57">
        <v>0.353657</v>
      </c>
      <c r="K882" s="56"/>
      <c r="L882" s="56" t="s">
        <v>488</v>
      </c>
    </row>
    <row r="883" spans="2:12" x14ac:dyDescent="0.2">
      <c r="B883" s="62" t="s">
        <v>5129</v>
      </c>
      <c r="C883" s="61" t="s">
        <v>708</v>
      </c>
      <c r="D883" s="60">
        <v>1.43329</v>
      </c>
      <c r="E883" s="59">
        <v>4.0648799999999996</v>
      </c>
      <c r="F883" s="59">
        <v>4.9474900000000002</v>
      </c>
      <c r="G883" s="56">
        <v>806.96600000000001</v>
      </c>
      <c r="H883" s="56">
        <v>565.28</v>
      </c>
      <c r="I883" s="58">
        <v>0.32982899999999998</v>
      </c>
      <c r="J883" s="57">
        <v>0.34955999999999998</v>
      </c>
      <c r="K883" s="56"/>
      <c r="L883" s="56" t="s">
        <v>488</v>
      </c>
    </row>
    <row r="884" spans="2:12" x14ac:dyDescent="0.2">
      <c r="B884" s="62" t="s">
        <v>5128</v>
      </c>
      <c r="C884" s="61" t="s">
        <v>499</v>
      </c>
      <c r="D884" s="60">
        <v>1.4015299999999999</v>
      </c>
      <c r="E884" s="59">
        <v>4.7850000000000001</v>
      </c>
      <c r="F884" s="59">
        <v>5.0541099999999997</v>
      </c>
      <c r="G884" s="56">
        <v>386.17899999999997</v>
      </c>
      <c r="H884" s="56">
        <v>275.54000000000002</v>
      </c>
      <c r="I884" s="58">
        <v>0.26630599999999999</v>
      </c>
      <c r="J884" s="57">
        <v>0.29433500000000001</v>
      </c>
      <c r="K884" s="56"/>
      <c r="L884" s="56" t="s">
        <v>488</v>
      </c>
    </row>
    <row r="885" spans="2:12" x14ac:dyDescent="0.2">
      <c r="B885" s="62" t="s">
        <v>5127</v>
      </c>
      <c r="C885" s="61" t="s">
        <v>499</v>
      </c>
      <c r="D885" s="60">
        <v>1.49231</v>
      </c>
      <c r="E885" s="59">
        <v>2.62453</v>
      </c>
      <c r="F885" s="59">
        <v>3.25413</v>
      </c>
      <c r="G885" s="56">
        <v>0</v>
      </c>
      <c r="H885" s="56">
        <v>0</v>
      </c>
      <c r="I885" s="58">
        <v>0.15045500000000001</v>
      </c>
      <c r="J885" s="57">
        <v>0.283443</v>
      </c>
      <c r="K885" s="56"/>
      <c r="L885" s="56" t="s">
        <v>488</v>
      </c>
    </row>
    <row r="886" spans="2:12" x14ac:dyDescent="0.2">
      <c r="B886" s="62" t="s">
        <v>5126</v>
      </c>
      <c r="C886" s="61" t="s">
        <v>550</v>
      </c>
      <c r="D886" s="60">
        <v>1.34842</v>
      </c>
      <c r="E886" s="59">
        <v>3.5487099999999998</v>
      </c>
      <c r="F886" s="59">
        <v>5.3363199999999997</v>
      </c>
      <c r="G886" s="56">
        <v>0</v>
      </c>
      <c r="H886" s="56">
        <v>0</v>
      </c>
      <c r="I886" s="58">
        <v>0.48898599999999998</v>
      </c>
      <c r="J886" s="57">
        <v>0.396594</v>
      </c>
      <c r="K886" s="56"/>
      <c r="L886" s="56" t="s">
        <v>488</v>
      </c>
    </row>
    <row r="887" spans="2:12" x14ac:dyDescent="0.2">
      <c r="B887" s="62" t="s">
        <v>5125</v>
      </c>
      <c r="C887" s="61" t="s">
        <v>502</v>
      </c>
      <c r="D887" s="60">
        <v>1.19981</v>
      </c>
      <c r="E887" s="59">
        <v>4.0137700000000001</v>
      </c>
      <c r="F887" s="59">
        <v>4.7985699999999998</v>
      </c>
      <c r="G887" s="56">
        <v>1222.5</v>
      </c>
      <c r="H887" s="56">
        <v>1018.91</v>
      </c>
      <c r="I887" s="58">
        <v>0.56576800000000005</v>
      </c>
      <c r="J887" s="57">
        <v>0.49576999999999999</v>
      </c>
      <c r="K887" s="56"/>
      <c r="L887" s="56" t="s">
        <v>488</v>
      </c>
    </row>
    <row r="888" spans="2:12" x14ac:dyDescent="0.2">
      <c r="B888" s="62" t="s">
        <v>5124</v>
      </c>
      <c r="C888" s="61" t="s">
        <v>499</v>
      </c>
      <c r="D888" s="60">
        <v>0.32533099999999998</v>
      </c>
      <c r="E888" s="59">
        <v>17.57546</v>
      </c>
      <c r="F888" s="59">
        <v>18.997199999999999</v>
      </c>
      <c r="G888" s="56">
        <v>1163.17</v>
      </c>
      <c r="H888" s="56">
        <v>3575.35</v>
      </c>
      <c r="I888" s="58">
        <v>0.88958300000000001</v>
      </c>
      <c r="J888" s="57">
        <v>2.6856200000000001</v>
      </c>
      <c r="K888" s="56"/>
      <c r="L888" s="56" t="s">
        <v>488</v>
      </c>
    </row>
    <row r="889" spans="2:12" x14ac:dyDescent="0.2">
      <c r="B889" s="62" t="s">
        <v>5123</v>
      </c>
      <c r="C889" s="61" t="s">
        <v>510</v>
      </c>
      <c r="D889" s="60">
        <v>0.40723199999999998</v>
      </c>
      <c r="E889" s="59">
        <v>10.91794</v>
      </c>
      <c r="F889" s="59">
        <v>11.63969</v>
      </c>
      <c r="G889" s="56">
        <v>1836.39</v>
      </c>
      <c r="H889" s="56">
        <v>4509.46</v>
      </c>
      <c r="I889" s="58">
        <v>0.88708600000000004</v>
      </c>
      <c r="J889" s="57">
        <v>2.0943900000000002</v>
      </c>
      <c r="K889" s="56"/>
      <c r="L889" s="56" t="s">
        <v>488</v>
      </c>
    </row>
    <row r="890" spans="2:12" x14ac:dyDescent="0.2">
      <c r="B890" s="62" t="s">
        <v>5122</v>
      </c>
      <c r="C890" s="61" t="s">
        <v>708</v>
      </c>
      <c r="D890" s="60">
        <v>1.5657799999999999</v>
      </c>
      <c r="E890" s="59">
        <v>3.0365899999999999</v>
      </c>
      <c r="F890" s="59">
        <v>3.9077199999999999</v>
      </c>
      <c r="G890" s="56">
        <v>0</v>
      </c>
      <c r="H890" s="56">
        <v>0</v>
      </c>
      <c r="I890" s="58">
        <v>0.30170599999999997</v>
      </c>
      <c r="J890" s="57">
        <v>0.28772399999999998</v>
      </c>
      <c r="K890" s="56"/>
      <c r="L890" s="56" t="s">
        <v>488</v>
      </c>
    </row>
    <row r="891" spans="2:12" x14ac:dyDescent="0.2">
      <c r="B891" s="62" t="s">
        <v>5121</v>
      </c>
      <c r="C891" s="61" t="s">
        <v>510</v>
      </c>
      <c r="D891" s="60">
        <v>1.54054</v>
      </c>
      <c r="E891" s="59">
        <v>3.0015900000000002</v>
      </c>
      <c r="F891" s="59">
        <v>4.0068299999999999</v>
      </c>
      <c r="G891" s="56">
        <v>0</v>
      </c>
      <c r="H891" s="56">
        <v>0</v>
      </c>
      <c r="I891" s="58">
        <v>0.30354900000000001</v>
      </c>
      <c r="J891" s="57">
        <v>0.28655199999999997</v>
      </c>
      <c r="K891" s="56"/>
      <c r="L891" s="56" t="s">
        <v>488</v>
      </c>
    </row>
    <row r="892" spans="2:12" x14ac:dyDescent="0.2">
      <c r="B892" s="62" t="s">
        <v>5120</v>
      </c>
      <c r="C892" s="61" t="s">
        <v>510</v>
      </c>
      <c r="D892" s="60">
        <v>2.1549100000000001</v>
      </c>
      <c r="E892" s="59">
        <v>2.7881100000000001</v>
      </c>
      <c r="F892" s="59">
        <v>3.9314900000000002</v>
      </c>
      <c r="G892" s="56">
        <v>0</v>
      </c>
      <c r="H892" s="56">
        <v>0</v>
      </c>
      <c r="I892" s="58">
        <v>0.170656</v>
      </c>
      <c r="J892" s="57">
        <v>0.18451000000000001</v>
      </c>
      <c r="K892" s="56"/>
      <c r="L892" s="56" t="s">
        <v>488</v>
      </c>
    </row>
    <row r="893" spans="2:12" x14ac:dyDescent="0.2">
      <c r="B893" s="62" t="s">
        <v>5119</v>
      </c>
      <c r="C893" s="61" t="s">
        <v>510</v>
      </c>
      <c r="D893" s="60">
        <v>1.83477</v>
      </c>
      <c r="E893" s="59">
        <v>2.4207000000000001</v>
      </c>
      <c r="F893" s="59">
        <v>2.7952599999999999</v>
      </c>
      <c r="G893" s="56">
        <v>0</v>
      </c>
      <c r="H893" s="56">
        <v>0</v>
      </c>
      <c r="I893" s="58">
        <v>2.0641E-2</v>
      </c>
      <c r="J893" s="57">
        <v>0.207537</v>
      </c>
      <c r="K893" s="56"/>
      <c r="L893" s="56" t="s">
        <v>488</v>
      </c>
    </row>
    <row r="894" spans="2:12" x14ac:dyDescent="0.2">
      <c r="B894" s="62" t="s">
        <v>5118</v>
      </c>
      <c r="C894" s="61" t="s">
        <v>531</v>
      </c>
      <c r="D894" s="60">
        <v>1.8934899999999999</v>
      </c>
      <c r="E894" s="59">
        <v>2.6433599999999999</v>
      </c>
      <c r="F894" s="59">
        <v>3.7937799999999999</v>
      </c>
      <c r="G894" s="56">
        <v>0</v>
      </c>
      <c r="H894" s="56">
        <v>0</v>
      </c>
      <c r="I894" s="58">
        <v>0.17204</v>
      </c>
      <c r="J894" s="57">
        <v>0.21318999999999999</v>
      </c>
      <c r="K894" s="56"/>
      <c r="L894" s="56" t="s">
        <v>488</v>
      </c>
    </row>
    <row r="895" spans="2:12" x14ac:dyDescent="0.2">
      <c r="B895" s="62" t="s">
        <v>5117</v>
      </c>
      <c r="C895" s="61" t="s">
        <v>535</v>
      </c>
      <c r="D895" s="60">
        <v>1.9556899999999999</v>
      </c>
      <c r="E895" s="59">
        <v>2.59179</v>
      </c>
      <c r="F895" s="59">
        <v>3.75468</v>
      </c>
      <c r="G895" s="56">
        <v>0</v>
      </c>
      <c r="H895" s="56">
        <v>0</v>
      </c>
      <c r="I895" s="58">
        <v>0.162854</v>
      </c>
      <c r="J895" s="57">
        <v>0.20325299999999999</v>
      </c>
      <c r="K895" s="56"/>
      <c r="L895" s="56" t="s">
        <v>488</v>
      </c>
    </row>
    <row r="896" spans="2:12" x14ac:dyDescent="0.2">
      <c r="B896" s="62" t="s">
        <v>5116</v>
      </c>
      <c r="C896" s="61" t="s">
        <v>1226</v>
      </c>
      <c r="D896" s="60">
        <v>2.08541</v>
      </c>
      <c r="E896" s="59">
        <v>2.8656000000000001</v>
      </c>
      <c r="F896" s="59">
        <v>3.5710700000000002</v>
      </c>
      <c r="G896" s="56">
        <v>0</v>
      </c>
      <c r="H896" s="56">
        <v>0</v>
      </c>
      <c r="I896" s="58">
        <v>0.103008</v>
      </c>
      <c r="J896" s="57">
        <v>0.18585699999999999</v>
      </c>
      <c r="K896" s="56"/>
      <c r="L896" s="56" t="s">
        <v>488</v>
      </c>
    </row>
    <row r="897" spans="2:12" x14ac:dyDescent="0.2">
      <c r="B897" s="62" t="s">
        <v>5115</v>
      </c>
      <c r="C897" s="61" t="s">
        <v>541</v>
      </c>
      <c r="D897" s="60">
        <v>1.47319</v>
      </c>
      <c r="E897" s="59">
        <v>3.08033</v>
      </c>
      <c r="F897" s="59">
        <v>4.8887499999999999</v>
      </c>
      <c r="G897" s="56">
        <v>0</v>
      </c>
      <c r="H897" s="56">
        <v>0</v>
      </c>
      <c r="I897" s="58">
        <v>0.40438000000000002</v>
      </c>
      <c r="J897" s="57">
        <v>0.35200900000000002</v>
      </c>
      <c r="K897" s="56"/>
      <c r="L897" s="56" t="s">
        <v>488</v>
      </c>
    </row>
    <row r="898" spans="2:12" x14ac:dyDescent="0.2">
      <c r="B898" s="62" t="s">
        <v>5114</v>
      </c>
      <c r="C898" s="61" t="s">
        <v>582</v>
      </c>
      <c r="D898" s="60">
        <v>1.50996</v>
      </c>
      <c r="E898" s="59">
        <v>3.1270500000000001</v>
      </c>
      <c r="F898" s="59">
        <v>4.8709499999999997</v>
      </c>
      <c r="G898" s="56">
        <v>0</v>
      </c>
      <c r="H898" s="56">
        <v>0</v>
      </c>
      <c r="I898" s="58">
        <v>0.40997899999999998</v>
      </c>
      <c r="J898" s="57">
        <v>0.33963100000000002</v>
      </c>
      <c r="K898" s="56"/>
      <c r="L898" s="56" t="s">
        <v>488</v>
      </c>
    </row>
    <row r="899" spans="2:12" x14ac:dyDescent="0.2">
      <c r="B899" s="62" t="s">
        <v>5113</v>
      </c>
      <c r="C899" s="61" t="s">
        <v>616</v>
      </c>
      <c r="D899" s="60">
        <v>2.6441300000000001</v>
      </c>
      <c r="E899" s="59">
        <v>4.5143899999999997</v>
      </c>
      <c r="F899" s="59">
        <v>5.3398700000000003</v>
      </c>
      <c r="G899" s="56">
        <v>493.77699999999999</v>
      </c>
      <c r="H899" s="56">
        <v>186.745</v>
      </c>
      <c r="I899" s="58">
        <v>0.26958199999999999</v>
      </c>
      <c r="J899" s="57">
        <v>0.18982199999999999</v>
      </c>
      <c r="K899" s="56"/>
      <c r="L899" s="56" t="s">
        <v>492</v>
      </c>
    </row>
    <row r="900" spans="2:12" x14ac:dyDescent="0.2">
      <c r="B900" s="62" t="s">
        <v>5112</v>
      </c>
      <c r="C900" s="61" t="s">
        <v>616</v>
      </c>
      <c r="D900" s="60">
        <v>2.3401100000000001</v>
      </c>
      <c r="E900" s="59">
        <v>6.1405399999999997</v>
      </c>
      <c r="F900" s="59">
        <v>6.8240800000000004</v>
      </c>
      <c r="G900" s="56">
        <v>1505.43</v>
      </c>
      <c r="H900" s="56">
        <v>643.31700000000001</v>
      </c>
      <c r="I900" s="58">
        <v>0.55927099999999996</v>
      </c>
      <c r="J900" s="57">
        <v>0.26348100000000002</v>
      </c>
      <c r="K900" s="56"/>
      <c r="L900" s="56" t="s">
        <v>488</v>
      </c>
    </row>
    <row r="901" spans="2:12" x14ac:dyDescent="0.2">
      <c r="B901" s="62" t="s">
        <v>5111</v>
      </c>
      <c r="C901" s="61" t="s">
        <v>2668</v>
      </c>
      <c r="D901" s="60">
        <v>2.91222</v>
      </c>
      <c r="E901" s="59">
        <v>4.4670199999999998</v>
      </c>
      <c r="F901" s="59">
        <v>5.3240999999999996</v>
      </c>
      <c r="G901" s="56">
        <v>500.50400000000002</v>
      </c>
      <c r="H901" s="56">
        <v>171.863</v>
      </c>
      <c r="I901" s="58">
        <v>0.217665</v>
      </c>
      <c r="J901" s="57">
        <v>0.158862</v>
      </c>
      <c r="K901" s="56"/>
      <c r="L901" s="56" t="s">
        <v>492</v>
      </c>
    </row>
    <row r="902" spans="2:12" x14ac:dyDescent="0.2">
      <c r="B902" s="62" t="s">
        <v>5110</v>
      </c>
      <c r="C902" s="61" t="s">
        <v>616</v>
      </c>
      <c r="D902" s="60">
        <v>2.9336899999999999</v>
      </c>
      <c r="E902" s="59">
        <v>4.4200799999999996</v>
      </c>
      <c r="F902" s="59">
        <v>5.2777099999999999</v>
      </c>
      <c r="G902" s="56">
        <v>526.88</v>
      </c>
      <c r="H902" s="56">
        <v>179.596</v>
      </c>
      <c r="I902" s="58">
        <v>0.203652</v>
      </c>
      <c r="J902" s="57">
        <v>0.15414800000000001</v>
      </c>
      <c r="K902" s="56"/>
      <c r="L902" s="56" t="s">
        <v>492</v>
      </c>
    </row>
    <row r="903" spans="2:12" x14ac:dyDescent="0.2">
      <c r="B903" s="62" t="s">
        <v>5109</v>
      </c>
      <c r="C903" s="61" t="s">
        <v>499</v>
      </c>
      <c r="D903" s="60">
        <v>1.4678</v>
      </c>
      <c r="E903" s="59">
        <v>2.5142699999999998</v>
      </c>
      <c r="F903" s="59">
        <v>3.8667199999999999</v>
      </c>
      <c r="G903" s="56">
        <v>0</v>
      </c>
      <c r="H903" s="56">
        <v>0</v>
      </c>
      <c r="I903" s="58">
        <v>0.126308</v>
      </c>
      <c r="J903" s="57">
        <v>0.27537499999999998</v>
      </c>
      <c r="K903" s="56"/>
      <c r="L903" s="56" t="s">
        <v>488</v>
      </c>
    </row>
    <row r="904" spans="2:12" x14ac:dyDescent="0.2">
      <c r="B904" s="62" t="s">
        <v>5108</v>
      </c>
      <c r="C904" s="61" t="s">
        <v>579</v>
      </c>
      <c r="D904" s="60">
        <v>1.6976500000000001</v>
      </c>
      <c r="E904" s="59">
        <v>3.1259199999999998</v>
      </c>
      <c r="F904" s="59">
        <v>5.1377899999999999</v>
      </c>
      <c r="G904" s="56">
        <v>0</v>
      </c>
      <c r="H904" s="56">
        <v>0</v>
      </c>
      <c r="I904" s="58">
        <v>0.32169599999999998</v>
      </c>
      <c r="J904" s="57">
        <v>0.25026999999999999</v>
      </c>
      <c r="K904" s="56"/>
      <c r="L904" s="56" t="s">
        <v>488</v>
      </c>
    </row>
    <row r="905" spans="2:12" x14ac:dyDescent="0.2">
      <c r="B905" s="62" t="s">
        <v>5107</v>
      </c>
      <c r="C905" s="61" t="s">
        <v>579</v>
      </c>
      <c r="D905" s="60">
        <v>2.1401599999999998</v>
      </c>
      <c r="E905" s="59">
        <v>3.2319900000000001</v>
      </c>
      <c r="F905" s="59">
        <v>4.0319200000000004</v>
      </c>
      <c r="G905" s="56">
        <v>0</v>
      </c>
      <c r="H905" s="56">
        <v>0</v>
      </c>
      <c r="I905" s="58">
        <v>0.26543499999999998</v>
      </c>
      <c r="J905" s="57">
        <v>0.18179100000000001</v>
      </c>
      <c r="K905" s="56"/>
      <c r="L905" s="56" t="s">
        <v>488</v>
      </c>
    </row>
    <row r="906" spans="2:12" x14ac:dyDescent="0.2">
      <c r="B906" s="62" t="s">
        <v>5106</v>
      </c>
      <c r="C906" s="61" t="s">
        <v>499</v>
      </c>
      <c r="D906" s="60">
        <v>1.2436100000000001</v>
      </c>
      <c r="E906" s="59">
        <v>3.8872800000000001</v>
      </c>
      <c r="F906" s="59">
        <v>4.6333200000000003</v>
      </c>
      <c r="G906" s="56">
        <v>515.298</v>
      </c>
      <c r="H906" s="56">
        <v>414.35700000000003</v>
      </c>
      <c r="I906" s="58">
        <v>0.43079000000000001</v>
      </c>
      <c r="J906" s="57">
        <v>0.41664499999999999</v>
      </c>
      <c r="K906" s="56"/>
      <c r="L906" s="56" t="s">
        <v>488</v>
      </c>
    </row>
    <row r="907" spans="2:12" x14ac:dyDescent="0.2">
      <c r="B907" s="62" t="s">
        <v>5105</v>
      </c>
      <c r="C907" s="61" t="s">
        <v>510</v>
      </c>
      <c r="D907" s="60">
        <v>1.77302</v>
      </c>
      <c r="E907" s="59">
        <v>3.72004</v>
      </c>
      <c r="F907" s="59">
        <v>4.9298200000000003</v>
      </c>
      <c r="G907" s="56">
        <v>258.20600000000002</v>
      </c>
      <c r="H907" s="56">
        <v>145.631</v>
      </c>
      <c r="I907" s="58">
        <v>0.28044599999999997</v>
      </c>
      <c r="J907" s="57">
        <v>0.258544</v>
      </c>
      <c r="K907" s="56"/>
      <c r="L907" s="56" t="s">
        <v>488</v>
      </c>
    </row>
    <row r="908" spans="2:12" x14ac:dyDescent="0.2">
      <c r="B908" s="62" t="s">
        <v>5104</v>
      </c>
      <c r="C908" s="61" t="s">
        <v>510</v>
      </c>
      <c r="D908" s="60">
        <v>1.8456300000000001</v>
      </c>
      <c r="E908" s="59">
        <v>3.62215</v>
      </c>
      <c r="F908" s="59">
        <v>4.6646099999999997</v>
      </c>
      <c r="G908" s="56">
        <v>0</v>
      </c>
      <c r="H908" s="56">
        <v>0</v>
      </c>
      <c r="I908" s="58">
        <v>0.25076300000000001</v>
      </c>
      <c r="J908" s="57">
        <v>0.23769799999999999</v>
      </c>
      <c r="K908" s="56"/>
      <c r="L908" s="56" t="s">
        <v>488</v>
      </c>
    </row>
    <row r="909" spans="2:12" x14ac:dyDescent="0.2">
      <c r="B909" s="62" t="s">
        <v>5103</v>
      </c>
      <c r="C909" s="61" t="s">
        <v>510</v>
      </c>
      <c r="D909" s="60">
        <v>1.79444</v>
      </c>
      <c r="E909" s="59">
        <v>3.6906599999999998</v>
      </c>
      <c r="F909" s="59">
        <v>4.9041399999999999</v>
      </c>
      <c r="G909" s="56">
        <v>0</v>
      </c>
      <c r="H909" s="56">
        <v>0</v>
      </c>
      <c r="I909" s="58">
        <v>0.27856700000000001</v>
      </c>
      <c r="J909" s="57">
        <v>0.25468499999999999</v>
      </c>
      <c r="K909" s="56"/>
      <c r="L909" s="56" t="s">
        <v>488</v>
      </c>
    </row>
    <row r="910" spans="2:12" x14ac:dyDescent="0.2">
      <c r="B910" s="62" t="s">
        <v>5102</v>
      </c>
      <c r="C910" s="61" t="s">
        <v>502</v>
      </c>
      <c r="D910" s="60">
        <v>0.67275499999999999</v>
      </c>
      <c r="E910" s="59">
        <v>6.5319599999999998</v>
      </c>
      <c r="F910" s="59">
        <v>7.0988499999999997</v>
      </c>
      <c r="G910" s="56">
        <v>1706.39</v>
      </c>
      <c r="H910" s="56">
        <v>2536.41</v>
      </c>
      <c r="I910" s="58">
        <v>0.65428799999999998</v>
      </c>
      <c r="J910" s="57">
        <v>1.03389</v>
      </c>
      <c r="K910" s="56"/>
      <c r="L910" s="56" t="s">
        <v>730</v>
      </c>
    </row>
    <row r="911" spans="2:12" x14ac:dyDescent="0.2">
      <c r="B911" s="62" t="s">
        <v>5101</v>
      </c>
      <c r="C911" s="61" t="s">
        <v>502</v>
      </c>
      <c r="D911" s="60">
        <v>1.6319900000000001</v>
      </c>
      <c r="E911" s="59">
        <v>4.9172500000000001</v>
      </c>
      <c r="F911" s="59">
        <v>5.4314799999999996</v>
      </c>
      <c r="G911" s="56">
        <v>349.774</v>
      </c>
      <c r="H911" s="56">
        <v>214.322</v>
      </c>
      <c r="I911" s="58">
        <v>0.16780500000000001</v>
      </c>
      <c r="J911" s="57">
        <v>0.24587400000000001</v>
      </c>
      <c r="K911" s="56"/>
      <c r="L911" s="56" t="s">
        <v>488</v>
      </c>
    </row>
    <row r="912" spans="2:12" x14ac:dyDescent="0.2">
      <c r="B912" s="62" t="s">
        <v>5100</v>
      </c>
      <c r="C912" s="61" t="s">
        <v>531</v>
      </c>
      <c r="D912" s="60">
        <v>1.47756</v>
      </c>
      <c r="E912" s="59">
        <v>4.3918600000000003</v>
      </c>
      <c r="F912" s="59">
        <v>5.9343000000000004</v>
      </c>
      <c r="G912" s="56">
        <v>1117.46</v>
      </c>
      <c r="H912" s="56">
        <v>756.28499999999997</v>
      </c>
      <c r="I912" s="58">
        <v>0.49389499999999997</v>
      </c>
      <c r="J912" s="57">
        <v>0.36559900000000001</v>
      </c>
      <c r="K912" s="56"/>
      <c r="L912" s="56" t="s">
        <v>488</v>
      </c>
    </row>
    <row r="913" spans="2:12" x14ac:dyDescent="0.2">
      <c r="B913" s="62" t="s">
        <v>5099</v>
      </c>
      <c r="C913" s="61" t="s">
        <v>502</v>
      </c>
      <c r="D913" s="60">
        <v>0.80980600000000003</v>
      </c>
      <c r="E913" s="59">
        <v>6.0405899999999999</v>
      </c>
      <c r="F913" s="59">
        <v>8.2931500000000007</v>
      </c>
      <c r="G913" s="56">
        <v>1868.49</v>
      </c>
      <c r="H913" s="56">
        <v>2307.33</v>
      </c>
      <c r="I913" s="58">
        <v>0.69128400000000001</v>
      </c>
      <c r="J913" s="57">
        <v>0.81975600000000004</v>
      </c>
      <c r="K913" s="56"/>
      <c r="L913" s="56" t="s">
        <v>488</v>
      </c>
    </row>
    <row r="914" spans="2:12" x14ac:dyDescent="0.2">
      <c r="B914" s="62" t="s">
        <v>5098</v>
      </c>
      <c r="C914" s="61" t="s">
        <v>502</v>
      </c>
      <c r="D914" s="60">
        <v>2.7463199999999999</v>
      </c>
      <c r="E914" s="59">
        <v>4.1007300000000004</v>
      </c>
      <c r="F914" s="59">
        <v>6.0864099999999999</v>
      </c>
      <c r="G914" s="56">
        <v>568.43799999999999</v>
      </c>
      <c r="H914" s="56">
        <v>206.98099999999999</v>
      </c>
      <c r="I914" s="58">
        <v>0.21534300000000001</v>
      </c>
      <c r="J914" s="57">
        <v>0.15523700000000001</v>
      </c>
      <c r="K914" s="56"/>
      <c r="L914" s="56" t="s">
        <v>492</v>
      </c>
    </row>
    <row r="915" spans="2:12" x14ac:dyDescent="0.2">
      <c r="B915" s="62" t="s">
        <v>5097</v>
      </c>
      <c r="C915" s="61" t="s">
        <v>1539</v>
      </c>
      <c r="D915" s="60">
        <v>1.53264</v>
      </c>
      <c r="E915" s="59">
        <v>3.5796899999999998</v>
      </c>
      <c r="F915" s="59">
        <v>5.76417</v>
      </c>
      <c r="G915" s="56">
        <v>0</v>
      </c>
      <c r="H915" s="56">
        <v>0</v>
      </c>
      <c r="I915" s="58">
        <v>0.45418500000000001</v>
      </c>
      <c r="J915" s="57">
        <v>0.372502</v>
      </c>
      <c r="K915" s="56"/>
      <c r="L915" s="56" t="s">
        <v>492</v>
      </c>
    </row>
    <row r="916" spans="2:12" x14ac:dyDescent="0.2">
      <c r="B916" s="62" t="s">
        <v>5096</v>
      </c>
      <c r="C916" s="61" t="s">
        <v>1473</v>
      </c>
      <c r="D916" s="60">
        <v>1.54505</v>
      </c>
      <c r="E916" s="59">
        <v>3.5990000000000002</v>
      </c>
      <c r="F916" s="59">
        <v>5.7305099999999998</v>
      </c>
      <c r="G916" s="56">
        <v>0</v>
      </c>
      <c r="H916" s="56">
        <v>0</v>
      </c>
      <c r="I916" s="58">
        <v>0.46440399999999998</v>
      </c>
      <c r="J916" s="57">
        <v>0.37346800000000002</v>
      </c>
      <c r="K916" s="56"/>
      <c r="L916" s="56" t="s">
        <v>492</v>
      </c>
    </row>
    <row r="917" spans="2:12" x14ac:dyDescent="0.2">
      <c r="B917" s="62" t="s">
        <v>5095</v>
      </c>
      <c r="C917" s="61" t="s">
        <v>499</v>
      </c>
      <c r="D917" s="60">
        <v>0.59333800000000003</v>
      </c>
      <c r="E917" s="59">
        <v>7.9158299999999997</v>
      </c>
      <c r="F917" s="59">
        <v>15.06639</v>
      </c>
      <c r="G917" s="56">
        <v>2156.27</v>
      </c>
      <c r="H917" s="56">
        <v>3634.13</v>
      </c>
      <c r="I917" s="58">
        <v>0.82919200000000004</v>
      </c>
      <c r="J917" s="57">
        <v>1.36205</v>
      </c>
      <c r="K917" s="56"/>
      <c r="L917" s="56" t="s">
        <v>488</v>
      </c>
    </row>
    <row r="918" spans="2:12" x14ac:dyDescent="0.2">
      <c r="B918" s="62" t="s">
        <v>5094</v>
      </c>
      <c r="C918" s="61" t="s">
        <v>499</v>
      </c>
      <c r="D918" s="60">
        <v>0.37340299999999998</v>
      </c>
      <c r="E918" s="59">
        <v>10.629</v>
      </c>
      <c r="F918" s="59">
        <v>20.934149999999999</v>
      </c>
      <c r="G918" s="56">
        <v>1813.66</v>
      </c>
      <c r="H918" s="56">
        <v>4857.1099999999997</v>
      </c>
      <c r="I918" s="58">
        <v>0.91244199999999998</v>
      </c>
      <c r="J918" s="57">
        <v>2.3105799999999999</v>
      </c>
      <c r="K918" s="56"/>
      <c r="L918" s="56" t="s">
        <v>488</v>
      </c>
    </row>
    <row r="919" spans="2:12" x14ac:dyDescent="0.2">
      <c r="B919" s="62" t="s">
        <v>5093</v>
      </c>
      <c r="C919" s="61" t="s">
        <v>502</v>
      </c>
      <c r="D919" s="60">
        <v>0.44522400000000001</v>
      </c>
      <c r="E919" s="59">
        <v>8.2098800000000001</v>
      </c>
      <c r="F919" s="59">
        <v>11.3339</v>
      </c>
      <c r="G919" s="56">
        <v>2282.89</v>
      </c>
      <c r="H919" s="56">
        <v>5127.51</v>
      </c>
      <c r="I919" s="58">
        <v>0.81198800000000004</v>
      </c>
      <c r="J919" s="57">
        <v>1.8084100000000001</v>
      </c>
      <c r="K919" s="56" t="s">
        <v>1816</v>
      </c>
      <c r="L919" s="56" t="s">
        <v>563</v>
      </c>
    </row>
    <row r="920" spans="2:12" x14ac:dyDescent="0.2">
      <c r="B920" s="62" t="s">
        <v>5092</v>
      </c>
      <c r="C920" s="61" t="s">
        <v>499</v>
      </c>
      <c r="D920" s="60">
        <v>0.43357899999999999</v>
      </c>
      <c r="E920" s="59">
        <v>8.64377</v>
      </c>
      <c r="F920" s="59">
        <v>11.56521</v>
      </c>
      <c r="G920" s="56">
        <v>2219.37</v>
      </c>
      <c r="H920" s="56">
        <v>5118.71</v>
      </c>
      <c r="I920" s="58">
        <v>0.84221800000000002</v>
      </c>
      <c r="J920" s="57">
        <v>1.8801399999999999</v>
      </c>
      <c r="K920" s="56"/>
      <c r="L920" s="56" t="s">
        <v>488</v>
      </c>
    </row>
    <row r="921" spans="2:12" x14ac:dyDescent="0.2">
      <c r="B921" s="62" t="s">
        <v>5091</v>
      </c>
      <c r="C921" s="61" t="s">
        <v>612</v>
      </c>
      <c r="D921" s="60">
        <v>1.11988</v>
      </c>
      <c r="E921" s="59">
        <v>5.6375700000000002</v>
      </c>
      <c r="F921" s="59">
        <v>6.1398299999999999</v>
      </c>
      <c r="G921" s="56">
        <v>1267.6099999999999</v>
      </c>
      <c r="H921" s="56">
        <v>1131.9100000000001</v>
      </c>
      <c r="I921" s="58">
        <v>0.51889399999999997</v>
      </c>
      <c r="J921" s="57">
        <v>0.51939000000000002</v>
      </c>
      <c r="K921" s="56"/>
      <c r="L921" s="56" t="s">
        <v>488</v>
      </c>
    </row>
    <row r="922" spans="2:12" x14ac:dyDescent="0.2">
      <c r="B922" s="62" t="s">
        <v>5090</v>
      </c>
      <c r="C922" s="61" t="s">
        <v>2382</v>
      </c>
      <c r="D922" s="60">
        <v>2.2349700000000001</v>
      </c>
      <c r="E922" s="59">
        <v>4.4414400000000001</v>
      </c>
      <c r="F922" s="59">
        <v>5.2330899999999998</v>
      </c>
      <c r="G922" s="56">
        <v>2117.63</v>
      </c>
      <c r="H922" s="56">
        <v>947.50099999999998</v>
      </c>
      <c r="I922" s="58">
        <v>0.56182500000000002</v>
      </c>
      <c r="J922" s="57">
        <v>0.29115999999999997</v>
      </c>
      <c r="K922" s="56"/>
      <c r="L922" s="56" t="s">
        <v>488</v>
      </c>
    </row>
    <row r="923" spans="2:12" x14ac:dyDescent="0.2">
      <c r="B923" s="62" t="s">
        <v>5089</v>
      </c>
      <c r="C923" s="61" t="s">
        <v>2382</v>
      </c>
      <c r="D923" s="60">
        <v>2.1874699999999998</v>
      </c>
      <c r="E923" s="59">
        <v>4.5036199999999997</v>
      </c>
      <c r="F923" s="59">
        <v>5.4353100000000003</v>
      </c>
      <c r="G923" s="56">
        <v>2308.0300000000002</v>
      </c>
      <c r="H923" s="56">
        <v>1055.1199999999999</v>
      </c>
      <c r="I923" s="58">
        <v>0.57195600000000002</v>
      </c>
      <c r="J923" s="57">
        <v>0.30086299999999999</v>
      </c>
      <c r="K923" s="56"/>
      <c r="L923" s="56" t="s">
        <v>488</v>
      </c>
    </row>
    <row r="924" spans="2:12" x14ac:dyDescent="0.2">
      <c r="B924" s="62" t="s">
        <v>5088</v>
      </c>
      <c r="C924" s="61" t="s">
        <v>3780</v>
      </c>
      <c r="D924" s="60">
        <v>2.6767599999999998</v>
      </c>
      <c r="E924" s="59">
        <v>4.3944799999999997</v>
      </c>
      <c r="F924" s="59">
        <v>5.0664300000000004</v>
      </c>
      <c r="G924" s="56">
        <v>1907.18</v>
      </c>
      <c r="H924" s="56">
        <v>712.49400000000003</v>
      </c>
      <c r="I924" s="58">
        <v>0.545682</v>
      </c>
      <c r="J924" s="57">
        <v>0.23748900000000001</v>
      </c>
      <c r="K924" s="56"/>
      <c r="L924" s="56" t="s">
        <v>488</v>
      </c>
    </row>
    <row r="925" spans="2:12" x14ac:dyDescent="0.2">
      <c r="B925" s="62" t="s">
        <v>5087</v>
      </c>
      <c r="C925" s="61" t="s">
        <v>3139</v>
      </c>
      <c r="D925" s="60">
        <v>3.0106899999999999</v>
      </c>
      <c r="E925" s="59">
        <v>4.1334799999999996</v>
      </c>
      <c r="F925" s="59">
        <v>5.1710599999999998</v>
      </c>
      <c r="G925" s="56">
        <v>1611.36</v>
      </c>
      <c r="H925" s="56">
        <v>535.21199999999999</v>
      </c>
      <c r="I925" s="58">
        <v>0.54076100000000005</v>
      </c>
      <c r="J925" s="57">
        <v>0.203432</v>
      </c>
      <c r="K925" s="56"/>
      <c r="L925" s="56" t="s">
        <v>488</v>
      </c>
    </row>
    <row r="926" spans="2:12" x14ac:dyDescent="0.2">
      <c r="B926" s="62" t="s">
        <v>5086</v>
      </c>
      <c r="C926" s="61" t="s">
        <v>1031</v>
      </c>
      <c r="D926" s="60">
        <v>0.84796800000000006</v>
      </c>
      <c r="E926" s="59">
        <v>8.6874099999999999</v>
      </c>
      <c r="F926" s="59">
        <v>10.251440000000001</v>
      </c>
      <c r="G926" s="56">
        <v>1319.78</v>
      </c>
      <c r="H926" s="56">
        <v>1556.4</v>
      </c>
      <c r="I926" s="58">
        <v>0.61905900000000003</v>
      </c>
      <c r="J926" s="57">
        <v>0.76254500000000003</v>
      </c>
      <c r="K926" s="56"/>
      <c r="L926" s="56" t="s">
        <v>488</v>
      </c>
    </row>
    <row r="927" spans="2:12" x14ac:dyDescent="0.2">
      <c r="B927" s="62" t="s">
        <v>5085</v>
      </c>
      <c r="C927" s="61" t="s">
        <v>5084</v>
      </c>
      <c r="D927" s="60">
        <v>0.81593099999999996</v>
      </c>
      <c r="E927" s="59">
        <v>9.3567300000000007</v>
      </c>
      <c r="F927" s="59">
        <v>10.615069999999999</v>
      </c>
      <c r="G927" s="56">
        <v>1344.37</v>
      </c>
      <c r="H927" s="56">
        <v>1647.65</v>
      </c>
      <c r="I927" s="58">
        <v>0.64063899999999996</v>
      </c>
      <c r="J927" s="57">
        <v>0.80994299999999997</v>
      </c>
      <c r="K927" s="56"/>
      <c r="L927" s="56" t="s">
        <v>488</v>
      </c>
    </row>
    <row r="928" spans="2:12" x14ac:dyDescent="0.2">
      <c r="B928" s="62" t="s">
        <v>5083</v>
      </c>
      <c r="C928" s="61" t="s">
        <v>1031</v>
      </c>
      <c r="D928" s="60">
        <v>1.2081599999999999</v>
      </c>
      <c r="E928" s="59">
        <v>5.1128499999999999</v>
      </c>
      <c r="F928" s="59">
        <v>5.9691700000000001</v>
      </c>
      <c r="G928" s="56">
        <v>1641.75</v>
      </c>
      <c r="H928" s="56">
        <v>1358.88</v>
      </c>
      <c r="I928" s="58">
        <v>0.63505800000000001</v>
      </c>
      <c r="J928" s="57">
        <v>0.50833600000000001</v>
      </c>
      <c r="K928" s="56"/>
      <c r="L928" s="56" t="s">
        <v>488</v>
      </c>
    </row>
    <row r="929" spans="2:12" x14ac:dyDescent="0.2">
      <c r="B929" s="62" t="s">
        <v>5082</v>
      </c>
      <c r="C929" s="61" t="s">
        <v>526</v>
      </c>
      <c r="D929" s="60">
        <v>1.2359599999999999</v>
      </c>
      <c r="E929" s="59">
        <v>6.3109299999999999</v>
      </c>
      <c r="F929" s="59">
        <v>9.4365299999999994</v>
      </c>
      <c r="G929" s="56">
        <v>1483.14</v>
      </c>
      <c r="H929" s="56">
        <v>1199.99</v>
      </c>
      <c r="I929" s="58">
        <v>0.543207</v>
      </c>
      <c r="J929" s="57">
        <v>0.48971700000000001</v>
      </c>
      <c r="K929" s="56"/>
      <c r="L929" s="56" t="s">
        <v>492</v>
      </c>
    </row>
    <row r="930" spans="2:12" x14ac:dyDescent="0.2">
      <c r="B930" s="62" t="s">
        <v>5081</v>
      </c>
      <c r="C930" s="61" t="s">
        <v>499</v>
      </c>
      <c r="D930" s="60">
        <v>0.680562</v>
      </c>
      <c r="E930" s="59">
        <v>8.7039600000000004</v>
      </c>
      <c r="F930" s="59">
        <v>10.26084</v>
      </c>
      <c r="G930" s="56">
        <v>1956.2</v>
      </c>
      <c r="H930" s="56">
        <v>2874.39</v>
      </c>
      <c r="I930" s="58">
        <v>0.73041400000000001</v>
      </c>
      <c r="J930" s="57">
        <v>1.09507</v>
      </c>
      <c r="K930" s="56" t="s">
        <v>3968</v>
      </c>
      <c r="L930" s="56" t="s">
        <v>563</v>
      </c>
    </row>
    <row r="931" spans="2:12" x14ac:dyDescent="0.2">
      <c r="B931" s="62" t="s">
        <v>5080</v>
      </c>
      <c r="C931" s="65" t="s">
        <v>548</v>
      </c>
      <c r="D931" s="60">
        <v>0.94899999999999995</v>
      </c>
      <c r="E931" s="59">
        <v>6.86</v>
      </c>
      <c r="F931" s="59">
        <v>7.32</v>
      </c>
      <c r="G931" s="56">
        <v>1463.32</v>
      </c>
      <c r="H931" s="56">
        <v>1544.58</v>
      </c>
      <c r="I931" s="64">
        <v>0.71499999999999997</v>
      </c>
      <c r="J931" s="63">
        <v>0.63964200000000004</v>
      </c>
      <c r="K931" s="56" t="s">
        <v>1278</v>
      </c>
      <c r="L931" s="56" t="s">
        <v>563</v>
      </c>
    </row>
    <row r="932" spans="2:12" x14ac:dyDescent="0.2">
      <c r="B932" s="62" t="s">
        <v>5079</v>
      </c>
      <c r="C932" s="65" t="s">
        <v>548</v>
      </c>
      <c r="D932" s="60">
        <v>0.94739099999999998</v>
      </c>
      <c r="E932" s="59">
        <v>7.05</v>
      </c>
      <c r="F932" s="59">
        <v>7.46</v>
      </c>
      <c r="G932" s="56">
        <v>1476.34</v>
      </c>
      <c r="H932" s="56">
        <v>1555.22</v>
      </c>
      <c r="I932" s="64">
        <v>0.71099999999999997</v>
      </c>
      <c r="J932" s="63">
        <v>0.66709499999999999</v>
      </c>
      <c r="K932" s="56" t="s">
        <v>1278</v>
      </c>
      <c r="L932" s="56" t="s">
        <v>563</v>
      </c>
    </row>
    <row r="933" spans="2:12" x14ac:dyDescent="0.2">
      <c r="B933" s="62" t="s">
        <v>5078</v>
      </c>
      <c r="C933" s="65" t="s">
        <v>548</v>
      </c>
      <c r="D933" s="60">
        <v>0.93899999999999995</v>
      </c>
      <c r="E933" s="59">
        <v>7.12</v>
      </c>
      <c r="F933" s="59">
        <v>7.57</v>
      </c>
      <c r="G933" s="56">
        <v>1532.55</v>
      </c>
      <c r="H933" s="56">
        <v>1632.09</v>
      </c>
      <c r="I933" s="64">
        <v>0.71699999999999997</v>
      </c>
      <c r="J933" s="66">
        <v>0.65025900000000003</v>
      </c>
      <c r="K933" s="56" t="s">
        <v>1278</v>
      </c>
      <c r="L933" s="56" t="s">
        <v>563</v>
      </c>
    </row>
    <row r="934" spans="2:12" x14ac:dyDescent="0.2">
      <c r="B934" s="62" t="s">
        <v>5077</v>
      </c>
      <c r="C934" s="61" t="s">
        <v>5076</v>
      </c>
      <c r="D934" s="60">
        <v>1.28701</v>
      </c>
      <c r="E934" s="59">
        <v>3.5251000000000001</v>
      </c>
      <c r="F934" s="59">
        <v>6.1802900000000003</v>
      </c>
      <c r="G934" s="56">
        <v>0</v>
      </c>
      <c r="H934" s="56">
        <v>0</v>
      </c>
      <c r="I934" s="58">
        <v>0.33245200000000003</v>
      </c>
      <c r="J934" s="57">
        <v>0.38464599999999999</v>
      </c>
      <c r="K934" s="56"/>
      <c r="L934" s="56" t="s">
        <v>488</v>
      </c>
    </row>
    <row r="935" spans="2:12" x14ac:dyDescent="0.2">
      <c r="B935" s="62" t="s">
        <v>5075</v>
      </c>
      <c r="C935" s="61" t="s">
        <v>499</v>
      </c>
      <c r="D935" s="60">
        <v>0.38513900000000001</v>
      </c>
      <c r="E935" s="59">
        <v>11.699400000000001</v>
      </c>
      <c r="F935" s="59">
        <v>18.490760000000002</v>
      </c>
      <c r="G935" s="56">
        <v>1734.21</v>
      </c>
      <c r="H935" s="56">
        <v>4502.8100000000004</v>
      </c>
      <c r="I935" s="58">
        <v>0.88265300000000002</v>
      </c>
      <c r="J935" s="57">
        <v>2.2057600000000002</v>
      </c>
      <c r="K935" s="56"/>
      <c r="L935" s="56" t="s">
        <v>488</v>
      </c>
    </row>
    <row r="936" spans="2:12" x14ac:dyDescent="0.2">
      <c r="B936" s="62" t="s">
        <v>5074</v>
      </c>
      <c r="C936" s="61" t="s">
        <v>526</v>
      </c>
      <c r="D936" s="60">
        <v>1.13489</v>
      </c>
      <c r="E936" s="59">
        <v>4.7958400000000001</v>
      </c>
      <c r="F936" s="59">
        <v>6.29636</v>
      </c>
      <c r="G936" s="56">
        <v>1264.1300000000001</v>
      </c>
      <c r="H936" s="56">
        <v>1113.8800000000001</v>
      </c>
      <c r="I936" s="58">
        <v>0.60612100000000002</v>
      </c>
      <c r="J936" s="57">
        <v>0.53636600000000001</v>
      </c>
      <c r="K936" s="56"/>
      <c r="L936" s="56" t="s">
        <v>488</v>
      </c>
    </row>
    <row r="937" spans="2:12" x14ac:dyDescent="0.2">
      <c r="B937" s="62" t="s">
        <v>5073</v>
      </c>
      <c r="C937" s="61" t="s">
        <v>1380</v>
      </c>
      <c r="D937" s="60">
        <v>0.98247600000000002</v>
      </c>
      <c r="E937" s="59">
        <v>3.2589100000000002</v>
      </c>
      <c r="F937" s="59">
        <v>5.17903</v>
      </c>
      <c r="G937" s="56">
        <v>0</v>
      </c>
      <c r="H937" s="56">
        <v>0</v>
      </c>
      <c r="I937" s="58">
        <v>0.445689</v>
      </c>
      <c r="J937" s="57">
        <v>0.58163699999999996</v>
      </c>
      <c r="K937" s="56"/>
      <c r="L937" s="56" t="s">
        <v>488</v>
      </c>
    </row>
    <row r="938" spans="2:12" x14ac:dyDescent="0.2">
      <c r="B938" s="62" t="s">
        <v>5072</v>
      </c>
      <c r="C938" s="61" t="s">
        <v>502</v>
      </c>
      <c r="D938" s="60">
        <v>1.5192399999999999</v>
      </c>
      <c r="E938" s="59">
        <v>3.3268300000000002</v>
      </c>
      <c r="F938" s="59">
        <v>4.3544700000000001</v>
      </c>
      <c r="G938" s="56">
        <v>0</v>
      </c>
      <c r="H938" s="56">
        <v>0</v>
      </c>
      <c r="I938" s="58">
        <v>0.24754300000000001</v>
      </c>
      <c r="J938" s="57">
        <v>0.274758</v>
      </c>
      <c r="K938" s="56"/>
      <c r="L938" s="56" t="s">
        <v>488</v>
      </c>
    </row>
    <row r="939" spans="2:12" x14ac:dyDescent="0.2">
      <c r="B939" s="62" t="s">
        <v>5071</v>
      </c>
      <c r="C939" s="61" t="s">
        <v>510</v>
      </c>
      <c r="D939" s="60">
        <v>0.94250699999999998</v>
      </c>
      <c r="E939" s="59">
        <v>4.3018200000000002</v>
      </c>
      <c r="F939" s="59">
        <v>6.3956499999999998</v>
      </c>
      <c r="G939" s="56">
        <v>1352.79</v>
      </c>
      <c r="H939" s="56">
        <v>1435.31</v>
      </c>
      <c r="I939" s="58">
        <v>0.54783400000000004</v>
      </c>
      <c r="J939" s="57">
        <v>0.63283900000000004</v>
      </c>
      <c r="K939" s="56"/>
      <c r="L939" s="56" t="s">
        <v>488</v>
      </c>
    </row>
    <row r="940" spans="2:12" x14ac:dyDescent="0.2">
      <c r="B940" s="62" t="s">
        <v>5070</v>
      </c>
      <c r="C940" s="61" t="s">
        <v>550</v>
      </c>
      <c r="D940" s="60">
        <v>1.6076900000000001</v>
      </c>
      <c r="E940" s="59">
        <v>2.8498700000000001</v>
      </c>
      <c r="F940" s="59">
        <v>4.0641999999999996</v>
      </c>
      <c r="G940" s="56">
        <v>0</v>
      </c>
      <c r="H940" s="56">
        <v>0</v>
      </c>
      <c r="I940" s="58">
        <v>0.17884800000000001</v>
      </c>
      <c r="J940" s="57">
        <v>0.25035000000000002</v>
      </c>
      <c r="K940" s="56"/>
      <c r="L940" s="56" t="s">
        <v>488</v>
      </c>
    </row>
    <row r="941" spans="2:12" x14ac:dyDescent="0.2">
      <c r="B941" s="62" t="s">
        <v>5069</v>
      </c>
      <c r="C941" s="61" t="s">
        <v>2723</v>
      </c>
      <c r="D941" s="60">
        <v>2.9905300000000001</v>
      </c>
      <c r="E941" s="59">
        <v>3.17537</v>
      </c>
      <c r="F941" s="59">
        <v>13.1275</v>
      </c>
      <c r="G941" s="56">
        <v>0</v>
      </c>
      <c r="H941" s="56">
        <v>0</v>
      </c>
      <c r="I941" s="58">
        <v>0.49715700000000002</v>
      </c>
      <c r="J941" s="57">
        <v>0.19431899999999999</v>
      </c>
      <c r="K941" s="56"/>
      <c r="L941" s="56" t="s">
        <v>488</v>
      </c>
    </row>
    <row r="942" spans="2:12" x14ac:dyDescent="0.2">
      <c r="B942" s="62" t="s">
        <v>5068</v>
      </c>
      <c r="C942" s="61" t="s">
        <v>5067</v>
      </c>
      <c r="D942" s="60">
        <v>3.0416699999999999</v>
      </c>
      <c r="E942" s="59">
        <v>2.9839600000000002</v>
      </c>
      <c r="F942" s="59">
        <v>12.74142</v>
      </c>
      <c r="G942" s="56">
        <v>0</v>
      </c>
      <c r="H942" s="56">
        <v>0</v>
      </c>
      <c r="I942" s="58">
        <v>0.423813</v>
      </c>
      <c r="J942" s="57">
        <v>0.18309300000000001</v>
      </c>
      <c r="K942" s="56"/>
      <c r="L942" s="56" t="s">
        <v>488</v>
      </c>
    </row>
    <row r="943" spans="2:12" x14ac:dyDescent="0.2">
      <c r="B943" s="62" t="s">
        <v>5066</v>
      </c>
      <c r="C943" s="61" t="s">
        <v>541</v>
      </c>
      <c r="D943" s="60">
        <v>1.5584</v>
      </c>
      <c r="E943" s="59">
        <v>3.3868999999999998</v>
      </c>
      <c r="F943" s="59">
        <v>4.2424400000000002</v>
      </c>
      <c r="G943" s="56">
        <v>0</v>
      </c>
      <c r="H943" s="56">
        <v>0</v>
      </c>
      <c r="I943" s="58">
        <v>0.31498399999999999</v>
      </c>
      <c r="J943" s="57">
        <v>0.31412899999999999</v>
      </c>
      <c r="K943" s="56"/>
      <c r="L943" s="56" t="s">
        <v>488</v>
      </c>
    </row>
    <row r="944" spans="2:12" x14ac:dyDescent="0.2">
      <c r="B944" s="62" t="s">
        <v>5065</v>
      </c>
      <c r="C944" s="61" t="s">
        <v>541</v>
      </c>
      <c r="D944" s="60">
        <v>1.5385200000000001</v>
      </c>
      <c r="E944" s="59">
        <v>3.4695</v>
      </c>
      <c r="F944" s="59">
        <v>4.2978800000000001</v>
      </c>
      <c r="G944" s="56">
        <v>0</v>
      </c>
      <c r="H944" s="56">
        <v>0</v>
      </c>
      <c r="I944" s="58">
        <v>0.329461</v>
      </c>
      <c r="J944" s="57">
        <v>0.32338899999999998</v>
      </c>
      <c r="K944" s="56"/>
      <c r="L944" s="56" t="s">
        <v>488</v>
      </c>
    </row>
    <row r="945" spans="2:12" x14ac:dyDescent="0.2">
      <c r="B945" s="62" t="s">
        <v>5064</v>
      </c>
      <c r="C945" s="61" t="s">
        <v>502</v>
      </c>
      <c r="D945" s="60">
        <v>1.0884100000000001</v>
      </c>
      <c r="E945" s="59">
        <v>7.6778899999999997</v>
      </c>
      <c r="F945" s="59">
        <v>8.5582600000000006</v>
      </c>
      <c r="G945" s="56">
        <v>1065.72</v>
      </c>
      <c r="H945" s="56">
        <v>979.154</v>
      </c>
      <c r="I945" s="58">
        <v>0.41931400000000002</v>
      </c>
      <c r="J945" s="57">
        <v>0.50776699999999997</v>
      </c>
      <c r="K945" s="56"/>
      <c r="L945" s="56" t="s">
        <v>488</v>
      </c>
    </row>
    <row r="946" spans="2:12" x14ac:dyDescent="0.2">
      <c r="B946" s="62" t="s">
        <v>5063</v>
      </c>
      <c r="C946" s="61" t="s">
        <v>510</v>
      </c>
      <c r="D946" s="60">
        <v>1.47939</v>
      </c>
      <c r="E946" s="59">
        <v>3.6044200000000002</v>
      </c>
      <c r="F946" s="59">
        <v>4.4416700000000002</v>
      </c>
      <c r="G946" s="56">
        <v>0</v>
      </c>
      <c r="H946" s="56">
        <v>0</v>
      </c>
      <c r="I946" s="58">
        <v>0.28618700000000002</v>
      </c>
      <c r="J946" s="57">
        <v>0.31293700000000002</v>
      </c>
      <c r="K946" s="56"/>
      <c r="L946" s="56" t="s">
        <v>488</v>
      </c>
    </row>
    <row r="947" spans="2:12" x14ac:dyDescent="0.2">
      <c r="B947" s="62" t="s">
        <v>5062</v>
      </c>
      <c r="C947" s="61" t="s">
        <v>502</v>
      </c>
      <c r="D947" s="60">
        <v>1.5527</v>
      </c>
      <c r="E947" s="59">
        <v>3.2078099999999998</v>
      </c>
      <c r="F947" s="59">
        <v>4.2282999999999999</v>
      </c>
      <c r="G947" s="56">
        <v>0</v>
      </c>
      <c r="H947" s="56">
        <v>0</v>
      </c>
      <c r="I947" s="58">
        <v>0.13599600000000001</v>
      </c>
      <c r="J947" s="57">
        <v>0.25912400000000002</v>
      </c>
      <c r="K947" s="56"/>
      <c r="L947" s="56" t="s">
        <v>488</v>
      </c>
    </row>
    <row r="948" spans="2:12" x14ac:dyDescent="0.2">
      <c r="B948" s="62" t="s">
        <v>5061</v>
      </c>
      <c r="C948" s="61" t="s">
        <v>1604</v>
      </c>
      <c r="D948" s="60">
        <v>2.0444</v>
      </c>
      <c r="E948" s="59">
        <v>3.4546100000000002</v>
      </c>
      <c r="F948" s="59">
        <v>5.2398100000000003</v>
      </c>
      <c r="G948" s="56">
        <v>0</v>
      </c>
      <c r="H948" s="56">
        <v>0</v>
      </c>
      <c r="I948" s="58">
        <v>0.32381900000000002</v>
      </c>
      <c r="J948" s="57">
        <v>0.221717</v>
      </c>
      <c r="K948" s="56"/>
      <c r="L948" s="56" t="s">
        <v>488</v>
      </c>
    </row>
    <row r="949" spans="2:12" x14ac:dyDescent="0.2">
      <c r="B949" s="62" t="s">
        <v>5060</v>
      </c>
      <c r="C949" s="61" t="s">
        <v>5059</v>
      </c>
      <c r="D949" s="60">
        <v>1.21526</v>
      </c>
      <c r="E949" s="59">
        <v>5.1435399999999998</v>
      </c>
      <c r="F949" s="59">
        <v>6.6154200000000003</v>
      </c>
      <c r="G949" s="56">
        <v>1687.04</v>
      </c>
      <c r="H949" s="56">
        <v>1388.22</v>
      </c>
      <c r="I949" s="58">
        <v>0.62383100000000002</v>
      </c>
      <c r="J949" s="57">
        <v>0.50845399999999996</v>
      </c>
      <c r="K949" s="56"/>
      <c r="L949" s="56" t="s">
        <v>488</v>
      </c>
    </row>
    <row r="950" spans="2:12" x14ac:dyDescent="0.2">
      <c r="B950" s="62" t="s">
        <v>5058</v>
      </c>
      <c r="C950" s="61" t="s">
        <v>5056</v>
      </c>
      <c r="D950" s="60">
        <v>1.24495</v>
      </c>
      <c r="E950" s="59">
        <v>7.3044700000000002</v>
      </c>
      <c r="F950" s="59">
        <v>7.6167499999999997</v>
      </c>
      <c r="G950" s="56">
        <v>1084.8599999999999</v>
      </c>
      <c r="H950" s="56">
        <v>871.40899999999999</v>
      </c>
      <c r="I950" s="58">
        <v>0.54543299999999995</v>
      </c>
      <c r="J950" s="57">
        <v>0.45369799999999999</v>
      </c>
      <c r="K950" s="56"/>
      <c r="L950" s="56" t="s">
        <v>488</v>
      </c>
    </row>
    <row r="951" spans="2:12" x14ac:dyDescent="0.2">
      <c r="B951" s="62" t="s">
        <v>5057</v>
      </c>
      <c r="C951" s="61" t="s">
        <v>5056</v>
      </c>
      <c r="D951" s="60">
        <v>0.97237099999999999</v>
      </c>
      <c r="E951" s="59">
        <v>8.02745</v>
      </c>
      <c r="F951" s="59">
        <v>11.064159999999999</v>
      </c>
      <c r="G951" s="56">
        <v>1307.93</v>
      </c>
      <c r="H951" s="56">
        <v>1345.09</v>
      </c>
      <c r="I951" s="58">
        <v>0.52401799999999998</v>
      </c>
      <c r="J951" s="57">
        <v>0.62889300000000004</v>
      </c>
      <c r="K951" s="56"/>
      <c r="L951" s="56" t="s">
        <v>488</v>
      </c>
    </row>
    <row r="952" spans="2:12" x14ac:dyDescent="0.2">
      <c r="B952" s="62" t="s">
        <v>5055</v>
      </c>
      <c r="C952" s="61" t="s">
        <v>502</v>
      </c>
      <c r="D952" s="60">
        <v>0.86520200000000003</v>
      </c>
      <c r="E952" s="59">
        <v>8.2647600000000008</v>
      </c>
      <c r="F952" s="59">
        <v>12.150790000000001</v>
      </c>
      <c r="G952" s="56">
        <v>1565.39</v>
      </c>
      <c r="H952" s="56">
        <v>1809.27</v>
      </c>
      <c r="I952" s="58">
        <v>0.63203799999999999</v>
      </c>
      <c r="J952" s="57">
        <v>0.78053600000000001</v>
      </c>
      <c r="K952" s="56"/>
      <c r="L952" s="56" t="s">
        <v>488</v>
      </c>
    </row>
    <row r="953" spans="2:12" x14ac:dyDescent="0.2">
      <c r="B953" s="62" t="s">
        <v>5054</v>
      </c>
      <c r="C953" s="61" t="s">
        <v>550</v>
      </c>
      <c r="D953" s="60">
        <v>1.56325</v>
      </c>
      <c r="E953" s="59">
        <v>2.4292699999999998</v>
      </c>
      <c r="F953" s="59">
        <v>5.0368300000000001</v>
      </c>
      <c r="G953" s="56">
        <v>0</v>
      </c>
      <c r="H953" s="56">
        <v>0</v>
      </c>
      <c r="I953" s="58">
        <v>0.36604500000000001</v>
      </c>
      <c r="J953" s="57">
        <v>0.29708099999999998</v>
      </c>
      <c r="K953" s="56"/>
      <c r="L953" s="56" t="s">
        <v>488</v>
      </c>
    </row>
    <row r="954" spans="2:12" x14ac:dyDescent="0.2">
      <c r="B954" s="62" t="s">
        <v>5053</v>
      </c>
      <c r="C954" s="61" t="s">
        <v>550</v>
      </c>
      <c r="D954" s="60">
        <v>1.9859100000000001</v>
      </c>
      <c r="E954" s="59">
        <v>2.66568</v>
      </c>
      <c r="F954" s="59">
        <v>3.63212</v>
      </c>
      <c r="G954" s="56">
        <v>0</v>
      </c>
      <c r="H954" s="56">
        <v>0</v>
      </c>
      <c r="I954" s="58">
        <v>0.123443</v>
      </c>
      <c r="J954" s="57">
        <v>0.18227199999999999</v>
      </c>
      <c r="K954" s="56"/>
      <c r="L954" s="56" t="s">
        <v>488</v>
      </c>
    </row>
    <row r="955" spans="2:12" x14ac:dyDescent="0.2">
      <c r="B955" s="62" t="s">
        <v>5052</v>
      </c>
      <c r="C955" s="61" t="s">
        <v>502</v>
      </c>
      <c r="D955" s="60">
        <v>0.91578199999999998</v>
      </c>
      <c r="E955" s="59">
        <v>4.1882000000000001</v>
      </c>
      <c r="F955" s="59">
        <v>7.0747999999999998</v>
      </c>
      <c r="G955" s="56">
        <v>1039.5899999999999</v>
      </c>
      <c r="H955" s="56">
        <v>1135.2</v>
      </c>
      <c r="I955" s="58">
        <v>0.41077200000000003</v>
      </c>
      <c r="J955" s="57">
        <v>0.642517</v>
      </c>
      <c r="K955" s="56"/>
      <c r="L955" s="56" t="s">
        <v>488</v>
      </c>
    </row>
    <row r="956" spans="2:12" x14ac:dyDescent="0.2">
      <c r="B956" s="62" t="s">
        <v>5051</v>
      </c>
      <c r="C956" s="61" t="s">
        <v>875</v>
      </c>
      <c r="D956" s="60">
        <v>2.4830899999999998</v>
      </c>
      <c r="E956" s="59">
        <v>3.2873999999999999</v>
      </c>
      <c r="F956" s="59">
        <v>3.8931499999999999</v>
      </c>
      <c r="G956" s="56">
        <v>0</v>
      </c>
      <c r="H956" s="56">
        <v>0</v>
      </c>
      <c r="I956" s="58">
        <v>6.8919300000000003E-2</v>
      </c>
      <c r="J956" s="57">
        <v>0.15451599999999999</v>
      </c>
      <c r="K956" s="56"/>
      <c r="L956" s="56" t="s">
        <v>488</v>
      </c>
    </row>
    <row r="957" spans="2:12" x14ac:dyDescent="0.2">
      <c r="B957" s="62" t="s">
        <v>5050</v>
      </c>
      <c r="C957" s="61" t="s">
        <v>875</v>
      </c>
      <c r="D957" s="60">
        <v>2.45669</v>
      </c>
      <c r="E957" s="59">
        <v>3.0594399999999999</v>
      </c>
      <c r="F957" s="59">
        <v>3.7420599999999999</v>
      </c>
      <c r="G957" s="56">
        <v>0</v>
      </c>
      <c r="H957" s="56">
        <v>0</v>
      </c>
      <c r="I957" s="58">
        <v>7.7440300000000004E-2</v>
      </c>
      <c r="J957" s="57">
        <v>0.155748</v>
      </c>
      <c r="K957" s="56"/>
      <c r="L957" s="56" t="s">
        <v>488</v>
      </c>
    </row>
    <row r="958" spans="2:12" x14ac:dyDescent="0.2">
      <c r="B958" s="62" t="s">
        <v>5049</v>
      </c>
      <c r="C958" s="61" t="s">
        <v>1096</v>
      </c>
      <c r="D958" s="60">
        <v>2.52901</v>
      </c>
      <c r="E958" s="59">
        <v>3.1111399999999998</v>
      </c>
      <c r="F958" s="59">
        <v>3.7814299999999998</v>
      </c>
      <c r="G958" s="56">
        <v>0</v>
      </c>
      <c r="H958" s="56">
        <v>0</v>
      </c>
      <c r="I958" s="58">
        <v>7.2882199999999994E-2</v>
      </c>
      <c r="J958" s="57">
        <v>0.150315</v>
      </c>
      <c r="K958" s="56"/>
      <c r="L958" s="56" t="s">
        <v>488</v>
      </c>
    </row>
    <row r="959" spans="2:12" x14ac:dyDescent="0.2">
      <c r="B959" s="62" t="s">
        <v>5048</v>
      </c>
      <c r="C959" s="61" t="s">
        <v>507</v>
      </c>
      <c r="D959" s="60">
        <v>1.48251</v>
      </c>
      <c r="E959" s="59">
        <v>3.8526799999999999</v>
      </c>
      <c r="F959" s="59">
        <v>5.0308999999999999</v>
      </c>
      <c r="G959" s="56">
        <v>888.68499999999995</v>
      </c>
      <c r="H959" s="56">
        <v>599.44600000000003</v>
      </c>
      <c r="I959" s="58">
        <v>0.42298400000000003</v>
      </c>
      <c r="J959" s="57">
        <v>0.33850400000000003</v>
      </c>
      <c r="K959" s="56"/>
      <c r="L959" s="56" t="s">
        <v>488</v>
      </c>
    </row>
    <row r="960" spans="2:12" x14ac:dyDescent="0.2">
      <c r="B960" s="62" t="s">
        <v>5047</v>
      </c>
      <c r="C960" s="61" t="s">
        <v>561</v>
      </c>
      <c r="D960" s="60">
        <v>1.36019</v>
      </c>
      <c r="E960" s="59">
        <v>3.63869</v>
      </c>
      <c r="F960" s="59">
        <v>4.9872199999999998</v>
      </c>
      <c r="G960" s="56">
        <v>0</v>
      </c>
      <c r="H960" s="56">
        <v>0</v>
      </c>
      <c r="I960" s="58">
        <v>0.42220600000000003</v>
      </c>
      <c r="J960" s="57">
        <v>0.36108699999999999</v>
      </c>
      <c r="K960" s="56"/>
      <c r="L960" s="56" t="s">
        <v>488</v>
      </c>
    </row>
    <row r="961" spans="2:12" x14ac:dyDescent="0.2">
      <c r="B961" s="62" t="s">
        <v>5046</v>
      </c>
      <c r="C961" s="61" t="s">
        <v>579</v>
      </c>
      <c r="D961" s="60">
        <v>1.4969300000000001</v>
      </c>
      <c r="E961" s="59">
        <v>3.8279800000000002</v>
      </c>
      <c r="F961" s="59">
        <v>5.0433500000000002</v>
      </c>
      <c r="G961" s="56">
        <v>857.76900000000001</v>
      </c>
      <c r="H961" s="56">
        <v>573.01700000000005</v>
      </c>
      <c r="I961" s="58">
        <v>0.42610900000000002</v>
      </c>
      <c r="J961" s="57">
        <v>0.33390700000000001</v>
      </c>
      <c r="K961" s="56"/>
      <c r="L961" s="56" t="s">
        <v>488</v>
      </c>
    </row>
    <row r="962" spans="2:12" x14ac:dyDescent="0.2">
      <c r="B962" s="62" t="s">
        <v>5045</v>
      </c>
      <c r="C962" s="61" t="s">
        <v>541</v>
      </c>
      <c r="D962" s="60">
        <v>1.51189</v>
      </c>
      <c r="E962" s="59">
        <v>3.80728</v>
      </c>
      <c r="F962" s="59">
        <v>4.9976599999999998</v>
      </c>
      <c r="G962" s="56">
        <v>817.70899999999995</v>
      </c>
      <c r="H962" s="56">
        <v>540.85199999999998</v>
      </c>
      <c r="I962" s="58">
        <v>0.42286800000000002</v>
      </c>
      <c r="J962" s="57">
        <v>0.33005400000000001</v>
      </c>
      <c r="K962" s="56"/>
      <c r="L962" s="56" t="s">
        <v>488</v>
      </c>
    </row>
    <row r="963" spans="2:12" x14ac:dyDescent="0.2">
      <c r="B963" s="62" t="s">
        <v>5044</v>
      </c>
      <c r="C963" s="61" t="s">
        <v>582</v>
      </c>
      <c r="D963" s="60">
        <v>1.54816</v>
      </c>
      <c r="E963" s="59">
        <v>3.7530999999999999</v>
      </c>
      <c r="F963" s="59">
        <v>4.9712399999999999</v>
      </c>
      <c r="G963" s="56">
        <v>803.452</v>
      </c>
      <c r="H963" s="56">
        <v>518.971</v>
      </c>
      <c r="I963" s="58">
        <v>0.42023899999999997</v>
      </c>
      <c r="J963" s="57">
        <v>0.32020599999999999</v>
      </c>
      <c r="K963" s="56"/>
      <c r="L963" s="56" t="s">
        <v>488</v>
      </c>
    </row>
    <row r="964" spans="2:12" x14ac:dyDescent="0.2">
      <c r="B964" s="62" t="s">
        <v>5043</v>
      </c>
      <c r="C964" s="61" t="s">
        <v>531</v>
      </c>
      <c r="D964" s="60">
        <v>1.55809</v>
      </c>
      <c r="E964" s="59">
        <v>3.73339</v>
      </c>
      <c r="F964" s="59">
        <v>4.9721299999999999</v>
      </c>
      <c r="G964" s="56">
        <v>774.35</v>
      </c>
      <c r="H964" s="56">
        <v>496.98700000000002</v>
      </c>
      <c r="I964" s="58">
        <v>0.41823100000000002</v>
      </c>
      <c r="J964" s="57">
        <v>0.31761899999999998</v>
      </c>
      <c r="K964" s="56"/>
      <c r="L964" s="56" t="s">
        <v>488</v>
      </c>
    </row>
    <row r="965" spans="2:12" x14ac:dyDescent="0.2">
      <c r="B965" s="62" t="s">
        <v>5042</v>
      </c>
      <c r="C965" s="61" t="s">
        <v>533</v>
      </c>
      <c r="D965" s="60">
        <v>1.57969</v>
      </c>
      <c r="E965" s="59">
        <v>3.7267999999999999</v>
      </c>
      <c r="F965" s="59">
        <v>4.9556100000000001</v>
      </c>
      <c r="G965" s="56">
        <v>778.41600000000005</v>
      </c>
      <c r="H965" s="56">
        <v>492.76499999999999</v>
      </c>
      <c r="I965" s="58">
        <v>0.42020999999999997</v>
      </c>
      <c r="J965" s="57">
        <v>0.31300800000000001</v>
      </c>
      <c r="K965" s="56"/>
      <c r="L965" s="56" t="s">
        <v>488</v>
      </c>
    </row>
    <row r="966" spans="2:12" x14ac:dyDescent="0.2">
      <c r="B966" s="62" t="s">
        <v>5041</v>
      </c>
      <c r="C966" s="61" t="s">
        <v>537</v>
      </c>
      <c r="D966" s="60">
        <v>1.6117699999999999</v>
      </c>
      <c r="E966" s="59">
        <v>3.6917399999999998</v>
      </c>
      <c r="F966" s="59">
        <v>4.9562799999999996</v>
      </c>
      <c r="G966" s="56">
        <v>0</v>
      </c>
      <c r="H966" s="56">
        <v>0</v>
      </c>
      <c r="I966" s="58">
        <v>0.41806100000000002</v>
      </c>
      <c r="J966" s="57">
        <v>0.304838</v>
      </c>
      <c r="K966" s="56"/>
      <c r="L966" s="56" t="s">
        <v>488</v>
      </c>
    </row>
    <row r="967" spans="2:12" x14ac:dyDescent="0.2">
      <c r="B967" s="62" t="s">
        <v>5040</v>
      </c>
      <c r="C967" s="61" t="s">
        <v>859</v>
      </c>
      <c r="D967" s="60">
        <v>1.63697</v>
      </c>
      <c r="E967" s="59">
        <v>3.6698200000000001</v>
      </c>
      <c r="F967" s="59">
        <v>4.9807800000000002</v>
      </c>
      <c r="G967" s="56">
        <v>0</v>
      </c>
      <c r="H967" s="56">
        <v>0</v>
      </c>
      <c r="I967" s="58">
        <v>0.41720499999999999</v>
      </c>
      <c r="J967" s="57">
        <v>0.29964600000000002</v>
      </c>
      <c r="K967" s="56"/>
      <c r="L967" s="56" t="s">
        <v>488</v>
      </c>
    </row>
    <row r="968" spans="2:12" x14ac:dyDescent="0.2">
      <c r="B968" s="62" t="s">
        <v>5039</v>
      </c>
      <c r="C968" s="61" t="s">
        <v>1386</v>
      </c>
      <c r="D968" s="60">
        <v>1.64354</v>
      </c>
      <c r="E968" s="59">
        <v>3.62473</v>
      </c>
      <c r="F968" s="59">
        <v>4.9795199999999999</v>
      </c>
      <c r="G968" s="56">
        <v>0</v>
      </c>
      <c r="H968" s="56">
        <v>0</v>
      </c>
      <c r="I968" s="58">
        <v>0.41818100000000002</v>
      </c>
      <c r="J968" s="57">
        <v>0.298429</v>
      </c>
      <c r="K968" s="56"/>
      <c r="L968" s="56" t="s">
        <v>488</v>
      </c>
    </row>
    <row r="969" spans="2:12" x14ac:dyDescent="0.2">
      <c r="B969" s="62" t="s">
        <v>5038</v>
      </c>
      <c r="C969" s="61" t="s">
        <v>555</v>
      </c>
      <c r="D969" s="60">
        <v>1.1863300000000001</v>
      </c>
      <c r="E969" s="59">
        <v>2.84877</v>
      </c>
      <c r="F969" s="59">
        <v>3.5522999999999998</v>
      </c>
      <c r="G969" s="56">
        <v>0</v>
      </c>
      <c r="H969" s="56">
        <v>0</v>
      </c>
      <c r="I969" s="58">
        <v>0.136131</v>
      </c>
      <c r="J969" s="57">
        <v>0.41438999999999998</v>
      </c>
      <c r="K969" s="56"/>
      <c r="L969" s="56" t="s">
        <v>492</v>
      </c>
    </row>
    <row r="970" spans="2:12" x14ac:dyDescent="0.2">
      <c r="B970" s="62" t="s">
        <v>5037</v>
      </c>
      <c r="C970" s="61" t="s">
        <v>687</v>
      </c>
      <c r="D970" s="60">
        <v>2.80091</v>
      </c>
      <c r="E970" s="59">
        <v>5.2443600000000004</v>
      </c>
      <c r="F970" s="59">
        <v>5.9452499999999997</v>
      </c>
      <c r="G970" s="56">
        <v>215.85400000000001</v>
      </c>
      <c r="H970" s="56">
        <v>77.065399999999997</v>
      </c>
      <c r="I970" s="58">
        <v>9.3933600000000006E-2</v>
      </c>
      <c r="J970" s="57">
        <v>0.12984100000000001</v>
      </c>
      <c r="K970" s="56"/>
      <c r="L970" s="56" t="s">
        <v>488</v>
      </c>
    </row>
    <row r="971" spans="2:12" x14ac:dyDescent="0.2">
      <c r="B971" s="62" t="s">
        <v>5036</v>
      </c>
      <c r="C971" s="61" t="s">
        <v>625</v>
      </c>
      <c r="D971" s="60">
        <v>1.29853</v>
      </c>
      <c r="E971" s="59">
        <v>2.8450799999999998</v>
      </c>
      <c r="F971" s="59">
        <v>7.0610099999999996</v>
      </c>
      <c r="G971" s="56">
        <v>0</v>
      </c>
      <c r="H971" s="56">
        <v>0</v>
      </c>
      <c r="I971" s="58">
        <v>0.27869699999999997</v>
      </c>
      <c r="J971" s="57">
        <v>0.35406500000000002</v>
      </c>
      <c r="K971" s="56"/>
      <c r="L971" s="56" t="s">
        <v>492</v>
      </c>
    </row>
    <row r="972" spans="2:12" x14ac:dyDescent="0.2">
      <c r="B972" s="62" t="s">
        <v>5035</v>
      </c>
      <c r="C972" s="61" t="s">
        <v>5023</v>
      </c>
      <c r="D972" s="60">
        <v>1.8041100000000001</v>
      </c>
      <c r="E972" s="59">
        <v>2.77101</v>
      </c>
      <c r="F972" s="59">
        <v>3.4559600000000001</v>
      </c>
      <c r="G972" s="56">
        <v>0</v>
      </c>
      <c r="H972" s="56">
        <v>0</v>
      </c>
      <c r="I972" s="58">
        <v>0.31135200000000002</v>
      </c>
      <c r="J972" s="57">
        <v>0.287802</v>
      </c>
      <c r="K972" s="56"/>
      <c r="L972" s="56" t="s">
        <v>488</v>
      </c>
    </row>
    <row r="973" spans="2:12" x14ac:dyDescent="0.2">
      <c r="B973" s="62" t="s">
        <v>5034</v>
      </c>
      <c r="C973" s="61" t="s">
        <v>531</v>
      </c>
      <c r="D973" s="60">
        <v>1.2556099999999999</v>
      </c>
      <c r="E973" s="59">
        <v>2.6213700000000002</v>
      </c>
      <c r="F973" s="59">
        <v>5.1437299999999997</v>
      </c>
      <c r="G973" s="56">
        <v>0</v>
      </c>
      <c r="H973" s="56">
        <v>0</v>
      </c>
      <c r="I973" s="58">
        <v>0.30430400000000002</v>
      </c>
      <c r="J973" s="57">
        <v>0.39940100000000001</v>
      </c>
      <c r="K973" s="56"/>
      <c r="L973" s="56" t="s">
        <v>488</v>
      </c>
    </row>
    <row r="974" spans="2:12" x14ac:dyDescent="0.2">
      <c r="B974" s="62" t="s">
        <v>5033</v>
      </c>
      <c r="C974" s="61" t="s">
        <v>550</v>
      </c>
      <c r="D974" s="60">
        <v>1.6426799999999999</v>
      </c>
      <c r="E974" s="59">
        <v>2.5385399999999998</v>
      </c>
      <c r="F974" s="59">
        <v>4.0743999999999998</v>
      </c>
      <c r="G974" s="56">
        <v>0</v>
      </c>
      <c r="H974" s="56">
        <v>0</v>
      </c>
      <c r="I974" s="58">
        <v>0.14596300000000001</v>
      </c>
      <c r="J974" s="57">
        <v>0.24096999999999999</v>
      </c>
      <c r="K974" s="56"/>
      <c r="L974" s="56" t="s">
        <v>488</v>
      </c>
    </row>
    <row r="975" spans="2:12" x14ac:dyDescent="0.2">
      <c r="B975" s="62" t="s">
        <v>5032</v>
      </c>
      <c r="C975" s="61" t="s">
        <v>526</v>
      </c>
      <c r="D975" s="60">
        <v>1.4022399999999999</v>
      </c>
      <c r="E975" s="59">
        <v>4.8502400000000003</v>
      </c>
      <c r="F975" s="59">
        <v>7.5742099999999999</v>
      </c>
      <c r="G975" s="56">
        <v>2700.29</v>
      </c>
      <c r="H975" s="56">
        <v>1925.7</v>
      </c>
      <c r="I975" s="58">
        <v>0.79709700000000006</v>
      </c>
      <c r="J975" s="57">
        <v>0.499861</v>
      </c>
      <c r="K975" s="56"/>
      <c r="L975" s="56" t="s">
        <v>492</v>
      </c>
    </row>
    <row r="976" spans="2:12" x14ac:dyDescent="0.2">
      <c r="B976" s="62" t="s">
        <v>5031</v>
      </c>
      <c r="C976" s="61" t="s">
        <v>526</v>
      </c>
      <c r="D976" s="60">
        <v>1.10466</v>
      </c>
      <c r="E976" s="59">
        <v>10.75886</v>
      </c>
      <c r="F976" s="59">
        <v>12.66503</v>
      </c>
      <c r="G976" s="56">
        <v>2203.48</v>
      </c>
      <c r="H976" s="56">
        <v>1994.72</v>
      </c>
      <c r="I976" s="58">
        <v>0.83172900000000005</v>
      </c>
      <c r="J976" s="57">
        <v>0.68668399999999996</v>
      </c>
      <c r="K976" s="56"/>
      <c r="L976" s="56" t="s">
        <v>492</v>
      </c>
    </row>
    <row r="977" spans="2:12" x14ac:dyDescent="0.2">
      <c r="B977" s="62" t="s">
        <v>5030</v>
      </c>
      <c r="C977" s="61" t="s">
        <v>526</v>
      </c>
      <c r="D977" s="60">
        <v>1.0930200000000001</v>
      </c>
      <c r="E977" s="59">
        <v>9.1575399999999991</v>
      </c>
      <c r="F977" s="59">
        <v>9.9336099999999998</v>
      </c>
      <c r="G977" s="56">
        <v>2310.98</v>
      </c>
      <c r="H977" s="56">
        <v>2114.3000000000002</v>
      </c>
      <c r="I977" s="58">
        <v>0.83212699999999995</v>
      </c>
      <c r="J977" s="57">
        <v>0.69151799999999997</v>
      </c>
      <c r="K977" s="56"/>
      <c r="L977" s="56" t="s">
        <v>492</v>
      </c>
    </row>
    <row r="978" spans="2:12" x14ac:dyDescent="0.2">
      <c r="B978" s="62" t="s">
        <v>5029</v>
      </c>
      <c r="C978" s="61" t="s">
        <v>526</v>
      </c>
      <c r="D978" s="60">
        <v>1.39411</v>
      </c>
      <c r="E978" s="59">
        <v>4.8250900000000003</v>
      </c>
      <c r="F978" s="59">
        <v>7.5901500000000004</v>
      </c>
      <c r="G978" s="56">
        <v>2645.44</v>
      </c>
      <c r="H978" s="56">
        <v>1897.59</v>
      </c>
      <c r="I978" s="58">
        <v>0.79468000000000005</v>
      </c>
      <c r="J978" s="57">
        <v>0.50146400000000002</v>
      </c>
      <c r="K978" s="56"/>
      <c r="L978" s="56" t="s">
        <v>492</v>
      </c>
    </row>
    <row r="979" spans="2:12" x14ac:dyDescent="0.2">
      <c r="B979" s="62" t="s">
        <v>5028</v>
      </c>
      <c r="C979" s="61" t="s">
        <v>526</v>
      </c>
      <c r="D979" s="60">
        <v>1.53443</v>
      </c>
      <c r="E979" s="59">
        <v>5.1146000000000003</v>
      </c>
      <c r="F979" s="59">
        <v>6.9473700000000003</v>
      </c>
      <c r="G979" s="56">
        <v>2075.86</v>
      </c>
      <c r="H979" s="56">
        <v>1352.86</v>
      </c>
      <c r="I979" s="58">
        <v>0.73799000000000003</v>
      </c>
      <c r="J979" s="57">
        <v>0.42328199999999999</v>
      </c>
      <c r="K979" s="56"/>
      <c r="L979" s="56" t="s">
        <v>492</v>
      </c>
    </row>
    <row r="980" spans="2:12" x14ac:dyDescent="0.2">
      <c r="B980" s="62" t="s">
        <v>5027</v>
      </c>
      <c r="C980" s="61" t="s">
        <v>526</v>
      </c>
      <c r="D980" s="60">
        <v>1.4944200000000001</v>
      </c>
      <c r="E980" s="59">
        <v>4.9381300000000001</v>
      </c>
      <c r="F980" s="59">
        <v>7.1569099999999999</v>
      </c>
      <c r="G980" s="56">
        <v>2125.44</v>
      </c>
      <c r="H980" s="56">
        <v>1422.25</v>
      </c>
      <c r="I980" s="58">
        <v>0.73582400000000003</v>
      </c>
      <c r="J980" s="57">
        <v>0.43543500000000002</v>
      </c>
      <c r="K980" s="56"/>
      <c r="L980" s="56" t="s">
        <v>492</v>
      </c>
    </row>
    <row r="981" spans="2:12" x14ac:dyDescent="0.2">
      <c r="B981" s="62" t="s">
        <v>5026</v>
      </c>
      <c r="C981" s="61" t="s">
        <v>526</v>
      </c>
      <c r="D981" s="60">
        <v>1.48471</v>
      </c>
      <c r="E981" s="59">
        <v>5.0052399999999997</v>
      </c>
      <c r="F981" s="59">
        <v>6.82599</v>
      </c>
      <c r="G981" s="56">
        <v>2099.67</v>
      </c>
      <c r="H981" s="56">
        <v>1414.2</v>
      </c>
      <c r="I981" s="58">
        <v>0.71683200000000002</v>
      </c>
      <c r="J981" s="57">
        <v>0.43432500000000002</v>
      </c>
      <c r="K981" s="56"/>
      <c r="L981" s="56" t="s">
        <v>492</v>
      </c>
    </row>
    <row r="982" spans="2:12" x14ac:dyDescent="0.2">
      <c r="B982" s="62" t="s">
        <v>5025</v>
      </c>
      <c r="C982" s="61" t="s">
        <v>5023</v>
      </c>
      <c r="D982" s="60">
        <v>1.4372199999999999</v>
      </c>
      <c r="E982" s="59">
        <v>7.5969899999999999</v>
      </c>
      <c r="F982" s="59">
        <v>9.1128199999999993</v>
      </c>
      <c r="G982" s="56">
        <v>2396.83</v>
      </c>
      <c r="H982" s="56">
        <v>1667.69</v>
      </c>
      <c r="I982" s="58">
        <v>0.78049900000000005</v>
      </c>
      <c r="J982" s="57">
        <v>0.49934699999999999</v>
      </c>
      <c r="K982" s="56"/>
      <c r="L982" s="56" t="s">
        <v>492</v>
      </c>
    </row>
    <row r="983" spans="2:12" x14ac:dyDescent="0.2">
      <c r="B983" s="62" t="s">
        <v>5024</v>
      </c>
      <c r="C983" s="61" t="s">
        <v>5023</v>
      </c>
      <c r="D983" s="60">
        <v>1.4817199999999999</v>
      </c>
      <c r="E983" s="59">
        <v>5.9159800000000002</v>
      </c>
      <c r="F983" s="59">
        <v>9.6302599999999998</v>
      </c>
      <c r="G983" s="56">
        <v>2098.29</v>
      </c>
      <c r="H983" s="56">
        <v>1416.11</v>
      </c>
      <c r="I983" s="58">
        <v>0.74219400000000002</v>
      </c>
      <c r="J983" s="57">
        <v>0.46224700000000002</v>
      </c>
      <c r="K983" s="56"/>
      <c r="L983" s="56" t="s">
        <v>492</v>
      </c>
    </row>
    <row r="984" spans="2:12" x14ac:dyDescent="0.2">
      <c r="B984" s="62" t="s">
        <v>5022</v>
      </c>
      <c r="C984" s="61" t="s">
        <v>499</v>
      </c>
      <c r="D984" s="60">
        <v>0.97453400000000001</v>
      </c>
      <c r="E984" s="59">
        <v>5.7218600000000004</v>
      </c>
      <c r="F984" s="59">
        <v>7.5236900000000002</v>
      </c>
      <c r="G984" s="56">
        <v>1411.95</v>
      </c>
      <c r="H984" s="56">
        <v>1414.28</v>
      </c>
      <c r="I984" s="58">
        <v>0.59975000000000001</v>
      </c>
      <c r="J984" s="57">
        <v>0.63537200000000005</v>
      </c>
      <c r="K984" s="56"/>
      <c r="L984" s="56" t="s">
        <v>488</v>
      </c>
    </row>
    <row r="985" spans="2:12" x14ac:dyDescent="0.2">
      <c r="B985" s="62" t="s">
        <v>5021</v>
      </c>
      <c r="C985" s="61" t="s">
        <v>499</v>
      </c>
      <c r="D985" s="60">
        <v>0.99835200000000002</v>
      </c>
      <c r="E985" s="59">
        <v>5.6210699999999996</v>
      </c>
      <c r="F985" s="59">
        <v>7.7988900000000001</v>
      </c>
      <c r="G985" s="56">
        <v>1475.7</v>
      </c>
      <c r="H985" s="56">
        <v>1514.26</v>
      </c>
      <c r="I985" s="58">
        <v>0.59181700000000004</v>
      </c>
      <c r="J985" s="57">
        <v>0.61002000000000001</v>
      </c>
      <c r="K985" s="56"/>
      <c r="L985" s="56" t="s">
        <v>488</v>
      </c>
    </row>
    <row r="986" spans="2:12" x14ac:dyDescent="0.2">
      <c r="B986" s="62" t="s">
        <v>5020</v>
      </c>
      <c r="C986" s="61" t="s">
        <v>499</v>
      </c>
      <c r="D986" s="60">
        <v>1.1685399999999999</v>
      </c>
      <c r="E986" s="59">
        <v>3.7687200000000001</v>
      </c>
      <c r="F986" s="59">
        <v>4.8861699999999999</v>
      </c>
      <c r="G986" s="56">
        <v>451.899</v>
      </c>
      <c r="H986" s="56">
        <v>386.72199999999998</v>
      </c>
      <c r="I986" s="58">
        <v>0.38736500000000001</v>
      </c>
      <c r="J986" s="57">
        <v>0.43796099999999999</v>
      </c>
      <c r="K986" s="56"/>
      <c r="L986" s="56" t="s">
        <v>488</v>
      </c>
    </row>
    <row r="987" spans="2:12" x14ac:dyDescent="0.2">
      <c r="B987" s="62" t="s">
        <v>5019</v>
      </c>
      <c r="C987" s="61" t="s">
        <v>690</v>
      </c>
      <c r="D987" s="60">
        <v>1.99702</v>
      </c>
      <c r="E987" s="59">
        <v>2.70329</v>
      </c>
      <c r="F987" s="59">
        <v>4.0205299999999999</v>
      </c>
      <c r="G987" s="56">
        <v>0</v>
      </c>
      <c r="H987" s="56">
        <v>0</v>
      </c>
      <c r="I987" s="58">
        <v>0.235293</v>
      </c>
      <c r="J987" s="57">
        <v>0.21059</v>
      </c>
      <c r="K987" s="56"/>
      <c r="L987" s="56" t="s">
        <v>488</v>
      </c>
    </row>
    <row r="988" spans="2:12" x14ac:dyDescent="0.2">
      <c r="B988" s="62" t="s">
        <v>5018</v>
      </c>
      <c r="C988" s="61" t="s">
        <v>550</v>
      </c>
      <c r="D988" s="60">
        <v>1.72177</v>
      </c>
      <c r="E988" s="59">
        <v>2.42916</v>
      </c>
      <c r="F988" s="59">
        <v>3.7741500000000001</v>
      </c>
      <c r="G988" s="56">
        <v>0</v>
      </c>
      <c r="H988" s="56">
        <v>0</v>
      </c>
      <c r="I988" s="58">
        <v>0.144957</v>
      </c>
      <c r="J988" s="57">
        <v>0.24401700000000001</v>
      </c>
      <c r="K988" s="56"/>
      <c r="L988" s="56" t="s">
        <v>488</v>
      </c>
    </row>
    <row r="989" spans="2:12" x14ac:dyDescent="0.2">
      <c r="B989" s="62" t="s">
        <v>5017</v>
      </c>
      <c r="C989" s="61" t="s">
        <v>1622</v>
      </c>
      <c r="D989" s="60">
        <v>1.86364</v>
      </c>
      <c r="E989" s="59">
        <v>3.1665100000000002</v>
      </c>
      <c r="F989" s="59">
        <v>4.21645</v>
      </c>
      <c r="G989" s="56">
        <v>0</v>
      </c>
      <c r="H989" s="56">
        <v>0</v>
      </c>
      <c r="I989" s="58">
        <v>6.1732299999999997E-2</v>
      </c>
      <c r="J989" s="57">
        <v>0.20677599999999999</v>
      </c>
      <c r="K989" s="56"/>
      <c r="L989" s="56" t="s">
        <v>488</v>
      </c>
    </row>
    <row r="990" spans="2:12" x14ac:dyDescent="0.2">
      <c r="B990" s="62" t="s">
        <v>5016</v>
      </c>
      <c r="C990" s="61" t="s">
        <v>1896</v>
      </c>
      <c r="D990" s="60">
        <v>2.5424500000000001</v>
      </c>
      <c r="E990" s="59">
        <v>4.3119500000000004</v>
      </c>
      <c r="F990" s="59">
        <v>11.61304</v>
      </c>
      <c r="G990" s="56">
        <v>1312.48</v>
      </c>
      <c r="H990" s="56">
        <v>516.22699999999998</v>
      </c>
      <c r="I990" s="58">
        <v>0.46905400000000003</v>
      </c>
      <c r="J990" s="57">
        <v>0.22618199999999999</v>
      </c>
      <c r="K990" s="56"/>
      <c r="L990" s="56" t="s">
        <v>488</v>
      </c>
    </row>
    <row r="991" spans="2:12" x14ac:dyDescent="0.2">
      <c r="B991" s="62" t="s">
        <v>5015</v>
      </c>
      <c r="C991" s="61" t="s">
        <v>1771</v>
      </c>
      <c r="D991" s="60">
        <v>1.1811100000000001</v>
      </c>
      <c r="E991" s="59">
        <v>8.2463499999999996</v>
      </c>
      <c r="F991" s="59">
        <v>11.601660000000001</v>
      </c>
      <c r="G991" s="56">
        <v>972.86199999999997</v>
      </c>
      <c r="H991" s="56">
        <v>823.68499999999995</v>
      </c>
      <c r="I991" s="58">
        <v>0.41446</v>
      </c>
      <c r="J991" s="57">
        <v>0.449299</v>
      </c>
      <c r="K991" s="56"/>
      <c r="L991" s="56" t="s">
        <v>624</v>
      </c>
    </row>
    <row r="992" spans="2:12" x14ac:dyDescent="0.2">
      <c r="B992" s="62" t="s">
        <v>5014</v>
      </c>
      <c r="C992" s="61" t="s">
        <v>2887</v>
      </c>
      <c r="D992" s="60">
        <v>1.14432</v>
      </c>
      <c r="E992" s="59">
        <v>4.5442999999999998</v>
      </c>
      <c r="F992" s="59">
        <v>6.9619999999999997</v>
      </c>
      <c r="G992" s="56">
        <v>1631.33</v>
      </c>
      <c r="H992" s="56">
        <v>1425.59</v>
      </c>
      <c r="I992" s="58">
        <v>0.56261899999999998</v>
      </c>
      <c r="J992" s="57">
        <v>0.52421600000000002</v>
      </c>
      <c r="K992" s="56"/>
      <c r="L992" s="56" t="s">
        <v>488</v>
      </c>
    </row>
    <row r="993" spans="2:12" x14ac:dyDescent="0.2">
      <c r="B993" s="62" t="s">
        <v>5013</v>
      </c>
      <c r="C993" s="61" t="s">
        <v>5012</v>
      </c>
      <c r="D993" s="60">
        <v>0.99225600000000003</v>
      </c>
      <c r="E993" s="59">
        <v>4.3796299999999997</v>
      </c>
      <c r="F993" s="59">
        <v>6.6554000000000002</v>
      </c>
      <c r="G993" s="56">
        <v>1600.13</v>
      </c>
      <c r="H993" s="56">
        <v>1612.62</v>
      </c>
      <c r="I993" s="58">
        <v>0.55006999999999995</v>
      </c>
      <c r="J993" s="57">
        <v>0.58481499999999997</v>
      </c>
      <c r="K993" s="56"/>
      <c r="L993" s="56" t="s">
        <v>488</v>
      </c>
    </row>
    <row r="994" spans="2:12" x14ac:dyDescent="0.2">
      <c r="B994" s="62" t="s">
        <v>5011</v>
      </c>
      <c r="C994" s="61" t="s">
        <v>505</v>
      </c>
      <c r="D994" s="60">
        <v>0.57306100000000004</v>
      </c>
      <c r="E994" s="59">
        <v>7.22011</v>
      </c>
      <c r="F994" s="59">
        <v>10.081490000000001</v>
      </c>
      <c r="G994" s="56">
        <v>2304.1</v>
      </c>
      <c r="H994" s="56">
        <v>4020.69</v>
      </c>
      <c r="I994" s="58">
        <v>0.83136399999999999</v>
      </c>
      <c r="J994" s="57">
        <v>1.3572299999999999</v>
      </c>
      <c r="K994" s="56"/>
      <c r="L994" s="56" t="s">
        <v>488</v>
      </c>
    </row>
    <row r="995" spans="2:12" x14ac:dyDescent="0.2">
      <c r="B995" s="62" t="s">
        <v>5010</v>
      </c>
      <c r="C995" s="61" t="s">
        <v>2887</v>
      </c>
      <c r="D995" s="60">
        <v>0.90944899999999995</v>
      </c>
      <c r="E995" s="59">
        <v>5.2523900000000001</v>
      </c>
      <c r="F995" s="59">
        <v>7.9764999999999997</v>
      </c>
      <c r="G995" s="56">
        <v>1906.93</v>
      </c>
      <c r="H995" s="56">
        <v>2096.8000000000002</v>
      </c>
      <c r="I995" s="58">
        <v>0.65565799999999996</v>
      </c>
      <c r="J995" s="57">
        <v>0.72516599999999998</v>
      </c>
      <c r="K995" s="56"/>
      <c r="L995" s="56" t="s">
        <v>488</v>
      </c>
    </row>
    <row r="996" spans="2:12" x14ac:dyDescent="0.2">
      <c r="B996" s="62" t="s">
        <v>5009</v>
      </c>
      <c r="C996" s="61" t="s">
        <v>553</v>
      </c>
      <c r="D996" s="60">
        <v>0.99373900000000004</v>
      </c>
      <c r="E996" s="59">
        <v>4.1479200000000001</v>
      </c>
      <c r="F996" s="59">
        <v>6.0400600000000004</v>
      </c>
      <c r="G996" s="56">
        <v>1346.46</v>
      </c>
      <c r="H996" s="56">
        <v>1354.95</v>
      </c>
      <c r="I996" s="58">
        <v>0.558396</v>
      </c>
      <c r="J996" s="57">
        <v>0.59664499999999998</v>
      </c>
      <c r="K996" s="56"/>
      <c r="L996" s="56" t="s">
        <v>488</v>
      </c>
    </row>
    <row r="997" spans="2:12" x14ac:dyDescent="0.2">
      <c r="B997" s="62" t="s">
        <v>5008</v>
      </c>
      <c r="C997" s="61" t="s">
        <v>553</v>
      </c>
      <c r="D997" s="60">
        <v>1.0206999999999999</v>
      </c>
      <c r="E997" s="59">
        <v>5.7883800000000001</v>
      </c>
      <c r="F997" s="59">
        <v>9.0167000000000002</v>
      </c>
      <c r="G997" s="56">
        <v>1432.01</v>
      </c>
      <c r="H997" s="56">
        <v>1402.96</v>
      </c>
      <c r="I997" s="58">
        <v>0.54923999999999995</v>
      </c>
      <c r="J997" s="57">
        <v>0.57278899999999999</v>
      </c>
      <c r="K997" s="56"/>
      <c r="L997" s="56" t="s">
        <v>488</v>
      </c>
    </row>
    <row r="998" spans="2:12" x14ac:dyDescent="0.2">
      <c r="B998" s="62" t="s">
        <v>5007</v>
      </c>
      <c r="C998" s="61" t="s">
        <v>495</v>
      </c>
      <c r="D998" s="60">
        <v>1.0489599999999999</v>
      </c>
      <c r="E998" s="59">
        <v>4.7548700000000004</v>
      </c>
      <c r="F998" s="59">
        <v>6.8130199999999999</v>
      </c>
      <c r="G998" s="56">
        <v>1155.43</v>
      </c>
      <c r="H998" s="56">
        <v>1101.5</v>
      </c>
      <c r="I998" s="58">
        <v>0.48463000000000001</v>
      </c>
      <c r="J998" s="57">
        <v>0.52548700000000004</v>
      </c>
      <c r="K998" s="56"/>
      <c r="L998" s="56" t="s">
        <v>488</v>
      </c>
    </row>
    <row r="999" spans="2:12" x14ac:dyDescent="0.2">
      <c r="B999" s="62" t="s">
        <v>5006</v>
      </c>
      <c r="C999" s="61" t="s">
        <v>489</v>
      </c>
      <c r="D999" s="60">
        <v>1.86086</v>
      </c>
      <c r="E999" s="59">
        <v>3.2584599999999999</v>
      </c>
      <c r="F999" s="59">
        <v>4.9146799999999997</v>
      </c>
      <c r="G999" s="56">
        <v>0</v>
      </c>
      <c r="H999" s="56">
        <v>0</v>
      </c>
      <c r="I999" s="58">
        <v>0.30891800000000003</v>
      </c>
      <c r="J999" s="57">
        <v>0.26812000000000002</v>
      </c>
      <c r="K999" s="56"/>
      <c r="L999" s="56" t="s">
        <v>488</v>
      </c>
    </row>
    <row r="1000" spans="2:12" x14ac:dyDescent="0.2">
      <c r="B1000" s="62" t="s">
        <v>5005</v>
      </c>
      <c r="C1000" s="61" t="s">
        <v>510</v>
      </c>
      <c r="D1000" s="60">
        <v>1.27095</v>
      </c>
      <c r="E1000" s="59">
        <v>5.3667299999999996</v>
      </c>
      <c r="F1000" s="59">
        <v>5.8090599999999997</v>
      </c>
      <c r="G1000" s="56">
        <v>916.34400000000005</v>
      </c>
      <c r="H1000" s="56">
        <v>715.49400000000003</v>
      </c>
      <c r="I1000" s="58">
        <v>0.41173399999999999</v>
      </c>
      <c r="J1000" s="57">
        <v>0.39549800000000002</v>
      </c>
      <c r="K1000" s="56"/>
      <c r="L1000" s="56" t="s">
        <v>488</v>
      </c>
    </row>
    <row r="1001" spans="2:12" x14ac:dyDescent="0.2">
      <c r="B1001" s="62" t="s">
        <v>5004</v>
      </c>
      <c r="C1001" s="61" t="s">
        <v>510</v>
      </c>
      <c r="D1001" s="60">
        <v>1.28071</v>
      </c>
      <c r="E1001" s="59">
        <v>5.3453799999999996</v>
      </c>
      <c r="F1001" s="59">
        <v>5.8630500000000003</v>
      </c>
      <c r="G1001" s="56">
        <v>957.95299999999997</v>
      </c>
      <c r="H1001" s="56">
        <v>753.73299999999995</v>
      </c>
      <c r="I1001" s="58">
        <v>0.40346799999999999</v>
      </c>
      <c r="J1001" s="57">
        <v>0.38802500000000001</v>
      </c>
      <c r="K1001" s="56"/>
      <c r="L1001" s="56" t="s">
        <v>488</v>
      </c>
    </row>
    <row r="1002" spans="2:12" x14ac:dyDescent="0.2">
      <c r="B1002" s="62" t="s">
        <v>5003</v>
      </c>
      <c r="C1002" s="61" t="s">
        <v>510</v>
      </c>
      <c r="D1002" s="60">
        <v>1.2719100000000001</v>
      </c>
      <c r="E1002" s="59">
        <v>5.35243</v>
      </c>
      <c r="F1002" s="59">
        <v>5.8815200000000001</v>
      </c>
      <c r="G1002" s="56">
        <v>961.59699999999998</v>
      </c>
      <c r="H1002" s="56">
        <v>756.02499999999998</v>
      </c>
      <c r="I1002" s="58">
        <v>0.41455500000000001</v>
      </c>
      <c r="J1002" s="57">
        <v>0.39646900000000002</v>
      </c>
      <c r="K1002" s="56"/>
      <c r="L1002" s="56" t="s">
        <v>488</v>
      </c>
    </row>
    <row r="1003" spans="2:12" x14ac:dyDescent="0.2">
      <c r="B1003" s="62" t="s">
        <v>5002</v>
      </c>
      <c r="C1003" s="61" t="s">
        <v>502</v>
      </c>
      <c r="D1003" s="60">
        <v>0.677616</v>
      </c>
      <c r="E1003" s="59">
        <v>6.4901600000000004</v>
      </c>
      <c r="F1003" s="59">
        <v>12.639379999999999</v>
      </c>
      <c r="G1003" s="56">
        <v>2129.4899999999998</v>
      </c>
      <c r="H1003" s="56">
        <v>3142.61</v>
      </c>
      <c r="I1003" s="58">
        <v>0.81555500000000003</v>
      </c>
      <c r="J1003" s="57">
        <v>1.09548</v>
      </c>
      <c r="K1003" s="56"/>
      <c r="L1003" s="56" t="s">
        <v>488</v>
      </c>
    </row>
    <row r="1004" spans="2:12" x14ac:dyDescent="0.2">
      <c r="B1004" s="62" t="s">
        <v>5001</v>
      </c>
      <c r="C1004" s="61" t="s">
        <v>502</v>
      </c>
      <c r="D1004" s="60">
        <v>0.575241</v>
      </c>
      <c r="E1004" s="59">
        <v>6.6113600000000003</v>
      </c>
      <c r="F1004" s="59">
        <v>7.6345299999999998</v>
      </c>
      <c r="G1004" s="56">
        <v>2987.7</v>
      </c>
      <c r="H1004" s="56">
        <v>5193.82</v>
      </c>
      <c r="I1004" s="58">
        <v>0.81515899999999997</v>
      </c>
      <c r="J1004" s="57">
        <v>1.33629</v>
      </c>
      <c r="K1004" s="56"/>
      <c r="L1004" s="56" t="s">
        <v>488</v>
      </c>
    </row>
    <row r="1005" spans="2:12" x14ac:dyDescent="0.2">
      <c r="B1005" s="62" t="s">
        <v>5000</v>
      </c>
      <c r="C1005" s="61" t="s">
        <v>616</v>
      </c>
      <c r="D1005" s="60">
        <v>3.6010499999999999</v>
      </c>
      <c r="E1005" s="59">
        <v>3.5404599999999999</v>
      </c>
      <c r="F1005" s="59">
        <v>4.90808</v>
      </c>
      <c r="G1005" s="56">
        <v>0</v>
      </c>
      <c r="H1005" s="56">
        <v>0</v>
      </c>
      <c r="I1005" s="58">
        <v>0.387604</v>
      </c>
      <c r="J1005" s="57">
        <v>0.150314</v>
      </c>
      <c r="K1005" s="56"/>
      <c r="L1005" s="56" t="s">
        <v>488</v>
      </c>
    </row>
    <row r="1006" spans="2:12" x14ac:dyDescent="0.2">
      <c r="B1006" s="62" t="s">
        <v>4999</v>
      </c>
      <c r="C1006" s="61" t="s">
        <v>579</v>
      </c>
      <c r="D1006" s="60">
        <v>1.85806</v>
      </c>
      <c r="E1006" s="59">
        <v>2.6265499999999999</v>
      </c>
      <c r="F1006" s="59">
        <v>3.7031999999999998</v>
      </c>
      <c r="G1006" s="56">
        <v>0</v>
      </c>
      <c r="H1006" s="56">
        <v>0</v>
      </c>
      <c r="I1006" s="58">
        <v>0.224277</v>
      </c>
      <c r="J1006" s="57">
        <v>0.26889600000000002</v>
      </c>
      <c r="K1006" s="56"/>
      <c r="L1006" s="56" t="s">
        <v>488</v>
      </c>
    </row>
    <row r="1007" spans="2:12" x14ac:dyDescent="0.2">
      <c r="B1007" s="62" t="s">
        <v>4998</v>
      </c>
      <c r="C1007" s="61" t="s">
        <v>531</v>
      </c>
      <c r="D1007" s="60">
        <v>1.3462000000000001</v>
      </c>
      <c r="E1007" s="59">
        <v>3.2748699999999999</v>
      </c>
      <c r="F1007" s="59">
        <v>5.0604500000000003</v>
      </c>
      <c r="G1007" s="56">
        <v>0</v>
      </c>
      <c r="H1007" s="56">
        <v>0</v>
      </c>
      <c r="I1007" s="58">
        <v>0.26799600000000001</v>
      </c>
      <c r="J1007" s="57">
        <v>0.33887899999999999</v>
      </c>
      <c r="K1007" s="56"/>
      <c r="L1007" s="56" t="s">
        <v>492</v>
      </c>
    </row>
    <row r="1008" spans="2:12" x14ac:dyDescent="0.2">
      <c r="B1008" s="62" t="s">
        <v>4997</v>
      </c>
      <c r="C1008" s="61" t="s">
        <v>533</v>
      </c>
      <c r="D1008" s="60">
        <v>1.35284</v>
      </c>
      <c r="E1008" s="59">
        <v>3.2862200000000001</v>
      </c>
      <c r="F1008" s="59">
        <v>5.1588099999999999</v>
      </c>
      <c r="G1008" s="56">
        <v>0</v>
      </c>
      <c r="H1008" s="56">
        <v>0</v>
      </c>
      <c r="I1008" s="58">
        <v>0.27353300000000003</v>
      </c>
      <c r="J1008" s="57">
        <v>0.33634199999999997</v>
      </c>
      <c r="K1008" s="56"/>
      <c r="L1008" s="56" t="s">
        <v>492</v>
      </c>
    </row>
    <row r="1009" spans="2:12" x14ac:dyDescent="0.2">
      <c r="B1009" s="62" t="s">
        <v>4996</v>
      </c>
      <c r="C1009" s="61" t="s">
        <v>550</v>
      </c>
      <c r="D1009" s="60">
        <v>1.25583</v>
      </c>
      <c r="E1009" s="59">
        <v>3.26125</v>
      </c>
      <c r="F1009" s="59">
        <v>4.8902200000000002</v>
      </c>
      <c r="G1009" s="56">
        <v>0</v>
      </c>
      <c r="H1009" s="56">
        <v>0</v>
      </c>
      <c r="I1009" s="58">
        <v>0.26615</v>
      </c>
      <c r="J1009" s="57">
        <v>0.37814999999999999</v>
      </c>
      <c r="K1009" s="56"/>
      <c r="L1009" s="56" t="s">
        <v>488</v>
      </c>
    </row>
    <row r="1010" spans="2:12" x14ac:dyDescent="0.2">
      <c r="B1010" s="62" t="s">
        <v>4995</v>
      </c>
      <c r="C1010" s="61" t="s">
        <v>798</v>
      </c>
      <c r="D1010" s="60">
        <v>0.83018800000000004</v>
      </c>
      <c r="E1010" s="59">
        <v>5.1013400000000004</v>
      </c>
      <c r="F1010" s="59">
        <v>8.6646199999999993</v>
      </c>
      <c r="G1010" s="56">
        <v>1599.74</v>
      </c>
      <c r="H1010" s="56">
        <v>1926.96</v>
      </c>
      <c r="I1010" s="58">
        <v>0.658331</v>
      </c>
      <c r="J1010" s="57">
        <v>0.76699799999999996</v>
      </c>
      <c r="K1010" s="56"/>
      <c r="L1010" s="56" t="s">
        <v>488</v>
      </c>
    </row>
    <row r="1011" spans="2:12" x14ac:dyDescent="0.2">
      <c r="B1011" s="62" t="s">
        <v>4994</v>
      </c>
      <c r="C1011" s="61" t="s">
        <v>510</v>
      </c>
      <c r="D1011" s="60">
        <v>1.08432</v>
      </c>
      <c r="E1011" s="59">
        <v>5.1742699999999999</v>
      </c>
      <c r="F1011" s="59">
        <v>6.7607699999999999</v>
      </c>
      <c r="G1011" s="56">
        <v>1352.02</v>
      </c>
      <c r="H1011" s="56">
        <v>1246.8800000000001</v>
      </c>
      <c r="I1011" s="58">
        <v>0.53967500000000002</v>
      </c>
      <c r="J1011" s="57">
        <v>0.50616799999999995</v>
      </c>
      <c r="K1011" s="56"/>
      <c r="L1011" s="56" t="s">
        <v>488</v>
      </c>
    </row>
    <row r="1012" spans="2:12" x14ac:dyDescent="0.2">
      <c r="B1012" s="62" t="s">
        <v>4993</v>
      </c>
      <c r="C1012" s="61" t="s">
        <v>510</v>
      </c>
      <c r="D1012" s="60">
        <v>1.0835699999999999</v>
      </c>
      <c r="E1012" s="59">
        <v>5.1057499999999996</v>
      </c>
      <c r="F1012" s="59">
        <v>5.6530800000000001</v>
      </c>
      <c r="G1012" s="56">
        <v>1210.32</v>
      </c>
      <c r="H1012" s="56">
        <v>1116.97</v>
      </c>
      <c r="I1012" s="58">
        <v>0.56219399999999997</v>
      </c>
      <c r="J1012" s="57">
        <v>0.50565800000000005</v>
      </c>
      <c r="K1012" s="56"/>
      <c r="L1012" s="56" t="s">
        <v>488</v>
      </c>
    </row>
    <row r="1013" spans="2:12" x14ac:dyDescent="0.2">
      <c r="B1013" s="62" t="s">
        <v>4992</v>
      </c>
      <c r="C1013" s="61" t="s">
        <v>4991</v>
      </c>
      <c r="D1013" s="60">
        <v>2.0551699999999999</v>
      </c>
      <c r="E1013" s="59">
        <v>2.6835800000000001</v>
      </c>
      <c r="F1013" s="59">
        <v>3.1047600000000002</v>
      </c>
      <c r="G1013" s="56">
        <v>0</v>
      </c>
      <c r="H1013" s="56">
        <v>0</v>
      </c>
      <c r="I1013" s="58">
        <v>4.8064200000000001E-2</v>
      </c>
      <c r="J1013" s="57">
        <v>0.16788700000000001</v>
      </c>
      <c r="K1013" s="56"/>
      <c r="L1013" s="56" t="s">
        <v>488</v>
      </c>
    </row>
    <row r="1014" spans="2:12" x14ac:dyDescent="0.2">
      <c r="B1014" s="62" t="s">
        <v>4990</v>
      </c>
      <c r="C1014" s="61" t="s">
        <v>510</v>
      </c>
      <c r="D1014" s="60">
        <v>1.15615</v>
      </c>
      <c r="E1014" s="59">
        <v>3.1265900000000002</v>
      </c>
      <c r="F1014" s="59">
        <v>5.4885700000000002</v>
      </c>
      <c r="G1014" s="56">
        <v>0</v>
      </c>
      <c r="H1014" s="56">
        <v>0</v>
      </c>
      <c r="I1014" s="58">
        <v>0.375948</v>
      </c>
      <c r="J1014" s="57">
        <v>0.476213</v>
      </c>
      <c r="K1014" s="56"/>
      <c r="L1014" s="56" t="s">
        <v>488</v>
      </c>
    </row>
    <row r="1015" spans="2:12" x14ac:dyDescent="0.2">
      <c r="B1015" s="62" t="s">
        <v>4989</v>
      </c>
      <c r="C1015" s="61" t="s">
        <v>510</v>
      </c>
      <c r="D1015" s="60">
        <v>1.0916600000000001</v>
      </c>
      <c r="E1015" s="59">
        <v>2.4684699999999999</v>
      </c>
      <c r="F1015" s="59">
        <v>5.5952500000000001</v>
      </c>
      <c r="G1015" s="56">
        <v>0</v>
      </c>
      <c r="H1015" s="56">
        <v>0</v>
      </c>
      <c r="I1015" s="58">
        <v>0.41937999999999998</v>
      </c>
      <c r="J1015" s="57">
        <v>0.53323600000000004</v>
      </c>
      <c r="K1015" s="56"/>
      <c r="L1015" s="56" t="s">
        <v>488</v>
      </c>
    </row>
    <row r="1016" spans="2:12" x14ac:dyDescent="0.2">
      <c r="B1016" s="62" t="s">
        <v>4988</v>
      </c>
      <c r="C1016" s="61" t="s">
        <v>510</v>
      </c>
      <c r="D1016" s="60">
        <v>1.17639</v>
      </c>
      <c r="E1016" s="59">
        <v>2.46021</v>
      </c>
      <c r="F1016" s="59">
        <v>5.7021100000000002</v>
      </c>
      <c r="G1016" s="56">
        <v>0</v>
      </c>
      <c r="H1016" s="56">
        <v>0</v>
      </c>
      <c r="I1016" s="58">
        <v>0.37165599999999999</v>
      </c>
      <c r="J1016" s="57">
        <v>0.46176499999999998</v>
      </c>
      <c r="K1016" s="56"/>
      <c r="L1016" s="56" t="s">
        <v>488</v>
      </c>
    </row>
    <row r="1017" spans="2:12" x14ac:dyDescent="0.2">
      <c r="B1017" s="62" t="s">
        <v>4987</v>
      </c>
      <c r="C1017" s="61" t="s">
        <v>535</v>
      </c>
      <c r="D1017" s="60">
        <v>2.0131299999999999</v>
      </c>
      <c r="E1017" s="59">
        <v>4.02529</v>
      </c>
      <c r="F1017" s="59">
        <v>4.6252399999999998</v>
      </c>
      <c r="G1017" s="56">
        <v>508.20600000000002</v>
      </c>
      <c r="H1017" s="56">
        <v>252.44499999999999</v>
      </c>
      <c r="I1017" s="58">
        <v>0.32628699999999999</v>
      </c>
      <c r="J1017" s="57">
        <v>0.227906</v>
      </c>
      <c r="K1017" s="56"/>
      <c r="L1017" s="56" t="s">
        <v>488</v>
      </c>
    </row>
    <row r="1018" spans="2:12" x14ac:dyDescent="0.2">
      <c r="B1018" s="62" t="s">
        <v>4986</v>
      </c>
      <c r="C1018" s="61" t="s">
        <v>531</v>
      </c>
      <c r="D1018" s="60">
        <v>1.9410099999999999</v>
      </c>
      <c r="E1018" s="59">
        <v>4.1184700000000003</v>
      </c>
      <c r="F1018" s="59">
        <v>4.7031400000000003</v>
      </c>
      <c r="G1018" s="56">
        <v>592.55799999999999</v>
      </c>
      <c r="H1018" s="56">
        <v>305.28399999999999</v>
      </c>
      <c r="I1018" s="58">
        <v>0.34258</v>
      </c>
      <c r="J1018" s="57">
        <v>0.239313</v>
      </c>
      <c r="K1018" s="56"/>
      <c r="L1018" s="56" t="s">
        <v>488</v>
      </c>
    </row>
    <row r="1019" spans="2:12" x14ac:dyDescent="0.2">
      <c r="B1019" s="62" t="s">
        <v>4985</v>
      </c>
      <c r="C1019" s="61" t="s">
        <v>533</v>
      </c>
      <c r="D1019" s="60">
        <v>1.9814700000000001</v>
      </c>
      <c r="E1019" s="59">
        <v>4.0941700000000001</v>
      </c>
      <c r="F1019" s="59">
        <v>4.6779999999999999</v>
      </c>
      <c r="G1019" s="56">
        <v>537.96</v>
      </c>
      <c r="H1019" s="56">
        <v>271.495</v>
      </c>
      <c r="I1019" s="58">
        <v>0.33712599999999998</v>
      </c>
      <c r="J1019" s="57">
        <v>0.23309099999999999</v>
      </c>
      <c r="K1019" s="56"/>
      <c r="L1019" s="56" t="s">
        <v>488</v>
      </c>
    </row>
    <row r="1020" spans="2:12" x14ac:dyDescent="0.2">
      <c r="B1020" s="62" t="s">
        <v>4984</v>
      </c>
      <c r="C1020" s="61" t="s">
        <v>499</v>
      </c>
      <c r="D1020" s="60">
        <v>1.12984</v>
      </c>
      <c r="E1020" s="59">
        <v>3.8982700000000001</v>
      </c>
      <c r="F1020" s="59">
        <v>5.0041599999999997</v>
      </c>
      <c r="G1020" s="56">
        <v>392.536</v>
      </c>
      <c r="H1020" s="56">
        <v>347.428</v>
      </c>
      <c r="I1020" s="58">
        <v>0.49718400000000001</v>
      </c>
      <c r="J1020" s="57">
        <v>0.47659400000000002</v>
      </c>
      <c r="K1020" s="56"/>
      <c r="L1020" s="56" t="s">
        <v>488</v>
      </c>
    </row>
    <row r="1021" spans="2:12" x14ac:dyDescent="0.2">
      <c r="B1021" s="62" t="s">
        <v>4983</v>
      </c>
      <c r="C1021" s="61" t="s">
        <v>550</v>
      </c>
      <c r="D1021" s="60">
        <v>0.87955300000000003</v>
      </c>
      <c r="E1021" s="59">
        <v>5.2549400000000004</v>
      </c>
      <c r="F1021" s="59">
        <v>7.33047</v>
      </c>
      <c r="G1021" s="56">
        <v>2223.5700000000002</v>
      </c>
      <c r="H1021" s="56">
        <v>2528.0700000000002</v>
      </c>
      <c r="I1021" s="58">
        <v>0.69801299999999999</v>
      </c>
      <c r="J1021" s="57">
        <v>0.77549100000000004</v>
      </c>
      <c r="K1021" s="56"/>
      <c r="L1021" s="56" t="s">
        <v>488</v>
      </c>
    </row>
    <row r="1022" spans="2:12" x14ac:dyDescent="0.2">
      <c r="B1022" s="62" t="s">
        <v>4982</v>
      </c>
      <c r="C1022" s="61" t="s">
        <v>550</v>
      </c>
      <c r="D1022" s="60">
        <v>1.5089999999999999</v>
      </c>
      <c r="E1022" s="59">
        <v>3.4255200000000001</v>
      </c>
      <c r="F1022" s="59">
        <v>4.3603699999999996</v>
      </c>
      <c r="G1022" s="56">
        <v>0</v>
      </c>
      <c r="H1022" s="56">
        <v>0</v>
      </c>
      <c r="I1022" s="58">
        <v>0.28082800000000002</v>
      </c>
      <c r="J1022" s="57">
        <v>0.29691099999999998</v>
      </c>
      <c r="K1022" s="56"/>
      <c r="L1022" s="56" t="s">
        <v>488</v>
      </c>
    </row>
    <row r="1023" spans="2:12" x14ac:dyDescent="0.2">
      <c r="B1023" s="62" t="s">
        <v>4981</v>
      </c>
      <c r="C1023" s="61" t="s">
        <v>499</v>
      </c>
      <c r="D1023" s="60">
        <v>1.4680800000000001</v>
      </c>
      <c r="E1023" s="59">
        <v>3.4835600000000002</v>
      </c>
      <c r="F1023" s="59">
        <v>4.7355700000000001</v>
      </c>
      <c r="G1023" s="56">
        <v>0</v>
      </c>
      <c r="H1023" s="56">
        <v>0</v>
      </c>
      <c r="I1023" s="58">
        <v>0.33177699999999999</v>
      </c>
      <c r="J1023" s="57">
        <v>0.30613000000000001</v>
      </c>
      <c r="K1023" s="56"/>
      <c r="L1023" s="56" t="s">
        <v>488</v>
      </c>
    </row>
    <row r="1024" spans="2:12" x14ac:dyDescent="0.2">
      <c r="B1024" s="62" t="s">
        <v>4980</v>
      </c>
      <c r="C1024" s="61" t="s">
        <v>510</v>
      </c>
      <c r="D1024" s="60">
        <v>1.17049</v>
      </c>
      <c r="E1024" s="59">
        <v>3.7818700000000001</v>
      </c>
      <c r="F1024" s="59">
        <v>5.9241000000000001</v>
      </c>
      <c r="G1024" s="56">
        <v>750.80200000000002</v>
      </c>
      <c r="H1024" s="56">
        <v>641.44500000000005</v>
      </c>
      <c r="I1024" s="58">
        <v>0.43956200000000001</v>
      </c>
      <c r="J1024" s="57">
        <v>0.46444600000000003</v>
      </c>
      <c r="K1024" s="56"/>
      <c r="L1024" s="56" t="s">
        <v>488</v>
      </c>
    </row>
    <row r="1025" spans="2:12" x14ac:dyDescent="0.2">
      <c r="B1025" s="62" t="s">
        <v>4979</v>
      </c>
      <c r="C1025" s="61" t="s">
        <v>499</v>
      </c>
      <c r="D1025" s="60">
        <v>1.5162500000000001</v>
      </c>
      <c r="E1025" s="59">
        <v>6.3051199999999996</v>
      </c>
      <c r="F1025" s="59">
        <v>6.8826799999999997</v>
      </c>
      <c r="G1025" s="56">
        <v>1114.1300000000001</v>
      </c>
      <c r="H1025" s="56">
        <v>734.79100000000005</v>
      </c>
      <c r="I1025" s="58">
        <v>0.51286799999999999</v>
      </c>
      <c r="J1025" s="57">
        <v>0.359601</v>
      </c>
      <c r="K1025" s="56"/>
      <c r="L1025" s="56" t="s">
        <v>488</v>
      </c>
    </row>
    <row r="1026" spans="2:12" x14ac:dyDescent="0.2">
      <c r="B1026" s="62" t="s">
        <v>4978</v>
      </c>
      <c r="C1026" s="61" t="s">
        <v>502</v>
      </c>
      <c r="D1026" s="60">
        <v>1.6191599999999999</v>
      </c>
      <c r="E1026" s="59">
        <v>2.8165499999999999</v>
      </c>
      <c r="F1026" s="59">
        <v>4.9702999999999999</v>
      </c>
      <c r="G1026" s="56">
        <v>0</v>
      </c>
      <c r="H1026" s="56">
        <v>0</v>
      </c>
      <c r="I1026" s="58">
        <v>0.13671</v>
      </c>
      <c r="J1026" s="57">
        <v>0.240868</v>
      </c>
      <c r="K1026" s="56"/>
      <c r="L1026" s="56" t="s">
        <v>488</v>
      </c>
    </row>
    <row r="1027" spans="2:12" x14ac:dyDescent="0.2">
      <c r="B1027" s="62" t="s">
        <v>4977</v>
      </c>
      <c r="C1027" s="61" t="s">
        <v>502</v>
      </c>
      <c r="D1027" s="60">
        <v>1.61266</v>
      </c>
      <c r="E1027" s="59">
        <v>2.80803</v>
      </c>
      <c r="F1027" s="59">
        <v>4.9710299999999998</v>
      </c>
      <c r="G1027" s="56">
        <v>0</v>
      </c>
      <c r="H1027" s="56">
        <v>0</v>
      </c>
      <c r="I1027" s="58">
        <v>0.13581199999999999</v>
      </c>
      <c r="J1027" s="57">
        <v>0.24220800000000001</v>
      </c>
      <c r="K1027" s="56"/>
      <c r="L1027" s="56" t="s">
        <v>488</v>
      </c>
    </row>
    <row r="1028" spans="2:12" x14ac:dyDescent="0.2">
      <c r="B1028" s="62" t="s">
        <v>4976</v>
      </c>
      <c r="C1028" s="61" t="s">
        <v>495</v>
      </c>
      <c r="D1028" s="60">
        <v>1.5975900000000001</v>
      </c>
      <c r="E1028" s="59">
        <v>2.66439</v>
      </c>
      <c r="F1028" s="59">
        <v>3.3487499999999999</v>
      </c>
      <c r="G1028" s="56">
        <v>0</v>
      </c>
      <c r="H1028" s="56">
        <v>0</v>
      </c>
      <c r="I1028" s="58">
        <v>0.17684800000000001</v>
      </c>
      <c r="J1028" s="57">
        <v>0.26662000000000002</v>
      </c>
      <c r="K1028" s="56"/>
      <c r="L1028" s="56" t="s">
        <v>488</v>
      </c>
    </row>
    <row r="1029" spans="2:12" x14ac:dyDescent="0.2">
      <c r="B1029" s="62" t="s">
        <v>4975</v>
      </c>
      <c r="C1029" s="61" t="s">
        <v>495</v>
      </c>
      <c r="D1029" s="60">
        <v>1.6553</v>
      </c>
      <c r="E1029" s="59">
        <v>2.7399499999999999</v>
      </c>
      <c r="F1029" s="59">
        <v>3.4305400000000001</v>
      </c>
      <c r="G1029" s="56">
        <v>0</v>
      </c>
      <c r="H1029" s="56">
        <v>0</v>
      </c>
      <c r="I1029" s="58">
        <v>0.15981999999999999</v>
      </c>
      <c r="J1029" s="57">
        <v>0.24910499999999999</v>
      </c>
      <c r="K1029" s="56"/>
      <c r="L1029" s="56" t="s">
        <v>488</v>
      </c>
    </row>
    <row r="1030" spans="2:12" x14ac:dyDescent="0.2">
      <c r="B1030" s="62" t="s">
        <v>4974</v>
      </c>
      <c r="C1030" s="61" t="s">
        <v>499</v>
      </c>
      <c r="D1030" s="60">
        <v>1.63541</v>
      </c>
      <c r="E1030" s="59">
        <v>2.6382699999999999</v>
      </c>
      <c r="F1030" s="59">
        <v>5.1529199999999999</v>
      </c>
      <c r="G1030" s="56">
        <v>0</v>
      </c>
      <c r="H1030" s="56">
        <v>0</v>
      </c>
      <c r="I1030" s="58">
        <v>0.173848</v>
      </c>
      <c r="J1030" s="57">
        <v>0.276142</v>
      </c>
      <c r="K1030" s="56"/>
      <c r="L1030" s="56" t="s">
        <v>488</v>
      </c>
    </row>
    <row r="1031" spans="2:12" x14ac:dyDescent="0.2">
      <c r="B1031" s="62" t="s">
        <v>4973</v>
      </c>
      <c r="C1031" s="61" t="s">
        <v>499</v>
      </c>
      <c r="D1031" s="60">
        <v>0.72148699999999999</v>
      </c>
      <c r="E1031" s="59">
        <v>7.9377300000000002</v>
      </c>
      <c r="F1031" s="59">
        <v>12.893560000000001</v>
      </c>
      <c r="G1031" s="56">
        <v>1767.5</v>
      </c>
      <c r="H1031" s="56">
        <v>2449.8000000000002</v>
      </c>
      <c r="I1031" s="58">
        <v>0.70592900000000003</v>
      </c>
      <c r="J1031" s="57">
        <v>0.99208399999999997</v>
      </c>
      <c r="K1031" s="56"/>
      <c r="L1031" s="56" t="s">
        <v>488</v>
      </c>
    </row>
    <row r="1032" spans="2:12" x14ac:dyDescent="0.2">
      <c r="B1032" s="62" t="s">
        <v>4972</v>
      </c>
      <c r="C1032" s="61" t="s">
        <v>550</v>
      </c>
      <c r="D1032" s="60">
        <v>1.09216</v>
      </c>
      <c r="E1032" s="59">
        <v>5.4096500000000001</v>
      </c>
      <c r="F1032" s="59">
        <v>7.06595</v>
      </c>
      <c r="G1032" s="56">
        <v>1860.4</v>
      </c>
      <c r="H1032" s="56">
        <v>1703.41</v>
      </c>
      <c r="I1032" s="58">
        <v>0.561249</v>
      </c>
      <c r="J1032" s="57">
        <v>0.58673600000000004</v>
      </c>
      <c r="K1032" s="56"/>
      <c r="L1032" s="56" t="s">
        <v>488</v>
      </c>
    </row>
    <row r="1033" spans="2:12" x14ac:dyDescent="0.2">
      <c r="B1033" s="62" t="s">
        <v>4971</v>
      </c>
      <c r="C1033" s="61" t="s">
        <v>641</v>
      </c>
      <c r="D1033" s="60">
        <v>1.0586800000000001</v>
      </c>
      <c r="E1033" s="59">
        <v>4.77766</v>
      </c>
      <c r="F1033" s="59">
        <v>6.6968399999999999</v>
      </c>
      <c r="G1033" s="56">
        <v>2119.0100000000002</v>
      </c>
      <c r="H1033" s="56">
        <v>1955.56</v>
      </c>
      <c r="I1033" s="58">
        <v>0.67499799999999999</v>
      </c>
      <c r="J1033" s="57">
        <v>0.62386699999999995</v>
      </c>
      <c r="K1033" s="56"/>
      <c r="L1033" s="56" t="s">
        <v>488</v>
      </c>
    </row>
    <row r="1034" spans="2:12" x14ac:dyDescent="0.2">
      <c r="B1034" s="62" t="s">
        <v>4970</v>
      </c>
      <c r="C1034" s="61" t="s">
        <v>641</v>
      </c>
      <c r="D1034" s="60">
        <v>1.08358</v>
      </c>
      <c r="E1034" s="59">
        <v>5.0536700000000003</v>
      </c>
      <c r="F1034" s="59">
        <v>6.8179600000000002</v>
      </c>
      <c r="G1034" s="56">
        <v>2085.31</v>
      </c>
      <c r="H1034" s="56">
        <v>1969.74</v>
      </c>
      <c r="I1034" s="58">
        <v>0.65499200000000002</v>
      </c>
      <c r="J1034" s="57">
        <v>0.60075100000000003</v>
      </c>
      <c r="K1034" s="56"/>
      <c r="L1034" s="56" t="s">
        <v>488</v>
      </c>
    </row>
    <row r="1035" spans="2:12" x14ac:dyDescent="0.2">
      <c r="B1035" s="62" t="s">
        <v>4969</v>
      </c>
      <c r="C1035" s="61" t="s">
        <v>541</v>
      </c>
      <c r="D1035" s="60">
        <v>1.1009199999999999</v>
      </c>
      <c r="E1035" s="59">
        <v>4.9687700000000001</v>
      </c>
      <c r="F1035" s="59">
        <v>6.6677999999999997</v>
      </c>
      <c r="G1035" s="56">
        <v>2142</v>
      </c>
      <c r="H1035" s="56">
        <v>1945.64</v>
      </c>
      <c r="I1035" s="58">
        <v>0.677122</v>
      </c>
      <c r="J1035" s="57">
        <v>0.59305600000000003</v>
      </c>
      <c r="K1035" s="56"/>
      <c r="L1035" s="56" t="s">
        <v>488</v>
      </c>
    </row>
    <row r="1036" spans="2:12" x14ac:dyDescent="0.2">
      <c r="B1036" s="62" t="s">
        <v>4968</v>
      </c>
      <c r="C1036" s="61" t="s">
        <v>582</v>
      </c>
      <c r="D1036" s="60">
        <v>1.11208</v>
      </c>
      <c r="E1036" s="59">
        <v>5.1636199999999999</v>
      </c>
      <c r="F1036" s="59">
        <v>6.8090400000000004</v>
      </c>
      <c r="G1036" s="56">
        <v>2052.61</v>
      </c>
      <c r="H1036" s="56">
        <v>1845.74</v>
      </c>
      <c r="I1036" s="58">
        <v>0.67694900000000002</v>
      </c>
      <c r="J1036" s="57">
        <v>0.58953299999999997</v>
      </c>
      <c r="K1036" s="56"/>
      <c r="L1036" s="56" t="s">
        <v>488</v>
      </c>
    </row>
    <row r="1037" spans="2:12" x14ac:dyDescent="0.2">
      <c r="B1037" s="62" t="s">
        <v>4967</v>
      </c>
      <c r="C1037" s="61" t="s">
        <v>533</v>
      </c>
      <c r="D1037" s="60">
        <v>1.1328400000000001</v>
      </c>
      <c r="E1037" s="59">
        <v>4.7083399999999997</v>
      </c>
      <c r="F1037" s="59">
        <v>5.8149100000000002</v>
      </c>
      <c r="G1037" s="56">
        <v>1632.25</v>
      </c>
      <c r="H1037" s="56">
        <v>1393.4</v>
      </c>
      <c r="I1037" s="58">
        <v>0.67585799999999996</v>
      </c>
      <c r="J1037" s="57">
        <v>0.57862899999999995</v>
      </c>
      <c r="K1037" s="56"/>
      <c r="L1037" s="56" t="s">
        <v>488</v>
      </c>
    </row>
    <row r="1038" spans="2:12" x14ac:dyDescent="0.2">
      <c r="B1038" s="62" t="s">
        <v>4966</v>
      </c>
      <c r="C1038" s="61" t="s">
        <v>533</v>
      </c>
      <c r="D1038" s="60">
        <v>1.1714100000000001</v>
      </c>
      <c r="E1038" s="59">
        <v>5.19238</v>
      </c>
      <c r="F1038" s="59">
        <v>6.7945799999999998</v>
      </c>
      <c r="G1038" s="56">
        <v>2052.79</v>
      </c>
      <c r="H1038" s="56">
        <v>1812.08</v>
      </c>
      <c r="I1038" s="58">
        <v>0.57744499999999999</v>
      </c>
      <c r="J1038" s="57">
        <v>0.54569500000000004</v>
      </c>
      <c r="K1038" s="56" t="s">
        <v>1816</v>
      </c>
      <c r="L1038" s="56" t="s">
        <v>563</v>
      </c>
    </row>
    <row r="1039" spans="2:12" x14ac:dyDescent="0.2">
      <c r="B1039" s="62" t="s">
        <v>4965</v>
      </c>
      <c r="C1039" s="61" t="s">
        <v>859</v>
      </c>
      <c r="D1039" s="60">
        <v>1.16256</v>
      </c>
      <c r="E1039" s="59">
        <v>5.1838800000000003</v>
      </c>
      <c r="F1039" s="59">
        <v>6.7421499999999996</v>
      </c>
      <c r="G1039" s="56">
        <v>2062.56</v>
      </c>
      <c r="H1039" s="56">
        <v>1774.16</v>
      </c>
      <c r="I1039" s="58">
        <v>0.67798999999999998</v>
      </c>
      <c r="J1039" s="57">
        <v>0.56411500000000003</v>
      </c>
      <c r="K1039" s="56"/>
      <c r="L1039" s="56" t="s">
        <v>488</v>
      </c>
    </row>
    <row r="1040" spans="2:12" x14ac:dyDescent="0.2">
      <c r="B1040" s="62" t="s">
        <v>4964</v>
      </c>
      <c r="C1040" s="61" t="s">
        <v>550</v>
      </c>
      <c r="D1040" s="60">
        <v>1.3480399999999999</v>
      </c>
      <c r="E1040" s="59">
        <v>4.1052200000000001</v>
      </c>
      <c r="F1040" s="59">
        <v>5.8473800000000002</v>
      </c>
      <c r="G1040" s="56">
        <v>851.78700000000003</v>
      </c>
      <c r="H1040" s="56">
        <v>631.87099999999998</v>
      </c>
      <c r="I1040" s="58">
        <v>0.42536200000000002</v>
      </c>
      <c r="J1040" s="57">
        <v>0.387243</v>
      </c>
      <c r="K1040" s="56"/>
      <c r="L1040" s="56" t="s">
        <v>488</v>
      </c>
    </row>
    <row r="1041" spans="2:12" x14ac:dyDescent="0.2">
      <c r="B1041" s="62" t="s">
        <v>4963</v>
      </c>
      <c r="C1041" s="61" t="s">
        <v>510</v>
      </c>
      <c r="D1041" s="60">
        <v>1.4993300000000001</v>
      </c>
      <c r="E1041" s="59">
        <v>2.63619</v>
      </c>
      <c r="F1041" s="59">
        <v>4.3132000000000001</v>
      </c>
      <c r="G1041" s="56">
        <v>0</v>
      </c>
      <c r="H1041" s="56">
        <v>0</v>
      </c>
      <c r="I1041" s="58">
        <v>0.28581800000000002</v>
      </c>
      <c r="J1041" s="57">
        <v>0.29608499999999999</v>
      </c>
      <c r="K1041" s="56"/>
      <c r="L1041" s="56" t="s">
        <v>488</v>
      </c>
    </row>
    <row r="1042" spans="2:12" x14ac:dyDescent="0.2">
      <c r="B1042" s="62" t="s">
        <v>4962</v>
      </c>
      <c r="C1042" s="61" t="s">
        <v>502</v>
      </c>
      <c r="D1042" s="60">
        <v>0.80639799999999995</v>
      </c>
      <c r="E1042" s="59">
        <v>3.9234900000000001</v>
      </c>
      <c r="F1042" s="59">
        <v>13.108409999999999</v>
      </c>
      <c r="G1042" s="56">
        <v>1541.94</v>
      </c>
      <c r="H1042" s="56">
        <v>1912.13</v>
      </c>
      <c r="I1042" s="58">
        <v>0.62410299999999996</v>
      </c>
      <c r="J1042" s="57">
        <v>0.81652499999999995</v>
      </c>
      <c r="K1042" s="56"/>
      <c r="L1042" s="56" t="s">
        <v>492</v>
      </c>
    </row>
    <row r="1043" spans="2:12" x14ac:dyDescent="0.2">
      <c r="B1043" s="62" t="s">
        <v>4961</v>
      </c>
      <c r="C1043" s="61" t="s">
        <v>4960</v>
      </c>
      <c r="D1043" s="60">
        <v>1.4860199999999999</v>
      </c>
      <c r="E1043" s="59">
        <v>3.2434500000000002</v>
      </c>
      <c r="F1043" s="59">
        <v>7.4681300000000004</v>
      </c>
      <c r="G1043" s="56">
        <v>0</v>
      </c>
      <c r="H1043" s="56">
        <v>0</v>
      </c>
      <c r="I1043" s="58">
        <v>0.342304</v>
      </c>
      <c r="J1043" s="57">
        <v>0.342723</v>
      </c>
      <c r="K1043" s="56"/>
      <c r="L1043" s="56" t="s">
        <v>488</v>
      </c>
    </row>
    <row r="1044" spans="2:12" x14ac:dyDescent="0.2">
      <c r="B1044" s="62" t="s">
        <v>4959</v>
      </c>
      <c r="C1044" s="61" t="s">
        <v>4851</v>
      </c>
      <c r="D1044" s="60">
        <v>2.1471499999999999</v>
      </c>
      <c r="E1044" s="59">
        <v>2.65551</v>
      </c>
      <c r="F1044" s="59">
        <v>3.5798399999999999</v>
      </c>
      <c r="G1044" s="56">
        <v>0</v>
      </c>
      <c r="H1044" s="56">
        <v>0</v>
      </c>
      <c r="I1044" s="58">
        <v>0.236232</v>
      </c>
      <c r="J1044" s="57">
        <v>0.21490600000000001</v>
      </c>
      <c r="K1044" s="56"/>
      <c r="L1044" s="56" t="s">
        <v>488</v>
      </c>
    </row>
    <row r="1045" spans="2:12" x14ac:dyDescent="0.2">
      <c r="B1045" s="62" t="s">
        <v>4958</v>
      </c>
      <c r="C1045" s="61" t="s">
        <v>495</v>
      </c>
      <c r="D1045" s="60">
        <v>1.1880999999999999</v>
      </c>
      <c r="E1045" s="59">
        <v>2.4219499999999998</v>
      </c>
      <c r="F1045" s="59">
        <v>4.57986</v>
      </c>
      <c r="G1045" s="56">
        <v>0</v>
      </c>
      <c r="H1045" s="56">
        <v>0</v>
      </c>
      <c r="I1045" s="58">
        <v>0.34052199999999999</v>
      </c>
      <c r="J1045" s="57">
        <v>0.40591899999999997</v>
      </c>
      <c r="K1045" s="56"/>
      <c r="L1045" s="56" t="s">
        <v>488</v>
      </c>
    </row>
    <row r="1046" spans="2:12" x14ac:dyDescent="0.2">
      <c r="B1046" s="62" t="s">
        <v>4957</v>
      </c>
      <c r="C1046" s="61" t="s">
        <v>495</v>
      </c>
      <c r="D1046" s="60">
        <v>1.1941600000000001</v>
      </c>
      <c r="E1046" s="59">
        <v>2.45336</v>
      </c>
      <c r="F1046" s="59">
        <v>4.5919800000000004</v>
      </c>
      <c r="G1046" s="56">
        <v>0</v>
      </c>
      <c r="H1046" s="56">
        <v>0</v>
      </c>
      <c r="I1046" s="58">
        <v>0.33844400000000002</v>
      </c>
      <c r="J1046" s="57">
        <v>0.40223999999999999</v>
      </c>
      <c r="K1046" s="56"/>
      <c r="L1046" s="56" t="s">
        <v>488</v>
      </c>
    </row>
    <row r="1047" spans="2:12" x14ac:dyDescent="0.2">
      <c r="B1047" s="62" t="s">
        <v>4956</v>
      </c>
      <c r="C1047" s="61" t="s">
        <v>499</v>
      </c>
      <c r="D1047" s="60">
        <v>0.98518399999999995</v>
      </c>
      <c r="E1047" s="59">
        <v>10.497389999999999</v>
      </c>
      <c r="F1047" s="59">
        <v>12.456160000000001</v>
      </c>
      <c r="G1047" s="56">
        <v>1329.16</v>
      </c>
      <c r="H1047" s="56">
        <v>1349.15</v>
      </c>
      <c r="I1047" s="58">
        <v>0.53441499999999997</v>
      </c>
      <c r="J1047" s="57">
        <v>0.63062200000000002</v>
      </c>
      <c r="K1047" s="56"/>
      <c r="L1047" s="56" t="s">
        <v>488</v>
      </c>
    </row>
    <row r="1048" spans="2:12" x14ac:dyDescent="0.2">
      <c r="B1048" s="62" t="s">
        <v>4955</v>
      </c>
      <c r="C1048" s="61" t="s">
        <v>499</v>
      </c>
      <c r="D1048" s="60">
        <v>1.8989199999999999</v>
      </c>
      <c r="E1048" s="59">
        <v>2.5786799999999999</v>
      </c>
      <c r="F1048" s="59">
        <v>3.66168</v>
      </c>
      <c r="G1048" s="56">
        <v>0</v>
      </c>
      <c r="H1048" s="56">
        <v>0</v>
      </c>
      <c r="I1048" s="58">
        <v>0.13613600000000001</v>
      </c>
      <c r="J1048" s="57">
        <v>0.21060799999999999</v>
      </c>
      <c r="K1048" s="56"/>
      <c r="L1048" s="56" t="s">
        <v>488</v>
      </c>
    </row>
    <row r="1049" spans="2:12" x14ac:dyDescent="0.2">
      <c r="B1049" s="62" t="s">
        <v>4954</v>
      </c>
      <c r="C1049" s="61" t="s">
        <v>2923</v>
      </c>
      <c r="D1049" s="60">
        <v>2.1373000000000002</v>
      </c>
      <c r="E1049" s="59">
        <v>2.5310600000000001</v>
      </c>
      <c r="F1049" s="59">
        <v>4.2935800000000004</v>
      </c>
      <c r="G1049" s="56">
        <v>0</v>
      </c>
      <c r="H1049" s="56">
        <v>0</v>
      </c>
      <c r="I1049" s="58">
        <v>0.23306399999999999</v>
      </c>
      <c r="J1049" s="57">
        <v>0.20039399999999999</v>
      </c>
      <c r="K1049" s="56"/>
      <c r="L1049" s="56" t="s">
        <v>488</v>
      </c>
    </row>
    <row r="1050" spans="2:12" x14ac:dyDescent="0.2">
      <c r="B1050" s="62" t="s">
        <v>4953</v>
      </c>
      <c r="C1050" s="61" t="s">
        <v>1537</v>
      </c>
      <c r="D1050" s="60">
        <v>2.1768800000000001</v>
      </c>
      <c r="E1050" s="59">
        <v>2.60005</v>
      </c>
      <c r="F1050" s="59">
        <v>4.3434999999999997</v>
      </c>
      <c r="G1050" s="56">
        <v>0</v>
      </c>
      <c r="H1050" s="56">
        <v>0</v>
      </c>
      <c r="I1050" s="58">
        <v>0.234262</v>
      </c>
      <c r="J1050" s="57">
        <v>0.19625699999999999</v>
      </c>
      <c r="K1050" s="56"/>
      <c r="L1050" s="56" t="s">
        <v>488</v>
      </c>
    </row>
    <row r="1051" spans="2:12" x14ac:dyDescent="0.2">
      <c r="B1051" s="62" t="s">
        <v>4952</v>
      </c>
      <c r="C1051" s="61" t="s">
        <v>864</v>
      </c>
      <c r="D1051" s="60">
        <v>2.2108400000000001</v>
      </c>
      <c r="E1051" s="59">
        <v>2.6313200000000001</v>
      </c>
      <c r="F1051" s="59">
        <v>4.3828500000000004</v>
      </c>
      <c r="G1051" s="56">
        <v>0</v>
      </c>
      <c r="H1051" s="56">
        <v>0</v>
      </c>
      <c r="I1051" s="58">
        <v>0.235153</v>
      </c>
      <c r="J1051" s="57">
        <v>0.192665</v>
      </c>
      <c r="K1051" s="56"/>
      <c r="L1051" s="56" t="s">
        <v>488</v>
      </c>
    </row>
    <row r="1052" spans="2:12" x14ac:dyDescent="0.2">
      <c r="B1052" s="62" t="s">
        <v>4951</v>
      </c>
      <c r="C1052" s="61" t="s">
        <v>938</v>
      </c>
      <c r="D1052" s="60">
        <v>2.2155800000000001</v>
      </c>
      <c r="E1052" s="59">
        <v>2.62968</v>
      </c>
      <c r="F1052" s="59">
        <v>4.3669599999999997</v>
      </c>
      <c r="G1052" s="56">
        <v>0</v>
      </c>
      <c r="H1052" s="56">
        <v>0</v>
      </c>
      <c r="I1052" s="58">
        <v>0.229905</v>
      </c>
      <c r="J1052" s="57">
        <v>0.19109899999999999</v>
      </c>
      <c r="K1052" s="56"/>
      <c r="L1052" s="56" t="s">
        <v>730</v>
      </c>
    </row>
    <row r="1053" spans="2:12" x14ac:dyDescent="0.2">
      <c r="B1053" s="62" t="s">
        <v>4950</v>
      </c>
      <c r="C1053" s="61" t="s">
        <v>550</v>
      </c>
      <c r="D1053" s="60">
        <v>1.5096700000000001</v>
      </c>
      <c r="E1053" s="59">
        <v>2.5456500000000002</v>
      </c>
      <c r="F1053" s="59">
        <v>4.8893500000000003</v>
      </c>
      <c r="G1053" s="56">
        <v>0</v>
      </c>
      <c r="H1053" s="56">
        <v>0</v>
      </c>
      <c r="I1053" s="58">
        <v>0.28316400000000003</v>
      </c>
      <c r="J1053" s="57">
        <v>0.35971700000000001</v>
      </c>
      <c r="K1053" s="56"/>
      <c r="L1053" s="56" t="s">
        <v>488</v>
      </c>
    </row>
    <row r="1054" spans="2:12" x14ac:dyDescent="0.2">
      <c r="B1054" s="62" t="s">
        <v>4949</v>
      </c>
      <c r="C1054" s="61" t="s">
        <v>641</v>
      </c>
      <c r="D1054" s="60">
        <v>1.5074000000000001</v>
      </c>
      <c r="E1054" s="59">
        <v>3.9226200000000002</v>
      </c>
      <c r="F1054" s="59">
        <v>5.3745000000000003</v>
      </c>
      <c r="G1054" s="56">
        <v>764.096</v>
      </c>
      <c r="H1054" s="56">
        <v>506.89600000000002</v>
      </c>
      <c r="I1054" s="58">
        <v>0.44356600000000002</v>
      </c>
      <c r="J1054" s="57">
        <v>0.32182500000000003</v>
      </c>
      <c r="K1054" s="56"/>
      <c r="L1054" s="56" t="s">
        <v>488</v>
      </c>
    </row>
    <row r="1055" spans="2:12" x14ac:dyDescent="0.2">
      <c r="B1055" s="62" t="s">
        <v>4948</v>
      </c>
      <c r="C1055" s="61" t="s">
        <v>541</v>
      </c>
      <c r="D1055" s="60">
        <v>1.5355099999999999</v>
      </c>
      <c r="E1055" s="59">
        <v>3.93851</v>
      </c>
      <c r="F1055" s="59">
        <v>4.8399900000000002</v>
      </c>
      <c r="G1055" s="56">
        <v>629.80100000000004</v>
      </c>
      <c r="H1055" s="56">
        <v>410.15899999999999</v>
      </c>
      <c r="I1055" s="58">
        <v>0.399455</v>
      </c>
      <c r="J1055" s="57">
        <v>0.31624600000000003</v>
      </c>
      <c r="K1055" s="56"/>
      <c r="L1055" s="56" t="s">
        <v>488</v>
      </c>
    </row>
    <row r="1056" spans="2:12" x14ac:dyDescent="0.2">
      <c r="B1056" s="62" t="s">
        <v>4947</v>
      </c>
      <c r="C1056" s="61" t="s">
        <v>507</v>
      </c>
      <c r="D1056" s="60">
        <v>1.50366</v>
      </c>
      <c r="E1056" s="59">
        <v>4.0069100000000004</v>
      </c>
      <c r="F1056" s="59">
        <v>4.9199799999999998</v>
      </c>
      <c r="G1056" s="56">
        <v>724.20399999999995</v>
      </c>
      <c r="H1056" s="56">
        <v>481.62799999999999</v>
      </c>
      <c r="I1056" s="58">
        <v>0.40994999999999998</v>
      </c>
      <c r="J1056" s="57">
        <v>0.32590200000000003</v>
      </c>
      <c r="K1056" s="56"/>
      <c r="L1056" s="56" t="s">
        <v>488</v>
      </c>
    </row>
    <row r="1057" spans="2:12" x14ac:dyDescent="0.2">
      <c r="B1057" s="62" t="s">
        <v>4946</v>
      </c>
      <c r="C1057" s="61" t="s">
        <v>499</v>
      </c>
      <c r="D1057" s="60">
        <v>0.79314600000000002</v>
      </c>
      <c r="E1057" s="59">
        <v>4.2812099999999997</v>
      </c>
      <c r="F1057" s="59">
        <v>9.6115600000000008</v>
      </c>
      <c r="G1057" s="56">
        <v>1931.23</v>
      </c>
      <c r="H1057" s="56">
        <v>2434.89</v>
      </c>
      <c r="I1057" s="58">
        <v>0.63744900000000004</v>
      </c>
      <c r="J1057" s="57">
        <v>0.86278699999999997</v>
      </c>
      <c r="K1057" s="56"/>
      <c r="L1057" s="56" t="s">
        <v>488</v>
      </c>
    </row>
    <row r="1058" spans="2:12" x14ac:dyDescent="0.2">
      <c r="B1058" s="62" t="s">
        <v>4945</v>
      </c>
      <c r="C1058" s="61" t="s">
        <v>1637</v>
      </c>
      <c r="D1058" s="60">
        <v>1.7266999999999999</v>
      </c>
      <c r="E1058" s="59">
        <v>5.3336800000000002</v>
      </c>
      <c r="F1058" s="59">
        <v>7.8929299999999998</v>
      </c>
      <c r="G1058" s="56">
        <v>788.81700000000001</v>
      </c>
      <c r="H1058" s="56">
        <v>456.83499999999998</v>
      </c>
      <c r="I1058" s="58">
        <v>0.34688999999999998</v>
      </c>
      <c r="J1058" s="57">
        <v>0.28355200000000003</v>
      </c>
      <c r="K1058" s="56"/>
      <c r="L1058" s="56" t="s">
        <v>488</v>
      </c>
    </row>
    <row r="1059" spans="2:12" x14ac:dyDescent="0.2">
      <c r="B1059" s="62" t="s">
        <v>4944</v>
      </c>
      <c r="C1059" s="61" t="s">
        <v>1622</v>
      </c>
      <c r="D1059" s="60">
        <v>1.66899</v>
      </c>
      <c r="E1059" s="59">
        <v>3.7187800000000002</v>
      </c>
      <c r="F1059" s="59">
        <v>4.5211600000000001</v>
      </c>
      <c r="G1059" s="56">
        <v>0</v>
      </c>
      <c r="H1059" s="56">
        <v>0</v>
      </c>
      <c r="I1059" s="58">
        <v>0.232733</v>
      </c>
      <c r="J1059" s="57">
        <v>0.25777</v>
      </c>
      <c r="K1059" s="56"/>
      <c r="L1059" s="56" t="s">
        <v>492</v>
      </c>
    </row>
    <row r="1060" spans="2:12" x14ac:dyDescent="0.2">
      <c r="B1060" s="62" t="s">
        <v>4943</v>
      </c>
      <c r="C1060" s="61" t="s">
        <v>499</v>
      </c>
      <c r="D1060" s="60">
        <v>0.917269</v>
      </c>
      <c r="E1060" s="59">
        <v>3.1863100000000002</v>
      </c>
      <c r="F1060" s="59">
        <v>11.390319999999999</v>
      </c>
      <c r="G1060" s="56">
        <v>0</v>
      </c>
      <c r="H1060" s="56">
        <v>0</v>
      </c>
      <c r="I1060" s="58">
        <v>0.52199200000000001</v>
      </c>
      <c r="J1060" s="57">
        <v>0.68463200000000002</v>
      </c>
      <c r="K1060" s="56" t="s">
        <v>1816</v>
      </c>
      <c r="L1060" s="56" t="s">
        <v>563</v>
      </c>
    </row>
    <row r="1061" spans="2:12" x14ac:dyDescent="0.2">
      <c r="B1061" s="62" t="s">
        <v>4942</v>
      </c>
      <c r="C1061" s="61" t="s">
        <v>495</v>
      </c>
      <c r="D1061" s="60">
        <v>1.21868</v>
      </c>
      <c r="E1061" s="59">
        <v>3.37263</v>
      </c>
      <c r="F1061" s="59">
        <v>5.2753100000000002</v>
      </c>
      <c r="G1061" s="56">
        <v>0</v>
      </c>
      <c r="H1061" s="56">
        <v>0</v>
      </c>
      <c r="I1061" s="58">
        <v>0.32669100000000001</v>
      </c>
      <c r="J1061" s="57">
        <v>0.398669</v>
      </c>
      <c r="K1061" s="56"/>
      <c r="L1061" s="56" t="s">
        <v>492</v>
      </c>
    </row>
    <row r="1062" spans="2:12" x14ac:dyDescent="0.2">
      <c r="B1062" s="62" t="s">
        <v>4941</v>
      </c>
      <c r="C1062" s="61" t="s">
        <v>495</v>
      </c>
      <c r="D1062" s="60">
        <v>1.22506</v>
      </c>
      <c r="E1062" s="59">
        <v>3.9573299999999998</v>
      </c>
      <c r="F1062" s="59">
        <v>5.4166400000000001</v>
      </c>
      <c r="G1062" s="56">
        <v>786.51199999999994</v>
      </c>
      <c r="H1062" s="56">
        <v>642.01800000000003</v>
      </c>
      <c r="I1062" s="58">
        <v>0.36152499999999999</v>
      </c>
      <c r="J1062" s="57">
        <v>0.41207500000000002</v>
      </c>
      <c r="K1062" s="56"/>
      <c r="L1062" s="56" t="s">
        <v>492</v>
      </c>
    </row>
    <row r="1063" spans="2:12" x14ac:dyDescent="0.2">
      <c r="B1063" s="62" t="s">
        <v>4940</v>
      </c>
      <c r="C1063" s="61" t="s">
        <v>502</v>
      </c>
      <c r="D1063" s="60">
        <v>1.14036</v>
      </c>
      <c r="E1063" s="59">
        <v>3.6205599999999998</v>
      </c>
      <c r="F1063" s="59">
        <v>4.5170000000000003</v>
      </c>
      <c r="G1063" s="56">
        <v>0</v>
      </c>
      <c r="H1063" s="56">
        <v>0</v>
      </c>
      <c r="I1063" s="58">
        <v>0.56653100000000001</v>
      </c>
      <c r="J1063" s="57">
        <v>0.52541499999999997</v>
      </c>
      <c r="K1063" s="56"/>
      <c r="L1063" s="56" t="s">
        <v>488</v>
      </c>
    </row>
    <row r="1064" spans="2:12" x14ac:dyDescent="0.2">
      <c r="B1064" s="62" t="s">
        <v>4939</v>
      </c>
      <c r="C1064" s="61" t="s">
        <v>1604</v>
      </c>
      <c r="D1064" s="60">
        <v>0.877</v>
      </c>
      <c r="E1064" s="59">
        <v>8.4733699999999992</v>
      </c>
      <c r="F1064" s="59">
        <v>11.18858</v>
      </c>
      <c r="G1064" s="56">
        <v>1599.58</v>
      </c>
      <c r="H1064" s="56">
        <v>1823.93</v>
      </c>
      <c r="I1064" s="58">
        <v>0.64978999999999998</v>
      </c>
      <c r="J1064" s="57">
        <v>0.81888499999999997</v>
      </c>
      <c r="K1064" s="56"/>
      <c r="L1064" s="56" t="s">
        <v>488</v>
      </c>
    </row>
    <row r="1065" spans="2:12" x14ac:dyDescent="0.2">
      <c r="B1065" s="62" t="s">
        <v>4938</v>
      </c>
      <c r="C1065" s="61" t="s">
        <v>1637</v>
      </c>
      <c r="D1065" s="60">
        <v>0.97950300000000001</v>
      </c>
      <c r="E1065" s="59">
        <v>8.3857199999999992</v>
      </c>
      <c r="F1065" s="59">
        <v>11.252929999999999</v>
      </c>
      <c r="G1065" s="56">
        <v>1592.34</v>
      </c>
      <c r="H1065" s="56">
        <v>1625.66</v>
      </c>
      <c r="I1065" s="58">
        <v>0.65024700000000002</v>
      </c>
      <c r="J1065" s="57">
        <v>0.73361100000000001</v>
      </c>
      <c r="K1065" s="56"/>
      <c r="L1065" s="56" t="s">
        <v>488</v>
      </c>
    </row>
    <row r="1066" spans="2:12" x14ac:dyDescent="0.2">
      <c r="B1066" s="62" t="s">
        <v>4937</v>
      </c>
      <c r="C1066" s="61" t="s">
        <v>1637</v>
      </c>
      <c r="D1066" s="60">
        <v>1.2942199999999999</v>
      </c>
      <c r="E1066" s="59">
        <v>4.8806500000000002</v>
      </c>
      <c r="F1066" s="59">
        <v>7.5596399999999999</v>
      </c>
      <c r="G1066" s="56">
        <v>1429.09</v>
      </c>
      <c r="H1066" s="56">
        <v>1104.21</v>
      </c>
      <c r="I1066" s="58">
        <v>0.518231</v>
      </c>
      <c r="J1066" s="57">
        <v>0.457785</v>
      </c>
      <c r="K1066" s="56"/>
      <c r="L1066" s="56" t="s">
        <v>488</v>
      </c>
    </row>
    <row r="1067" spans="2:12" x14ac:dyDescent="0.2">
      <c r="B1067" s="62" t="s">
        <v>4936</v>
      </c>
      <c r="C1067" s="61" t="s">
        <v>1494</v>
      </c>
      <c r="D1067" s="60">
        <v>1.02495</v>
      </c>
      <c r="E1067" s="59">
        <v>7.1306900000000004</v>
      </c>
      <c r="F1067" s="59">
        <v>7.2535100000000003</v>
      </c>
      <c r="G1067" s="56">
        <v>1470.97</v>
      </c>
      <c r="H1067" s="56">
        <v>1435.16</v>
      </c>
      <c r="I1067" s="58">
        <v>0.62273199999999995</v>
      </c>
      <c r="J1067" s="57">
        <v>0.59057499999999996</v>
      </c>
      <c r="K1067" s="56"/>
      <c r="L1067" s="56" t="s">
        <v>488</v>
      </c>
    </row>
    <row r="1068" spans="2:12" x14ac:dyDescent="0.2">
      <c r="B1068" s="62" t="s">
        <v>4935</v>
      </c>
      <c r="C1068" s="61" t="s">
        <v>1494</v>
      </c>
      <c r="D1068" s="60">
        <v>1.0204299999999999</v>
      </c>
      <c r="E1068" s="59">
        <v>7.1137100000000002</v>
      </c>
      <c r="F1068" s="59">
        <v>7.2468300000000001</v>
      </c>
      <c r="G1068" s="56">
        <v>1414.8</v>
      </c>
      <c r="H1068" s="56">
        <v>1386.48</v>
      </c>
      <c r="I1068" s="58">
        <v>0.62932999999999995</v>
      </c>
      <c r="J1068" s="57">
        <v>0.595418</v>
      </c>
      <c r="K1068" s="56"/>
      <c r="L1068" s="56" t="s">
        <v>488</v>
      </c>
    </row>
    <row r="1069" spans="2:12" x14ac:dyDescent="0.2">
      <c r="B1069" s="62" t="s">
        <v>4934</v>
      </c>
      <c r="C1069" s="61" t="s">
        <v>499</v>
      </c>
      <c r="D1069" s="60">
        <v>1.06728</v>
      </c>
      <c r="E1069" s="59">
        <v>5.6975100000000003</v>
      </c>
      <c r="F1069" s="59">
        <v>7.6405000000000003</v>
      </c>
      <c r="G1069" s="56">
        <v>1415.8</v>
      </c>
      <c r="H1069" s="56">
        <v>1326.55</v>
      </c>
      <c r="I1069" s="58">
        <v>0.54655600000000004</v>
      </c>
      <c r="J1069" s="57">
        <v>0.55065699999999995</v>
      </c>
      <c r="K1069" s="56"/>
      <c r="L1069" s="56" t="s">
        <v>488</v>
      </c>
    </row>
    <row r="1070" spans="2:12" x14ac:dyDescent="0.2">
      <c r="B1070" s="62" t="s">
        <v>4933</v>
      </c>
      <c r="C1070" s="61" t="s">
        <v>510</v>
      </c>
      <c r="D1070" s="60">
        <v>0.86574399999999996</v>
      </c>
      <c r="E1070" s="59">
        <v>9.0812600000000003</v>
      </c>
      <c r="F1070" s="59">
        <v>9.5847300000000004</v>
      </c>
      <c r="G1070" s="56">
        <v>1312.68</v>
      </c>
      <c r="H1070" s="56">
        <v>1516.25</v>
      </c>
      <c r="I1070" s="58">
        <v>0.55031799999999997</v>
      </c>
      <c r="J1070" s="57">
        <v>0.70765999999999996</v>
      </c>
      <c r="K1070" s="56"/>
      <c r="L1070" s="56" t="s">
        <v>488</v>
      </c>
    </row>
    <row r="1071" spans="2:12" x14ac:dyDescent="0.2">
      <c r="B1071" s="62" t="s">
        <v>4932</v>
      </c>
      <c r="C1071" s="61" t="s">
        <v>1187</v>
      </c>
      <c r="D1071" s="60">
        <v>1.8639699999999999</v>
      </c>
      <c r="E1071" s="59">
        <v>3.2707000000000002</v>
      </c>
      <c r="F1071" s="59">
        <v>4.3333399999999997</v>
      </c>
      <c r="G1071" s="56">
        <v>0</v>
      </c>
      <c r="H1071" s="56">
        <v>0</v>
      </c>
      <c r="I1071" s="58">
        <v>0.22708</v>
      </c>
      <c r="J1071" s="57">
        <v>0.233872</v>
      </c>
      <c r="K1071" s="56"/>
      <c r="L1071" s="56" t="s">
        <v>488</v>
      </c>
    </row>
    <row r="1072" spans="2:12" x14ac:dyDescent="0.2">
      <c r="B1072" s="62" t="s">
        <v>4931</v>
      </c>
      <c r="C1072" s="61" t="s">
        <v>510</v>
      </c>
      <c r="D1072" s="60">
        <v>1.30704</v>
      </c>
      <c r="E1072" s="59">
        <v>2.8609599999999999</v>
      </c>
      <c r="F1072" s="59">
        <v>4.2010699999999996</v>
      </c>
      <c r="G1072" s="56">
        <v>0</v>
      </c>
      <c r="H1072" s="56">
        <v>0</v>
      </c>
      <c r="I1072" s="58">
        <v>0.23314699999999999</v>
      </c>
      <c r="J1072" s="57">
        <v>0.33529999999999999</v>
      </c>
      <c r="K1072" s="56"/>
      <c r="L1072" s="56" t="s">
        <v>488</v>
      </c>
    </row>
    <row r="1073" spans="2:12" x14ac:dyDescent="0.2">
      <c r="B1073" s="62" t="s">
        <v>4930</v>
      </c>
      <c r="C1073" s="61" t="s">
        <v>708</v>
      </c>
      <c r="D1073" s="60">
        <v>0.71036699999999997</v>
      </c>
      <c r="E1073" s="59">
        <v>7.7788199999999996</v>
      </c>
      <c r="F1073" s="59">
        <v>13.287380000000001</v>
      </c>
      <c r="G1073" s="56">
        <v>1702.15</v>
      </c>
      <c r="H1073" s="56">
        <v>2396.15</v>
      </c>
      <c r="I1073" s="58">
        <v>0.688245</v>
      </c>
      <c r="J1073" s="57">
        <v>0.99420200000000003</v>
      </c>
      <c r="K1073" s="56"/>
      <c r="L1073" s="56" t="s">
        <v>488</v>
      </c>
    </row>
    <row r="1074" spans="2:12" x14ac:dyDescent="0.2">
      <c r="B1074" s="62" t="s">
        <v>4929</v>
      </c>
      <c r="C1074" s="61" t="s">
        <v>550</v>
      </c>
      <c r="D1074" s="60">
        <v>0.94801199999999997</v>
      </c>
      <c r="E1074" s="59">
        <v>4.4081999999999999</v>
      </c>
      <c r="F1074" s="59">
        <v>6.0594599999999996</v>
      </c>
      <c r="G1074" s="56">
        <v>1532.08</v>
      </c>
      <c r="H1074" s="56">
        <v>1616.1</v>
      </c>
      <c r="I1074" s="58">
        <v>0.58830000000000005</v>
      </c>
      <c r="J1074" s="57">
        <v>0.65356700000000001</v>
      </c>
      <c r="K1074" s="56"/>
      <c r="L1074" s="56" t="s">
        <v>488</v>
      </c>
    </row>
    <row r="1075" spans="2:12" x14ac:dyDescent="0.2">
      <c r="B1075" s="62" t="s">
        <v>4928</v>
      </c>
      <c r="C1075" s="61" t="s">
        <v>502</v>
      </c>
      <c r="D1075" s="60">
        <v>1.2027399999999999</v>
      </c>
      <c r="E1075" s="59">
        <v>3.0203899999999999</v>
      </c>
      <c r="F1075" s="59">
        <v>5.8543700000000003</v>
      </c>
      <c r="G1075" s="56">
        <v>0</v>
      </c>
      <c r="H1075" s="56">
        <v>0</v>
      </c>
      <c r="I1075" s="58">
        <v>0.42914200000000002</v>
      </c>
      <c r="J1075" s="57">
        <v>0.46899999999999997</v>
      </c>
      <c r="K1075" s="56"/>
      <c r="L1075" s="56" t="s">
        <v>488</v>
      </c>
    </row>
    <row r="1076" spans="2:12" x14ac:dyDescent="0.2">
      <c r="B1076" s="62" t="s">
        <v>4927</v>
      </c>
      <c r="C1076" s="61" t="s">
        <v>502</v>
      </c>
      <c r="D1076" s="60">
        <v>0.86088900000000002</v>
      </c>
      <c r="E1076" s="59">
        <v>5.67239</v>
      </c>
      <c r="F1076" s="59">
        <v>8.8191600000000001</v>
      </c>
      <c r="G1076" s="56">
        <v>1937.85</v>
      </c>
      <c r="H1076" s="56">
        <v>2250.9899999999998</v>
      </c>
      <c r="I1076" s="58">
        <v>0.65378599999999998</v>
      </c>
      <c r="J1076" s="57">
        <v>0.80560900000000002</v>
      </c>
      <c r="K1076" s="56"/>
      <c r="L1076" s="56" t="s">
        <v>488</v>
      </c>
    </row>
    <row r="1077" spans="2:12" x14ac:dyDescent="0.2">
      <c r="B1077" s="62" t="s">
        <v>4926</v>
      </c>
      <c r="C1077" s="61" t="s">
        <v>495</v>
      </c>
      <c r="D1077" s="60">
        <v>1.6349800000000001</v>
      </c>
      <c r="E1077" s="59">
        <v>2.9975200000000002</v>
      </c>
      <c r="F1077" s="59">
        <v>3.8371900000000001</v>
      </c>
      <c r="G1077" s="56">
        <v>0</v>
      </c>
      <c r="H1077" s="56">
        <v>0</v>
      </c>
      <c r="I1077" s="58">
        <v>0.163243</v>
      </c>
      <c r="J1077" s="57">
        <v>0.21444099999999999</v>
      </c>
      <c r="K1077" s="56"/>
      <c r="L1077" s="56" t="s">
        <v>488</v>
      </c>
    </row>
    <row r="1078" spans="2:12" x14ac:dyDescent="0.2">
      <c r="B1078" s="62" t="s">
        <v>4925</v>
      </c>
      <c r="C1078" s="61" t="s">
        <v>531</v>
      </c>
      <c r="D1078" s="60">
        <v>0.96196300000000001</v>
      </c>
      <c r="E1078" s="59">
        <v>5.8721500000000004</v>
      </c>
      <c r="F1078" s="59">
        <v>8.1436100000000007</v>
      </c>
      <c r="G1078" s="56">
        <v>2306.66</v>
      </c>
      <c r="H1078" s="56">
        <v>2397.86</v>
      </c>
      <c r="I1078" s="58">
        <v>0.74343999999999999</v>
      </c>
      <c r="J1078" s="57">
        <v>0.71569799999999995</v>
      </c>
      <c r="K1078" s="56"/>
      <c r="L1078" s="56" t="s">
        <v>488</v>
      </c>
    </row>
    <row r="1079" spans="2:12" x14ac:dyDescent="0.2">
      <c r="B1079" s="62" t="s">
        <v>4924</v>
      </c>
      <c r="C1079" s="61" t="s">
        <v>550</v>
      </c>
      <c r="D1079" s="60">
        <v>1.12791</v>
      </c>
      <c r="E1079" s="59">
        <v>5.2809499999999998</v>
      </c>
      <c r="F1079" s="59">
        <v>6.1302700000000003</v>
      </c>
      <c r="G1079" s="56">
        <v>1106.52</v>
      </c>
      <c r="H1079" s="56">
        <v>981.03399999999999</v>
      </c>
      <c r="I1079" s="58">
        <v>0.53158899999999998</v>
      </c>
      <c r="J1079" s="57">
        <v>0.503278</v>
      </c>
      <c r="K1079" s="56"/>
      <c r="L1079" s="56" t="s">
        <v>488</v>
      </c>
    </row>
    <row r="1080" spans="2:12" x14ac:dyDescent="0.2">
      <c r="B1080" s="62" t="s">
        <v>4923</v>
      </c>
      <c r="C1080" s="61" t="s">
        <v>550</v>
      </c>
      <c r="D1080" s="60">
        <v>1.19679</v>
      </c>
      <c r="E1080" s="59">
        <v>5.69719</v>
      </c>
      <c r="F1080" s="59">
        <v>6.4664900000000003</v>
      </c>
      <c r="G1080" s="56">
        <v>597.15</v>
      </c>
      <c r="H1080" s="56">
        <v>498.96</v>
      </c>
      <c r="I1080" s="58">
        <v>0.41082099999999999</v>
      </c>
      <c r="J1080" s="57">
        <v>0.44092399999999998</v>
      </c>
      <c r="K1080" s="56"/>
      <c r="L1080" s="56" t="s">
        <v>488</v>
      </c>
    </row>
    <row r="1081" spans="2:12" x14ac:dyDescent="0.2">
      <c r="B1081" s="62" t="s">
        <v>4922</v>
      </c>
      <c r="C1081" s="61" t="s">
        <v>510</v>
      </c>
      <c r="D1081" s="60">
        <v>1.1423000000000001</v>
      </c>
      <c r="E1081" s="59">
        <v>5.8476900000000001</v>
      </c>
      <c r="F1081" s="59">
        <v>6.1355599999999999</v>
      </c>
      <c r="G1081" s="56">
        <v>557.29300000000001</v>
      </c>
      <c r="H1081" s="56">
        <v>487.87</v>
      </c>
      <c r="I1081" s="58">
        <v>0.42321599999999998</v>
      </c>
      <c r="J1081" s="57">
        <v>0.434699</v>
      </c>
      <c r="K1081" s="56"/>
      <c r="L1081" s="56" t="s">
        <v>488</v>
      </c>
    </row>
    <row r="1082" spans="2:12" x14ac:dyDescent="0.2">
      <c r="B1082" s="62" t="s">
        <v>4921</v>
      </c>
      <c r="C1082" s="61" t="s">
        <v>550</v>
      </c>
      <c r="D1082" s="60">
        <v>1.1502600000000001</v>
      </c>
      <c r="E1082" s="59">
        <v>4.1613300000000004</v>
      </c>
      <c r="F1082" s="59">
        <v>6.7410199999999998</v>
      </c>
      <c r="G1082" s="56">
        <v>1041.29</v>
      </c>
      <c r="H1082" s="56">
        <v>905.27099999999996</v>
      </c>
      <c r="I1082" s="58">
        <v>0.48477399999999998</v>
      </c>
      <c r="J1082" s="57">
        <v>0.47374699999999997</v>
      </c>
      <c r="K1082" s="56"/>
      <c r="L1082" s="56" t="s">
        <v>488</v>
      </c>
    </row>
    <row r="1083" spans="2:12" x14ac:dyDescent="0.2">
      <c r="B1083" s="62" t="s">
        <v>4920</v>
      </c>
      <c r="C1083" s="61" t="s">
        <v>510</v>
      </c>
      <c r="D1083" s="60">
        <v>1.2650600000000001</v>
      </c>
      <c r="E1083" s="59">
        <v>3.9919199999999999</v>
      </c>
      <c r="F1083" s="59">
        <v>4.9307299999999996</v>
      </c>
      <c r="G1083" s="56">
        <v>557.02099999999996</v>
      </c>
      <c r="H1083" s="56">
        <v>440.31299999999999</v>
      </c>
      <c r="I1083" s="58">
        <v>0.34561399999999998</v>
      </c>
      <c r="J1083" s="57">
        <v>0.38589499999999999</v>
      </c>
      <c r="K1083" s="56"/>
      <c r="L1083" s="56" t="s">
        <v>488</v>
      </c>
    </row>
    <row r="1084" spans="2:12" x14ac:dyDescent="0.2">
      <c r="B1084" s="62" t="s">
        <v>4919</v>
      </c>
      <c r="C1084" s="61" t="s">
        <v>495</v>
      </c>
      <c r="D1084" s="60">
        <v>1.0249900000000001</v>
      </c>
      <c r="E1084" s="59">
        <v>4.52996</v>
      </c>
      <c r="F1084" s="59">
        <v>6.0187299999999997</v>
      </c>
      <c r="G1084" s="56">
        <v>1209.24</v>
      </c>
      <c r="H1084" s="56">
        <v>1179.76</v>
      </c>
      <c r="I1084" s="58">
        <v>0.51391500000000001</v>
      </c>
      <c r="J1084" s="57">
        <v>0.55656399999999995</v>
      </c>
      <c r="K1084" s="56"/>
      <c r="L1084" s="56" t="s">
        <v>730</v>
      </c>
    </row>
    <row r="1085" spans="2:12" x14ac:dyDescent="0.2">
      <c r="B1085" s="62" t="s">
        <v>4918</v>
      </c>
      <c r="C1085" s="61" t="s">
        <v>550</v>
      </c>
      <c r="D1085" s="60">
        <v>1.8093300000000001</v>
      </c>
      <c r="E1085" s="59">
        <v>3.7523300000000002</v>
      </c>
      <c r="F1085" s="59">
        <v>5.2280899999999999</v>
      </c>
      <c r="G1085" s="56">
        <v>975.07600000000002</v>
      </c>
      <c r="H1085" s="56">
        <v>538.91700000000003</v>
      </c>
      <c r="I1085" s="58">
        <v>0.46502100000000002</v>
      </c>
      <c r="J1085" s="57">
        <v>0.31182900000000002</v>
      </c>
      <c r="K1085" s="56"/>
      <c r="L1085" s="56" t="s">
        <v>488</v>
      </c>
    </row>
    <row r="1086" spans="2:12" x14ac:dyDescent="0.2">
      <c r="B1086" s="62" t="s">
        <v>4917</v>
      </c>
      <c r="C1086" s="61" t="s">
        <v>502</v>
      </c>
      <c r="D1086" s="60">
        <v>0.93903999999999999</v>
      </c>
      <c r="E1086" s="59">
        <v>3.9295399999999998</v>
      </c>
      <c r="F1086" s="59">
        <v>9.5411699999999993</v>
      </c>
      <c r="G1086" s="56">
        <v>1049.8900000000001</v>
      </c>
      <c r="H1086" s="56">
        <v>1118.05</v>
      </c>
      <c r="I1086" s="58">
        <v>0.643737</v>
      </c>
      <c r="J1086" s="57">
        <v>0.669126</v>
      </c>
      <c r="K1086" s="56"/>
      <c r="L1086" s="56" t="s">
        <v>488</v>
      </c>
    </row>
    <row r="1087" spans="2:12" x14ac:dyDescent="0.2">
      <c r="B1087" s="62" t="s">
        <v>4916</v>
      </c>
      <c r="C1087" s="61" t="s">
        <v>502</v>
      </c>
      <c r="D1087" s="60">
        <v>0.939751</v>
      </c>
      <c r="E1087" s="59">
        <v>3.79759</v>
      </c>
      <c r="F1087" s="59">
        <v>9.5464400000000005</v>
      </c>
      <c r="G1087" s="56">
        <v>1005.99</v>
      </c>
      <c r="H1087" s="56">
        <v>1070.48</v>
      </c>
      <c r="I1087" s="58">
        <v>0.64399399999999996</v>
      </c>
      <c r="J1087" s="57">
        <v>0.66842000000000001</v>
      </c>
      <c r="K1087" s="56"/>
      <c r="L1087" s="56" t="s">
        <v>488</v>
      </c>
    </row>
    <row r="1088" spans="2:12" x14ac:dyDescent="0.2">
      <c r="B1088" s="62" t="s">
        <v>4915</v>
      </c>
      <c r="C1088" s="61" t="s">
        <v>502</v>
      </c>
      <c r="D1088" s="60">
        <v>1.2652699999999999</v>
      </c>
      <c r="E1088" s="59">
        <v>4.4976000000000003</v>
      </c>
      <c r="F1088" s="59">
        <v>5.4535099999999996</v>
      </c>
      <c r="G1088" s="56">
        <v>596.5</v>
      </c>
      <c r="H1088" s="56">
        <v>436.98500000000001</v>
      </c>
      <c r="I1088" s="58">
        <v>0.34368199999999999</v>
      </c>
      <c r="J1088" s="57">
        <v>0.41804799999999998</v>
      </c>
      <c r="K1088" s="56"/>
      <c r="L1088" s="56" t="s">
        <v>488</v>
      </c>
    </row>
    <row r="1089" spans="2:12" x14ac:dyDescent="0.2">
      <c r="B1089" s="62" t="s">
        <v>4914</v>
      </c>
      <c r="C1089" s="61" t="s">
        <v>502</v>
      </c>
      <c r="D1089" s="60">
        <v>1.36504</v>
      </c>
      <c r="E1089" s="59">
        <v>4.9131400000000003</v>
      </c>
      <c r="F1089" s="59">
        <v>6.2209099999999999</v>
      </c>
      <c r="G1089" s="56">
        <v>805.93799999999999</v>
      </c>
      <c r="H1089" s="56">
        <v>636.97</v>
      </c>
      <c r="I1089" s="58">
        <v>0.29455900000000002</v>
      </c>
      <c r="J1089" s="57">
        <v>0.36025699999999999</v>
      </c>
      <c r="K1089" s="56"/>
      <c r="L1089" s="56" t="s">
        <v>488</v>
      </c>
    </row>
    <row r="1090" spans="2:12" x14ac:dyDescent="0.2">
      <c r="B1090" s="62" t="s">
        <v>4913</v>
      </c>
      <c r="C1090" s="61" t="s">
        <v>708</v>
      </c>
      <c r="D1090" s="60">
        <v>1.0249200000000001</v>
      </c>
      <c r="E1090" s="59">
        <v>4.5824699999999998</v>
      </c>
      <c r="F1090" s="59">
        <v>11.224819999999999</v>
      </c>
      <c r="G1090" s="56">
        <v>1194.72</v>
      </c>
      <c r="H1090" s="56">
        <v>1165.67</v>
      </c>
      <c r="I1090" s="58">
        <v>0.642544</v>
      </c>
      <c r="J1090" s="57">
        <v>0.59691300000000003</v>
      </c>
      <c r="K1090" s="56"/>
      <c r="L1090" s="56" t="s">
        <v>488</v>
      </c>
    </row>
    <row r="1091" spans="2:12" x14ac:dyDescent="0.2">
      <c r="B1091" s="62" t="s">
        <v>4912</v>
      </c>
      <c r="C1091" s="61" t="s">
        <v>499</v>
      </c>
      <c r="D1091" s="60">
        <v>1.00292</v>
      </c>
      <c r="E1091" s="59">
        <v>4.4232399999999998</v>
      </c>
      <c r="F1091" s="59">
        <v>5.2709200000000003</v>
      </c>
      <c r="G1091" s="56">
        <v>1241.6099999999999</v>
      </c>
      <c r="H1091" s="56">
        <v>1238</v>
      </c>
      <c r="I1091" s="58">
        <v>0.56029600000000002</v>
      </c>
      <c r="J1091" s="57">
        <v>0.59750700000000001</v>
      </c>
      <c r="K1091" s="56"/>
      <c r="L1091" s="56" t="s">
        <v>488</v>
      </c>
    </row>
    <row r="1092" spans="2:12" x14ac:dyDescent="0.2">
      <c r="B1092" s="62" t="s">
        <v>4911</v>
      </c>
      <c r="C1092" s="61" t="s">
        <v>550</v>
      </c>
      <c r="D1092" s="60">
        <v>1.33256</v>
      </c>
      <c r="E1092" s="59">
        <v>3.1730100000000001</v>
      </c>
      <c r="F1092" s="59">
        <v>6.2154499999999997</v>
      </c>
      <c r="G1092" s="56">
        <v>0</v>
      </c>
      <c r="H1092" s="56">
        <v>0</v>
      </c>
      <c r="I1092" s="58">
        <v>0.42851</v>
      </c>
      <c r="J1092" s="57">
        <v>0.38756499999999999</v>
      </c>
      <c r="K1092" s="56"/>
      <c r="L1092" s="56" t="s">
        <v>488</v>
      </c>
    </row>
    <row r="1093" spans="2:12" x14ac:dyDescent="0.2">
      <c r="B1093" s="62" t="s">
        <v>4910</v>
      </c>
      <c r="C1093" s="61" t="s">
        <v>499</v>
      </c>
      <c r="D1093" s="60">
        <v>1.19882</v>
      </c>
      <c r="E1093" s="59">
        <v>2.8928099999999999</v>
      </c>
      <c r="F1093" s="59">
        <v>4.1224299999999996</v>
      </c>
      <c r="G1093" s="56">
        <v>0</v>
      </c>
      <c r="H1093" s="56">
        <v>0</v>
      </c>
      <c r="I1093" s="58">
        <v>0.22517599999999999</v>
      </c>
      <c r="J1093" s="57">
        <v>0.44281500000000001</v>
      </c>
      <c r="K1093" s="56"/>
      <c r="L1093" s="56" t="s">
        <v>624</v>
      </c>
    </row>
    <row r="1094" spans="2:12" x14ac:dyDescent="0.2">
      <c r="B1094" s="62" t="s">
        <v>4909</v>
      </c>
      <c r="C1094" s="61" t="s">
        <v>502</v>
      </c>
      <c r="D1094" s="60">
        <v>0.96172100000000005</v>
      </c>
      <c r="E1094" s="59">
        <v>2.7632099999999999</v>
      </c>
      <c r="F1094" s="59">
        <v>14.074400000000001</v>
      </c>
      <c r="G1094" s="56">
        <v>0</v>
      </c>
      <c r="H1094" s="56">
        <v>0</v>
      </c>
      <c r="I1094" s="58">
        <v>0.40040900000000001</v>
      </c>
      <c r="J1094" s="57">
        <v>0.54760699999999995</v>
      </c>
      <c r="K1094" s="56"/>
      <c r="L1094" s="56" t="s">
        <v>492</v>
      </c>
    </row>
    <row r="1095" spans="2:12" x14ac:dyDescent="0.2">
      <c r="B1095" s="62" t="s">
        <v>4908</v>
      </c>
      <c r="C1095" s="61" t="s">
        <v>502</v>
      </c>
      <c r="D1095" s="60">
        <v>0.96172100000000005</v>
      </c>
      <c r="E1095" s="59">
        <v>2.8140900000000002</v>
      </c>
      <c r="F1095" s="59">
        <v>14.18478</v>
      </c>
      <c r="G1095" s="56">
        <v>0</v>
      </c>
      <c r="H1095" s="56">
        <v>0</v>
      </c>
      <c r="I1095" s="58">
        <v>0.39627099999999998</v>
      </c>
      <c r="J1095" s="57">
        <v>0.54674100000000003</v>
      </c>
      <c r="K1095" s="56"/>
      <c r="L1095" s="56" t="s">
        <v>492</v>
      </c>
    </row>
    <row r="1096" spans="2:12" x14ac:dyDescent="0.2">
      <c r="B1096" s="62" t="s">
        <v>4907</v>
      </c>
      <c r="C1096" s="61" t="s">
        <v>4906</v>
      </c>
      <c r="D1096" s="60">
        <v>1.4120999999999999</v>
      </c>
      <c r="E1096" s="59">
        <v>4.0465</v>
      </c>
      <c r="F1096" s="59">
        <v>4.84612</v>
      </c>
      <c r="G1096" s="56">
        <v>502.28800000000001</v>
      </c>
      <c r="H1096" s="56">
        <v>355.70299999999997</v>
      </c>
      <c r="I1096" s="58">
        <v>0.35602200000000001</v>
      </c>
      <c r="J1096" s="57">
        <v>0.29347899999999999</v>
      </c>
      <c r="K1096" s="56"/>
      <c r="L1096" s="56" t="s">
        <v>488</v>
      </c>
    </row>
    <row r="1097" spans="2:12" x14ac:dyDescent="0.2">
      <c r="B1097" s="62" t="s">
        <v>4905</v>
      </c>
      <c r="C1097" s="61" t="s">
        <v>541</v>
      </c>
      <c r="D1097" s="60">
        <v>1.8827799999999999</v>
      </c>
      <c r="E1097" s="59">
        <v>3.2720799999999999</v>
      </c>
      <c r="F1097" s="59">
        <v>4.2110599999999998</v>
      </c>
      <c r="G1097" s="56">
        <v>0</v>
      </c>
      <c r="H1097" s="56">
        <v>0</v>
      </c>
      <c r="I1097" s="58">
        <v>0.21993599999999999</v>
      </c>
      <c r="J1097" s="57">
        <v>0.226664</v>
      </c>
      <c r="K1097" s="56"/>
      <c r="L1097" s="56" t="s">
        <v>488</v>
      </c>
    </row>
    <row r="1098" spans="2:12" x14ac:dyDescent="0.2">
      <c r="B1098" s="62" t="s">
        <v>4904</v>
      </c>
      <c r="C1098" s="61" t="s">
        <v>2162</v>
      </c>
      <c r="D1098" s="60">
        <v>1.46943</v>
      </c>
      <c r="E1098" s="59">
        <v>2.5562399999999998</v>
      </c>
      <c r="F1098" s="59">
        <v>3.6192199999999999</v>
      </c>
      <c r="G1098" s="56">
        <v>0</v>
      </c>
      <c r="H1098" s="56">
        <v>0</v>
      </c>
      <c r="I1098" s="58">
        <v>0.118727</v>
      </c>
      <c r="J1098" s="57">
        <v>0.27733200000000002</v>
      </c>
      <c r="K1098" s="56"/>
      <c r="L1098" s="56" t="s">
        <v>488</v>
      </c>
    </row>
    <row r="1099" spans="2:12" x14ac:dyDescent="0.2">
      <c r="B1099" s="62" t="s">
        <v>4903</v>
      </c>
      <c r="C1099" s="61" t="s">
        <v>625</v>
      </c>
      <c r="D1099" s="60">
        <v>1.2626900000000001</v>
      </c>
      <c r="E1099" s="59">
        <v>5.39086</v>
      </c>
      <c r="F1099" s="59">
        <v>6.8161199999999997</v>
      </c>
      <c r="G1099" s="56">
        <v>996.88900000000001</v>
      </c>
      <c r="H1099" s="56">
        <v>789.49699999999996</v>
      </c>
      <c r="I1099" s="58">
        <v>0.41336899999999999</v>
      </c>
      <c r="J1099" s="57">
        <v>0.432307</v>
      </c>
      <c r="K1099" s="56"/>
      <c r="L1099" s="56" t="s">
        <v>488</v>
      </c>
    </row>
    <row r="1100" spans="2:12" x14ac:dyDescent="0.2">
      <c r="B1100" s="62" t="s">
        <v>4902</v>
      </c>
      <c r="C1100" s="61" t="s">
        <v>510</v>
      </c>
      <c r="D1100" s="60">
        <v>0.84201700000000002</v>
      </c>
      <c r="E1100" s="59">
        <v>5.1677299999999997</v>
      </c>
      <c r="F1100" s="59">
        <v>6.8393699999999997</v>
      </c>
      <c r="G1100" s="56">
        <v>1918.84</v>
      </c>
      <c r="H1100" s="56">
        <v>2278.86</v>
      </c>
      <c r="I1100" s="58">
        <v>0.64097000000000004</v>
      </c>
      <c r="J1100" s="57">
        <v>0.76644199999999996</v>
      </c>
      <c r="K1100" s="56"/>
      <c r="L1100" s="56" t="s">
        <v>488</v>
      </c>
    </row>
    <row r="1101" spans="2:12" x14ac:dyDescent="0.2">
      <c r="B1101" s="62" t="s">
        <v>4901</v>
      </c>
      <c r="C1101" s="61" t="s">
        <v>499</v>
      </c>
      <c r="D1101" s="60">
        <v>1.4652400000000001</v>
      </c>
      <c r="E1101" s="59">
        <v>6.8934300000000004</v>
      </c>
      <c r="F1101" s="59">
        <v>7.3823299999999996</v>
      </c>
      <c r="G1101" s="56">
        <v>1282.77</v>
      </c>
      <c r="H1101" s="56">
        <v>875.47199999999998</v>
      </c>
      <c r="I1101" s="58">
        <v>0.51757399999999998</v>
      </c>
      <c r="J1101" s="57">
        <v>0.38366499999999998</v>
      </c>
      <c r="K1101" s="56"/>
      <c r="L1101" s="56" t="s">
        <v>488</v>
      </c>
    </row>
    <row r="1102" spans="2:12" x14ac:dyDescent="0.2">
      <c r="B1102" s="62" t="s">
        <v>4900</v>
      </c>
      <c r="C1102" s="61" t="s">
        <v>1211</v>
      </c>
      <c r="D1102" s="60">
        <v>0.93953600000000004</v>
      </c>
      <c r="E1102" s="59">
        <v>5.7363400000000002</v>
      </c>
      <c r="F1102" s="59">
        <v>6.1277200000000001</v>
      </c>
      <c r="G1102" s="56">
        <v>654.06700000000001</v>
      </c>
      <c r="H1102" s="56">
        <v>696.15899999999999</v>
      </c>
      <c r="I1102" s="58">
        <v>0.54371199999999997</v>
      </c>
      <c r="J1102" s="57">
        <v>0.63185000000000002</v>
      </c>
      <c r="K1102" s="56"/>
      <c r="L1102" s="56" t="s">
        <v>488</v>
      </c>
    </row>
    <row r="1103" spans="2:12" x14ac:dyDescent="0.2">
      <c r="B1103" s="62" t="s">
        <v>4899</v>
      </c>
      <c r="C1103" s="61" t="s">
        <v>1211</v>
      </c>
      <c r="D1103" s="60">
        <v>0.78980499999999998</v>
      </c>
      <c r="E1103" s="59">
        <v>5.0548999999999999</v>
      </c>
      <c r="F1103" s="59">
        <v>5.4292800000000003</v>
      </c>
      <c r="G1103" s="56">
        <v>1656.88</v>
      </c>
      <c r="H1103" s="56">
        <v>2097.83</v>
      </c>
      <c r="I1103" s="58">
        <v>0.64115699999999998</v>
      </c>
      <c r="J1103" s="57">
        <v>0.831704</v>
      </c>
      <c r="K1103" s="56"/>
      <c r="L1103" s="56" t="s">
        <v>488</v>
      </c>
    </row>
    <row r="1104" spans="2:12" x14ac:dyDescent="0.2">
      <c r="B1104" s="62" t="s">
        <v>4898</v>
      </c>
      <c r="C1104" s="61" t="s">
        <v>499</v>
      </c>
      <c r="D1104" s="60">
        <v>0.46505600000000002</v>
      </c>
      <c r="E1104" s="59">
        <v>12.70856</v>
      </c>
      <c r="F1104" s="59">
        <v>15.833259999999999</v>
      </c>
      <c r="G1104" s="56">
        <v>1872.38</v>
      </c>
      <c r="H1104" s="56">
        <v>4026.15</v>
      </c>
      <c r="I1104" s="58">
        <v>0.84117699999999995</v>
      </c>
      <c r="J1104" s="57">
        <v>1.77153</v>
      </c>
      <c r="K1104" s="56"/>
      <c r="L1104" s="56" t="s">
        <v>488</v>
      </c>
    </row>
    <row r="1105" spans="2:12" x14ac:dyDescent="0.2">
      <c r="B1105" s="62" t="s">
        <v>4897</v>
      </c>
      <c r="C1105" s="61" t="s">
        <v>3118</v>
      </c>
      <c r="D1105" s="60">
        <v>1.5287500000000001</v>
      </c>
      <c r="E1105" s="59">
        <v>3.1423999999999999</v>
      </c>
      <c r="F1105" s="59">
        <v>7.2202000000000002</v>
      </c>
      <c r="G1105" s="56">
        <v>0</v>
      </c>
      <c r="H1105" s="56">
        <v>0</v>
      </c>
      <c r="I1105" s="58">
        <v>0.32251099999999999</v>
      </c>
      <c r="J1105" s="57">
        <v>0.32187900000000003</v>
      </c>
      <c r="K1105" s="56"/>
      <c r="L1105" s="56" t="s">
        <v>488</v>
      </c>
    </row>
    <row r="1106" spans="2:12" x14ac:dyDescent="0.2">
      <c r="B1106" s="62" t="s">
        <v>4896</v>
      </c>
      <c r="C1106" s="61" t="s">
        <v>4895</v>
      </c>
      <c r="D1106" s="60">
        <v>1.51627</v>
      </c>
      <c r="E1106" s="59">
        <v>3.2042099999999998</v>
      </c>
      <c r="F1106" s="59">
        <v>7.3127899999999997</v>
      </c>
      <c r="G1106" s="56">
        <v>0</v>
      </c>
      <c r="H1106" s="56">
        <v>0</v>
      </c>
      <c r="I1106" s="58">
        <v>0.32919500000000002</v>
      </c>
      <c r="J1106" s="57">
        <v>0.328654</v>
      </c>
      <c r="K1106" s="56"/>
      <c r="L1106" s="56" t="s">
        <v>488</v>
      </c>
    </row>
    <row r="1107" spans="2:12" x14ac:dyDescent="0.2">
      <c r="B1107" s="62" t="s">
        <v>4894</v>
      </c>
      <c r="C1107" s="61" t="s">
        <v>510</v>
      </c>
      <c r="D1107" s="60">
        <v>0.84337799999999996</v>
      </c>
      <c r="E1107" s="59">
        <v>6.7070499999999997</v>
      </c>
      <c r="F1107" s="59">
        <v>8.5624800000000008</v>
      </c>
      <c r="G1107" s="56">
        <v>1768.57</v>
      </c>
      <c r="H1107" s="56">
        <v>2097.0100000000002</v>
      </c>
      <c r="I1107" s="58">
        <v>0.62758199999999997</v>
      </c>
      <c r="J1107" s="57">
        <v>0.76761999999999997</v>
      </c>
      <c r="K1107" s="56"/>
      <c r="L1107" s="56" t="s">
        <v>488</v>
      </c>
    </row>
    <row r="1108" spans="2:12" x14ac:dyDescent="0.2">
      <c r="B1108" s="62" t="s">
        <v>4893</v>
      </c>
      <c r="C1108" s="61" t="s">
        <v>708</v>
      </c>
      <c r="D1108" s="60">
        <v>1.36171</v>
      </c>
      <c r="E1108" s="59">
        <v>2.47987</v>
      </c>
      <c r="F1108" s="59">
        <v>3.95851</v>
      </c>
      <c r="G1108" s="56">
        <v>0</v>
      </c>
      <c r="H1108" s="56">
        <v>0</v>
      </c>
      <c r="I1108" s="58">
        <v>0.26613999999999999</v>
      </c>
      <c r="J1108" s="57">
        <v>0.36876799999999998</v>
      </c>
      <c r="K1108" s="56"/>
      <c r="L1108" s="56" t="s">
        <v>488</v>
      </c>
    </row>
    <row r="1109" spans="2:12" x14ac:dyDescent="0.2">
      <c r="B1109" s="62" t="s">
        <v>4892</v>
      </c>
      <c r="C1109" s="61" t="s">
        <v>495</v>
      </c>
      <c r="D1109" s="60">
        <v>0.75340399999999996</v>
      </c>
      <c r="E1109" s="59">
        <v>8.4073899999999995</v>
      </c>
      <c r="F1109" s="59">
        <v>9.3514300000000006</v>
      </c>
      <c r="G1109" s="56">
        <v>1483.67</v>
      </c>
      <c r="H1109" s="56">
        <v>1969.29</v>
      </c>
      <c r="I1109" s="58">
        <v>0.64585000000000004</v>
      </c>
      <c r="J1109" s="57">
        <v>0.87794300000000003</v>
      </c>
      <c r="K1109" s="56"/>
      <c r="L1109" s="56" t="s">
        <v>488</v>
      </c>
    </row>
    <row r="1110" spans="2:12" x14ac:dyDescent="0.2">
      <c r="B1110" s="62" t="s">
        <v>4891</v>
      </c>
      <c r="C1110" s="61" t="s">
        <v>550</v>
      </c>
      <c r="D1110" s="60">
        <v>0.87964900000000001</v>
      </c>
      <c r="E1110" s="59">
        <v>8.0330499999999994</v>
      </c>
      <c r="F1110" s="59">
        <v>9.1279500000000002</v>
      </c>
      <c r="G1110" s="56">
        <v>1448.98</v>
      </c>
      <c r="H1110" s="56">
        <v>1647.22</v>
      </c>
      <c r="I1110" s="58">
        <v>0.62868900000000005</v>
      </c>
      <c r="J1110" s="57">
        <v>0.75244200000000006</v>
      </c>
      <c r="K1110" s="56"/>
      <c r="L1110" s="56" t="s">
        <v>488</v>
      </c>
    </row>
    <row r="1111" spans="2:12" x14ac:dyDescent="0.2">
      <c r="B1111" s="62" t="s">
        <v>4890</v>
      </c>
      <c r="C1111" s="61" t="s">
        <v>495</v>
      </c>
      <c r="D1111" s="60">
        <v>0.75690900000000005</v>
      </c>
      <c r="E1111" s="59">
        <v>7.6757</v>
      </c>
      <c r="F1111" s="59">
        <v>8.5218299999999996</v>
      </c>
      <c r="G1111" s="56">
        <v>1592.12</v>
      </c>
      <c r="H1111" s="56">
        <v>2103.44</v>
      </c>
      <c r="I1111" s="58">
        <v>0.63568999999999998</v>
      </c>
      <c r="J1111" s="57">
        <v>0.87314400000000003</v>
      </c>
      <c r="K1111" s="56"/>
      <c r="L1111" s="56" t="s">
        <v>488</v>
      </c>
    </row>
    <row r="1112" spans="2:12" x14ac:dyDescent="0.2">
      <c r="B1112" s="62" t="s">
        <v>4889</v>
      </c>
      <c r="C1112" s="61" t="s">
        <v>510</v>
      </c>
      <c r="D1112" s="60">
        <v>0.44719300000000001</v>
      </c>
      <c r="E1112" s="59">
        <v>9.4914299999999994</v>
      </c>
      <c r="F1112" s="59">
        <v>16.1525</v>
      </c>
      <c r="G1112" s="56">
        <v>2110.17</v>
      </c>
      <c r="H1112" s="56">
        <v>4718.7</v>
      </c>
      <c r="I1112" s="58">
        <v>0.83116900000000005</v>
      </c>
      <c r="J1112" s="57">
        <v>1.7983</v>
      </c>
      <c r="K1112" s="56" t="s">
        <v>698</v>
      </c>
      <c r="L1112" s="56" t="s">
        <v>563</v>
      </c>
    </row>
    <row r="1113" spans="2:12" x14ac:dyDescent="0.2">
      <c r="B1113" s="62" t="s">
        <v>4888</v>
      </c>
      <c r="C1113" s="61" t="s">
        <v>531</v>
      </c>
      <c r="D1113" s="60">
        <v>1.57301</v>
      </c>
      <c r="E1113" s="59">
        <v>2.6034600000000001</v>
      </c>
      <c r="F1113" s="59">
        <v>3.7970100000000002</v>
      </c>
      <c r="G1113" s="56">
        <v>0</v>
      </c>
      <c r="H1113" s="56">
        <v>0</v>
      </c>
      <c r="I1113" s="58">
        <v>0.11142299999999999</v>
      </c>
      <c r="J1113" s="57">
        <v>0.26049800000000001</v>
      </c>
      <c r="K1113" s="56"/>
      <c r="L1113" s="56" t="s">
        <v>488</v>
      </c>
    </row>
    <row r="1114" spans="2:12" x14ac:dyDescent="0.2">
      <c r="B1114" s="62" t="s">
        <v>4887</v>
      </c>
      <c r="C1114" s="61" t="s">
        <v>875</v>
      </c>
      <c r="D1114" s="60">
        <v>1.96255</v>
      </c>
      <c r="E1114" s="59">
        <v>3.1618499999999998</v>
      </c>
      <c r="F1114" s="59">
        <v>5.0006700000000004</v>
      </c>
      <c r="G1114" s="56">
        <v>0</v>
      </c>
      <c r="H1114" s="56">
        <v>0</v>
      </c>
      <c r="I1114" s="58">
        <v>0.111585</v>
      </c>
      <c r="J1114" s="57">
        <v>0.17188400000000001</v>
      </c>
      <c r="K1114" s="56"/>
      <c r="L1114" s="56" t="s">
        <v>488</v>
      </c>
    </row>
    <row r="1115" spans="2:12" x14ac:dyDescent="0.2">
      <c r="B1115" s="62" t="s">
        <v>4886</v>
      </c>
      <c r="C1115" s="61" t="s">
        <v>1192</v>
      </c>
      <c r="D1115" s="60">
        <v>1.9776499999999999</v>
      </c>
      <c r="E1115" s="59">
        <v>3.13693</v>
      </c>
      <c r="F1115" s="59">
        <v>5.0787000000000004</v>
      </c>
      <c r="G1115" s="56">
        <v>0</v>
      </c>
      <c r="H1115" s="56">
        <v>0</v>
      </c>
      <c r="I1115" s="58">
        <v>0.11766500000000001</v>
      </c>
      <c r="J1115" s="57">
        <v>0.17158399999999999</v>
      </c>
      <c r="K1115" s="56"/>
      <c r="L1115" s="56" t="s">
        <v>488</v>
      </c>
    </row>
    <row r="1116" spans="2:12" x14ac:dyDescent="0.2">
      <c r="B1116" s="62" t="s">
        <v>4885</v>
      </c>
      <c r="C1116" s="61" t="s">
        <v>1100</v>
      </c>
      <c r="D1116" s="60">
        <v>2.00441</v>
      </c>
      <c r="E1116" s="59">
        <v>3.0704199999999999</v>
      </c>
      <c r="F1116" s="59">
        <v>5.0566899999999997</v>
      </c>
      <c r="G1116" s="56">
        <v>0</v>
      </c>
      <c r="H1116" s="56">
        <v>0</v>
      </c>
      <c r="I1116" s="58">
        <v>0.119134</v>
      </c>
      <c r="J1116" s="57">
        <v>0.16872999999999999</v>
      </c>
      <c r="K1116" s="56"/>
      <c r="L1116" s="56" t="s">
        <v>488</v>
      </c>
    </row>
    <row r="1117" spans="2:12" x14ac:dyDescent="0.2">
      <c r="B1117" s="62" t="s">
        <v>4884</v>
      </c>
      <c r="C1117" s="61" t="s">
        <v>1192</v>
      </c>
      <c r="D1117" s="60">
        <v>1.39374</v>
      </c>
      <c r="E1117" s="59">
        <v>4.5202999999999998</v>
      </c>
      <c r="F1117" s="59">
        <v>6.6575600000000001</v>
      </c>
      <c r="G1117" s="56">
        <v>1462.42</v>
      </c>
      <c r="H1117" s="56">
        <v>1049.28</v>
      </c>
      <c r="I1117" s="58">
        <v>0.491977</v>
      </c>
      <c r="J1117" s="57">
        <v>0.42382599999999998</v>
      </c>
      <c r="K1117" s="56"/>
      <c r="L1117" s="56" t="s">
        <v>488</v>
      </c>
    </row>
    <row r="1118" spans="2:12" x14ac:dyDescent="0.2">
      <c r="B1118" s="62" t="s">
        <v>4883</v>
      </c>
      <c r="C1118" s="61" t="s">
        <v>1192</v>
      </c>
      <c r="D1118" s="60">
        <v>1.5969899999999999</v>
      </c>
      <c r="E1118" s="59">
        <v>3.3788399999999998</v>
      </c>
      <c r="F1118" s="59">
        <v>5.5528300000000002</v>
      </c>
      <c r="G1118" s="56">
        <v>0</v>
      </c>
      <c r="H1118" s="56">
        <v>0</v>
      </c>
      <c r="I1118" s="58">
        <v>0.42202200000000001</v>
      </c>
      <c r="J1118" s="57">
        <v>0.33337800000000001</v>
      </c>
      <c r="K1118" s="56"/>
      <c r="L1118" s="56" t="s">
        <v>488</v>
      </c>
    </row>
    <row r="1119" spans="2:12" x14ac:dyDescent="0.2">
      <c r="B1119" s="62" t="s">
        <v>4882</v>
      </c>
      <c r="C1119" s="61" t="s">
        <v>1192</v>
      </c>
      <c r="D1119" s="60">
        <v>1.5825</v>
      </c>
      <c r="E1119" s="59">
        <v>3.3189199999999999</v>
      </c>
      <c r="F1119" s="59">
        <v>5.4602599999999999</v>
      </c>
      <c r="G1119" s="56">
        <v>0</v>
      </c>
      <c r="H1119" s="56">
        <v>0</v>
      </c>
      <c r="I1119" s="58">
        <v>0.43200499999999997</v>
      </c>
      <c r="J1119" s="57">
        <v>0.33989399999999997</v>
      </c>
      <c r="K1119" s="56"/>
      <c r="L1119" s="56" t="s">
        <v>488</v>
      </c>
    </row>
    <row r="1120" spans="2:12" x14ac:dyDescent="0.2">
      <c r="B1120" s="62" t="s">
        <v>4881</v>
      </c>
      <c r="C1120" s="61" t="s">
        <v>550</v>
      </c>
      <c r="D1120" s="60">
        <v>1.1744000000000001</v>
      </c>
      <c r="E1120" s="59">
        <v>4.9929100000000002</v>
      </c>
      <c r="F1120" s="59">
        <v>6.2906700000000004</v>
      </c>
      <c r="G1120" s="56">
        <v>1167.97</v>
      </c>
      <c r="H1120" s="56">
        <v>994.52599999999995</v>
      </c>
      <c r="I1120" s="58">
        <v>0.53200599999999998</v>
      </c>
      <c r="J1120" s="57">
        <v>0.50101799999999996</v>
      </c>
      <c r="K1120" s="56"/>
      <c r="L1120" s="56" t="s">
        <v>488</v>
      </c>
    </row>
    <row r="1121" spans="2:12" x14ac:dyDescent="0.2">
      <c r="B1121" s="62" t="s">
        <v>4880</v>
      </c>
      <c r="C1121" s="61" t="s">
        <v>550</v>
      </c>
      <c r="D1121" s="60">
        <v>1.39093</v>
      </c>
      <c r="E1121" s="59">
        <v>4.8327799999999996</v>
      </c>
      <c r="F1121" s="59">
        <v>5.4732700000000003</v>
      </c>
      <c r="G1121" s="56">
        <v>460.27600000000001</v>
      </c>
      <c r="H1121" s="56">
        <v>330.91199999999998</v>
      </c>
      <c r="I1121" s="58">
        <v>0.24435699999999999</v>
      </c>
      <c r="J1121" s="57">
        <v>0.33969700000000003</v>
      </c>
      <c r="K1121" s="56"/>
      <c r="L1121" s="56" t="s">
        <v>488</v>
      </c>
    </row>
    <row r="1122" spans="2:12" x14ac:dyDescent="0.2">
      <c r="B1122" s="62" t="s">
        <v>4879</v>
      </c>
      <c r="C1122" s="61" t="s">
        <v>3451</v>
      </c>
      <c r="D1122" s="60">
        <v>1.5084200000000001</v>
      </c>
      <c r="E1122" s="59">
        <v>4.0339</v>
      </c>
      <c r="F1122" s="59">
        <v>5.2136199999999997</v>
      </c>
      <c r="G1122" s="56">
        <v>734.74699999999996</v>
      </c>
      <c r="H1122" s="56">
        <v>487.096</v>
      </c>
      <c r="I1122" s="58">
        <v>0.31631599999999999</v>
      </c>
      <c r="J1122" s="57">
        <v>0.34838200000000002</v>
      </c>
      <c r="K1122" s="56"/>
      <c r="L1122" s="56" t="s">
        <v>488</v>
      </c>
    </row>
    <row r="1123" spans="2:12" x14ac:dyDescent="0.2">
      <c r="B1123" s="62" t="s">
        <v>4878</v>
      </c>
      <c r="C1123" s="61" t="s">
        <v>499</v>
      </c>
      <c r="D1123" s="60">
        <v>1.00698</v>
      </c>
      <c r="E1123" s="59">
        <v>8.1658100000000005</v>
      </c>
      <c r="F1123" s="59">
        <v>9.5029599999999999</v>
      </c>
      <c r="G1123" s="56">
        <v>1124.69</v>
      </c>
      <c r="H1123" s="56">
        <v>1116.8900000000001</v>
      </c>
      <c r="I1123" s="58">
        <v>0.46657700000000002</v>
      </c>
      <c r="J1123" s="57">
        <v>0.57958100000000001</v>
      </c>
      <c r="K1123" s="56"/>
      <c r="L1123" s="56" t="s">
        <v>488</v>
      </c>
    </row>
    <row r="1124" spans="2:12" x14ac:dyDescent="0.2">
      <c r="B1124" s="62" t="s">
        <v>4877</v>
      </c>
      <c r="C1124" s="61" t="s">
        <v>499</v>
      </c>
      <c r="D1124" s="60">
        <v>0.99575999999999998</v>
      </c>
      <c r="E1124" s="59">
        <v>8.59361</v>
      </c>
      <c r="F1124" s="59">
        <v>9.8208099999999998</v>
      </c>
      <c r="G1124" s="56">
        <v>1122.75</v>
      </c>
      <c r="H1124" s="56">
        <v>1127.54</v>
      </c>
      <c r="I1124" s="58">
        <v>0.47037600000000002</v>
      </c>
      <c r="J1124" s="57">
        <v>0.58828899999999995</v>
      </c>
      <c r="K1124" s="56"/>
      <c r="L1124" s="56" t="s">
        <v>488</v>
      </c>
    </row>
    <row r="1125" spans="2:12" x14ac:dyDescent="0.2">
      <c r="B1125" s="62" t="s">
        <v>4876</v>
      </c>
      <c r="C1125" s="61" t="s">
        <v>550</v>
      </c>
      <c r="D1125" s="60">
        <v>1.03027</v>
      </c>
      <c r="E1125" s="59">
        <v>4.3324699999999998</v>
      </c>
      <c r="F1125" s="59">
        <v>7.3447800000000001</v>
      </c>
      <c r="G1125" s="56">
        <v>1621.74</v>
      </c>
      <c r="H1125" s="56">
        <v>1574.09</v>
      </c>
      <c r="I1125" s="58">
        <v>0.63126899999999997</v>
      </c>
      <c r="J1125" s="57">
        <v>0.59565299999999999</v>
      </c>
      <c r="K1125" s="56"/>
      <c r="L1125" s="56" t="s">
        <v>488</v>
      </c>
    </row>
    <row r="1126" spans="2:12" x14ac:dyDescent="0.2">
      <c r="B1126" s="62" t="s">
        <v>4875</v>
      </c>
      <c r="C1126" s="61" t="s">
        <v>550</v>
      </c>
      <c r="D1126" s="60">
        <v>1.02549</v>
      </c>
      <c r="E1126" s="59">
        <v>4.1577400000000004</v>
      </c>
      <c r="F1126" s="59">
        <v>7.6073300000000001</v>
      </c>
      <c r="G1126" s="56">
        <v>1785.06</v>
      </c>
      <c r="H1126" s="56">
        <v>1740.69</v>
      </c>
      <c r="I1126" s="58">
        <v>0.64752299999999996</v>
      </c>
      <c r="J1126" s="57">
        <v>0.60488699999999995</v>
      </c>
      <c r="K1126" s="56"/>
      <c r="L1126" s="56" t="s">
        <v>488</v>
      </c>
    </row>
    <row r="1127" spans="2:12" x14ac:dyDescent="0.2">
      <c r="B1127" s="62" t="s">
        <v>4874</v>
      </c>
      <c r="C1127" s="61" t="s">
        <v>502</v>
      </c>
      <c r="D1127" s="60">
        <v>0.98344699999999996</v>
      </c>
      <c r="E1127" s="59">
        <v>4.0217099999999997</v>
      </c>
      <c r="F1127" s="59">
        <v>7.0747</v>
      </c>
      <c r="G1127" s="56">
        <v>1544.58</v>
      </c>
      <c r="H1127" s="56">
        <v>1570.58</v>
      </c>
      <c r="I1127" s="58">
        <v>0.62914000000000003</v>
      </c>
      <c r="J1127" s="57">
        <v>0.60633300000000001</v>
      </c>
      <c r="K1127" s="56"/>
      <c r="L1127" s="56" t="s">
        <v>488</v>
      </c>
    </row>
    <row r="1128" spans="2:12" x14ac:dyDescent="0.2">
      <c r="B1128" s="62" t="s">
        <v>4873</v>
      </c>
      <c r="C1128" s="61" t="s">
        <v>510</v>
      </c>
      <c r="D1128" s="60">
        <v>0.96197900000000003</v>
      </c>
      <c r="E1128" s="59">
        <v>3.9819800000000001</v>
      </c>
      <c r="F1128" s="59">
        <v>7.1812699999999996</v>
      </c>
      <c r="G1128" s="56">
        <v>1606.24</v>
      </c>
      <c r="H1128" s="56">
        <v>1669.73</v>
      </c>
      <c r="I1128" s="58">
        <v>0.62934800000000002</v>
      </c>
      <c r="J1128" s="57">
        <v>0.62061200000000005</v>
      </c>
      <c r="K1128" s="56"/>
      <c r="L1128" s="56" t="s">
        <v>488</v>
      </c>
    </row>
    <row r="1129" spans="2:12" x14ac:dyDescent="0.2">
      <c r="B1129" s="62" t="s">
        <v>4872</v>
      </c>
      <c r="C1129" s="61" t="s">
        <v>502</v>
      </c>
      <c r="D1129" s="60">
        <v>1.5824400000000001</v>
      </c>
      <c r="E1129" s="59">
        <v>2.4041199999999998</v>
      </c>
      <c r="F1129" s="59">
        <v>2.4701599999999999</v>
      </c>
      <c r="G1129" s="56">
        <v>0</v>
      </c>
      <c r="H1129" s="56">
        <v>0</v>
      </c>
      <c r="I1129" s="58">
        <v>1.71788E-3</v>
      </c>
      <c r="J1129" s="57">
        <v>0.18407999999999999</v>
      </c>
      <c r="K1129" s="56"/>
      <c r="L1129" s="56" t="s">
        <v>488</v>
      </c>
    </row>
    <row r="1130" spans="2:12" x14ac:dyDescent="0.2">
      <c r="B1130" s="62" t="s">
        <v>4871</v>
      </c>
      <c r="C1130" s="61" t="s">
        <v>502</v>
      </c>
      <c r="D1130" s="60">
        <v>1.5835699999999999</v>
      </c>
      <c r="E1130" s="59">
        <v>2.45635</v>
      </c>
      <c r="F1130" s="59">
        <v>2.5325600000000001</v>
      </c>
      <c r="G1130" s="56">
        <v>0</v>
      </c>
      <c r="H1130" s="56">
        <v>0</v>
      </c>
      <c r="I1130" s="58">
        <v>1.11257E-3</v>
      </c>
      <c r="J1130" s="57">
        <v>0.18900500000000001</v>
      </c>
      <c r="K1130" s="56"/>
      <c r="L1130" s="56" t="s">
        <v>488</v>
      </c>
    </row>
    <row r="1131" spans="2:12" x14ac:dyDescent="0.2">
      <c r="B1131" s="62" t="s">
        <v>4870</v>
      </c>
      <c r="C1131" s="61" t="s">
        <v>550</v>
      </c>
      <c r="D1131" s="60">
        <v>1.4415100000000001</v>
      </c>
      <c r="E1131" s="59">
        <v>3.6469100000000001</v>
      </c>
      <c r="F1131" s="59">
        <v>5.3555400000000004</v>
      </c>
      <c r="G1131" s="56">
        <v>0</v>
      </c>
      <c r="H1131" s="56">
        <v>0</v>
      </c>
      <c r="I1131" s="58">
        <v>0.446633</v>
      </c>
      <c r="J1131" s="57">
        <v>0.38041799999999998</v>
      </c>
      <c r="K1131" s="56"/>
      <c r="L1131" s="56" t="s">
        <v>488</v>
      </c>
    </row>
    <row r="1132" spans="2:12" x14ac:dyDescent="0.2">
      <c r="B1132" s="62" t="s">
        <v>4869</v>
      </c>
      <c r="C1132" s="61" t="s">
        <v>495</v>
      </c>
      <c r="D1132" s="60">
        <v>1.2220299999999999</v>
      </c>
      <c r="E1132" s="59">
        <v>3.7119599999999999</v>
      </c>
      <c r="F1132" s="59">
        <v>5.3049600000000003</v>
      </c>
      <c r="G1132" s="56">
        <v>0</v>
      </c>
      <c r="H1132" s="56">
        <v>0</v>
      </c>
      <c r="I1132" s="58">
        <v>0.439884</v>
      </c>
      <c r="J1132" s="57">
        <v>0.43364599999999998</v>
      </c>
      <c r="K1132" s="56"/>
      <c r="L1132" s="56" t="s">
        <v>488</v>
      </c>
    </row>
    <row r="1133" spans="2:12" x14ac:dyDescent="0.2">
      <c r="B1133" s="62" t="s">
        <v>4868</v>
      </c>
      <c r="C1133" s="61" t="s">
        <v>499</v>
      </c>
      <c r="D1133" s="60">
        <v>1.4660599999999999</v>
      </c>
      <c r="E1133" s="59">
        <v>3.2109299999999998</v>
      </c>
      <c r="F1133" s="59">
        <v>4.2818699999999996</v>
      </c>
      <c r="G1133" s="56">
        <v>0</v>
      </c>
      <c r="H1133" s="56">
        <v>0</v>
      </c>
      <c r="I1133" s="58">
        <v>0.24307899999999999</v>
      </c>
      <c r="J1133" s="57">
        <v>0.31181500000000001</v>
      </c>
      <c r="K1133" s="56"/>
      <c r="L1133" s="56" t="s">
        <v>488</v>
      </c>
    </row>
    <row r="1134" spans="2:12" x14ac:dyDescent="0.2">
      <c r="B1134" s="62" t="s">
        <v>4867</v>
      </c>
      <c r="C1134" s="61" t="s">
        <v>541</v>
      </c>
      <c r="D1134" s="60">
        <v>1.84395</v>
      </c>
      <c r="E1134" s="59">
        <v>3.3718400000000002</v>
      </c>
      <c r="F1134" s="59">
        <v>4.2851699999999999</v>
      </c>
      <c r="G1134" s="56">
        <v>0</v>
      </c>
      <c r="H1134" s="56">
        <v>0</v>
      </c>
      <c r="I1134" s="58">
        <v>0.226655</v>
      </c>
      <c r="J1134" s="57">
        <v>0.23660100000000001</v>
      </c>
      <c r="K1134" s="56"/>
      <c r="L1134" s="56" t="s">
        <v>488</v>
      </c>
    </row>
    <row r="1135" spans="2:12" x14ac:dyDescent="0.2">
      <c r="B1135" s="62" t="s">
        <v>4866</v>
      </c>
      <c r="C1135" s="61" t="s">
        <v>499</v>
      </c>
      <c r="D1135" s="60">
        <v>1.3113699999999999</v>
      </c>
      <c r="E1135" s="59">
        <v>6.5512300000000003</v>
      </c>
      <c r="F1135" s="59">
        <v>9.1231600000000004</v>
      </c>
      <c r="G1135" s="56">
        <v>1574.31</v>
      </c>
      <c r="H1135" s="56">
        <v>1200.51</v>
      </c>
      <c r="I1135" s="58">
        <v>0.56598499999999996</v>
      </c>
      <c r="J1135" s="57">
        <v>0.489838</v>
      </c>
      <c r="K1135" s="56"/>
      <c r="L1135" s="56" t="s">
        <v>488</v>
      </c>
    </row>
    <row r="1136" spans="2:12" x14ac:dyDescent="0.2">
      <c r="B1136" s="62" t="s">
        <v>4865</v>
      </c>
      <c r="C1136" s="61" t="s">
        <v>499</v>
      </c>
      <c r="D1136" s="60">
        <v>1.3138000000000001</v>
      </c>
      <c r="E1136" s="59">
        <v>6.0391700000000004</v>
      </c>
      <c r="F1136" s="59">
        <v>8.9613399999999999</v>
      </c>
      <c r="G1136" s="56">
        <v>1593.32</v>
      </c>
      <c r="H1136" s="56">
        <v>1212.76</v>
      </c>
      <c r="I1136" s="58">
        <v>0.56605899999999998</v>
      </c>
      <c r="J1136" s="57">
        <v>0.48875099999999999</v>
      </c>
      <c r="K1136" s="56"/>
      <c r="L1136" s="56" t="s">
        <v>488</v>
      </c>
    </row>
    <row r="1137" spans="2:12" x14ac:dyDescent="0.2">
      <c r="B1137" s="62" t="s">
        <v>4864</v>
      </c>
      <c r="C1137" s="61" t="s">
        <v>499</v>
      </c>
      <c r="D1137" s="60">
        <v>1.37514</v>
      </c>
      <c r="E1137" s="59">
        <v>5.99885</v>
      </c>
      <c r="F1137" s="59">
        <v>8.4330499999999997</v>
      </c>
      <c r="G1137" s="56">
        <v>1472.18</v>
      </c>
      <c r="H1137" s="56">
        <v>1070.56</v>
      </c>
      <c r="I1137" s="58">
        <v>0.53278000000000003</v>
      </c>
      <c r="J1137" s="57">
        <v>0.45477800000000002</v>
      </c>
      <c r="K1137" s="56"/>
      <c r="L1137" s="56" t="s">
        <v>488</v>
      </c>
    </row>
    <row r="1138" spans="2:12" x14ac:dyDescent="0.2">
      <c r="B1138" s="62" t="s">
        <v>4863</v>
      </c>
      <c r="C1138" s="61" t="s">
        <v>567</v>
      </c>
      <c r="D1138" s="60">
        <v>1.62906</v>
      </c>
      <c r="E1138" s="59">
        <v>5.3512500000000003</v>
      </c>
      <c r="F1138" s="59">
        <v>6.8724699999999999</v>
      </c>
      <c r="G1138" s="56">
        <v>689.25699999999995</v>
      </c>
      <c r="H1138" s="56">
        <v>423.10199999999998</v>
      </c>
      <c r="I1138" s="58">
        <v>0.35829</v>
      </c>
      <c r="J1138" s="57">
        <v>0.232989</v>
      </c>
      <c r="K1138" s="56"/>
      <c r="L1138" s="56" t="s">
        <v>624</v>
      </c>
    </row>
    <row r="1139" spans="2:12" x14ac:dyDescent="0.2">
      <c r="B1139" s="62" t="s">
        <v>4862</v>
      </c>
      <c r="C1139" s="61" t="s">
        <v>776</v>
      </c>
      <c r="D1139" s="60">
        <v>1.6323099999999999</v>
      </c>
      <c r="E1139" s="59">
        <v>3.6275200000000001</v>
      </c>
      <c r="F1139" s="59">
        <v>6.2668400000000002</v>
      </c>
      <c r="G1139" s="56">
        <v>0</v>
      </c>
      <c r="H1139" s="56">
        <v>0</v>
      </c>
      <c r="I1139" s="58">
        <v>0.45196599999999998</v>
      </c>
      <c r="J1139" s="57">
        <v>0.31630000000000003</v>
      </c>
      <c r="K1139" s="56"/>
      <c r="L1139" s="56" t="s">
        <v>624</v>
      </c>
    </row>
    <row r="1140" spans="2:12" x14ac:dyDescent="0.2">
      <c r="B1140" s="62" t="s">
        <v>4861</v>
      </c>
      <c r="C1140" s="61" t="s">
        <v>4860</v>
      </c>
      <c r="D1140" s="60">
        <v>3.3135300000000001</v>
      </c>
      <c r="E1140" s="59">
        <v>2.6029499999999999</v>
      </c>
      <c r="F1140" s="59">
        <v>5.4996700000000001</v>
      </c>
      <c r="G1140" s="56">
        <v>0</v>
      </c>
      <c r="H1140" s="56">
        <v>0</v>
      </c>
      <c r="I1140" s="58">
        <v>0.19940099999999999</v>
      </c>
      <c r="J1140" s="57">
        <v>0.118108</v>
      </c>
      <c r="K1140" s="56"/>
      <c r="L1140" s="56" t="s">
        <v>488</v>
      </c>
    </row>
    <row r="1141" spans="2:12" x14ac:dyDescent="0.2">
      <c r="B1141" s="62" t="s">
        <v>4859</v>
      </c>
      <c r="C1141" s="61" t="s">
        <v>579</v>
      </c>
      <c r="D1141" s="60">
        <v>1.31877</v>
      </c>
      <c r="E1141" s="59">
        <v>4.9189600000000002</v>
      </c>
      <c r="F1141" s="59">
        <v>5.67537</v>
      </c>
      <c r="G1141" s="56">
        <v>1415.2</v>
      </c>
      <c r="H1141" s="56">
        <v>1073.1300000000001</v>
      </c>
      <c r="I1141" s="58">
        <v>0.475827</v>
      </c>
      <c r="J1141" s="57">
        <v>0.44102999999999998</v>
      </c>
      <c r="K1141" s="56"/>
      <c r="L1141" s="56" t="s">
        <v>488</v>
      </c>
    </row>
    <row r="1142" spans="2:12" x14ac:dyDescent="0.2">
      <c r="B1142" s="62" t="s">
        <v>4858</v>
      </c>
      <c r="C1142" s="61" t="s">
        <v>4857</v>
      </c>
      <c r="D1142" s="60">
        <v>1.9077299999999999</v>
      </c>
      <c r="E1142" s="59">
        <v>2.60168</v>
      </c>
      <c r="F1142" s="59">
        <v>3.83677</v>
      </c>
      <c r="G1142" s="56">
        <v>0</v>
      </c>
      <c r="H1142" s="56">
        <v>0</v>
      </c>
      <c r="I1142" s="58">
        <v>0.249834</v>
      </c>
      <c r="J1142" s="57">
        <v>0.23846500000000001</v>
      </c>
      <c r="K1142" s="56"/>
      <c r="L1142" s="56" t="s">
        <v>488</v>
      </c>
    </row>
    <row r="1143" spans="2:12" x14ac:dyDescent="0.2">
      <c r="B1143" s="62" t="s">
        <v>4856</v>
      </c>
      <c r="C1143" s="61" t="s">
        <v>4855</v>
      </c>
      <c r="D1143" s="60">
        <v>1.63609</v>
      </c>
      <c r="E1143" s="59">
        <v>2.7586200000000001</v>
      </c>
      <c r="F1143" s="59">
        <v>3.2844000000000002</v>
      </c>
      <c r="G1143" s="56">
        <v>0</v>
      </c>
      <c r="H1143" s="56">
        <v>0</v>
      </c>
      <c r="I1143" s="58">
        <v>0.222275</v>
      </c>
      <c r="J1143" s="57">
        <v>0.28468900000000003</v>
      </c>
      <c r="K1143" s="56"/>
      <c r="L1143" s="56" t="s">
        <v>488</v>
      </c>
    </row>
    <row r="1144" spans="2:12" x14ac:dyDescent="0.2">
      <c r="B1144" s="62" t="s">
        <v>4854</v>
      </c>
      <c r="C1144" s="61" t="s">
        <v>499</v>
      </c>
      <c r="D1144" s="60">
        <v>1.5242199999999999</v>
      </c>
      <c r="E1144" s="59">
        <v>3.03904</v>
      </c>
      <c r="F1144" s="59">
        <v>5.1322700000000001</v>
      </c>
      <c r="G1144" s="56">
        <v>0</v>
      </c>
      <c r="H1144" s="56">
        <v>0</v>
      </c>
      <c r="I1144" s="58">
        <v>0.28662199999999999</v>
      </c>
      <c r="J1144" s="57">
        <v>0.30564599999999997</v>
      </c>
      <c r="K1144" s="56"/>
      <c r="L1144" s="56" t="s">
        <v>488</v>
      </c>
    </row>
    <row r="1145" spans="2:12" x14ac:dyDescent="0.2">
      <c r="B1145" s="62" t="s">
        <v>4853</v>
      </c>
      <c r="C1145" s="61" t="s">
        <v>1637</v>
      </c>
      <c r="D1145" s="60">
        <v>1.9801</v>
      </c>
      <c r="E1145" s="59">
        <v>4.2624599999999999</v>
      </c>
      <c r="F1145" s="59">
        <v>5.1994999999999996</v>
      </c>
      <c r="G1145" s="56">
        <v>441.77</v>
      </c>
      <c r="H1145" s="56">
        <v>223.10499999999999</v>
      </c>
      <c r="I1145" s="58">
        <v>0.23172000000000001</v>
      </c>
      <c r="J1145" s="57">
        <v>0.228104</v>
      </c>
      <c r="K1145" s="56"/>
      <c r="L1145" s="56" t="s">
        <v>492</v>
      </c>
    </row>
    <row r="1146" spans="2:12" x14ac:dyDescent="0.2">
      <c r="B1146" s="62" t="s">
        <v>4852</v>
      </c>
      <c r="C1146" s="61" t="s">
        <v>4851</v>
      </c>
      <c r="D1146" s="60">
        <v>2.3456299999999999</v>
      </c>
      <c r="E1146" s="59">
        <v>2.4688599999999998</v>
      </c>
      <c r="F1146" s="59">
        <v>3.0241600000000002</v>
      </c>
      <c r="G1146" s="56">
        <v>0</v>
      </c>
      <c r="H1146" s="56">
        <v>0</v>
      </c>
      <c r="I1146" s="58">
        <v>6.3139000000000001E-2</v>
      </c>
      <c r="J1146" s="57">
        <v>0.164632</v>
      </c>
      <c r="K1146" s="56"/>
      <c r="L1146" s="56" t="s">
        <v>488</v>
      </c>
    </row>
    <row r="1147" spans="2:12" x14ac:dyDescent="0.2">
      <c r="B1147" s="62" t="s">
        <v>4850</v>
      </c>
      <c r="C1147" s="61" t="s">
        <v>533</v>
      </c>
      <c r="D1147" s="60">
        <v>1.95034</v>
      </c>
      <c r="E1147" s="59">
        <v>3.8090899999999999</v>
      </c>
      <c r="F1147" s="59">
        <v>4.6560899999999998</v>
      </c>
      <c r="G1147" s="56">
        <v>480.33800000000002</v>
      </c>
      <c r="H1147" s="56">
        <v>246.28399999999999</v>
      </c>
      <c r="I1147" s="58">
        <v>0.31364700000000001</v>
      </c>
      <c r="J1147" s="57">
        <v>0.23766000000000001</v>
      </c>
      <c r="K1147" s="56"/>
      <c r="L1147" s="56" t="s">
        <v>488</v>
      </c>
    </row>
    <row r="1148" spans="2:12" x14ac:dyDescent="0.2">
      <c r="B1148" s="62" t="s">
        <v>4849</v>
      </c>
      <c r="C1148" s="61" t="s">
        <v>541</v>
      </c>
      <c r="D1148" s="60">
        <v>1.8272699999999999</v>
      </c>
      <c r="E1148" s="59">
        <v>3.70783</v>
      </c>
      <c r="F1148" s="59">
        <v>4.8173899999999996</v>
      </c>
      <c r="G1148" s="56">
        <v>0</v>
      </c>
      <c r="H1148" s="56">
        <v>0</v>
      </c>
      <c r="I1148" s="58">
        <v>0.31603300000000001</v>
      </c>
      <c r="J1148" s="57">
        <v>0.26025199999999998</v>
      </c>
      <c r="K1148" s="56"/>
      <c r="L1148" s="56" t="s">
        <v>488</v>
      </c>
    </row>
    <row r="1149" spans="2:12" x14ac:dyDescent="0.2">
      <c r="B1149" s="62" t="s">
        <v>4848</v>
      </c>
      <c r="C1149" s="61" t="s">
        <v>495</v>
      </c>
      <c r="D1149" s="60">
        <v>0.799535</v>
      </c>
      <c r="E1149" s="59">
        <v>10.485060000000001</v>
      </c>
      <c r="F1149" s="59">
        <v>14.84172</v>
      </c>
      <c r="G1149" s="56">
        <v>878.95699999999999</v>
      </c>
      <c r="H1149" s="56">
        <v>1099.3399999999999</v>
      </c>
      <c r="I1149" s="58">
        <v>0.48512300000000003</v>
      </c>
      <c r="J1149" s="57">
        <v>0.78348300000000004</v>
      </c>
      <c r="K1149" s="56"/>
      <c r="L1149" s="56" t="s">
        <v>488</v>
      </c>
    </row>
    <row r="1150" spans="2:12" x14ac:dyDescent="0.2">
      <c r="B1150" s="62" t="s">
        <v>4847</v>
      </c>
      <c r="C1150" s="61" t="s">
        <v>582</v>
      </c>
      <c r="D1150" s="60">
        <v>1.89194</v>
      </c>
      <c r="E1150" s="59">
        <v>3.7145000000000001</v>
      </c>
      <c r="F1150" s="59">
        <v>4.9299900000000001</v>
      </c>
      <c r="G1150" s="56">
        <v>0</v>
      </c>
      <c r="H1150" s="56">
        <v>0</v>
      </c>
      <c r="I1150" s="58">
        <v>0.31774200000000002</v>
      </c>
      <c r="J1150" s="57">
        <v>0.24784800000000001</v>
      </c>
      <c r="K1150" s="56"/>
      <c r="L1150" s="56" t="s">
        <v>488</v>
      </c>
    </row>
    <row r="1151" spans="2:12" x14ac:dyDescent="0.2">
      <c r="B1151" s="62" t="s">
        <v>4846</v>
      </c>
      <c r="C1151" s="61" t="s">
        <v>531</v>
      </c>
      <c r="D1151" s="60">
        <v>1.9079299999999999</v>
      </c>
      <c r="E1151" s="59">
        <v>3.7940100000000001</v>
      </c>
      <c r="F1151" s="59">
        <v>4.6798500000000001</v>
      </c>
      <c r="G1151" s="56">
        <v>522.59900000000005</v>
      </c>
      <c r="H1151" s="56">
        <v>273.91000000000003</v>
      </c>
      <c r="I1151" s="58">
        <v>0.31542900000000001</v>
      </c>
      <c r="J1151" s="57">
        <v>0.24459</v>
      </c>
      <c r="K1151" s="56"/>
      <c r="L1151" s="56" t="s">
        <v>488</v>
      </c>
    </row>
    <row r="1152" spans="2:12" x14ac:dyDescent="0.2">
      <c r="B1152" s="62" t="s">
        <v>4845</v>
      </c>
      <c r="C1152" s="61" t="s">
        <v>507</v>
      </c>
      <c r="D1152" s="60">
        <v>1.7644899999999999</v>
      </c>
      <c r="E1152" s="59">
        <v>3.9079700000000002</v>
      </c>
      <c r="F1152" s="59">
        <v>4.7161400000000002</v>
      </c>
      <c r="G1152" s="56">
        <v>659.81799999999998</v>
      </c>
      <c r="H1152" s="56">
        <v>373.94299999999998</v>
      </c>
      <c r="I1152" s="58">
        <v>0.323573</v>
      </c>
      <c r="J1152" s="57">
        <v>0.27380199999999999</v>
      </c>
      <c r="K1152" s="56"/>
      <c r="L1152" s="56" t="s">
        <v>488</v>
      </c>
    </row>
    <row r="1153" spans="2:12" x14ac:dyDescent="0.2">
      <c r="B1153" s="62" t="s">
        <v>4844</v>
      </c>
      <c r="C1153" s="61" t="s">
        <v>502</v>
      </c>
      <c r="D1153" s="60">
        <v>1.2095100000000001</v>
      </c>
      <c r="E1153" s="59">
        <v>4.2897600000000002</v>
      </c>
      <c r="F1153" s="59">
        <v>5.42171</v>
      </c>
      <c r="G1153" s="56">
        <v>901.55100000000004</v>
      </c>
      <c r="H1153" s="56">
        <v>745.38300000000004</v>
      </c>
      <c r="I1153" s="58">
        <v>0.35813499999999998</v>
      </c>
      <c r="J1153" s="57">
        <v>0.42519400000000002</v>
      </c>
      <c r="K1153" s="56"/>
      <c r="L1153" s="56" t="s">
        <v>488</v>
      </c>
    </row>
    <row r="1154" spans="2:12" x14ac:dyDescent="0.2">
      <c r="B1154" s="62" t="s">
        <v>4843</v>
      </c>
      <c r="C1154" s="61" t="s">
        <v>625</v>
      </c>
      <c r="D1154" s="60">
        <v>1.6950799999999999</v>
      </c>
      <c r="E1154" s="59">
        <v>2.7616000000000001</v>
      </c>
      <c r="F1154" s="59">
        <v>3.4890400000000001</v>
      </c>
      <c r="G1154" s="56">
        <v>0</v>
      </c>
      <c r="H1154" s="56">
        <v>0</v>
      </c>
      <c r="I1154" s="58">
        <v>0.20161000000000001</v>
      </c>
      <c r="J1154" s="57">
        <v>0.30404999999999999</v>
      </c>
      <c r="K1154" s="56"/>
      <c r="L1154" s="56" t="s">
        <v>488</v>
      </c>
    </row>
    <row r="1155" spans="2:12" x14ac:dyDescent="0.2">
      <c r="B1155" s="62" t="s">
        <v>4842</v>
      </c>
      <c r="C1155" s="61" t="s">
        <v>499</v>
      </c>
      <c r="D1155" s="60">
        <v>0.92258499999999999</v>
      </c>
      <c r="E1155" s="59">
        <v>3.3288799999999998</v>
      </c>
      <c r="F1155" s="59">
        <v>11.33314</v>
      </c>
      <c r="G1155" s="56">
        <v>0</v>
      </c>
      <c r="H1155" s="56">
        <v>0</v>
      </c>
      <c r="I1155" s="58">
        <v>0.50631400000000004</v>
      </c>
      <c r="J1155" s="57">
        <v>0.69469999999999998</v>
      </c>
      <c r="K1155" s="56"/>
      <c r="L1155" s="56" t="s">
        <v>488</v>
      </c>
    </row>
    <row r="1156" spans="2:12" x14ac:dyDescent="0.2">
      <c r="B1156" s="62" t="s">
        <v>4841</v>
      </c>
      <c r="C1156" s="61" t="s">
        <v>499</v>
      </c>
      <c r="D1156" s="60">
        <v>0.91258700000000004</v>
      </c>
      <c r="E1156" s="59">
        <v>3.4469099999999999</v>
      </c>
      <c r="F1156" s="59">
        <v>11.422499999999999</v>
      </c>
      <c r="G1156" s="56">
        <v>0</v>
      </c>
      <c r="H1156" s="56">
        <v>0</v>
      </c>
      <c r="I1156" s="58">
        <v>0.51116899999999998</v>
      </c>
      <c r="J1156" s="57">
        <v>0.70893899999999999</v>
      </c>
      <c r="K1156" s="56"/>
      <c r="L1156" s="56" t="s">
        <v>488</v>
      </c>
    </row>
    <row r="1157" spans="2:12" x14ac:dyDescent="0.2">
      <c r="B1157" s="62" t="s">
        <v>4840</v>
      </c>
      <c r="C1157" s="61" t="s">
        <v>499</v>
      </c>
      <c r="D1157" s="60">
        <v>0.89962600000000004</v>
      </c>
      <c r="E1157" s="59">
        <v>3.1521599999999999</v>
      </c>
      <c r="F1157" s="59">
        <v>11.37134</v>
      </c>
      <c r="G1157" s="56">
        <v>0</v>
      </c>
      <c r="H1157" s="56">
        <v>0</v>
      </c>
      <c r="I1157" s="58">
        <v>0.52259100000000003</v>
      </c>
      <c r="J1157" s="57">
        <v>0.72456100000000001</v>
      </c>
      <c r="K1157" s="56"/>
      <c r="L1157" s="56" t="s">
        <v>488</v>
      </c>
    </row>
    <row r="1158" spans="2:12" x14ac:dyDescent="0.2">
      <c r="B1158" s="62" t="s">
        <v>4839</v>
      </c>
      <c r="C1158" s="61" t="s">
        <v>499</v>
      </c>
      <c r="D1158" s="60">
        <v>0.92966000000000004</v>
      </c>
      <c r="E1158" s="59">
        <v>3.2638099999999999</v>
      </c>
      <c r="F1158" s="59">
        <v>11.326890000000001</v>
      </c>
      <c r="G1158" s="56">
        <v>0</v>
      </c>
      <c r="H1158" s="56">
        <v>0</v>
      </c>
      <c r="I1158" s="58">
        <v>0.52720199999999995</v>
      </c>
      <c r="J1158" s="57">
        <v>0.66730400000000001</v>
      </c>
      <c r="K1158" s="56" t="s">
        <v>1816</v>
      </c>
      <c r="L1158" s="56" t="s">
        <v>563</v>
      </c>
    </row>
    <row r="1159" spans="2:12" x14ac:dyDescent="0.2">
      <c r="B1159" s="62" t="s">
        <v>4838</v>
      </c>
      <c r="C1159" s="61" t="s">
        <v>526</v>
      </c>
      <c r="D1159" s="60">
        <v>0.83486800000000005</v>
      </c>
      <c r="E1159" s="59">
        <v>5.9439500000000001</v>
      </c>
      <c r="F1159" s="59">
        <v>9.0509400000000007</v>
      </c>
      <c r="G1159" s="56">
        <v>2158.2800000000002</v>
      </c>
      <c r="H1159" s="56">
        <v>2585.1799999999998</v>
      </c>
      <c r="I1159" s="58">
        <v>0.80095799999999995</v>
      </c>
      <c r="J1159" s="57">
        <v>0.83946500000000002</v>
      </c>
      <c r="K1159" s="56"/>
      <c r="L1159" s="56" t="s">
        <v>488</v>
      </c>
    </row>
    <row r="1160" spans="2:12" x14ac:dyDescent="0.2">
      <c r="B1160" s="62" t="s">
        <v>4837</v>
      </c>
      <c r="C1160" s="61" t="s">
        <v>499</v>
      </c>
      <c r="D1160" s="60">
        <v>0.67393599999999998</v>
      </c>
      <c r="E1160" s="59">
        <v>5.2404700000000002</v>
      </c>
      <c r="F1160" s="59">
        <v>12.90794</v>
      </c>
      <c r="G1160" s="56">
        <v>1862.18</v>
      </c>
      <c r="H1160" s="56">
        <v>2763.15</v>
      </c>
      <c r="I1160" s="58">
        <v>0.74583900000000003</v>
      </c>
      <c r="J1160" s="57">
        <v>1.0933600000000001</v>
      </c>
      <c r="K1160" s="56"/>
      <c r="L1160" s="56" t="s">
        <v>488</v>
      </c>
    </row>
    <row r="1161" spans="2:12" x14ac:dyDescent="0.2">
      <c r="B1161" s="62" t="s">
        <v>4836</v>
      </c>
      <c r="C1161" s="61" t="s">
        <v>499</v>
      </c>
      <c r="D1161" s="60">
        <v>0.74580400000000002</v>
      </c>
      <c r="E1161" s="59">
        <v>4.7578399999999998</v>
      </c>
      <c r="F1161" s="59">
        <v>11.32938</v>
      </c>
      <c r="G1161" s="56">
        <v>1663.58</v>
      </c>
      <c r="H1161" s="56">
        <v>2230.59</v>
      </c>
      <c r="I1161" s="58">
        <v>0.64465600000000001</v>
      </c>
      <c r="J1161" s="57">
        <v>0.92221200000000003</v>
      </c>
      <c r="K1161" s="56"/>
      <c r="L1161" s="56" t="s">
        <v>488</v>
      </c>
    </row>
    <row r="1162" spans="2:12" x14ac:dyDescent="0.2">
      <c r="B1162" s="62" t="s">
        <v>4835</v>
      </c>
      <c r="C1162" s="61" t="s">
        <v>499</v>
      </c>
      <c r="D1162" s="60">
        <v>0.74228000000000005</v>
      </c>
      <c r="E1162" s="59">
        <v>6.0130800000000004</v>
      </c>
      <c r="F1162" s="59">
        <v>11.511979999999999</v>
      </c>
      <c r="G1162" s="56">
        <v>1638.73</v>
      </c>
      <c r="H1162" s="56">
        <v>2207.71</v>
      </c>
      <c r="I1162" s="58">
        <v>0.68118599999999996</v>
      </c>
      <c r="J1162" s="57">
        <v>0.948183</v>
      </c>
      <c r="K1162" s="56"/>
      <c r="L1162" s="56" t="s">
        <v>488</v>
      </c>
    </row>
    <row r="1163" spans="2:12" x14ac:dyDescent="0.2">
      <c r="B1163" s="62" t="s">
        <v>4834</v>
      </c>
      <c r="C1163" s="61" t="s">
        <v>499</v>
      </c>
      <c r="D1163" s="60">
        <v>0.88894499999999999</v>
      </c>
      <c r="E1163" s="59">
        <v>7.3403200000000002</v>
      </c>
      <c r="F1163" s="59">
        <v>8.3373399999999993</v>
      </c>
      <c r="G1163" s="56">
        <v>1639.09</v>
      </c>
      <c r="H1163" s="56">
        <v>1843.86</v>
      </c>
      <c r="I1163" s="58">
        <v>0.60441999999999996</v>
      </c>
      <c r="J1163" s="57">
        <v>0.72937399999999997</v>
      </c>
      <c r="K1163" s="56"/>
      <c r="L1163" s="56" t="s">
        <v>488</v>
      </c>
    </row>
    <row r="1164" spans="2:12" x14ac:dyDescent="0.2">
      <c r="B1164" s="62" t="s">
        <v>4833</v>
      </c>
      <c r="C1164" s="61" t="s">
        <v>499</v>
      </c>
      <c r="D1164" s="60">
        <v>0.84211599999999998</v>
      </c>
      <c r="E1164" s="59">
        <v>4.2468500000000002</v>
      </c>
      <c r="F1164" s="59">
        <v>13.613250000000001</v>
      </c>
      <c r="G1164" s="56">
        <v>1346.15</v>
      </c>
      <c r="H1164" s="56">
        <v>1598.53</v>
      </c>
      <c r="I1164" s="58">
        <v>0.59206899999999996</v>
      </c>
      <c r="J1164" s="57">
        <v>0.77411300000000005</v>
      </c>
      <c r="K1164" s="56"/>
      <c r="L1164" s="56" t="s">
        <v>488</v>
      </c>
    </row>
    <row r="1165" spans="2:12" x14ac:dyDescent="0.2">
      <c r="B1165" s="62" t="s">
        <v>4832</v>
      </c>
      <c r="C1165" s="61" t="s">
        <v>499</v>
      </c>
      <c r="D1165" s="60">
        <v>0.79703900000000005</v>
      </c>
      <c r="E1165" s="59">
        <v>5.3782899999999998</v>
      </c>
      <c r="F1165" s="59">
        <v>13.250920000000001</v>
      </c>
      <c r="G1165" s="56">
        <v>1469.07</v>
      </c>
      <c r="H1165" s="56">
        <v>1843.16</v>
      </c>
      <c r="I1165" s="58">
        <v>0.63377099999999997</v>
      </c>
      <c r="J1165" s="57">
        <v>0.85271600000000003</v>
      </c>
      <c r="K1165" s="56"/>
      <c r="L1165" s="56" t="s">
        <v>488</v>
      </c>
    </row>
    <row r="1166" spans="2:12" x14ac:dyDescent="0.2">
      <c r="B1166" s="62" t="s">
        <v>4831</v>
      </c>
      <c r="C1166" s="61" t="s">
        <v>499</v>
      </c>
      <c r="D1166" s="60">
        <v>0.53367399999999998</v>
      </c>
      <c r="E1166" s="59">
        <v>10.149900000000001</v>
      </c>
      <c r="F1166" s="59">
        <v>12.558999999999999</v>
      </c>
      <c r="G1166" s="56">
        <v>1917.49</v>
      </c>
      <c r="H1166" s="56">
        <v>3593.01</v>
      </c>
      <c r="I1166" s="58">
        <v>0.78686599999999995</v>
      </c>
      <c r="J1166" s="57">
        <v>1.4545699999999999</v>
      </c>
      <c r="K1166" s="56"/>
      <c r="L1166" s="56" t="s">
        <v>488</v>
      </c>
    </row>
    <row r="1167" spans="2:12" x14ac:dyDescent="0.2">
      <c r="B1167" s="62" t="s">
        <v>4830</v>
      </c>
      <c r="C1167" s="61" t="s">
        <v>499</v>
      </c>
      <c r="D1167" s="60">
        <v>0.901667</v>
      </c>
      <c r="E1167" s="59">
        <v>5.3585700000000003</v>
      </c>
      <c r="F1167" s="59">
        <v>8.2619500000000006</v>
      </c>
      <c r="G1167" s="56">
        <v>1687.59</v>
      </c>
      <c r="H1167" s="56">
        <v>1871.64</v>
      </c>
      <c r="I1167" s="58">
        <v>0.622784</v>
      </c>
      <c r="J1167" s="57">
        <v>0.71196300000000001</v>
      </c>
      <c r="K1167" s="56"/>
      <c r="L1167" s="56" t="s">
        <v>488</v>
      </c>
    </row>
    <row r="1168" spans="2:12" x14ac:dyDescent="0.2">
      <c r="B1168" s="62" t="s">
        <v>4829</v>
      </c>
      <c r="C1168" s="61" t="s">
        <v>499</v>
      </c>
      <c r="D1168" s="60">
        <v>0.94384100000000004</v>
      </c>
      <c r="E1168" s="59">
        <v>5.2101600000000001</v>
      </c>
      <c r="F1168" s="59">
        <v>6.9166699999999999</v>
      </c>
      <c r="G1168" s="56">
        <v>1638.54</v>
      </c>
      <c r="H1168" s="56">
        <v>1736.04</v>
      </c>
      <c r="I1168" s="58">
        <v>0.58585699999999996</v>
      </c>
      <c r="J1168" s="57">
        <v>0.65566800000000003</v>
      </c>
      <c r="K1168" s="56"/>
      <c r="L1168" s="56" t="s">
        <v>488</v>
      </c>
    </row>
    <row r="1169" spans="2:12" x14ac:dyDescent="0.2">
      <c r="B1169" s="62" t="s">
        <v>4828</v>
      </c>
      <c r="C1169" s="61" t="s">
        <v>499</v>
      </c>
      <c r="D1169" s="60">
        <v>0.77790400000000004</v>
      </c>
      <c r="E1169" s="59">
        <v>8.2671899999999994</v>
      </c>
      <c r="F1169" s="59">
        <v>11.36736</v>
      </c>
      <c r="G1169" s="56">
        <v>1564.51</v>
      </c>
      <c r="H1169" s="56">
        <v>2011.18</v>
      </c>
      <c r="I1169" s="58">
        <v>0.66405700000000001</v>
      </c>
      <c r="J1169" s="57">
        <v>0.87844999999999995</v>
      </c>
      <c r="K1169" s="56"/>
      <c r="L1169" s="56" t="s">
        <v>488</v>
      </c>
    </row>
    <row r="1170" spans="2:12" x14ac:dyDescent="0.2">
      <c r="B1170" s="62" t="s">
        <v>4827</v>
      </c>
      <c r="C1170" s="61" t="s">
        <v>499</v>
      </c>
      <c r="D1170" s="60">
        <v>0.71600200000000003</v>
      </c>
      <c r="E1170" s="59">
        <v>6.6429900000000002</v>
      </c>
      <c r="F1170" s="59">
        <v>11.93149</v>
      </c>
      <c r="G1170" s="56">
        <v>1761.01</v>
      </c>
      <c r="H1170" s="56">
        <v>2459.5</v>
      </c>
      <c r="I1170" s="58">
        <v>0.71195900000000001</v>
      </c>
      <c r="J1170" s="57">
        <v>0.99806799999999996</v>
      </c>
      <c r="K1170" s="56"/>
      <c r="L1170" s="56" t="s">
        <v>488</v>
      </c>
    </row>
    <row r="1171" spans="2:12" x14ac:dyDescent="0.2">
      <c r="B1171" s="62" t="s">
        <v>4826</v>
      </c>
      <c r="C1171" s="61" t="s">
        <v>4825</v>
      </c>
      <c r="D1171" s="60">
        <v>1.65256</v>
      </c>
      <c r="E1171" s="59">
        <v>4.4573</v>
      </c>
      <c r="F1171" s="59">
        <v>6.5731599999999997</v>
      </c>
      <c r="G1171" s="56">
        <v>1109.72</v>
      </c>
      <c r="H1171" s="56">
        <v>671.51700000000005</v>
      </c>
      <c r="I1171" s="58">
        <v>0.42472300000000002</v>
      </c>
      <c r="J1171" s="57">
        <v>0.32366699999999998</v>
      </c>
      <c r="K1171" s="56"/>
      <c r="L1171" s="56" t="s">
        <v>488</v>
      </c>
    </row>
    <row r="1172" spans="2:12" x14ac:dyDescent="0.2">
      <c r="B1172" s="62" t="s">
        <v>4824</v>
      </c>
      <c r="C1172" s="61" t="s">
        <v>510</v>
      </c>
      <c r="D1172" s="60">
        <v>1.6458900000000001</v>
      </c>
      <c r="E1172" s="59">
        <v>5.9908099999999997</v>
      </c>
      <c r="F1172" s="59">
        <v>7.6386799999999999</v>
      </c>
      <c r="G1172" s="56">
        <v>659.79600000000005</v>
      </c>
      <c r="H1172" s="56">
        <v>400.875</v>
      </c>
      <c r="I1172" s="58">
        <v>0.29716199999999998</v>
      </c>
      <c r="J1172" s="57">
        <v>0.24420900000000001</v>
      </c>
      <c r="K1172" s="56"/>
      <c r="L1172" s="56" t="s">
        <v>488</v>
      </c>
    </row>
    <row r="1173" spans="2:12" x14ac:dyDescent="0.2">
      <c r="B1173" s="62" t="s">
        <v>4823</v>
      </c>
      <c r="C1173" s="61" t="s">
        <v>625</v>
      </c>
      <c r="D1173" s="60">
        <v>1.5553999999999999</v>
      </c>
      <c r="E1173" s="59">
        <v>4.7959199999999997</v>
      </c>
      <c r="F1173" s="59">
        <v>5.4545899999999996</v>
      </c>
      <c r="G1173" s="56">
        <v>634.84900000000005</v>
      </c>
      <c r="H1173" s="56">
        <v>408.15800000000002</v>
      </c>
      <c r="I1173" s="58">
        <v>0.32116099999999997</v>
      </c>
      <c r="J1173" s="57">
        <v>0.29745199999999999</v>
      </c>
      <c r="K1173" s="56"/>
      <c r="L1173" s="56" t="s">
        <v>492</v>
      </c>
    </row>
    <row r="1174" spans="2:12" x14ac:dyDescent="0.2">
      <c r="B1174" s="62" t="s">
        <v>4822</v>
      </c>
      <c r="C1174" s="61" t="s">
        <v>1293</v>
      </c>
      <c r="D1174" s="60">
        <v>2.1652499999999999</v>
      </c>
      <c r="E1174" s="59">
        <v>4.4108099999999997</v>
      </c>
      <c r="F1174" s="59">
        <v>5.7469299999999999</v>
      </c>
      <c r="G1174" s="56">
        <v>715.10900000000004</v>
      </c>
      <c r="H1174" s="56">
        <v>330.26600000000002</v>
      </c>
      <c r="I1174" s="58">
        <v>0.31773699999999999</v>
      </c>
      <c r="J1174" s="57">
        <v>0.21426200000000001</v>
      </c>
      <c r="K1174" s="56"/>
      <c r="L1174" s="56" t="s">
        <v>488</v>
      </c>
    </row>
    <row r="1175" spans="2:12" x14ac:dyDescent="0.2">
      <c r="B1175" s="62" t="s">
        <v>4821</v>
      </c>
      <c r="C1175" s="61" t="s">
        <v>495</v>
      </c>
      <c r="D1175" s="60">
        <v>0.89159100000000002</v>
      </c>
      <c r="E1175" s="59">
        <v>6.6858399999999998</v>
      </c>
      <c r="F1175" s="59">
        <v>9.3031100000000002</v>
      </c>
      <c r="G1175" s="56">
        <v>1834.58</v>
      </c>
      <c r="H1175" s="56">
        <v>2057.65</v>
      </c>
      <c r="I1175" s="58">
        <v>0.62806399999999996</v>
      </c>
      <c r="J1175" s="57">
        <v>0.74922299999999997</v>
      </c>
      <c r="K1175" s="56"/>
      <c r="L1175" s="56" t="s">
        <v>488</v>
      </c>
    </row>
    <row r="1176" spans="2:12" x14ac:dyDescent="0.2">
      <c r="B1176" s="62" t="s">
        <v>4820</v>
      </c>
      <c r="C1176" s="61" t="s">
        <v>502</v>
      </c>
      <c r="D1176" s="60">
        <v>0.293688</v>
      </c>
      <c r="E1176" s="59">
        <v>15.74639</v>
      </c>
      <c r="F1176" s="59">
        <v>17.286380000000001</v>
      </c>
      <c r="G1176" s="56">
        <v>1517.15</v>
      </c>
      <c r="H1176" s="56">
        <v>5165.84</v>
      </c>
      <c r="I1176" s="58">
        <v>0.91463799999999995</v>
      </c>
      <c r="J1176" s="57">
        <v>2.9971999999999999</v>
      </c>
      <c r="K1176" s="56"/>
      <c r="L1176" s="56" t="s">
        <v>488</v>
      </c>
    </row>
    <row r="1177" spans="2:12" x14ac:dyDescent="0.2">
      <c r="B1177" s="62" t="s">
        <v>4819</v>
      </c>
      <c r="C1177" s="61" t="s">
        <v>499</v>
      </c>
      <c r="D1177" s="60">
        <v>0.97763999999999995</v>
      </c>
      <c r="E1177" s="59">
        <v>3.9689899999999998</v>
      </c>
      <c r="F1177" s="59">
        <v>5.5417800000000002</v>
      </c>
      <c r="G1177" s="56">
        <v>618.38599999999997</v>
      </c>
      <c r="H1177" s="56">
        <v>632.529</v>
      </c>
      <c r="I1177" s="58">
        <v>0.46218100000000001</v>
      </c>
      <c r="J1177" s="57">
        <v>0.59239200000000003</v>
      </c>
      <c r="K1177" s="56"/>
      <c r="L1177" s="56" t="s">
        <v>488</v>
      </c>
    </row>
    <row r="1178" spans="2:12" x14ac:dyDescent="0.2">
      <c r="B1178" s="62" t="s">
        <v>4818</v>
      </c>
      <c r="C1178" s="61" t="s">
        <v>499</v>
      </c>
      <c r="D1178" s="60">
        <v>1.5782799999999999</v>
      </c>
      <c r="E1178" s="59">
        <v>3.0451600000000001</v>
      </c>
      <c r="F1178" s="59">
        <v>4.1708499999999997</v>
      </c>
      <c r="G1178" s="56">
        <v>0</v>
      </c>
      <c r="H1178" s="56">
        <v>0</v>
      </c>
      <c r="I1178" s="58">
        <v>0.288049</v>
      </c>
      <c r="J1178" s="57">
        <v>0.284696</v>
      </c>
      <c r="K1178" s="56"/>
      <c r="L1178" s="56" t="s">
        <v>488</v>
      </c>
    </row>
    <row r="1179" spans="2:12" x14ac:dyDescent="0.2">
      <c r="B1179" s="62" t="s">
        <v>4817</v>
      </c>
      <c r="C1179" s="61" t="s">
        <v>499</v>
      </c>
      <c r="D1179" s="60">
        <v>1.5783400000000001</v>
      </c>
      <c r="E1179" s="59">
        <v>3.0931899999999999</v>
      </c>
      <c r="F1179" s="59">
        <v>4.21204</v>
      </c>
      <c r="G1179" s="56">
        <v>0</v>
      </c>
      <c r="H1179" s="56">
        <v>0</v>
      </c>
      <c r="I1179" s="58">
        <v>0.30049100000000001</v>
      </c>
      <c r="J1179" s="57">
        <v>0.28603200000000001</v>
      </c>
      <c r="K1179" s="56"/>
      <c r="L1179" s="56" t="s">
        <v>488</v>
      </c>
    </row>
    <row r="1180" spans="2:12" x14ac:dyDescent="0.2">
      <c r="B1180" s="62" t="s">
        <v>4816</v>
      </c>
      <c r="C1180" s="61" t="s">
        <v>641</v>
      </c>
      <c r="D1180" s="60">
        <v>0.98954299999999995</v>
      </c>
      <c r="E1180" s="59">
        <v>4.5934600000000003</v>
      </c>
      <c r="F1180" s="59">
        <v>5.7913699999999997</v>
      </c>
      <c r="G1180" s="56">
        <v>1368.72</v>
      </c>
      <c r="H1180" s="56">
        <v>1383.19</v>
      </c>
      <c r="I1180" s="58">
        <v>0.65434899999999996</v>
      </c>
      <c r="J1180" s="57">
        <v>0.62478400000000001</v>
      </c>
      <c r="K1180" s="56"/>
      <c r="L1180" s="56" t="s">
        <v>488</v>
      </c>
    </row>
    <row r="1181" spans="2:12" x14ac:dyDescent="0.2">
      <c r="B1181" s="62" t="s">
        <v>4815</v>
      </c>
      <c r="C1181" s="61" t="s">
        <v>502</v>
      </c>
      <c r="D1181" s="60">
        <v>0.83307600000000004</v>
      </c>
      <c r="E1181" s="59">
        <v>6.58995</v>
      </c>
      <c r="F1181" s="59">
        <v>10.76463</v>
      </c>
      <c r="G1181" s="56">
        <v>1819.82</v>
      </c>
      <c r="H1181" s="56">
        <v>2184.4499999999998</v>
      </c>
      <c r="I1181" s="58">
        <v>0.76614400000000005</v>
      </c>
      <c r="J1181" s="57">
        <v>0.85521199999999997</v>
      </c>
      <c r="K1181" s="56"/>
      <c r="L1181" s="56" t="s">
        <v>488</v>
      </c>
    </row>
    <row r="1182" spans="2:12" x14ac:dyDescent="0.2">
      <c r="B1182" s="62" t="s">
        <v>4814</v>
      </c>
      <c r="C1182" s="61" t="s">
        <v>499</v>
      </c>
      <c r="D1182" s="60">
        <v>0.92482900000000001</v>
      </c>
      <c r="E1182" s="59">
        <v>5.6772400000000003</v>
      </c>
      <c r="F1182" s="59">
        <v>10.09798</v>
      </c>
      <c r="G1182" s="56">
        <v>1829.61</v>
      </c>
      <c r="H1182" s="56">
        <v>1978.32</v>
      </c>
      <c r="I1182" s="58">
        <v>0.677319</v>
      </c>
      <c r="J1182" s="57">
        <v>0.73140799999999995</v>
      </c>
      <c r="K1182" s="56"/>
      <c r="L1182" s="56" t="s">
        <v>488</v>
      </c>
    </row>
    <row r="1183" spans="2:12" x14ac:dyDescent="0.2">
      <c r="B1183" s="62" t="s">
        <v>4813</v>
      </c>
      <c r="C1183" s="61" t="s">
        <v>499</v>
      </c>
      <c r="D1183" s="60">
        <v>0.92586900000000005</v>
      </c>
      <c r="E1183" s="59">
        <v>5.39642</v>
      </c>
      <c r="F1183" s="59">
        <v>9.5414600000000007</v>
      </c>
      <c r="G1183" s="56">
        <v>1855.35</v>
      </c>
      <c r="H1183" s="56">
        <v>2003.91</v>
      </c>
      <c r="I1183" s="58">
        <v>0.67441499999999999</v>
      </c>
      <c r="J1183" s="57">
        <v>0.72960800000000003</v>
      </c>
      <c r="K1183" s="56"/>
      <c r="L1183" s="56" t="s">
        <v>488</v>
      </c>
    </row>
    <row r="1184" spans="2:12" x14ac:dyDescent="0.2">
      <c r="B1184" s="62" t="s">
        <v>4812</v>
      </c>
      <c r="C1184" s="61" t="s">
        <v>499</v>
      </c>
      <c r="D1184" s="60">
        <v>0.98408300000000004</v>
      </c>
      <c r="E1184" s="59">
        <v>5.3667400000000001</v>
      </c>
      <c r="F1184" s="59">
        <v>8.4797399999999996</v>
      </c>
      <c r="G1184" s="56">
        <v>1652.55</v>
      </c>
      <c r="H1184" s="56">
        <v>1679.28</v>
      </c>
      <c r="I1184" s="58">
        <v>0.61444900000000002</v>
      </c>
      <c r="J1184" s="57">
        <v>0.67123600000000005</v>
      </c>
      <c r="K1184" s="56" t="s">
        <v>4811</v>
      </c>
      <c r="L1184" s="56" t="s">
        <v>563</v>
      </c>
    </row>
    <row r="1185" spans="2:12" x14ac:dyDescent="0.2">
      <c r="B1185" s="62" t="s">
        <v>4810</v>
      </c>
      <c r="C1185" s="61" t="s">
        <v>1386</v>
      </c>
      <c r="D1185" s="60">
        <v>1.5674699999999999</v>
      </c>
      <c r="E1185" s="59">
        <v>5.0390100000000002</v>
      </c>
      <c r="F1185" s="59">
        <v>5.5495599999999996</v>
      </c>
      <c r="G1185" s="56">
        <v>1197.97</v>
      </c>
      <c r="H1185" s="56">
        <v>764.27099999999996</v>
      </c>
      <c r="I1185" s="58">
        <v>0.44785900000000001</v>
      </c>
      <c r="J1185" s="57">
        <v>0.35709600000000002</v>
      </c>
      <c r="K1185" s="56"/>
      <c r="L1185" s="56" t="s">
        <v>488</v>
      </c>
    </row>
    <row r="1186" spans="2:12" x14ac:dyDescent="0.2">
      <c r="B1186" s="62" t="s">
        <v>4809</v>
      </c>
      <c r="C1186" s="61" t="s">
        <v>499</v>
      </c>
      <c r="D1186" s="60">
        <v>1.4838899999999999</v>
      </c>
      <c r="E1186" s="59">
        <v>3.63395</v>
      </c>
      <c r="F1186" s="59">
        <v>3.91214</v>
      </c>
      <c r="G1186" s="56">
        <v>0</v>
      </c>
      <c r="H1186" s="56">
        <v>0</v>
      </c>
      <c r="I1186" s="58">
        <v>9.9895899999999996E-2</v>
      </c>
      <c r="J1186" s="57">
        <v>0.25423600000000002</v>
      </c>
      <c r="K1186" s="56"/>
      <c r="L1186" s="56" t="s">
        <v>492</v>
      </c>
    </row>
    <row r="1187" spans="2:12" x14ac:dyDescent="0.2">
      <c r="B1187" s="62" t="s">
        <v>4808</v>
      </c>
      <c r="C1187" s="61" t="s">
        <v>499</v>
      </c>
      <c r="D1187" s="60">
        <v>0.77795999999999998</v>
      </c>
      <c r="E1187" s="59">
        <v>6.35025</v>
      </c>
      <c r="F1187" s="59">
        <v>8.8757099999999998</v>
      </c>
      <c r="G1187" s="56">
        <v>1877.56</v>
      </c>
      <c r="H1187" s="56">
        <v>2413.44</v>
      </c>
      <c r="I1187" s="58">
        <v>0.70062199999999997</v>
      </c>
      <c r="J1187" s="57">
        <v>0.87110600000000005</v>
      </c>
      <c r="K1187" s="56"/>
      <c r="L1187" s="56" t="s">
        <v>488</v>
      </c>
    </row>
    <row r="1188" spans="2:12" x14ac:dyDescent="0.2">
      <c r="B1188" s="62" t="s">
        <v>4807</v>
      </c>
      <c r="C1188" s="61" t="s">
        <v>499</v>
      </c>
      <c r="D1188" s="60">
        <v>0.82856799999999997</v>
      </c>
      <c r="E1188" s="59">
        <v>6.3788499999999999</v>
      </c>
      <c r="F1188" s="59">
        <v>7.7861200000000004</v>
      </c>
      <c r="G1188" s="56">
        <v>1922.44</v>
      </c>
      <c r="H1188" s="56">
        <v>2320.19</v>
      </c>
      <c r="I1188" s="58">
        <v>0.68493599999999999</v>
      </c>
      <c r="J1188" s="57">
        <v>0.80514300000000005</v>
      </c>
      <c r="K1188" s="56"/>
      <c r="L1188" s="56" t="s">
        <v>488</v>
      </c>
    </row>
    <row r="1189" spans="2:12" x14ac:dyDescent="0.2">
      <c r="B1189" s="62" t="s">
        <v>4806</v>
      </c>
      <c r="C1189" s="61" t="s">
        <v>499</v>
      </c>
      <c r="D1189" s="60">
        <v>0.53927999999999998</v>
      </c>
      <c r="E1189" s="59">
        <v>11.59751</v>
      </c>
      <c r="F1189" s="59">
        <v>13.109059999999999</v>
      </c>
      <c r="G1189" s="56">
        <v>1912.91</v>
      </c>
      <c r="H1189" s="56">
        <v>3547.15</v>
      </c>
      <c r="I1189" s="58">
        <v>0.79333799999999999</v>
      </c>
      <c r="J1189" s="57">
        <v>1.4326700000000001</v>
      </c>
      <c r="K1189" s="56" t="s">
        <v>4805</v>
      </c>
      <c r="L1189" s="56" t="s">
        <v>563</v>
      </c>
    </row>
    <row r="1190" spans="2:12" x14ac:dyDescent="0.2">
      <c r="B1190" s="62" t="s">
        <v>4804</v>
      </c>
      <c r="C1190" s="61" t="s">
        <v>4269</v>
      </c>
      <c r="D1190" s="60">
        <v>1.78217</v>
      </c>
      <c r="E1190" s="59">
        <v>3.8929499999999999</v>
      </c>
      <c r="F1190" s="59">
        <v>4.86334</v>
      </c>
      <c r="G1190" s="56">
        <v>643.60500000000002</v>
      </c>
      <c r="H1190" s="56">
        <v>361.13600000000002</v>
      </c>
      <c r="I1190" s="58">
        <v>0.39908900000000003</v>
      </c>
      <c r="J1190" s="57">
        <v>0.31730599999999998</v>
      </c>
      <c r="K1190" s="56"/>
      <c r="L1190" s="56" t="s">
        <v>488</v>
      </c>
    </row>
    <row r="1191" spans="2:12" x14ac:dyDescent="0.2">
      <c r="B1191" s="62" t="s">
        <v>4803</v>
      </c>
      <c r="C1191" s="61" t="s">
        <v>499</v>
      </c>
      <c r="D1191" s="60">
        <v>0.95423800000000003</v>
      </c>
      <c r="E1191" s="59">
        <v>6.7491099999999999</v>
      </c>
      <c r="F1191" s="59">
        <v>7.3882199999999996</v>
      </c>
      <c r="G1191" s="56">
        <v>1392.67</v>
      </c>
      <c r="H1191" s="56">
        <v>1459.46</v>
      </c>
      <c r="I1191" s="58">
        <v>0.56117799999999995</v>
      </c>
      <c r="J1191" s="57">
        <v>0.65454999999999997</v>
      </c>
      <c r="K1191" s="56"/>
      <c r="L1191" s="56" t="s">
        <v>488</v>
      </c>
    </row>
    <row r="1192" spans="2:12" x14ac:dyDescent="0.2">
      <c r="B1192" s="62" t="s">
        <v>4802</v>
      </c>
      <c r="C1192" s="61" t="s">
        <v>756</v>
      </c>
      <c r="D1192" s="60">
        <v>2.1320399999999999</v>
      </c>
      <c r="E1192" s="59">
        <v>3.0888100000000001</v>
      </c>
      <c r="F1192" s="59">
        <v>3.4559799999999998</v>
      </c>
      <c r="G1192" s="56">
        <v>0</v>
      </c>
      <c r="H1192" s="56">
        <v>0</v>
      </c>
      <c r="I1192" s="58">
        <v>9.3258400000000005E-2</v>
      </c>
      <c r="J1192" s="57">
        <v>0.18069299999999999</v>
      </c>
      <c r="K1192" s="56"/>
      <c r="L1192" s="56" t="s">
        <v>488</v>
      </c>
    </row>
    <row r="1193" spans="2:12" x14ac:dyDescent="0.2">
      <c r="B1193" s="62" t="s">
        <v>4801</v>
      </c>
      <c r="C1193" s="61" t="s">
        <v>4800</v>
      </c>
      <c r="D1193" s="60">
        <v>1.71455</v>
      </c>
      <c r="E1193" s="59">
        <v>2.5323899999999999</v>
      </c>
      <c r="F1193" s="59">
        <v>5.91981</v>
      </c>
      <c r="G1193" s="56">
        <v>0</v>
      </c>
      <c r="H1193" s="56">
        <v>0</v>
      </c>
      <c r="I1193" s="58">
        <v>0.23496500000000001</v>
      </c>
      <c r="J1193" s="57">
        <v>0.26801000000000003</v>
      </c>
      <c r="K1193" s="56"/>
      <c r="L1193" s="56" t="s">
        <v>488</v>
      </c>
    </row>
    <row r="1194" spans="2:12" x14ac:dyDescent="0.2">
      <c r="B1194" s="62" t="s">
        <v>4799</v>
      </c>
      <c r="C1194" s="61" t="s">
        <v>4798</v>
      </c>
      <c r="D1194" s="60">
        <v>1.72651</v>
      </c>
      <c r="E1194" s="59">
        <v>2.5299100000000001</v>
      </c>
      <c r="F1194" s="59">
        <v>5.9291400000000003</v>
      </c>
      <c r="G1194" s="56">
        <v>0</v>
      </c>
      <c r="H1194" s="56">
        <v>0</v>
      </c>
      <c r="I1194" s="58">
        <v>0.23411100000000001</v>
      </c>
      <c r="J1194" s="57">
        <v>0.26622899999999999</v>
      </c>
      <c r="K1194" s="56"/>
      <c r="L1194" s="56" t="s">
        <v>488</v>
      </c>
    </row>
    <row r="1195" spans="2:12" x14ac:dyDescent="0.2">
      <c r="B1195" s="62" t="s">
        <v>4797</v>
      </c>
      <c r="C1195" s="61" t="s">
        <v>4557</v>
      </c>
      <c r="D1195" s="60">
        <v>1.6409499999999999</v>
      </c>
      <c r="E1195" s="59">
        <v>2.5916800000000002</v>
      </c>
      <c r="F1195" s="59">
        <v>5.97797</v>
      </c>
      <c r="G1195" s="56">
        <v>0</v>
      </c>
      <c r="H1195" s="56">
        <v>0</v>
      </c>
      <c r="I1195" s="58">
        <v>0.24404500000000001</v>
      </c>
      <c r="J1195" s="57">
        <v>0.28615400000000002</v>
      </c>
      <c r="K1195" s="56"/>
      <c r="L1195" s="56" t="s">
        <v>488</v>
      </c>
    </row>
    <row r="1196" spans="2:12" x14ac:dyDescent="0.2">
      <c r="B1196" s="62" t="s">
        <v>4796</v>
      </c>
      <c r="C1196" s="61" t="s">
        <v>4795</v>
      </c>
      <c r="D1196" s="60">
        <v>1.7185600000000001</v>
      </c>
      <c r="E1196" s="59">
        <v>2.5305</v>
      </c>
      <c r="F1196" s="59">
        <v>5.9276400000000002</v>
      </c>
      <c r="G1196" s="56">
        <v>0</v>
      </c>
      <c r="H1196" s="56">
        <v>0</v>
      </c>
      <c r="I1196" s="58">
        <v>0.23735800000000001</v>
      </c>
      <c r="J1196" s="57">
        <v>0.26730599999999999</v>
      </c>
      <c r="K1196" s="56"/>
      <c r="L1196" s="56" t="s">
        <v>488</v>
      </c>
    </row>
    <row r="1197" spans="2:12" x14ac:dyDescent="0.2">
      <c r="B1197" s="62" t="s">
        <v>4794</v>
      </c>
      <c r="C1197" s="61" t="s">
        <v>4793</v>
      </c>
      <c r="D1197" s="60">
        <v>1.77742</v>
      </c>
      <c r="E1197" s="59">
        <v>2.50204</v>
      </c>
      <c r="F1197" s="59">
        <v>5.8866399999999999</v>
      </c>
      <c r="G1197" s="56">
        <v>0</v>
      </c>
      <c r="H1197" s="56">
        <v>0</v>
      </c>
      <c r="I1197" s="58">
        <v>0.23350299999999999</v>
      </c>
      <c r="J1197" s="57">
        <v>0.25500600000000001</v>
      </c>
      <c r="K1197" s="56"/>
      <c r="L1197" s="56" t="s">
        <v>488</v>
      </c>
    </row>
    <row r="1198" spans="2:12" x14ac:dyDescent="0.2">
      <c r="B1198" s="62" t="s">
        <v>4792</v>
      </c>
      <c r="C1198" s="61" t="s">
        <v>2148</v>
      </c>
      <c r="D1198" s="60">
        <v>1.67801</v>
      </c>
      <c r="E1198" s="59">
        <v>2.56291</v>
      </c>
      <c r="F1198" s="59">
        <v>5.9672900000000002</v>
      </c>
      <c r="G1198" s="56">
        <v>0</v>
      </c>
      <c r="H1198" s="56">
        <v>0</v>
      </c>
      <c r="I1198" s="58">
        <v>0.24047099999999999</v>
      </c>
      <c r="J1198" s="57">
        <v>0.27723999999999999</v>
      </c>
      <c r="K1198" s="56"/>
      <c r="L1198" s="56" t="s">
        <v>488</v>
      </c>
    </row>
    <row r="1199" spans="2:12" x14ac:dyDescent="0.2">
      <c r="B1199" s="62" t="s">
        <v>4791</v>
      </c>
      <c r="C1199" s="61" t="s">
        <v>4790</v>
      </c>
      <c r="D1199" s="60">
        <v>1.74553</v>
      </c>
      <c r="E1199" s="59">
        <v>2.5099200000000002</v>
      </c>
      <c r="F1199" s="59">
        <v>5.9067999999999996</v>
      </c>
      <c r="G1199" s="56">
        <v>0</v>
      </c>
      <c r="H1199" s="56">
        <v>0</v>
      </c>
      <c r="I1199" s="58">
        <v>0.23103099999999999</v>
      </c>
      <c r="J1199" s="57">
        <v>0.26151400000000002</v>
      </c>
      <c r="K1199" s="56"/>
      <c r="L1199" s="56" t="s">
        <v>488</v>
      </c>
    </row>
    <row r="1200" spans="2:12" x14ac:dyDescent="0.2">
      <c r="B1200" s="62" t="s">
        <v>4789</v>
      </c>
      <c r="C1200" s="61" t="s">
        <v>4788</v>
      </c>
      <c r="D1200" s="60">
        <v>1.75413</v>
      </c>
      <c r="E1200" s="59">
        <v>2.5230299999999999</v>
      </c>
      <c r="F1200" s="59">
        <v>5.9118500000000003</v>
      </c>
      <c r="G1200" s="56">
        <v>0</v>
      </c>
      <c r="H1200" s="56">
        <v>0</v>
      </c>
      <c r="I1200" s="58">
        <v>0.240673</v>
      </c>
      <c r="J1200" s="57">
        <v>0.260187</v>
      </c>
      <c r="K1200" s="56"/>
      <c r="L1200" s="56" t="s">
        <v>488</v>
      </c>
    </row>
    <row r="1201" spans="2:12" x14ac:dyDescent="0.2">
      <c r="B1201" s="62" t="s">
        <v>4787</v>
      </c>
      <c r="C1201" s="61" t="s">
        <v>4786</v>
      </c>
      <c r="D1201" s="60">
        <v>1.4981</v>
      </c>
      <c r="E1201" s="59">
        <v>2.54332</v>
      </c>
      <c r="F1201" s="59">
        <v>5.9398799999999996</v>
      </c>
      <c r="G1201" s="56">
        <v>0</v>
      </c>
      <c r="H1201" s="56">
        <v>0</v>
      </c>
      <c r="I1201" s="58">
        <v>0.242475</v>
      </c>
      <c r="J1201" s="57">
        <v>0.30776599999999998</v>
      </c>
      <c r="K1201" s="56"/>
      <c r="L1201" s="56" t="s">
        <v>488</v>
      </c>
    </row>
    <row r="1202" spans="2:12" x14ac:dyDescent="0.2">
      <c r="B1202" s="62" t="s">
        <v>4785</v>
      </c>
      <c r="C1202" s="61" t="s">
        <v>499</v>
      </c>
      <c r="D1202" s="60">
        <v>1.2843199999999999</v>
      </c>
      <c r="E1202" s="59">
        <v>4.0118</v>
      </c>
      <c r="F1202" s="59">
        <v>6.6907899999999998</v>
      </c>
      <c r="G1202" s="56">
        <v>981.68399999999997</v>
      </c>
      <c r="H1202" s="56">
        <v>764.36099999999999</v>
      </c>
      <c r="I1202" s="58">
        <v>0.53716699999999995</v>
      </c>
      <c r="J1202" s="57">
        <v>0.44391999999999998</v>
      </c>
      <c r="K1202" s="56"/>
      <c r="L1202" s="56" t="s">
        <v>492</v>
      </c>
    </row>
    <row r="1203" spans="2:12" x14ac:dyDescent="0.2">
      <c r="B1203" s="62" t="s">
        <v>4784</v>
      </c>
      <c r="C1203" s="61" t="s">
        <v>510</v>
      </c>
      <c r="D1203" s="60">
        <v>0.77339199999999997</v>
      </c>
      <c r="E1203" s="59">
        <v>5.6097799999999998</v>
      </c>
      <c r="F1203" s="59">
        <v>9.2363599999999995</v>
      </c>
      <c r="G1203" s="56">
        <v>2061.5300000000002</v>
      </c>
      <c r="H1203" s="56">
        <v>2665.56</v>
      </c>
      <c r="I1203" s="58">
        <v>0.75768400000000002</v>
      </c>
      <c r="J1203" s="57">
        <v>0.91210100000000005</v>
      </c>
      <c r="K1203" s="56"/>
      <c r="L1203" s="56" t="s">
        <v>488</v>
      </c>
    </row>
    <row r="1204" spans="2:12" x14ac:dyDescent="0.2">
      <c r="B1204" s="62" t="s">
        <v>4783</v>
      </c>
      <c r="C1204" s="61" t="s">
        <v>569</v>
      </c>
      <c r="D1204" s="60">
        <v>0.92712899999999998</v>
      </c>
      <c r="E1204" s="59">
        <v>3.0941299999999998</v>
      </c>
      <c r="F1204" s="59">
        <v>5.5202099999999996</v>
      </c>
      <c r="G1204" s="56">
        <v>0</v>
      </c>
      <c r="H1204" s="56">
        <v>0</v>
      </c>
      <c r="I1204" s="58">
        <v>0.39896999999999999</v>
      </c>
      <c r="J1204" s="57">
        <v>0.55455299999999996</v>
      </c>
      <c r="K1204" s="56"/>
      <c r="L1204" s="56" t="s">
        <v>488</v>
      </c>
    </row>
    <row r="1205" spans="2:12" x14ac:dyDescent="0.2">
      <c r="B1205" s="62" t="s">
        <v>4782</v>
      </c>
      <c r="C1205" s="61" t="s">
        <v>550</v>
      </c>
      <c r="D1205" s="60">
        <v>1.3278099999999999</v>
      </c>
      <c r="E1205" s="59">
        <v>3.27874</v>
      </c>
      <c r="F1205" s="59">
        <v>4.7952700000000004</v>
      </c>
      <c r="G1205" s="56">
        <v>0</v>
      </c>
      <c r="H1205" s="56">
        <v>0</v>
      </c>
      <c r="I1205" s="58">
        <v>0.23123099999999999</v>
      </c>
      <c r="J1205" s="57">
        <v>0.34227600000000002</v>
      </c>
      <c r="K1205" s="56"/>
      <c r="L1205" s="56" t="s">
        <v>492</v>
      </c>
    </row>
    <row r="1206" spans="2:12" x14ac:dyDescent="0.2">
      <c r="B1206" s="62" t="s">
        <v>4781</v>
      </c>
      <c r="C1206" s="61" t="s">
        <v>499</v>
      </c>
      <c r="D1206" s="60">
        <v>0.78412300000000001</v>
      </c>
      <c r="E1206" s="59">
        <v>6.4053599999999999</v>
      </c>
      <c r="F1206" s="59">
        <v>10.23981</v>
      </c>
      <c r="G1206" s="56">
        <v>1752.67</v>
      </c>
      <c r="H1206" s="56">
        <v>2235.1999999999998</v>
      </c>
      <c r="I1206" s="58">
        <v>0.68834099999999998</v>
      </c>
      <c r="J1206" s="57">
        <v>0.89380999999999999</v>
      </c>
      <c r="K1206" s="56"/>
      <c r="L1206" s="56" t="s">
        <v>488</v>
      </c>
    </row>
    <row r="1207" spans="2:12" x14ac:dyDescent="0.2">
      <c r="B1207" s="62" t="s">
        <v>4780</v>
      </c>
      <c r="C1207" s="61" t="s">
        <v>1325</v>
      </c>
      <c r="D1207" s="60">
        <v>1.86686</v>
      </c>
      <c r="E1207" s="59">
        <v>3.6772800000000001</v>
      </c>
      <c r="F1207" s="59">
        <v>4.8312499999999998</v>
      </c>
      <c r="G1207" s="56">
        <v>0</v>
      </c>
      <c r="H1207" s="56">
        <v>0</v>
      </c>
      <c r="I1207" s="58">
        <v>0.41993900000000001</v>
      </c>
      <c r="J1207" s="57">
        <v>0.29482399999999997</v>
      </c>
      <c r="K1207" s="56"/>
      <c r="L1207" s="56" t="s">
        <v>488</v>
      </c>
    </row>
    <row r="1208" spans="2:12" x14ac:dyDescent="0.2">
      <c r="B1208" s="62" t="s">
        <v>4779</v>
      </c>
      <c r="C1208" s="61" t="s">
        <v>1622</v>
      </c>
      <c r="D1208" s="60">
        <v>1.6068899999999999</v>
      </c>
      <c r="E1208" s="59">
        <v>3.1171500000000001</v>
      </c>
      <c r="F1208" s="59">
        <v>4.3958000000000004</v>
      </c>
      <c r="G1208" s="56">
        <v>0</v>
      </c>
      <c r="H1208" s="56">
        <v>0</v>
      </c>
      <c r="I1208" s="58">
        <v>0.35744900000000002</v>
      </c>
      <c r="J1208" s="57">
        <v>0.31080799999999997</v>
      </c>
      <c r="K1208" s="56"/>
      <c r="L1208" s="56" t="s">
        <v>488</v>
      </c>
    </row>
    <row r="1209" spans="2:12" x14ac:dyDescent="0.2">
      <c r="B1209" s="62" t="s">
        <v>4778</v>
      </c>
      <c r="C1209" s="61" t="s">
        <v>1622</v>
      </c>
      <c r="D1209" s="60">
        <v>1.4234500000000001</v>
      </c>
      <c r="E1209" s="59">
        <v>3.8776899999999999</v>
      </c>
      <c r="F1209" s="59">
        <v>4.9207799999999997</v>
      </c>
      <c r="G1209" s="56">
        <v>877.86400000000003</v>
      </c>
      <c r="H1209" s="56">
        <v>616.71500000000003</v>
      </c>
      <c r="I1209" s="58">
        <v>0.44190499999999999</v>
      </c>
      <c r="J1209" s="57">
        <v>0.38582699999999998</v>
      </c>
      <c r="K1209" s="56"/>
      <c r="L1209" s="56" t="s">
        <v>488</v>
      </c>
    </row>
    <row r="1210" spans="2:12" x14ac:dyDescent="0.2">
      <c r="B1210" s="62" t="s">
        <v>4777</v>
      </c>
      <c r="C1210" s="61" t="s">
        <v>495</v>
      </c>
      <c r="D1210" s="60">
        <v>1.0513699999999999</v>
      </c>
      <c r="E1210" s="59">
        <v>4.0378699999999998</v>
      </c>
      <c r="F1210" s="59">
        <v>6.5158100000000001</v>
      </c>
      <c r="G1210" s="56">
        <v>1354.32</v>
      </c>
      <c r="H1210" s="56">
        <v>1288.1500000000001</v>
      </c>
      <c r="I1210" s="58">
        <v>0.52737400000000001</v>
      </c>
      <c r="J1210" s="57">
        <v>0.51543499999999998</v>
      </c>
      <c r="K1210" s="56"/>
      <c r="L1210" s="56" t="s">
        <v>488</v>
      </c>
    </row>
    <row r="1211" spans="2:12" x14ac:dyDescent="0.2">
      <c r="B1211" s="62" t="s">
        <v>4776</v>
      </c>
      <c r="C1211" s="61" t="s">
        <v>510</v>
      </c>
      <c r="D1211" s="60">
        <v>1.24075</v>
      </c>
      <c r="E1211" s="59">
        <v>2.58697</v>
      </c>
      <c r="F1211" s="59">
        <v>4.1197299999999997</v>
      </c>
      <c r="G1211" s="56">
        <v>0</v>
      </c>
      <c r="H1211" s="56">
        <v>0</v>
      </c>
      <c r="I1211" s="58">
        <v>0.155694</v>
      </c>
      <c r="J1211" s="57">
        <v>0.353798</v>
      </c>
      <c r="K1211" s="56"/>
      <c r="L1211" s="56" t="s">
        <v>488</v>
      </c>
    </row>
    <row r="1212" spans="2:12" x14ac:dyDescent="0.2">
      <c r="B1212" s="62" t="s">
        <v>4775</v>
      </c>
      <c r="C1212" s="61" t="s">
        <v>708</v>
      </c>
      <c r="D1212" s="60">
        <v>1.25075</v>
      </c>
      <c r="E1212" s="59">
        <v>2.5330300000000001</v>
      </c>
      <c r="F1212" s="59">
        <v>4.1180399999999997</v>
      </c>
      <c r="G1212" s="56">
        <v>0</v>
      </c>
      <c r="H1212" s="56">
        <v>0</v>
      </c>
      <c r="I1212" s="58">
        <v>0.150869</v>
      </c>
      <c r="J1212" s="57">
        <v>0.34903200000000001</v>
      </c>
      <c r="K1212" s="56"/>
      <c r="L1212" s="56" t="s">
        <v>488</v>
      </c>
    </row>
    <row r="1213" spans="2:12" x14ac:dyDescent="0.2">
      <c r="B1213" s="62" t="s">
        <v>4774</v>
      </c>
      <c r="C1213" s="61" t="s">
        <v>502</v>
      </c>
      <c r="D1213" s="60">
        <v>0.80611200000000005</v>
      </c>
      <c r="E1213" s="59">
        <v>10.18421</v>
      </c>
      <c r="F1213" s="59">
        <v>10.99822</v>
      </c>
      <c r="G1213" s="56">
        <v>1483.83</v>
      </c>
      <c r="H1213" s="56">
        <v>1840.73</v>
      </c>
      <c r="I1213" s="58">
        <v>0.57547499999999996</v>
      </c>
      <c r="J1213" s="57">
        <v>0.83005200000000001</v>
      </c>
      <c r="K1213" s="56"/>
      <c r="L1213" s="56" t="s">
        <v>488</v>
      </c>
    </row>
    <row r="1214" spans="2:12" x14ac:dyDescent="0.2">
      <c r="B1214" s="62" t="s">
        <v>4773</v>
      </c>
      <c r="C1214" s="61" t="s">
        <v>582</v>
      </c>
      <c r="D1214" s="60">
        <v>0.85858299999999999</v>
      </c>
      <c r="E1214" s="59">
        <v>4.3322000000000003</v>
      </c>
      <c r="F1214" s="59">
        <v>8.3071699999999993</v>
      </c>
      <c r="G1214" s="56">
        <v>1885.7</v>
      </c>
      <c r="H1214" s="56">
        <v>2196.29</v>
      </c>
      <c r="I1214" s="58">
        <v>0.61214599999999997</v>
      </c>
      <c r="J1214" s="57">
        <v>0.78504700000000005</v>
      </c>
      <c r="K1214" s="56"/>
      <c r="L1214" s="56" t="s">
        <v>492</v>
      </c>
    </row>
    <row r="1215" spans="2:12" x14ac:dyDescent="0.2">
      <c r="B1215" s="62" t="s">
        <v>4772</v>
      </c>
      <c r="C1215" s="61" t="s">
        <v>1226</v>
      </c>
      <c r="D1215" s="60">
        <v>0.72230799999999995</v>
      </c>
      <c r="E1215" s="59">
        <v>4.5426000000000002</v>
      </c>
      <c r="F1215" s="59">
        <v>12.016970000000001</v>
      </c>
      <c r="G1215" s="56">
        <v>1868.29</v>
      </c>
      <c r="H1215" s="56">
        <v>2586.56</v>
      </c>
      <c r="I1215" s="58">
        <v>0.68102499999999999</v>
      </c>
      <c r="J1215" s="57">
        <v>1.00492</v>
      </c>
      <c r="K1215" s="56"/>
      <c r="L1215" s="56" t="s">
        <v>492</v>
      </c>
    </row>
    <row r="1216" spans="2:12" x14ac:dyDescent="0.2">
      <c r="B1216" s="62" t="s">
        <v>4771</v>
      </c>
      <c r="C1216" s="61" t="s">
        <v>502</v>
      </c>
      <c r="D1216" s="60">
        <v>1.7710399999999999</v>
      </c>
      <c r="E1216" s="59">
        <v>2.9176600000000001</v>
      </c>
      <c r="F1216" s="59">
        <v>3.3227699999999998</v>
      </c>
      <c r="G1216" s="56">
        <v>0</v>
      </c>
      <c r="H1216" s="56">
        <v>0</v>
      </c>
      <c r="I1216" s="58">
        <v>0.10684299999999999</v>
      </c>
      <c r="J1216" s="57">
        <v>0.21208099999999999</v>
      </c>
      <c r="K1216" s="56"/>
      <c r="L1216" s="56" t="s">
        <v>488</v>
      </c>
    </row>
    <row r="1217" spans="2:12" x14ac:dyDescent="0.2">
      <c r="B1217" s="62" t="s">
        <v>4770</v>
      </c>
      <c r="C1217" s="61" t="s">
        <v>2526</v>
      </c>
      <c r="D1217" s="60">
        <v>1.3034399999999999</v>
      </c>
      <c r="E1217" s="59">
        <v>3.7814100000000002</v>
      </c>
      <c r="F1217" s="59">
        <v>4.7049399999999997</v>
      </c>
      <c r="G1217" s="56">
        <v>195.22800000000001</v>
      </c>
      <c r="H1217" s="56">
        <v>149.77799999999999</v>
      </c>
      <c r="I1217" s="58">
        <v>0.219281</v>
      </c>
      <c r="J1217" s="57">
        <v>0.35736600000000002</v>
      </c>
      <c r="K1217" s="56"/>
      <c r="L1217" s="56" t="s">
        <v>488</v>
      </c>
    </row>
    <row r="1218" spans="2:12" x14ac:dyDescent="0.2">
      <c r="B1218" s="62" t="s">
        <v>4769</v>
      </c>
      <c r="C1218" s="61" t="s">
        <v>510</v>
      </c>
      <c r="D1218" s="60">
        <v>1.0728899999999999</v>
      </c>
      <c r="E1218" s="59">
        <v>3.1993200000000002</v>
      </c>
      <c r="F1218" s="59">
        <v>5.0738899999999996</v>
      </c>
      <c r="G1218" s="56">
        <v>0</v>
      </c>
      <c r="H1218" s="56">
        <v>0</v>
      </c>
      <c r="I1218" s="58">
        <v>0.29469600000000001</v>
      </c>
      <c r="J1218" s="57">
        <v>0.47774100000000003</v>
      </c>
      <c r="K1218" s="56"/>
      <c r="L1218" s="56" t="s">
        <v>492</v>
      </c>
    </row>
    <row r="1219" spans="2:12" x14ac:dyDescent="0.2">
      <c r="B1219" s="62" t="s">
        <v>4768</v>
      </c>
      <c r="C1219" s="61" t="s">
        <v>495</v>
      </c>
      <c r="D1219" s="60">
        <v>1.20459</v>
      </c>
      <c r="E1219" s="59">
        <v>3.56324</v>
      </c>
      <c r="F1219" s="59">
        <v>5.2224500000000003</v>
      </c>
      <c r="G1219" s="56">
        <v>0</v>
      </c>
      <c r="H1219" s="56">
        <v>0</v>
      </c>
      <c r="I1219" s="58">
        <v>0.31768800000000003</v>
      </c>
      <c r="J1219" s="57">
        <v>0.43888500000000003</v>
      </c>
      <c r="K1219" s="56"/>
      <c r="L1219" s="56" t="s">
        <v>492</v>
      </c>
    </row>
    <row r="1220" spans="2:12" x14ac:dyDescent="0.2">
      <c r="B1220" s="62" t="s">
        <v>4767</v>
      </c>
      <c r="C1220" s="61" t="s">
        <v>641</v>
      </c>
      <c r="D1220" s="60">
        <v>1.6365499999999999</v>
      </c>
      <c r="E1220" s="59">
        <v>3.9371299999999998</v>
      </c>
      <c r="F1220" s="59">
        <v>4.3896699999999997</v>
      </c>
      <c r="G1220" s="56">
        <v>447.572</v>
      </c>
      <c r="H1220" s="56">
        <v>273.48399999999998</v>
      </c>
      <c r="I1220" s="58">
        <v>0.25902799999999998</v>
      </c>
      <c r="J1220" s="57">
        <v>0.23926</v>
      </c>
      <c r="K1220" s="56"/>
      <c r="L1220" s="56" t="s">
        <v>488</v>
      </c>
    </row>
    <row r="1221" spans="2:12" x14ac:dyDescent="0.2">
      <c r="B1221" s="62" t="s">
        <v>4766</v>
      </c>
      <c r="C1221" s="61" t="s">
        <v>1518</v>
      </c>
      <c r="D1221" s="60">
        <v>2.3462499999999999</v>
      </c>
      <c r="E1221" s="59">
        <v>5.1495899999999999</v>
      </c>
      <c r="F1221" s="59">
        <v>5.3214699999999997</v>
      </c>
      <c r="G1221" s="56">
        <v>928.28800000000001</v>
      </c>
      <c r="H1221" s="56">
        <v>395.64800000000002</v>
      </c>
      <c r="I1221" s="58">
        <v>0.391455</v>
      </c>
      <c r="J1221" s="57">
        <v>0.19955600000000001</v>
      </c>
      <c r="K1221" s="56" t="s">
        <v>4765</v>
      </c>
      <c r="L1221" s="56" t="s">
        <v>563</v>
      </c>
    </row>
    <row r="1222" spans="2:12" x14ac:dyDescent="0.2">
      <c r="B1222" s="62" t="s">
        <v>4764</v>
      </c>
      <c r="C1222" s="61" t="s">
        <v>940</v>
      </c>
      <c r="D1222" s="60">
        <v>2.2856800000000002</v>
      </c>
      <c r="E1222" s="59">
        <v>5.1971100000000003</v>
      </c>
      <c r="F1222" s="59">
        <v>5.3553600000000001</v>
      </c>
      <c r="G1222" s="56">
        <v>957.22299999999996</v>
      </c>
      <c r="H1222" s="56">
        <v>418.791</v>
      </c>
      <c r="I1222" s="58">
        <v>0.40038499999999999</v>
      </c>
      <c r="J1222" s="57">
        <v>0.207981</v>
      </c>
      <c r="K1222" s="56"/>
      <c r="L1222" s="56" t="s">
        <v>488</v>
      </c>
    </row>
    <row r="1223" spans="2:12" x14ac:dyDescent="0.2">
      <c r="B1223" s="62" t="s">
        <v>4763</v>
      </c>
      <c r="C1223" s="61" t="s">
        <v>708</v>
      </c>
      <c r="D1223" s="60">
        <v>0.65828399999999998</v>
      </c>
      <c r="E1223" s="59">
        <v>8.0109100000000009</v>
      </c>
      <c r="F1223" s="59">
        <v>9.1388800000000003</v>
      </c>
      <c r="G1223" s="56">
        <v>2125</v>
      </c>
      <c r="H1223" s="56">
        <v>3228.09</v>
      </c>
      <c r="I1223" s="58">
        <v>0.74773699999999999</v>
      </c>
      <c r="J1223" s="57">
        <v>1.1539200000000001</v>
      </c>
      <c r="K1223" s="56"/>
      <c r="L1223" s="56" t="s">
        <v>488</v>
      </c>
    </row>
    <row r="1224" spans="2:12" x14ac:dyDescent="0.2">
      <c r="B1224" s="62" t="s">
        <v>4762</v>
      </c>
      <c r="C1224" s="61" t="s">
        <v>510</v>
      </c>
      <c r="D1224" s="60">
        <v>0.92385799999999996</v>
      </c>
      <c r="E1224" s="59">
        <v>3.7716699999999999</v>
      </c>
      <c r="F1224" s="59">
        <v>6.5013399999999999</v>
      </c>
      <c r="G1224" s="56">
        <v>730.93100000000004</v>
      </c>
      <c r="H1224" s="56">
        <v>791.173</v>
      </c>
      <c r="I1224" s="58">
        <v>0.55707700000000004</v>
      </c>
      <c r="J1224" s="57">
        <v>0.64143499999999998</v>
      </c>
      <c r="K1224" s="56"/>
      <c r="L1224" s="56" t="s">
        <v>488</v>
      </c>
    </row>
    <row r="1225" spans="2:12" x14ac:dyDescent="0.2">
      <c r="B1225" s="62" t="s">
        <v>4761</v>
      </c>
      <c r="C1225" s="61" t="s">
        <v>612</v>
      </c>
      <c r="D1225" s="60">
        <v>0.839472</v>
      </c>
      <c r="E1225" s="59">
        <v>4.1034300000000004</v>
      </c>
      <c r="F1225" s="59">
        <v>13.46293</v>
      </c>
      <c r="G1225" s="56">
        <v>1033.67</v>
      </c>
      <c r="H1225" s="56">
        <v>1231.3399999999999</v>
      </c>
      <c r="I1225" s="58">
        <v>0.55931799999999998</v>
      </c>
      <c r="J1225" s="57">
        <v>0.73757200000000001</v>
      </c>
      <c r="K1225" s="56"/>
      <c r="L1225" s="56" t="s">
        <v>488</v>
      </c>
    </row>
    <row r="1226" spans="2:12" x14ac:dyDescent="0.2">
      <c r="B1226" s="62" t="s">
        <v>4760</v>
      </c>
      <c r="C1226" s="61" t="s">
        <v>510</v>
      </c>
      <c r="D1226" s="60">
        <v>1.0182500000000001</v>
      </c>
      <c r="E1226" s="59">
        <v>5.4813700000000001</v>
      </c>
      <c r="F1226" s="59">
        <v>6.1489200000000004</v>
      </c>
      <c r="G1226" s="56">
        <v>1217.45</v>
      </c>
      <c r="H1226" s="56">
        <v>1195.6300000000001</v>
      </c>
      <c r="I1226" s="58">
        <v>0.61759699999999995</v>
      </c>
      <c r="J1226" s="57">
        <v>0.57264099999999996</v>
      </c>
      <c r="K1226" s="56"/>
      <c r="L1226" s="56" t="s">
        <v>488</v>
      </c>
    </row>
    <row r="1227" spans="2:12" x14ac:dyDescent="0.2">
      <c r="B1227" s="62" t="s">
        <v>4759</v>
      </c>
      <c r="C1227" s="61" t="s">
        <v>502</v>
      </c>
      <c r="D1227" s="60">
        <v>1.79558</v>
      </c>
      <c r="E1227" s="59">
        <v>2.8367499999999999</v>
      </c>
      <c r="F1227" s="59">
        <v>3.1244000000000001</v>
      </c>
      <c r="G1227" s="56">
        <v>0</v>
      </c>
      <c r="H1227" s="56">
        <v>0</v>
      </c>
      <c r="I1227" s="58">
        <v>6.2774700000000003E-2</v>
      </c>
      <c r="J1227" s="57">
        <v>0.201158</v>
      </c>
      <c r="K1227" s="56"/>
      <c r="L1227" s="56" t="s">
        <v>488</v>
      </c>
    </row>
    <row r="1228" spans="2:12" x14ac:dyDescent="0.2">
      <c r="B1228" s="62" t="s">
        <v>4758</v>
      </c>
      <c r="C1228" s="61" t="s">
        <v>502</v>
      </c>
      <c r="D1228" s="60">
        <v>1.75745</v>
      </c>
      <c r="E1228" s="59">
        <v>2.6761699999999999</v>
      </c>
      <c r="F1228" s="59">
        <v>3.0794100000000002</v>
      </c>
      <c r="G1228" s="56">
        <v>0</v>
      </c>
      <c r="H1228" s="56">
        <v>0</v>
      </c>
      <c r="I1228" s="58">
        <v>7.6327599999999995E-2</v>
      </c>
      <c r="J1228" s="57">
        <v>0.21726500000000001</v>
      </c>
      <c r="K1228" s="56"/>
      <c r="L1228" s="56" t="s">
        <v>488</v>
      </c>
    </row>
    <row r="1229" spans="2:12" x14ac:dyDescent="0.2">
      <c r="B1229" s="62" t="s">
        <v>4757</v>
      </c>
      <c r="C1229" s="61" t="s">
        <v>510</v>
      </c>
      <c r="D1229" s="60">
        <v>0.913381</v>
      </c>
      <c r="E1229" s="59">
        <v>4.7239899999999997</v>
      </c>
      <c r="F1229" s="59">
        <v>6.2564599999999997</v>
      </c>
      <c r="G1229" s="56">
        <v>2139.4699999999998</v>
      </c>
      <c r="H1229" s="56">
        <v>2342.37</v>
      </c>
      <c r="I1229" s="58">
        <v>0.72878600000000004</v>
      </c>
      <c r="J1229" s="57">
        <v>0.72547399999999995</v>
      </c>
      <c r="K1229" s="56"/>
      <c r="L1229" s="56" t="s">
        <v>488</v>
      </c>
    </row>
    <row r="1230" spans="2:12" x14ac:dyDescent="0.2">
      <c r="B1230" s="62" t="s">
        <v>4756</v>
      </c>
      <c r="C1230" s="61" t="s">
        <v>579</v>
      </c>
      <c r="D1230" s="60">
        <v>1.30044</v>
      </c>
      <c r="E1230" s="59">
        <v>4.1782199999999996</v>
      </c>
      <c r="F1230" s="59">
        <v>5.7309999999999999</v>
      </c>
      <c r="G1230" s="56">
        <v>1060.52</v>
      </c>
      <c r="H1230" s="56">
        <v>815.505</v>
      </c>
      <c r="I1230" s="58">
        <v>0.48840800000000001</v>
      </c>
      <c r="J1230" s="57">
        <v>0.44209199999999998</v>
      </c>
      <c r="K1230" s="56"/>
      <c r="L1230" s="56" t="s">
        <v>488</v>
      </c>
    </row>
    <row r="1231" spans="2:12" x14ac:dyDescent="0.2">
      <c r="B1231" s="62" t="s">
        <v>4755</v>
      </c>
      <c r="C1231" s="61" t="s">
        <v>502</v>
      </c>
      <c r="D1231" s="60">
        <v>1.4105399999999999</v>
      </c>
      <c r="E1231" s="59">
        <v>3.9235199999999999</v>
      </c>
      <c r="F1231" s="59">
        <v>6.5556799999999997</v>
      </c>
      <c r="G1231" s="56">
        <v>414.24599999999998</v>
      </c>
      <c r="H1231" s="56">
        <v>293.68</v>
      </c>
      <c r="I1231" s="58">
        <v>0.17466499999999999</v>
      </c>
      <c r="J1231" s="57">
        <v>0.34363900000000003</v>
      </c>
      <c r="K1231" s="56"/>
      <c r="L1231" s="56" t="s">
        <v>492</v>
      </c>
    </row>
    <row r="1232" spans="2:12" x14ac:dyDescent="0.2">
      <c r="B1232" s="62" t="s">
        <v>4754</v>
      </c>
      <c r="C1232" s="61" t="s">
        <v>502</v>
      </c>
      <c r="D1232" s="60">
        <v>1.4332</v>
      </c>
      <c r="E1232" s="59">
        <v>4.0685700000000002</v>
      </c>
      <c r="F1232" s="59">
        <v>6.4605300000000003</v>
      </c>
      <c r="G1232" s="56">
        <v>443.66699999999997</v>
      </c>
      <c r="H1232" s="56">
        <v>309.56400000000002</v>
      </c>
      <c r="I1232" s="58">
        <v>0.17666799999999999</v>
      </c>
      <c r="J1232" s="57">
        <v>0.33762799999999998</v>
      </c>
      <c r="K1232" s="56"/>
      <c r="L1232" s="56" t="s">
        <v>492</v>
      </c>
    </row>
    <row r="1233" spans="2:12" x14ac:dyDescent="0.2">
      <c r="B1233" s="62" t="s">
        <v>4753</v>
      </c>
      <c r="C1233" s="61" t="s">
        <v>2445</v>
      </c>
      <c r="D1233" s="60">
        <v>1.3201000000000001</v>
      </c>
      <c r="E1233" s="59">
        <v>5.2976799999999997</v>
      </c>
      <c r="F1233" s="59">
        <v>6.8079499999999999</v>
      </c>
      <c r="G1233" s="56">
        <v>1725.71</v>
      </c>
      <c r="H1233" s="56">
        <v>1307.25</v>
      </c>
      <c r="I1233" s="58">
        <v>0.61720699999999995</v>
      </c>
      <c r="J1233" s="57">
        <v>0.47508499999999998</v>
      </c>
      <c r="K1233" s="56"/>
      <c r="L1233" s="56" t="s">
        <v>488</v>
      </c>
    </row>
    <row r="1234" spans="2:12" x14ac:dyDescent="0.2">
      <c r="B1234" s="62" t="s">
        <v>4752</v>
      </c>
      <c r="C1234" s="61" t="s">
        <v>502</v>
      </c>
      <c r="D1234" s="60">
        <v>1.33968</v>
      </c>
      <c r="E1234" s="59">
        <v>3.6475300000000002</v>
      </c>
      <c r="F1234" s="59">
        <v>4.7192699999999999</v>
      </c>
      <c r="G1234" s="56">
        <v>0</v>
      </c>
      <c r="H1234" s="56">
        <v>0</v>
      </c>
      <c r="I1234" s="58">
        <v>0.23938300000000001</v>
      </c>
      <c r="J1234" s="57">
        <v>0.37191099999999999</v>
      </c>
      <c r="K1234" s="56"/>
      <c r="L1234" s="56" t="s">
        <v>488</v>
      </c>
    </row>
    <row r="1235" spans="2:12" x14ac:dyDescent="0.2">
      <c r="B1235" s="62" t="s">
        <v>4751</v>
      </c>
      <c r="C1235" s="61" t="s">
        <v>502</v>
      </c>
      <c r="D1235" s="60">
        <v>1.29192</v>
      </c>
      <c r="E1235" s="59">
        <v>3.42361</v>
      </c>
      <c r="F1235" s="59">
        <v>5.3367000000000004</v>
      </c>
      <c r="G1235" s="56">
        <v>0</v>
      </c>
      <c r="H1235" s="56">
        <v>0</v>
      </c>
      <c r="I1235" s="58">
        <v>0.29654999999999998</v>
      </c>
      <c r="J1235" s="57">
        <v>0.39960800000000002</v>
      </c>
      <c r="K1235" s="56"/>
      <c r="L1235" s="56" t="s">
        <v>488</v>
      </c>
    </row>
    <row r="1236" spans="2:12" x14ac:dyDescent="0.2">
      <c r="B1236" s="62" t="s">
        <v>4750</v>
      </c>
      <c r="C1236" s="61" t="s">
        <v>1767</v>
      </c>
      <c r="D1236" s="60">
        <v>0.69839700000000005</v>
      </c>
      <c r="E1236" s="59">
        <v>15.90265</v>
      </c>
      <c r="F1236" s="59">
        <v>15.993270000000001</v>
      </c>
      <c r="G1236" s="56">
        <v>1321.84</v>
      </c>
      <c r="H1236" s="56">
        <v>1892.68</v>
      </c>
      <c r="I1236" s="58">
        <v>0.69179299999999999</v>
      </c>
      <c r="J1236" s="57">
        <v>1.0152000000000001</v>
      </c>
      <c r="K1236" s="56"/>
      <c r="L1236" s="56" t="s">
        <v>488</v>
      </c>
    </row>
    <row r="1237" spans="2:12" x14ac:dyDescent="0.2">
      <c r="B1237" s="62" t="s">
        <v>4749</v>
      </c>
      <c r="C1237" s="61" t="s">
        <v>510</v>
      </c>
      <c r="D1237" s="60">
        <v>1.2887900000000001</v>
      </c>
      <c r="E1237" s="59">
        <v>4.4928100000000004</v>
      </c>
      <c r="F1237" s="59">
        <v>4.8138300000000003</v>
      </c>
      <c r="G1237" s="56">
        <v>443.58100000000002</v>
      </c>
      <c r="H1237" s="56">
        <v>344.05200000000002</v>
      </c>
      <c r="I1237" s="58">
        <v>0.345528</v>
      </c>
      <c r="J1237" s="57">
        <v>0.37110300000000002</v>
      </c>
      <c r="K1237" s="56"/>
      <c r="L1237" s="56" t="s">
        <v>488</v>
      </c>
    </row>
    <row r="1238" spans="2:12" x14ac:dyDescent="0.2">
      <c r="B1238" s="62" t="s">
        <v>4748</v>
      </c>
      <c r="C1238" s="61" t="s">
        <v>510</v>
      </c>
      <c r="D1238" s="60">
        <v>1.28928</v>
      </c>
      <c r="E1238" s="59">
        <v>4.5114200000000002</v>
      </c>
      <c r="F1238" s="59">
        <v>4.8306300000000002</v>
      </c>
      <c r="G1238" s="56">
        <v>460.57400000000001</v>
      </c>
      <c r="H1238" s="56">
        <v>357.37</v>
      </c>
      <c r="I1238" s="58">
        <v>0.34264600000000001</v>
      </c>
      <c r="J1238" s="57">
        <v>0.37105700000000003</v>
      </c>
      <c r="K1238" s="56"/>
      <c r="L1238" s="56" t="s">
        <v>488</v>
      </c>
    </row>
    <row r="1239" spans="2:12" x14ac:dyDescent="0.2">
      <c r="B1239" s="62" t="s">
        <v>4747</v>
      </c>
      <c r="C1239" s="61" t="s">
        <v>3796</v>
      </c>
      <c r="D1239" s="60">
        <v>0.97786099999999998</v>
      </c>
      <c r="E1239" s="59">
        <v>4.2435600000000004</v>
      </c>
      <c r="F1239" s="59">
        <v>6.0451199999999998</v>
      </c>
      <c r="G1239" s="56">
        <v>1434.51</v>
      </c>
      <c r="H1239" s="56">
        <v>1466.99</v>
      </c>
      <c r="I1239" s="58">
        <v>0.53818200000000005</v>
      </c>
      <c r="J1239" s="57">
        <v>0.60519900000000004</v>
      </c>
      <c r="K1239" s="56"/>
      <c r="L1239" s="56" t="s">
        <v>488</v>
      </c>
    </row>
    <row r="1240" spans="2:12" x14ac:dyDescent="0.2">
      <c r="B1240" s="62" t="s">
        <v>4746</v>
      </c>
      <c r="C1240" s="61" t="s">
        <v>510</v>
      </c>
      <c r="D1240" s="60">
        <v>1.2954399999999999</v>
      </c>
      <c r="E1240" s="59">
        <v>4.4258699999999997</v>
      </c>
      <c r="F1240" s="59">
        <v>4.8407</v>
      </c>
      <c r="G1240" s="56">
        <v>402.50400000000002</v>
      </c>
      <c r="H1240" s="56">
        <v>310.709</v>
      </c>
      <c r="I1240" s="58">
        <v>0.33273999999999998</v>
      </c>
      <c r="J1240" s="57">
        <v>0.36938599999999999</v>
      </c>
      <c r="K1240" s="56"/>
      <c r="L1240" s="56" t="s">
        <v>488</v>
      </c>
    </row>
    <row r="1241" spans="2:12" x14ac:dyDescent="0.2">
      <c r="B1241" s="62" t="s">
        <v>4745</v>
      </c>
      <c r="C1241" s="61" t="s">
        <v>1622</v>
      </c>
      <c r="D1241" s="60">
        <v>0.98546500000000004</v>
      </c>
      <c r="E1241" s="59">
        <v>3.9660700000000002</v>
      </c>
      <c r="F1241" s="59">
        <v>5.9989699999999999</v>
      </c>
      <c r="G1241" s="56">
        <v>1253.8599999999999</v>
      </c>
      <c r="H1241" s="56">
        <v>1272.3499999999999</v>
      </c>
      <c r="I1241" s="58">
        <v>0.52610000000000001</v>
      </c>
      <c r="J1241" s="57">
        <v>0.59719599999999995</v>
      </c>
      <c r="K1241" s="56"/>
      <c r="L1241" s="56" t="s">
        <v>488</v>
      </c>
    </row>
    <row r="1242" spans="2:12" x14ac:dyDescent="0.2">
      <c r="B1242" s="62" t="s">
        <v>4744</v>
      </c>
      <c r="C1242" s="61" t="s">
        <v>510</v>
      </c>
      <c r="D1242" s="60">
        <v>1.3061499999999999</v>
      </c>
      <c r="E1242" s="59">
        <v>3.8087399999999998</v>
      </c>
      <c r="F1242" s="59">
        <v>4.61829</v>
      </c>
      <c r="G1242" s="56">
        <v>232.578</v>
      </c>
      <c r="H1242" s="56">
        <v>178.06399999999999</v>
      </c>
      <c r="I1242" s="58">
        <v>0.27325700000000003</v>
      </c>
      <c r="J1242" s="57">
        <v>0.36519499999999999</v>
      </c>
      <c r="K1242" s="56"/>
      <c r="L1242" s="56" t="s">
        <v>488</v>
      </c>
    </row>
    <row r="1243" spans="2:12" x14ac:dyDescent="0.2">
      <c r="B1243" s="62" t="s">
        <v>4743</v>
      </c>
      <c r="C1243" s="61" t="s">
        <v>510</v>
      </c>
      <c r="D1243" s="60">
        <v>1.0202500000000001</v>
      </c>
      <c r="E1243" s="59">
        <v>3.93215</v>
      </c>
      <c r="F1243" s="59">
        <v>4.7907599999999997</v>
      </c>
      <c r="G1243" s="56">
        <v>940.14400000000001</v>
      </c>
      <c r="H1243" s="56">
        <v>924.39599999999996</v>
      </c>
      <c r="I1243" s="58">
        <v>0.469414</v>
      </c>
      <c r="J1243" s="57">
        <v>0.55369400000000002</v>
      </c>
      <c r="K1243" s="56"/>
      <c r="L1243" s="56" t="s">
        <v>488</v>
      </c>
    </row>
    <row r="1244" spans="2:12" x14ac:dyDescent="0.2">
      <c r="B1244" s="62" t="s">
        <v>4742</v>
      </c>
      <c r="C1244" s="61" t="s">
        <v>510</v>
      </c>
      <c r="D1244" s="60">
        <v>1.0170399999999999</v>
      </c>
      <c r="E1244" s="59">
        <v>3.9511799999999999</v>
      </c>
      <c r="F1244" s="59">
        <v>4.8017000000000003</v>
      </c>
      <c r="G1244" s="56">
        <v>949.14499999999998</v>
      </c>
      <c r="H1244" s="56">
        <v>930.31</v>
      </c>
      <c r="I1244" s="58">
        <v>0.465254</v>
      </c>
      <c r="J1244" s="57">
        <v>0.55435599999999996</v>
      </c>
      <c r="K1244" s="56"/>
      <c r="L1244" s="56" t="s">
        <v>488</v>
      </c>
    </row>
    <row r="1245" spans="2:12" x14ac:dyDescent="0.2">
      <c r="B1245" s="62" t="s">
        <v>4741</v>
      </c>
      <c r="C1245" s="61" t="s">
        <v>708</v>
      </c>
      <c r="D1245" s="60">
        <v>1.03535</v>
      </c>
      <c r="E1245" s="59">
        <v>3.7876099999999999</v>
      </c>
      <c r="F1245" s="59">
        <v>4.73813</v>
      </c>
      <c r="G1245" s="56">
        <v>801.50199999999995</v>
      </c>
      <c r="H1245" s="56">
        <v>778.03099999999995</v>
      </c>
      <c r="I1245" s="58">
        <v>0.45136999999999999</v>
      </c>
      <c r="J1245" s="57">
        <v>0.55034400000000006</v>
      </c>
      <c r="K1245" s="56"/>
      <c r="L1245" s="56" t="s">
        <v>488</v>
      </c>
    </row>
    <row r="1246" spans="2:12" x14ac:dyDescent="0.2">
      <c r="B1246" s="62" t="s">
        <v>4740</v>
      </c>
      <c r="C1246" s="61" t="s">
        <v>708</v>
      </c>
      <c r="D1246" s="60">
        <v>1.03017</v>
      </c>
      <c r="E1246" s="59">
        <v>3.8465400000000001</v>
      </c>
      <c r="F1246" s="59">
        <v>4.7244900000000003</v>
      </c>
      <c r="G1246" s="56">
        <v>788.07799999999997</v>
      </c>
      <c r="H1246" s="56">
        <v>761.16700000000003</v>
      </c>
      <c r="I1246" s="58">
        <v>0.46871600000000002</v>
      </c>
      <c r="J1246" s="57">
        <v>0.55887200000000004</v>
      </c>
      <c r="K1246" s="56"/>
      <c r="L1246" s="56" t="s">
        <v>488</v>
      </c>
    </row>
    <row r="1247" spans="2:12" x14ac:dyDescent="0.2">
      <c r="B1247" s="62" t="s">
        <v>4739</v>
      </c>
      <c r="C1247" s="61" t="s">
        <v>531</v>
      </c>
      <c r="D1247" s="60">
        <v>2.7013600000000002</v>
      </c>
      <c r="E1247" s="59">
        <v>2.7563900000000001</v>
      </c>
      <c r="F1247" s="59">
        <v>3.8991500000000001</v>
      </c>
      <c r="G1247" s="56">
        <v>0</v>
      </c>
      <c r="H1247" s="56">
        <v>0</v>
      </c>
      <c r="I1247" s="58">
        <v>0.218198</v>
      </c>
      <c r="J1247" s="57">
        <v>0.15726899999999999</v>
      </c>
      <c r="K1247" s="56"/>
      <c r="L1247" s="56" t="s">
        <v>488</v>
      </c>
    </row>
    <row r="1248" spans="2:12" x14ac:dyDescent="0.2">
      <c r="B1248" s="62" t="s">
        <v>4738</v>
      </c>
      <c r="C1248" s="61" t="s">
        <v>502</v>
      </c>
      <c r="D1248" s="60">
        <v>1.4909600000000001</v>
      </c>
      <c r="E1248" s="59">
        <v>2.8772600000000002</v>
      </c>
      <c r="F1248" s="59">
        <v>4.9934099999999999</v>
      </c>
      <c r="G1248" s="56">
        <v>0</v>
      </c>
      <c r="H1248" s="56">
        <v>0</v>
      </c>
      <c r="I1248" s="58">
        <v>0.19844000000000001</v>
      </c>
      <c r="J1248" s="57">
        <v>0.28216000000000002</v>
      </c>
      <c r="K1248" s="56"/>
      <c r="L1248" s="56" t="s">
        <v>488</v>
      </c>
    </row>
    <row r="1249" spans="2:12" x14ac:dyDescent="0.2">
      <c r="B1249" s="62" t="s">
        <v>4737</v>
      </c>
      <c r="C1249" s="61" t="s">
        <v>859</v>
      </c>
      <c r="D1249" s="60">
        <v>2.0438000000000001</v>
      </c>
      <c r="E1249" s="59">
        <v>2.8269500000000001</v>
      </c>
      <c r="F1249" s="59">
        <v>3.7500300000000002</v>
      </c>
      <c r="G1249" s="56">
        <v>0</v>
      </c>
      <c r="H1249" s="56">
        <v>0</v>
      </c>
      <c r="I1249" s="58">
        <v>0.26804299999999998</v>
      </c>
      <c r="J1249" s="57">
        <v>0.25129499999999999</v>
      </c>
      <c r="K1249" s="56"/>
      <c r="L1249" s="56" t="s">
        <v>488</v>
      </c>
    </row>
    <row r="1250" spans="2:12" x14ac:dyDescent="0.2">
      <c r="B1250" s="62" t="s">
        <v>4736</v>
      </c>
      <c r="C1250" s="61" t="s">
        <v>550</v>
      </c>
      <c r="D1250" s="60">
        <v>1.6429199999999999</v>
      </c>
      <c r="E1250" s="59">
        <v>3.0490400000000002</v>
      </c>
      <c r="F1250" s="59">
        <v>4.5395500000000002</v>
      </c>
      <c r="G1250" s="56">
        <v>0</v>
      </c>
      <c r="H1250" s="56">
        <v>0</v>
      </c>
      <c r="I1250" s="58">
        <v>0.316473</v>
      </c>
      <c r="J1250" s="57">
        <v>0.26468599999999998</v>
      </c>
      <c r="K1250" s="56"/>
      <c r="L1250" s="56" t="s">
        <v>488</v>
      </c>
    </row>
    <row r="1251" spans="2:12" x14ac:dyDescent="0.2">
      <c r="B1251" s="62" t="s">
        <v>4735</v>
      </c>
      <c r="C1251" s="61" t="s">
        <v>537</v>
      </c>
      <c r="D1251" s="60">
        <v>1.96913</v>
      </c>
      <c r="E1251" s="59">
        <v>2.8608099999999999</v>
      </c>
      <c r="F1251" s="59">
        <v>3.78573</v>
      </c>
      <c r="G1251" s="56">
        <v>0</v>
      </c>
      <c r="H1251" s="56">
        <v>0</v>
      </c>
      <c r="I1251" s="58">
        <v>0.27760600000000002</v>
      </c>
      <c r="J1251" s="57">
        <v>0.26413300000000001</v>
      </c>
      <c r="K1251" s="56"/>
      <c r="L1251" s="56" t="s">
        <v>488</v>
      </c>
    </row>
    <row r="1252" spans="2:12" x14ac:dyDescent="0.2">
      <c r="B1252" s="62" t="s">
        <v>4734</v>
      </c>
      <c r="C1252" s="61" t="s">
        <v>510</v>
      </c>
      <c r="D1252" s="60">
        <v>1.21214</v>
      </c>
      <c r="E1252" s="59">
        <v>4.36754</v>
      </c>
      <c r="F1252" s="59">
        <v>6.2455800000000004</v>
      </c>
      <c r="G1252" s="56">
        <v>1164.1600000000001</v>
      </c>
      <c r="H1252" s="56">
        <v>960.41499999999996</v>
      </c>
      <c r="I1252" s="58">
        <v>0.51333799999999996</v>
      </c>
      <c r="J1252" s="57">
        <v>0.46017200000000003</v>
      </c>
      <c r="K1252" s="56"/>
      <c r="L1252" s="56" t="s">
        <v>488</v>
      </c>
    </row>
    <row r="1253" spans="2:12" x14ac:dyDescent="0.2">
      <c r="B1253" s="62" t="s">
        <v>4733</v>
      </c>
      <c r="C1253" s="61" t="s">
        <v>2146</v>
      </c>
      <c r="D1253" s="60">
        <v>0.61948700000000001</v>
      </c>
      <c r="E1253" s="59">
        <v>13.1182</v>
      </c>
      <c r="F1253" s="59">
        <v>15.781140000000001</v>
      </c>
      <c r="G1253" s="56">
        <v>2114.83</v>
      </c>
      <c r="H1253" s="56">
        <v>3413.84</v>
      </c>
      <c r="I1253" s="58">
        <v>0.76946899999999996</v>
      </c>
      <c r="J1253" s="57">
        <v>1.1983699999999999</v>
      </c>
      <c r="K1253" s="56"/>
      <c r="L1253" s="56" t="s">
        <v>488</v>
      </c>
    </row>
    <row r="1254" spans="2:12" x14ac:dyDescent="0.2">
      <c r="B1254" s="62" t="s">
        <v>4732</v>
      </c>
      <c r="C1254" s="61" t="s">
        <v>510</v>
      </c>
      <c r="D1254" s="60">
        <v>1.48692</v>
      </c>
      <c r="E1254" s="59">
        <v>2.9522400000000002</v>
      </c>
      <c r="F1254" s="59">
        <v>5.0701599999999996</v>
      </c>
      <c r="G1254" s="56">
        <v>0</v>
      </c>
      <c r="H1254" s="56">
        <v>0</v>
      </c>
      <c r="I1254" s="58">
        <v>0.28430800000000001</v>
      </c>
      <c r="J1254" s="57">
        <v>0.28106599999999998</v>
      </c>
      <c r="K1254" s="56"/>
      <c r="L1254" s="56" t="s">
        <v>488</v>
      </c>
    </row>
    <row r="1255" spans="2:12" x14ac:dyDescent="0.2">
      <c r="B1255" s="62" t="s">
        <v>4731</v>
      </c>
      <c r="C1255" s="61" t="s">
        <v>495</v>
      </c>
      <c r="D1255" s="60">
        <v>1.4767999999999999</v>
      </c>
      <c r="E1255" s="59">
        <v>3.2219000000000002</v>
      </c>
      <c r="F1255" s="59">
        <v>4.52583</v>
      </c>
      <c r="G1255" s="56">
        <v>0</v>
      </c>
      <c r="H1255" s="56">
        <v>0</v>
      </c>
      <c r="I1255" s="58">
        <v>0.30118299999999998</v>
      </c>
      <c r="J1255" s="57">
        <v>0.27588099999999999</v>
      </c>
      <c r="K1255" s="56"/>
      <c r="L1255" s="56" t="s">
        <v>488</v>
      </c>
    </row>
    <row r="1256" spans="2:12" x14ac:dyDescent="0.2">
      <c r="B1256" s="62" t="s">
        <v>4730</v>
      </c>
      <c r="C1256" s="61" t="s">
        <v>708</v>
      </c>
      <c r="D1256" s="60">
        <v>1.0601</v>
      </c>
      <c r="E1256" s="59">
        <v>5.9251300000000002</v>
      </c>
      <c r="F1256" s="59">
        <v>6.7018899999999997</v>
      </c>
      <c r="G1256" s="56">
        <v>1334.55</v>
      </c>
      <c r="H1256" s="56">
        <v>1258.9000000000001</v>
      </c>
      <c r="I1256" s="58">
        <v>0.57943800000000001</v>
      </c>
      <c r="J1256" s="57">
        <v>0.55630199999999996</v>
      </c>
      <c r="K1256" s="56"/>
      <c r="L1256" s="56" t="s">
        <v>488</v>
      </c>
    </row>
    <row r="1257" spans="2:12" x14ac:dyDescent="0.2">
      <c r="B1257" s="62" t="s">
        <v>4729</v>
      </c>
      <c r="C1257" s="61" t="s">
        <v>550</v>
      </c>
      <c r="D1257" s="60">
        <v>1.45811</v>
      </c>
      <c r="E1257" s="59">
        <v>2.9487899999999998</v>
      </c>
      <c r="F1257" s="59">
        <v>3.3274699999999999</v>
      </c>
      <c r="G1257" s="56">
        <v>0</v>
      </c>
      <c r="H1257" s="56">
        <v>0</v>
      </c>
      <c r="I1257" s="58">
        <v>5.3444499999999999E-2</v>
      </c>
      <c r="J1257" s="57">
        <v>0.26681100000000002</v>
      </c>
      <c r="K1257" s="56"/>
      <c r="L1257" s="56" t="s">
        <v>488</v>
      </c>
    </row>
    <row r="1258" spans="2:12" x14ac:dyDescent="0.2">
      <c r="B1258" s="62" t="s">
        <v>4728</v>
      </c>
      <c r="C1258" s="61" t="s">
        <v>499</v>
      </c>
      <c r="D1258" s="60">
        <v>1.26326</v>
      </c>
      <c r="E1258" s="59">
        <v>6.1305500000000004</v>
      </c>
      <c r="F1258" s="59">
        <v>7.3460799999999997</v>
      </c>
      <c r="G1258" s="56">
        <v>1425.32</v>
      </c>
      <c r="H1258" s="56">
        <v>1165.18</v>
      </c>
      <c r="I1258" s="58">
        <v>0.55443900000000002</v>
      </c>
      <c r="J1258" s="57">
        <v>0.47270899999999999</v>
      </c>
      <c r="K1258" s="56"/>
      <c r="L1258" s="56" t="s">
        <v>488</v>
      </c>
    </row>
    <row r="1259" spans="2:12" x14ac:dyDescent="0.2">
      <c r="B1259" s="62" t="s">
        <v>4727</v>
      </c>
      <c r="C1259" s="61" t="s">
        <v>499</v>
      </c>
      <c r="D1259" s="60">
        <v>1.22326</v>
      </c>
      <c r="E1259" s="59">
        <v>5.8304400000000003</v>
      </c>
      <c r="F1259" s="59">
        <v>7.05898</v>
      </c>
      <c r="G1259" s="56">
        <v>1377.84</v>
      </c>
      <c r="H1259" s="56">
        <v>1090.71</v>
      </c>
      <c r="I1259" s="58">
        <v>0.56546399999999997</v>
      </c>
      <c r="J1259" s="57">
        <v>0.49708999999999998</v>
      </c>
      <c r="K1259" s="56"/>
      <c r="L1259" s="56" t="s">
        <v>488</v>
      </c>
    </row>
    <row r="1260" spans="2:12" x14ac:dyDescent="0.2">
      <c r="B1260" s="62" t="s">
        <v>4726</v>
      </c>
      <c r="C1260" s="61" t="s">
        <v>495</v>
      </c>
      <c r="D1260" s="60">
        <v>1.2456700000000001</v>
      </c>
      <c r="E1260" s="59">
        <v>5.0813499999999996</v>
      </c>
      <c r="F1260" s="59">
        <v>5.8292599999999997</v>
      </c>
      <c r="G1260" s="56">
        <v>1017.15</v>
      </c>
      <c r="H1260" s="56">
        <v>816.94299999999998</v>
      </c>
      <c r="I1260" s="58">
        <v>0.50169399999999997</v>
      </c>
      <c r="J1260" s="57">
        <v>0.42236099999999999</v>
      </c>
      <c r="K1260" s="56"/>
      <c r="L1260" s="56" t="s">
        <v>488</v>
      </c>
    </row>
    <row r="1261" spans="2:12" x14ac:dyDescent="0.2">
      <c r="B1261" s="62" t="s">
        <v>4725</v>
      </c>
      <c r="C1261" s="61" t="s">
        <v>495</v>
      </c>
      <c r="D1261" s="60">
        <v>1.2450699999999999</v>
      </c>
      <c r="E1261" s="59">
        <v>5.0994599999999997</v>
      </c>
      <c r="F1261" s="59">
        <v>5.85717</v>
      </c>
      <c r="G1261" s="56">
        <v>1024.6500000000001</v>
      </c>
      <c r="H1261" s="56">
        <v>825.41899999999998</v>
      </c>
      <c r="I1261" s="58">
        <v>0.50787099999999996</v>
      </c>
      <c r="J1261" s="57">
        <v>0.42317900000000003</v>
      </c>
      <c r="K1261" s="56"/>
      <c r="L1261" s="56" t="s">
        <v>488</v>
      </c>
    </row>
    <row r="1262" spans="2:12" x14ac:dyDescent="0.2">
      <c r="B1262" s="62" t="s">
        <v>4724</v>
      </c>
      <c r="C1262" s="61" t="s">
        <v>495</v>
      </c>
      <c r="D1262" s="60">
        <v>1.24136</v>
      </c>
      <c r="E1262" s="59">
        <v>5.1170299999999997</v>
      </c>
      <c r="F1262" s="59">
        <v>5.8767800000000001</v>
      </c>
      <c r="G1262" s="56">
        <v>1031.67</v>
      </c>
      <c r="H1262" s="56">
        <v>832.49199999999996</v>
      </c>
      <c r="I1262" s="58">
        <v>0.50951100000000005</v>
      </c>
      <c r="J1262" s="57">
        <v>0.42540600000000001</v>
      </c>
      <c r="K1262" s="56"/>
      <c r="L1262" s="56" t="s">
        <v>488</v>
      </c>
    </row>
    <row r="1263" spans="2:12" x14ac:dyDescent="0.2">
      <c r="B1263" s="62" t="s">
        <v>4723</v>
      </c>
      <c r="C1263" s="61" t="s">
        <v>495</v>
      </c>
      <c r="D1263" s="60">
        <v>1.23925</v>
      </c>
      <c r="E1263" s="59">
        <v>5.1398299999999999</v>
      </c>
      <c r="F1263" s="59">
        <v>5.9131600000000004</v>
      </c>
      <c r="G1263" s="56">
        <v>1043.1600000000001</v>
      </c>
      <c r="H1263" s="56">
        <v>844.96199999999999</v>
      </c>
      <c r="I1263" s="58">
        <v>0.51072700000000004</v>
      </c>
      <c r="J1263" s="57">
        <v>0.42686000000000002</v>
      </c>
      <c r="K1263" s="56"/>
      <c r="L1263" s="56" t="s">
        <v>488</v>
      </c>
    </row>
    <row r="1264" spans="2:12" x14ac:dyDescent="0.2">
      <c r="B1264" s="62" t="s">
        <v>4722</v>
      </c>
      <c r="C1264" s="61" t="s">
        <v>495</v>
      </c>
      <c r="D1264" s="60">
        <v>1.2345600000000001</v>
      </c>
      <c r="E1264" s="59">
        <v>5.16221</v>
      </c>
      <c r="F1264" s="59">
        <v>5.9473700000000003</v>
      </c>
      <c r="G1264" s="56">
        <v>1050.6500000000001</v>
      </c>
      <c r="H1264" s="56">
        <v>853.22199999999998</v>
      </c>
      <c r="I1264" s="58">
        <v>0.51165499999999997</v>
      </c>
      <c r="J1264" s="57">
        <v>0.42969200000000002</v>
      </c>
      <c r="K1264" s="56"/>
      <c r="L1264" s="56" t="s">
        <v>488</v>
      </c>
    </row>
    <row r="1265" spans="2:12" x14ac:dyDescent="0.2">
      <c r="B1265" s="62" t="s">
        <v>4721</v>
      </c>
      <c r="C1265" s="61" t="s">
        <v>495</v>
      </c>
      <c r="D1265" s="60">
        <v>1.2314000000000001</v>
      </c>
      <c r="E1265" s="59">
        <v>5.17875</v>
      </c>
      <c r="F1265" s="59">
        <v>5.9842599999999999</v>
      </c>
      <c r="G1265" s="56">
        <v>1062.01</v>
      </c>
      <c r="H1265" s="56">
        <v>864.84100000000001</v>
      </c>
      <c r="I1265" s="58">
        <v>0.51415699999999998</v>
      </c>
      <c r="J1265" s="57">
        <v>0.43170799999999998</v>
      </c>
      <c r="K1265" s="56"/>
      <c r="L1265" s="56" t="s">
        <v>488</v>
      </c>
    </row>
    <row r="1266" spans="2:12" x14ac:dyDescent="0.2">
      <c r="B1266" s="62" t="s">
        <v>4720</v>
      </c>
      <c r="C1266" s="61" t="s">
        <v>495</v>
      </c>
      <c r="D1266" s="60">
        <v>1.2279800000000001</v>
      </c>
      <c r="E1266" s="59">
        <v>5.1932900000000002</v>
      </c>
      <c r="F1266" s="59">
        <v>6.0155200000000004</v>
      </c>
      <c r="G1266" s="56">
        <v>1072.77</v>
      </c>
      <c r="H1266" s="56">
        <v>874.29700000000003</v>
      </c>
      <c r="I1266" s="58">
        <v>0.51590400000000003</v>
      </c>
      <c r="J1266" s="57">
        <v>0.43388599999999999</v>
      </c>
      <c r="K1266" s="56"/>
      <c r="L1266" s="56" t="s">
        <v>488</v>
      </c>
    </row>
    <row r="1267" spans="2:12" x14ac:dyDescent="0.2">
      <c r="B1267" s="62" t="s">
        <v>4719</v>
      </c>
      <c r="C1267" s="61" t="s">
        <v>495</v>
      </c>
      <c r="D1267" s="60">
        <v>1.2270099999999999</v>
      </c>
      <c r="E1267" s="59">
        <v>5.2169400000000001</v>
      </c>
      <c r="F1267" s="59">
        <v>6.03186</v>
      </c>
      <c r="G1267" s="56">
        <v>1082.27</v>
      </c>
      <c r="H1267" s="56">
        <v>885.11500000000001</v>
      </c>
      <c r="I1267" s="58">
        <v>0.51901799999999998</v>
      </c>
      <c r="J1267" s="57">
        <v>0.43486799999999998</v>
      </c>
      <c r="K1267" s="56"/>
      <c r="L1267" s="56" t="s">
        <v>488</v>
      </c>
    </row>
    <row r="1268" spans="2:12" x14ac:dyDescent="0.2">
      <c r="B1268" s="62" t="s">
        <v>4718</v>
      </c>
      <c r="C1268" s="61" t="s">
        <v>495</v>
      </c>
      <c r="D1268" s="60">
        <v>1.2227399999999999</v>
      </c>
      <c r="E1268" s="59">
        <v>5.2356600000000002</v>
      </c>
      <c r="F1268" s="59">
        <v>6.0442400000000003</v>
      </c>
      <c r="G1268" s="56">
        <v>1093.06</v>
      </c>
      <c r="H1268" s="56">
        <v>895.68200000000002</v>
      </c>
      <c r="I1268" s="58">
        <v>0.51863499999999996</v>
      </c>
      <c r="J1268" s="57">
        <v>0.43765599999999999</v>
      </c>
      <c r="K1268" s="56"/>
      <c r="L1268" s="56" t="s">
        <v>488</v>
      </c>
    </row>
    <row r="1269" spans="2:12" x14ac:dyDescent="0.2">
      <c r="B1269" s="62" t="s">
        <v>4717</v>
      </c>
      <c r="C1269" s="61" t="s">
        <v>495</v>
      </c>
      <c r="D1269" s="60">
        <v>1.22037</v>
      </c>
      <c r="E1269" s="59">
        <v>4.9799300000000004</v>
      </c>
      <c r="F1269" s="59">
        <v>5.7944100000000001</v>
      </c>
      <c r="G1269" s="56">
        <v>993.83399999999995</v>
      </c>
      <c r="H1269" s="56">
        <v>803.82799999999997</v>
      </c>
      <c r="I1269" s="58">
        <v>0.52284799999999998</v>
      </c>
      <c r="J1269" s="57">
        <v>0.43940200000000001</v>
      </c>
      <c r="K1269" s="56"/>
      <c r="L1269" s="56" t="s">
        <v>488</v>
      </c>
    </row>
    <row r="1270" spans="2:12" x14ac:dyDescent="0.2">
      <c r="B1270" s="62" t="s">
        <v>4716</v>
      </c>
      <c r="C1270" s="61" t="s">
        <v>495</v>
      </c>
      <c r="D1270" s="60">
        <v>1.23638</v>
      </c>
      <c r="E1270" s="59">
        <v>5.0814000000000004</v>
      </c>
      <c r="F1270" s="59">
        <v>5.8301400000000001</v>
      </c>
      <c r="G1270" s="56">
        <v>1018.31</v>
      </c>
      <c r="H1270" s="56">
        <v>825.30100000000004</v>
      </c>
      <c r="I1270" s="58">
        <v>0.48878300000000002</v>
      </c>
      <c r="J1270" s="57">
        <v>0.421184</v>
      </c>
      <c r="K1270" s="56"/>
      <c r="L1270" s="56" t="s">
        <v>488</v>
      </c>
    </row>
    <row r="1271" spans="2:12" x14ac:dyDescent="0.2">
      <c r="B1271" s="62" t="s">
        <v>4715</v>
      </c>
      <c r="C1271" s="61" t="s">
        <v>495</v>
      </c>
      <c r="D1271" s="60">
        <v>1.23386</v>
      </c>
      <c r="E1271" s="59">
        <v>5.11958</v>
      </c>
      <c r="F1271" s="59">
        <v>5.8948</v>
      </c>
      <c r="G1271" s="56">
        <v>1034.32</v>
      </c>
      <c r="H1271" s="56">
        <v>837.10599999999999</v>
      </c>
      <c r="I1271" s="58">
        <v>0.50058599999999998</v>
      </c>
      <c r="J1271" s="57">
        <v>0.42761900000000003</v>
      </c>
      <c r="K1271" s="56"/>
      <c r="L1271" s="56" t="s">
        <v>488</v>
      </c>
    </row>
    <row r="1272" spans="2:12" x14ac:dyDescent="0.2">
      <c r="B1272" s="62" t="s">
        <v>4714</v>
      </c>
      <c r="C1272" s="61" t="s">
        <v>495</v>
      </c>
      <c r="D1272" s="60">
        <v>1.23559</v>
      </c>
      <c r="E1272" s="59">
        <v>5.09863</v>
      </c>
      <c r="F1272" s="59">
        <v>5.8515699999999997</v>
      </c>
      <c r="G1272" s="56">
        <v>1034.3399999999999</v>
      </c>
      <c r="H1272" s="56">
        <v>830.35</v>
      </c>
      <c r="I1272" s="58">
        <v>0.50949699999999998</v>
      </c>
      <c r="J1272" s="57">
        <v>0.428425</v>
      </c>
      <c r="K1272" s="56"/>
      <c r="L1272" s="56" t="s">
        <v>488</v>
      </c>
    </row>
    <row r="1273" spans="2:12" x14ac:dyDescent="0.2">
      <c r="B1273" s="62" t="s">
        <v>4713</v>
      </c>
      <c r="C1273" s="61" t="s">
        <v>499</v>
      </c>
      <c r="D1273" s="60">
        <v>1.21946</v>
      </c>
      <c r="E1273" s="59">
        <v>10.909319999999999</v>
      </c>
      <c r="F1273" s="59">
        <v>11.71715</v>
      </c>
      <c r="G1273" s="56">
        <v>1503.03</v>
      </c>
      <c r="H1273" s="56">
        <v>1232.53</v>
      </c>
      <c r="I1273" s="58">
        <v>0.73386499999999999</v>
      </c>
      <c r="J1273" s="57">
        <v>0.54310099999999994</v>
      </c>
      <c r="K1273" s="56"/>
      <c r="L1273" s="56" t="s">
        <v>488</v>
      </c>
    </row>
    <row r="1274" spans="2:12" x14ac:dyDescent="0.2">
      <c r="B1274" s="62" t="s">
        <v>4712</v>
      </c>
      <c r="C1274" s="61" t="s">
        <v>535</v>
      </c>
      <c r="D1274" s="60">
        <v>1.4524999999999999</v>
      </c>
      <c r="E1274" s="59">
        <v>3.6470899999999999</v>
      </c>
      <c r="F1274" s="59">
        <v>5.1134700000000004</v>
      </c>
      <c r="G1274" s="56">
        <v>0</v>
      </c>
      <c r="H1274" s="56">
        <v>0</v>
      </c>
      <c r="I1274" s="58">
        <v>0.507108</v>
      </c>
      <c r="J1274" s="57">
        <v>0.41709299999999999</v>
      </c>
      <c r="K1274" s="56"/>
      <c r="L1274" s="56" t="s">
        <v>488</v>
      </c>
    </row>
    <row r="1275" spans="2:12" x14ac:dyDescent="0.2">
      <c r="B1275" s="62" t="s">
        <v>4711</v>
      </c>
      <c r="C1275" s="61" t="s">
        <v>535</v>
      </c>
      <c r="D1275" s="60">
        <v>1.5828100000000001</v>
      </c>
      <c r="E1275" s="59">
        <v>6.5718399999999999</v>
      </c>
      <c r="F1275" s="59">
        <v>6.9255899999999997</v>
      </c>
      <c r="G1275" s="56">
        <v>1431.57</v>
      </c>
      <c r="H1275" s="56">
        <v>904.45</v>
      </c>
      <c r="I1275" s="58">
        <v>0.60208799999999996</v>
      </c>
      <c r="J1275" s="57">
        <v>0.36044700000000002</v>
      </c>
      <c r="K1275" s="56" t="s">
        <v>4710</v>
      </c>
      <c r="L1275" s="56" t="s">
        <v>563</v>
      </c>
    </row>
    <row r="1276" spans="2:12" x14ac:dyDescent="0.2">
      <c r="B1276" s="62" t="s">
        <v>4709</v>
      </c>
      <c r="C1276" s="61" t="s">
        <v>535</v>
      </c>
      <c r="D1276" s="60">
        <v>1.2841199999999999</v>
      </c>
      <c r="E1276" s="59">
        <v>4.4679399999999996</v>
      </c>
      <c r="F1276" s="59">
        <v>6.5889199999999999</v>
      </c>
      <c r="G1276" s="56">
        <v>1133.71</v>
      </c>
      <c r="H1276" s="56">
        <v>882.87199999999996</v>
      </c>
      <c r="I1276" s="58">
        <v>0.48226999999999998</v>
      </c>
      <c r="J1276" s="57">
        <v>0.41448400000000002</v>
      </c>
      <c r="K1276" s="56"/>
      <c r="L1276" s="56" t="s">
        <v>488</v>
      </c>
    </row>
    <row r="1277" spans="2:12" x14ac:dyDescent="0.2">
      <c r="B1277" s="62" t="s">
        <v>4708</v>
      </c>
      <c r="C1277" s="61" t="s">
        <v>687</v>
      </c>
      <c r="D1277" s="60">
        <v>1.8285400000000001</v>
      </c>
      <c r="E1277" s="59">
        <v>3.17441</v>
      </c>
      <c r="F1277" s="59">
        <v>4.0742799999999999</v>
      </c>
      <c r="G1277" s="56">
        <v>0</v>
      </c>
      <c r="H1277" s="56">
        <v>0</v>
      </c>
      <c r="I1277" s="58">
        <v>0.17008300000000001</v>
      </c>
      <c r="J1277" s="57">
        <v>0.24576000000000001</v>
      </c>
      <c r="K1277" s="56"/>
      <c r="L1277" s="56" t="s">
        <v>488</v>
      </c>
    </row>
    <row r="1278" spans="2:12" x14ac:dyDescent="0.2">
      <c r="B1278" s="62" t="s">
        <v>4707</v>
      </c>
      <c r="C1278" s="61" t="s">
        <v>550</v>
      </c>
      <c r="D1278" s="60">
        <v>1.91065</v>
      </c>
      <c r="E1278" s="59">
        <v>2.77068</v>
      </c>
      <c r="F1278" s="59">
        <v>3.7742499999999999</v>
      </c>
      <c r="G1278" s="56">
        <v>0</v>
      </c>
      <c r="H1278" s="56">
        <v>0</v>
      </c>
      <c r="I1278" s="58">
        <v>9.6199900000000005E-2</v>
      </c>
      <c r="J1278" s="57">
        <v>0.18178900000000001</v>
      </c>
      <c r="K1278" s="56"/>
      <c r="L1278" s="56" t="s">
        <v>488</v>
      </c>
    </row>
    <row r="1279" spans="2:12" x14ac:dyDescent="0.2">
      <c r="B1279" s="62" t="s">
        <v>4706</v>
      </c>
      <c r="C1279" s="61" t="s">
        <v>510</v>
      </c>
      <c r="D1279" s="60">
        <v>1.06942</v>
      </c>
      <c r="E1279" s="59">
        <v>5.3287000000000004</v>
      </c>
      <c r="F1279" s="59">
        <v>7.6113299999999997</v>
      </c>
      <c r="G1279" s="56">
        <v>1666.28</v>
      </c>
      <c r="H1279" s="56">
        <v>1558.11</v>
      </c>
      <c r="I1279" s="58">
        <v>0.59703899999999999</v>
      </c>
      <c r="J1279" s="57">
        <v>0.57636299999999996</v>
      </c>
      <c r="K1279" s="56"/>
      <c r="L1279" s="56" t="s">
        <v>488</v>
      </c>
    </row>
    <row r="1280" spans="2:12" x14ac:dyDescent="0.2">
      <c r="B1280" s="62" t="s">
        <v>4705</v>
      </c>
      <c r="C1280" s="61" t="s">
        <v>625</v>
      </c>
      <c r="D1280" s="60">
        <v>1.50156</v>
      </c>
      <c r="E1280" s="59">
        <v>3.56541</v>
      </c>
      <c r="F1280" s="59">
        <v>8.6761599999999994</v>
      </c>
      <c r="G1280" s="56">
        <v>0</v>
      </c>
      <c r="H1280" s="56">
        <v>0</v>
      </c>
      <c r="I1280" s="58">
        <v>0.497776</v>
      </c>
      <c r="J1280" s="57">
        <v>0.40486699999999998</v>
      </c>
      <c r="K1280" s="56"/>
      <c r="L1280" s="56" t="s">
        <v>488</v>
      </c>
    </row>
    <row r="1281" spans="2:12" x14ac:dyDescent="0.2">
      <c r="B1281" s="62" t="s">
        <v>4704</v>
      </c>
      <c r="C1281" s="61" t="s">
        <v>641</v>
      </c>
      <c r="D1281" s="60">
        <v>2.0473499999999998</v>
      </c>
      <c r="E1281" s="59">
        <v>3.5759300000000001</v>
      </c>
      <c r="F1281" s="59">
        <v>4.9624499999999996</v>
      </c>
      <c r="G1281" s="56">
        <v>0</v>
      </c>
      <c r="H1281" s="56">
        <v>0</v>
      </c>
      <c r="I1281" s="58">
        <v>0.26327600000000001</v>
      </c>
      <c r="J1281" s="57">
        <v>0.201484</v>
      </c>
      <c r="K1281" s="56"/>
      <c r="L1281" s="56" t="s">
        <v>488</v>
      </c>
    </row>
    <row r="1282" spans="2:12" x14ac:dyDescent="0.2">
      <c r="B1282" s="62" t="s">
        <v>4703</v>
      </c>
      <c r="C1282" s="61" t="s">
        <v>625</v>
      </c>
      <c r="D1282" s="60">
        <v>1.3996999999999999</v>
      </c>
      <c r="E1282" s="59">
        <v>4.6005700000000003</v>
      </c>
      <c r="F1282" s="59">
        <v>8.7337000000000007</v>
      </c>
      <c r="G1282" s="56">
        <v>1385.34</v>
      </c>
      <c r="H1282" s="56">
        <v>989.74</v>
      </c>
      <c r="I1282" s="58">
        <v>0.51891600000000004</v>
      </c>
      <c r="J1282" s="57">
        <v>0.44156299999999998</v>
      </c>
      <c r="K1282" s="56"/>
      <c r="L1282" s="56" t="s">
        <v>488</v>
      </c>
    </row>
    <row r="1283" spans="2:12" x14ac:dyDescent="0.2">
      <c r="B1283" s="62" t="s">
        <v>4702</v>
      </c>
      <c r="C1283" s="61" t="s">
        <v>625</v>
      </c>
      <c r="D1283" s="60">
        <v>1.41696</v>
      </c>
      <c r="E1283" s="59">
        <v>4.51126</v>
      </c>
      <c r="F1283" s="59">
        <v>8.6809999999999992</v>
      </c>
      <c r="G1283" s="56">
        <v>1316.89</v>
      </c>
      <c r="H1283" s="56">
        <v>929.37900000000002</v>
      </c>
      <c r="I1283" s="58">
        <v>0.509162</v>
      </c>
      <c r="J1283" s="57">
        <v>0.43222899999999997</v>
      </c>
      <c r="K1283" s="56"/>
      <c r="L1283" s="56" t="s">
        <v>488</v>
      </c>
    </row>
    <row r="1284" spans="2:12" x14ac:dyDescent="0.2">
      <c r="B1284" s="62" t="s">
        <v>4701</v>
      </c>
      <c r="C1284" s="61" t="s">
        <v>499</v>
      </c>
      <c r="D1284" s="60">
        <v>1.29023</v>
      </c>
      <c r="E1284" s="59">
        <v>3.8214100000000002</v>
      </c>
      <c r="F1284" s="59">
        <v>5.2056100000000001</v>
      </c>
      <c r="G1284" s="56">
        <v>502.06700000000001</v>
      </c>
      <c r="H1284" s="56">
        <v>389.13</v>
      </c>
      <c r="I1284" s="58">
        <v>0.36382900000000001</v>
      </c>
      <c r="J1284" s="57">
        <v>0.39235599999999998</v>
      </c>
      <c r="K1284" s="56"/>
      <c r="L1284" s="56" t="s">
        <v>488</v>
      </c>
    </row>
    <row r="1285" spans="2:12" x14ac:dyDescent="0.2">
      <c r="B1285" s="62" t="s">
        <v>4700</v>
      </c>
      <c r="C1285" s="61" t="s">
        <v>499</v>
      </c>
      <c r="D1285" s="60">
        <v>1.32324</v>
      </c>
      <c r="E1285" s="59">
        <v>4.2473999999999998</v>
      </c>
      <c r="F1285" s="59">
        <v>4.7784000000000004</v>
      </c>
      <c r="G1285" s="56">
        <v>625.96299999999997</v>
      </c>
      <c r="H1285" s="56">
        <v>473.05200000000002</v>
      </c>
      <c r="I1285" s="58">
        <v>0.38869100000000001</v>
      </c>
      <c r="J1285" s="57">
        <v>0.37695499999999998</v>
      </c>
      <c r="K1285" s="56"/>
      <c r="L1285" s="56" t="s">
        <v>488</v>
      </c>
    </row>
    <row r="1286" spans="2:12" x14ac:dyDescent="0.2">
      <c r="B1286" s="62" t="s">
        <v>4699</v>
      </c>
      <c r="C1286" s="61" t="s">
        <v>499</v>
      </c>
      <c r="D1286" s="60">
        <v>1.35731</v>
      </c>
      <c r="E1286" s="59">
        <v>3.6880899999999999</v>
      </c>
      <c r="F1286" s="59">
        <v>4.4357899999999999</v>
      </c>
      <c r="G1286" s="56">
        <v>0</v>
      </c>
      <c r="H1286" s="56">
        <v>0</v>
      </c>
      <c r="I1286" s="58">
        <v>0.29147400000000001</v>
      </c>
      <c r="J1286" s="57">
        <v>0.352935</v>
      </c>
      <c r="K1286" s="56"/>
      <c r="L1286" s="56" t="s">
        <v>488</v>
      </c>
    </row>
    <row r="1287" spans="2:12" x14ac:dyDescent="0.2">
      <c r="B1287" s="62" t="s">
        <v>4698</v>
      </c>
      <c r="C1287" s="61" t="s">
        <v>502</v>
      </c>
      <c r="D1287" s="60">
        <v>0.87909899999999996</v>
      </c>
      <c r="E1287" s="59">
        <v>6.6567600000000002</v>
      </c>
      <c r="F1287" s="59">
        <v>13.189830000000001</v>
      </c>
      <c r="G1287" s="56">
        <v>1888.93</v>
      </c>
      <c r="H1287" s="56">
        <v>2148.71</v>
      </c>
      <c r="I1287" s="58">
        <v>0.76473199999999997</v>
      </c>
      <c r="J1287" s="57">
        <v>0.82225400000000004</v>
      </c>
      <c r="K1287" s="56"/>
      <c r="L1287" s="56" t="s">
        <v>488</v>
      </c>
    </row>
    <row r="1288" spans="2:12" x14ac:dyDescent="0.2">
      <c r="B1288" s="62" t="s">
        <v>4697</v>
      </c>
      <c r="C1288" s="61" t="s">
        <v>612</v>
      </c>
      <c r="D1288" s="60">
        <v>1.7501100000000001</v>
      </c>
      <c r="E1288" s="59">
        <v>3.6589900000000002</v>
      </c>
      <c r="F1288" s="59">
        <v>4.7230299999999996</v>
      </c>
      <c r="G1288" s="56">
        <v>0</v>
      </c>
      <c r="H1288" s="56">
        <v>0</v>
      </c>
      <c r="I1288" s="58">
        <v>0.25602999999999998</v>
      </c>
      <c r="J1288" s="57">
        <v>0.25593100000000002</v>
      </c>
      <c r="K1288" s="56"/>
      <c r="L1288" s="56" t="s">
        <v>488</v>
      </c>
    </row>
    <row r="1289" spans="2:12" x14ac:dyDescent="0.2">
      <c r="B1289" s="62" t="s">
        <v>4696</v>
      </c>
      <c r="C1289" s="61" t="s">
        <v>510</v>
      </c>
      <c r="D1289" s="60">
        <v>1.85684</v>
      </c>
      <c r="E1289" s="59">
        <v>3.62649</v>
      </c>
      <c r="F1289" s="59">
        <v>4.6257999999999999</v>
      </c>
      <c r="G1289" s="56">
        <v>0</v>
      </c>
      <c r="H1289" s="56">
        <v>0</v>
      </c>
      <c r="I1289" s="58">
        <v>0.25224600000000003</v>
      </c>
      <c r="J1289" s="57">
        <v>0.23516100000000001</v>
      </c>
      <c r="K1289" s="56"/>
      <c r="L1289" s="56" t="s">
        <v>488</v>
      </c>
    </row>
    <row r="1290" spans="2:12" x14ac:dyDescent="0.2">
      <c r="B1290" s="62" t="s">
        <v>4695</v>
      </c>
      <c r="C1290" s="61" t="s">
        <v>555</v>
      </c>
      <c r="D1290" s="60">
        <v>1.42039</v>
      </c>
      <c r="E1290" s="59">
        <v>3.2657699999999998</v>
      </c>
      <c r="F1290" s="59">
        <v>4.1174900000000001</v>
      </c>
      <c r="G1290" s="56">
        <v>0</v>
      </c>
      <c r="H1290" s="56">
        <v>0</v>
      </c>
      <c r="I1290" s="58">
        <v>0.37131999999999998</v>
      </c>
      <c r="J1290" s="57">
        <v>0.32364199999999999</v>
      </c>
      <c r="K1290" s="56"/>
      <c r="L1290" s="56" t="s">
        <v>488</v>
      </c>
    </row>
    <row r="1291" spans="2:12" x14ac:dyDescent="0.2">
      <c r="B1291" s="62" t="s">
        <v>4694</v>
      </c>
      <c r="C1291" s="61" t="s">
        <v>708</v>
      </c>
      <c r="D1291" s="60">
        <v>1.0828100000000001</v>
      </c>
      <c r="E1291" s="59">
        <v>4.2498699999999996</v>
      </c>
      <c r="F1291" s="59">
        <v>6.2307300000000003</v>
      </c>
      <c r="G1291" s="56">
        <v>465.68799999999999</v>
      </c>
      <c r="H1291" s="56">
        <v>430.072</v>
      </c>
      <c r="I1291" s="58">
        <v>0.32827499999999998</v>
      </c>
      <c r="J1291" s="57">
        <v>0.46906100000000001</v>
      </c>
      <c r="K1291" s="56"/>
      <c r="L1291" s="56" t="s">
        <v>488</v>
      </c>
    </row>
    <row r="1292" spans="2:12" x14ac:dyDescent="0.2">
      <c r="B1292" s="62" t="s">
        <v>4693</v>
      </c>
      <c r="C1292" s="61" t="s">
        <v>1494</v>
      </c>
      <c r="D1292" s="60">
        <v>1.25261</v>
      </c>
      <c r="E1292" s="59">
        <v>3.3005</v>
      </c>
      <c r="F1292" s="59">
        <v>5.2910899999999996</v>
      </c>
      <c r="G1292" s="56">
        <v>0</v>
      </c>
      <c r="H1292" s="56">
        <v>0</v>
      </c>
      <c r="I1292" s="58">
        <v>0.37679800000000002</v>
      </c>
      <c r="J1292" s="57">
        <v>0.39849600000000002</v>
      </c>
      <c r="K1292" s="56"/>
      <c r="L1292" s="56" t="s">
        <v>492</v>
      </c>
    </row>
    <row r="1293" spans="2:12" x14ac:dyDescent="0.2">
      <c r="B1293" s="62" t="s">
        <v>4692</v>
      </c>
      <c r="C1293" s="61" t="s">
        <v>533</v>
      </c>
      <c r="D1293" s="60">
        <v>1.94295</v>
      </c>
      <c r="E1293" s="59">
        <v>3.2095699999999998</v>
      </c>
      <c r="F1293" s="59">
        <v>4.8633800000000003</v>
      </c>
      <c r="G1293" s="56">
        <v>0</v>
      </c>
      <c r="H1293" s="56">
        <v>0</v>
      </c>
      <c r="I1293" s="58">
        <v>0.29949199999999998</v>
      </c>
      <c r="J1293" s="57">
        <v>0.26818399999999998</v>
      </c>
      <c r="K1293" s="56"/>
      <c r="L1293" s="56" t="s">
        <v>488</v>
      </c>
    </row>
    <row r="1294" spans="2:12" x14ac:dyDescent="0.2">
      <c r="B1294" s="62" t="s">
        <v>4691</v>
      </c>
      <c r="C1294" s="61" t="s">
        <v>859</v>
      </c>
      <c r="D1294" s="60">
        <v>2.0635699999999999</v>
      </c>
      <c r="E1294" s="59">
        <v>3.1821700000000002</v>
      </c>
      <c r="F1294" s="59">
        <v>4.80471</v>
      </c>
      <c r="G1294" s="56">
        <v>0</v>
      </c>
      <c r="H1294" s="56">
        <v>0</v>
      </c>
      <c r="I1294" s="58">
        <v>0.29072500000000001</v>
      </c>
      <c r="J1294" s="57">
        <v>0.24762300000000001</v>
      </c>
      <c r="K1294" s="56"/>
      <c r="L1294" s="56" t="s">
        <v>488</v>
      </c>
    </row>
    <row r="1295" spans="2:12" x14ac:dyDescent="0.2">
      <c r="B1295" s="62" t="s">
        <v>4690</v>
      </c>
      <c r="C1295" s="61" t="s">
        <v>558</v>
      </c>
      <c r="D1295" s="60">
        <v>2.1243300000000001</v>
      </c>
      <c r="E1295" s="59">
        <v>3.5274299999999998</v>
      </c>
      <c r="F1295" s="59">
        <v>4.5716700000000001</v>
      </c>
      <c r="G1295" s="56">
        <v>0</v>
      </c>
      <c r="H1295" s="56">
        <v>0</v>
      </c>
      <c r="I1295" s="58">
        <v>0.42411500000000002</v>
      </c>
      <c r="J1295" s="57">
        <v>0.27465800000000001</v>
      </c>
      <c r="K1295" s="56"/>
      <c r="L1295" s="56" t="s">
        <v>488</v>
      </c>
    </row>
    <row r="1296" spans="2:12" x14ac:dyDescent="0.2">
      <c r="B1296" s="62" t="s">
        <v>4689</v>
      </c>
      <c r="C1296" s="61" t="s">
        <v>614</v>
      </c>
      <c r="D1296" s="60">
        <v>2.0333000000000001</v>
      </c>
      <c r="E1296" s="59">
        <v>4.7340900000000001</v>
      </c>
      <c r="F1296" s="59">
        <v>5.6967299999999996</v>
      </c>
      <c r="G1296" s="56">
        <v>1023.82</v>
      </c>
      <c r="H1296" s="56">
        <v>503.52699999999999</v>
      </c>
      <c r="I1296" s="58">
        <v>0.36394199999999999</v>
      </c>
      <c r="J1296" s="57">
        <v>0.22395799999999999</v>
      </c>
      <c r="K1296" s="56"/>
      <c r="L1296" s="56" t="s">
        <v>488</v>
      </c>
    </row>
    <row r="1297" spans="2:12" x14ac:dyDescent="0.2">
      <c r="B1297" s="62" t="s">
        <v>4688</v>
      </c>
      <c r="C1297" s="61" t="s">
        <v>614</v>
      </c>
      <c r="D1297" s="60">
        <v>2.0333000000000001</v>
      </c>
      <c r="E1297" s="59">
        <v>4.7332999999999998</v>
      </c>
      <c r="F1297" s="59">
        <v>5.6989400000000003</v>
      </c>
      <c r="G1297" s="56">
        <v>991.84</v>
      </c>
      <c r="H1297" s="56">
        <v>487.798</v>
      </c>
      <c r="I1297" s="58">
        <v>0.36318299999999998</v>
      </c>
      <c r="J1297" s="57">
        <v>0.223944</v>
      </c>
      <c r="K1297" s="56"/>
      <c r="L1297" s="56" t="s">
        <v>488</v>
      </c>
    </row>
    <row r="1298" spans="2:12" x14ac:dyDescent="0.2">
      <c r="B1298" s="62" t="s">
        <v>4687</v>
      </c>
      <c r="C1298" s="61" t="s">
        <v>2448</v>
      </c>
      <c r="D1298" s="60">
        <v>1.41648</v>
      </c>
      <c r="E1298" s="59">
        <v>3.5086599999999999</v>
      </c>
      <c r="F1298" s="59">
        <v>4.6809099999999999</v>
      </c>
      <c r="G1298" s="56">
        <v>0</v>
      </c>
      <c r="H1298" s="56">
        <v>0</v>
      </c>
      <c r="I1298" s="58">
        <v>0.22539999999999999</v>
      </c>
      <c r="J1298" s="57">
        <v>0.30790200000000001</v>
      </c>
      <c r="K1298" s="56"/>
      <c r="L1298" s="56" t="s">
        <v>488</v>
      </c>
    </row>
    <row r="1299" spans="2:12" x14ac:dyDescent="0.2">
      <c r="B1299" s="62" t="s">
        <v>4686</v>
      </c>
      <c r="C1299" s="61" t="s">
        <v>1120</v>
      </c>
      <c r="D1299" s="60">
        <v>1.5888100000000001</v>
      </c>
      <c r="E1299" s="59">
        <v>3.8590599999999999</v>
      </c>
      <c r="F1299" s="59">
        <v>4.6201100000000004</v>
      </c>
      <c r="G1299" s="56">
        <v>348.28899999999999</v>
      </c>
      <c r="H1299" s="56">
        <v>219.214</v>
      </c>
      <c r="I1299" s="58">
        <v>0.232095</v>
      </c>
      <c r="J1299" s="57">
        <v>0.239368</v>
      </c>
      <c r="K1299" s="56"/>
      <c r="L1299" s="56" t="s">
        <v>488</v>
      </c>
    </row>
    <row r="1300" spans="2:12" x14ac:dyDescent="0.2">
      <c r="B1300" s="62" t="s">
        <v>4685</v>
      </c>
      <c r="C1300" s="61" t="s">
        <v>798</v>
      </c>
      <c r="D1300" s="60">
        <v>1.20977</v>
      </c>
      <c r="E1300" s="59">
        <v>2.9479000000000002</v>
      </c>
      <c r="F1300" s="59">
        <v>3.5137499999999999</v>
      </c>
      <c r="G1300" s="56">
        <v>0</v>
      </c>
      <c r="H1300" s="56">
        <v>0</v>
      </c>
      <c r="I1300" s="58">
        <v>0.25572800000000001</v>
      </c>
      <c r="J1300" s="57">
        <v>0.38452700000000001</v>
      </c>
      <c r="K1300" s="56"/>
      <c r="L1300" s="56" t="s">
        <v>488</v>
      </c>
    </row>
    <row r="1301" spans="2:12" x14ac:dyDescent="0.2">
      <c r="B1301" s="62" t="s">
        <v>4684</v>
      </c>
      <c r="C1301" s="61" t="s">
        <v>2488</v>
      </c>
      <c r="D1301" s="60">
        <v>1.87592</v>
      </c>
      <c r="E1301" s="59">
        <v>4.1403800000000004</v>
      </c>
      <c r="F1301" s="59">
        <v>4.9628500000000004</v>
      </c>
      <c r="G1301" s="56">
        <v>861.23199999999997</v>
      </c>
      <c r="H1301" s="56">
        <v>459.09899999999999</v>
      </c>
      <c r="I1301" s="58">
        <v>0.40612100000000001</v>
      </c>
      <c r="J1301" s="57">
        <v>0.31709100000000001</v>
      </c>
      <c r="K1301" s="56"/>
      <c r="L1301" s="56" t="s">
        <v>488</v>
      </c>
    </row>
    <row r="1302" spans="2:12" x14ac:dyDescent="0.2">
      <c r="B1302" s="62" t="s">
        <v>4683</v>
      </c>
      <c r="C1302" s="61" t="s">
        <v>4682</v>
      </c>
      <c r="D1302" s="60">
        <v>1.59314</v>
      </c>
      <c r="E1302" s="59">
        <v>3.4575300000000002</v>
      </c>
      <c r="F1302" s="59">
        <v>4.3450600000000001</v>
      </c>
      <c r="G1302" s="56">
        <v>0</v>
      </c>
      <c r="H1302" s="56">
        <v>0</v>
      </c>
      <c r="I1302" s="58">
        <v>0.21103</v>
      </c>
      <c r="J1302" s="57">
        <v>0.296873</v>
      </c>
      <c r="K1302" s="56"/>
      <c r="L1302" s="56" t="s">
        <v>488</v>
      </c>
    </row>
    <row r="1303" spans="2:12" x14ac:dyDescent="0.2">
      <c r="B1303" s="62" t="s">
        <v>4681</v>
      </c>
      <c r="C1303" s="61" t="s">
        <v>1967</v>
      </c>
      <c r="D1303" s="60">
        <v>1.65632</v>
      </c>
      <c r="E1303" s="59">
        <v>3.3018700000000001</v>
      </c>
      <c r="F1303" s="59">
        <v>4.1935200000000004</v>
      </c>
      <c r="G1303" s="56">
        <v>0</v>
      </c>
      <c r="H1303" s="56">
        <v>0</v>
      </c>
      <c r="I1303" s="58">
        <v>0.19963600000000001</v>
      </c>
      <c r="J1303" s="57">
        <v>0.284076</v>
      </c>
      <c r="K1303" s="56"/>
      <c r="L1303" s="56" t="s">
        <v>488</v>
      </c>
    </row>
    <row r="1304" spans="2:12" x14ac:dyDescent="0.2">
      <c r="B1304" s="62" t="s">
        <v>4680</v>
      </c>
      <c r="C1304" s="61" t="s">
        <v>4538</v>
      </c>
      <c r="D1304" s="60">
        <v>1.05376</v>
      </c>
      <c r="E1304" s="59">
        <v>3.6684299999999999</v>
      </c>
      <c r="F1304" s="59">
        <v>4.7084200000000003</v>
      </c>
      <c r="G1304" s="56">
        <v>0</v>
      </c>
      <c r="H1304" s="56">
        <v>0</v>
      </c>
      <c r="I1304" s="58">
        <v>0.409999</v>
      </c>
      <c r="J1304" s="57">
        <v>0.48618</v>
      </c>
      <c r="K1304" s="56"/>
      <c r="L1304" s="56" t="s">
        <v>488</v>
      </c>
    </row>
    <row r="1305" spans="2:12" x14ac:dyDescent="0.2">
      <c r="B1305" s="62" t="s">
        <v>4679</v>
      </c>
      <c r="C1305" s="61" t="s">
        <v>502</v>
      </c>
      <c r="D1305" s="60">
        <v>1.6693199999999999</v>
      </c>
      <c r="E1305" s="59">
        <v>3.07965</v>
      </c>
      <c r="F1305" s="59">
        <v>3.4396900000000001</v>
      </c>
      <c r="G1305" s="56">
        <v>0</v>
      </c>
      <c r="H1305" s="56">
        <v>0</v>
      </c>
      <c r="I1305" s="58">
        <v>0.147177</v>
      </c>
      <c r="J1305" s="57">
        <v>0.25451699999999999</v>
      </c>
      <c r="K1305" s="56"/>
      <c r="L1305" s="56" t="s">
        <v>492</v>
      </c>
    </row>
    <row r="1306" spans="2:12" x14ac:dyDescent="0.2">
      <c r="B1306" s="62" t="s">
        <v>4678</v>
      </c>
      <c r="C1306" s="61" t="s">
        <v>2081</v>
      </c>
      <c r="D1306" s="60">
        <v>1.14086</v>
      </c>
      <c r="E1306" s="59">
        <v>3.4316300000000002</v>
      </c>
      <c r="F1306" s="59">
        <v>6.1036700000000002</v>
      </c>
      <c r="G1306" s="56">
        <v>0</v>
      </c>
      <c r="H1306" s="56">
        <v>0</v>
      </c>
      <c r="I1306" s="58">
        <v>0.40237400000000001</v>
      </c>
      <c r="J1306" s="57">
        <v>0.45547300000000002</v>
      </c>
      <c r="K1306" s="56"/>
      <c r="L1306" s="56" t="s">
        <v>492</v>
      </c>
    </row>
    <row r="1307" spans="2:12" x14ac:dyDescent="0.2">
      <c r="B1307" s="62" t="s">
        <v>4677</v>
      </c>
      <c r="C1307" s="61" t="s">
        <v>890</v>
      </c>
      <c r="D1307" s="60">
        <v>1.93205</v>
      </c>
      <c r="E1307" s="59">
        <v>4.3478700000000003</v>
      </c>
      <c r="F1307" s="59">
        <v>5.6817200000000003</v>
      </c>
      <c r="G1307" s="56">
        <v>423.92500000000001</v>
      </c>
      <c r="H1307" s="56">
        <v>219.417</v>
      </c>
      <c r="I1307" s="58">
        <v>0.25587300000000002</v>
      </c>
      <c r="J1307" s="57">
        <v>0.228795</v>
      </c>
      <c r="K1307" s="56"/>
      <c r="L1307" s="56" t="s">
        <v>488</v>
      </c>
    </row>
    <row r="1308" spans="2:12" x14ac:dyDescent="0.2">
      <c r="B1308" s="62" t="s">
        <v>4676</v>
      </c>
      <c r="C1308" s="61" t="s">
        <v>550</v>
      </c>
      <c r="D1308" s="60">
        <v>1.3949499999999999</v>
      </c>
      <c r="E1308" s="59">
        <v>2.4687399999999999</v>
      </c>
      <c r="F1308" s="59">
        <v>4.3358299999999996</v>
      </c>
      <c r="G1308" s="56">
        <v>0</v>
      </c>
      <c r="H1308" s="56">
        <v>0</v>
      </c>
      <c r="I1308" s="58">
        <v>0.16553300000000001</v>
      </c>
      <c r="J1308" s="57">
        <v>0.28728900000000002</v>
      </c>
      <c r="K1308" s="56"/>
      <c r="L1308" s="56" t="s">
        <v>492</v>
      </c>
    </row>
    <row r="1309" spans="2:12" x14ac:dyDescent="0.2">
      <c r="B1309" s="62" t="s">
        <v>4675</v>
      </c>
      <c r="C1309" s="61" t="s">
        <v>499</v>
      </c>
      <c r="D1309" s="60">
        <v>1.19129</v>
      </c>
      <c r="E1309" s="59">
        <v>7.9024999999999999</v>
      </c>
      <c r="F1309" s="59">
        <v>8.5924499999999995</v>
      </c>
      <c r="G1309" s="56">
        <v>1639.29</v>
      </c>
      <c r="H1309" s="56">
        <v>1376.06</v>
      </c>
      <c r="I1309" s="58">
        <v>0.63864600000000005</v>
      </c>
      <c r="J1309" s="57">
        <v>0.56628900000000004</v>
      </c>
      <c r="K1309" s="56"/>
      <c r="L1309" s="56" t="s">
        <v>488</v>
      </c>
    </row>
    <row r="1310" spans="2:12" x14ac:dyDescent="0.2">
      <c r="B1310" s="62" t="s">
        <v>4674</v>
      </c>
      <c r="C1310" s="61" t="s">
        <v>499</v>
      </c>
      <c r="D1310" s="60">
        <v>1.24691</v>
      </c>
      <c r="E1310" s="59">
        <v>7.2313299999999998</v>
      </c>
      <c r="F1310" s="59">
        <v>8.1168399999999998</v>
      </c>
      <c r="G1310" s="56">
        <v>1561.36</v>
      </c>
      <c r="H1310" s="56">
        <v>1252.19</v>
      </c>
      <c r="I1310" s="58">
        <v>0.62509999999999999</v>
      </c>
      <c r="J1310" s="57">
        <v>0.52902300000000002</v>
      </c>
      <c r="K1310" s="56"/>
      <c r="L1310" s="56" t="s">
        <v>488</v>
      </c>
    </row>
    <row r="1311" spans="2:12" x14ac:dyDescent="0.2">
      <c r="B1311" s="62" t="s">
        <v>4673</v>
      </c>
      <c r="C1311" s="61" t="s">
        <v>553</v>
      </c>
      <c r="D1311" s="60">
        <v>1.5738700000000001</v>
      </c>
      <c r="E1311" s="59">
        <v>3.8621400000000001</v>
      </c>
      <c r="F1311" s="59">
        <v>4.3814000000000002</v>
      </c>
      <c r="G1311" s="56">
        <v>238.95599999999999</v>
      </c>
      <c r="H1311" s="56">
        <v>151.827</v>
      </c>
      <c r="I1311" s="58">
        <v>0.37322300000000003</v>
      </c>
      <c r="J1311" s="57">
        <v>0.28794999999999998</v>
      </c>
      <c r="K1311" s="56"/>
      <c r="L1311" s="56" t="s">
        <v>488</v>
      </c>
    </row>
    <row r="1312" spans="2:12" x14ac:dyDescent="0.2">
      <c r="B1312" s="62" t="s">
        <v>4672</v>
      </c>
      <c r="C1312" s="61" t="s">
        <v>612</v>
      </c>
      <c r="D1312" s="60">
        <v>1.5089600000000001</v>
      </c>
      <c r="E1312" s="59">
        <v>3.0927500000000001</v>
      </c>
      <c r="F1312" s="59">
        <v>3.7430400000000001</v>
      </c>
      <c r="G1312" s="56">
        <v>0</v>
      </c>
      <c r="H1312" s="56">
        <v>0</v>
      </c>
      <c r="I1312" s="58">
        <v>0.17006599999999999</v>
      </c>
      <c r="J1312" s="57">
        <v>0.27596199999999999</v>
      </c>
      <c r="K1312" s="56"/>
      <c r="L1312" s="56" t="s">
        <v>488</v>
      </c>
    </row>
    <row r="1313" spans="2:12" x14ac:dyDescent="0.2">
      <c r="B1313" s="62" t="s">
        <v>4671</v>
      </c>
      <c r="C1313" s="61" t="s">
        <v>533</v>
      </c>
      <c r="D1313" s="60">
        <v>1.7218199999999999</v>
      </c>
      <c r="E1313" s="59">
        <v>3.5063399999999998</v>
      </c>
      <c r="F1313" s="59">
        <v>5.6714200000000003</v>
      </c>
      <c r="G1313" s="56">
        <v>0</v>
      </c>
      <c r="H1313" s="56">
        <v>0</v>
      </c>
      <c r="I1313" s="58">
        <v>0.43324499999999999</v>
      </c>
      <c r="J1313" s="57">
        <v>0.29272500000000001</v>
      </c>
      <c r="K1313" s="56"/>
      <c r="L1313" s="56" t="s">
        <v>488</v>
      </c>
    </row>
    <row r="1314" spans="2:12" x14ac:dyDescent="0.2">
      <c r="B1314" s="62" t="s">
        <v>4670</v>
      </c>
      <c r="C1314" s="61" t="s">
        <v>641</v>
      </c>
      <c r="D1314" s="60">
        <v>1.5198100000000001</v>
      </c>
      <c r="E1314" s="59">
        <v>5.2531400000000001</v>
      </c>
      <c r="F1314" s="59">
        <v>5.8763300000000003</v>
      </c>
      <c r="G1314" s="56">
        <v>1114.03</v>
      </c>
      <c r="H1314" s="56">
        <v>733.005</v>
      </c>
      <c r="I1314" s="58">
        <v>0.49639</v>
      </c>
      <c r="J1314" s="57">
        <v>0.35022399999999998</v>
      </c>
      <c r="K1314" s="56"/>
      <c r="L1314" s="56" t="s">
        <v>488</v>
      </c>
    </row>
    <row r="1315" spans="2:12" x14ac:dyDescent="0.2">
      <c r="B1315" s="62" t="s">
        <v>4669</v>
      </c>
      <c r="C1315" s="61" t="s">
        <v>499</v>
      </c>
      <c r="D1315" s="60">
        <v>1.11042</v>
      </c>
      <c r="E1315" s="59">
        <v>4.5925399999999996</v>
      </c>
      <c r="F1315" s="59">
        <v>6.3041200000000002</v>
      </c>
      <c r="G1315" s="56">
        <v>988.971</v>
      </c>
      <c r="H1315" s="56">
        <v>890.63099999999997</v>
      </c>
      <c r="I1315" s="58">
        <v>0.46736899999999998</v>
      </c>
      <c r="J1315" s="57">
        <v>0.48046699999999998</v>
      </c>
      <c r="K1315" s="56"/>
      <c r="L1315" s="56" t="s">
        <v>488</v>
      </c>
    </row>
    <row r="1316" spans="2:12" x14ac:dyDescent="0.2">
      <c r="B1316" s="62" t="s">
        <v>4668</v>
      </c>
      <c r="C1316" s="61" t="s">
        <v>499</v>
      </c>
      <c r="D1316" s="60">
        <v>0.66871400000000003</v>
      </c>
      <c r="E1316" s="59">
        <v>9.1866199999999996</v>
      </c>
      <c r="F1316" s="59">
        <v>11.16014</v>
      </c>
      <c r="G1316" s="56">
        <v>1921.67</v>
      </c>
      <c r="H1316" s="56">
        <v>2873.69</v>
      </c>
      <c r="I1316" s="58">
        <v>0.77522599999999997</v>
      </c>
      <c r="J1316" s="57">
        <v>1.12321</v>
      </c>
      <c r="K1316" s="56"/>
      <c r="L1316" s="56" t="s">
        <v>488</v>
      </c>
    </row>
    <row r="1317" spans="2:12" x14ac:dyDescent="0.2">
      <c r="B1317" s="62" t="s">
        <v>4667</v>
      </c>
      <c r="C1317" s="61" t="s">
        <v>499</v>
      </c>
      <c r="D1317" s="60">
        <v>0.99492000000000003</v>
      </c>
      <c r="E1317" s="59">
        <v>6.3164999999999996</v>
      </c>
      <c r="F1317" s="59">
        <v>7.9321200000000003</v>
      </c>
      <c r="G1317" s="56">
        <v>1286.7</v>
      </c>
      <c r="H1317" s="56">
        <v>1293.27</v>
      </c>
      <c r="I1317" s="58">
        <v>0.53063899999999997</v>
      </c>
      <c r="J1317" s="57">
        <v>0.587117</v>
      </c>
      <c r="K1317" s="56"/>
      <c r="L1317" s="56" t="s">
        <v>488</v>
      </c>
    </row>
    <row r="1318" spans="2:12" x14ac:dyDescent="0.2">
      <c r="B1318" s="62" t="s">
        <v>4666</v>
      </c>
      <c r="C1318" s="61" t="s">
        <v>499</v>
      </c>
      <c r="D1318" s="60">
        <v>0.581592</v>
      </c>
      <c r="E1318" s="59">
        <v>11.012280000000001</v>
      </c>
      <c r="F1318" s="59">
        <v>12.590769999999999</v>
      </c>
      <c r="G1318" s="56">
        <v>1934.92</v>
      </c>
      <c r="H1318" s="56">
        <v>3326.93</v>
      </c>
      <c r="I1318" s="58">
        <v>0.79947599999999996</v>
      </c>
      <c r="J1318" s="57">
        <v>1.34511</v>
      </c>
      <c r="K1318" s="56"/>
      <c r="L1318" s="56" t="s">
        <v>488</v>
      </c>
    </row>
    <row r="1319" spans="2:12" x14ac:dyDescent="0.2">
      <c r="B1319" s="62" t="s">
        <v>4665</v>
      </c>
      <c r="C1319" s="61" t="s">
        <v>499</v>
      </c>
      <c r="D1319" s="60">
        <v>0.93019799999999997</v>
      </c>
      <c r="E1319" s="59">
        <v>8.7754499999999993</v>
      </c>
      <c r="F1319" s="59">
        <v>9.4877300000000009</v>
      </c>
      <c r="G1319" s="56">
        <v>1330.57</v>
      </c>
      <c r="H1319" s="56">
        <v>1430.41</v>
      </c>
      <c r="I1319" s="58">
        <v>0.59299599999999997</v>
      </c>
      <c r="J1319" s="57">
        <v>0.65677200000000002</v>
      </c>
      <c r="K1319" s="56"/>
      <c r="L1319" s="56" t="s">
        <v>488</v>
      </c>
    </row>
    <row r="1320" spans="2:12" x14ac:dyDescent="0.2">
      <c r="B1320" s="62" t="s">
        <v>4664</v>
      </c>
      <c r="C1320" s="61" t="s">
        <v>499</v>
      </c>
      <c r="D1320" s="60">
        <v>0.54376100000000005</v>
      </c>
      <c r="E1320" s="59">
        <v>12.476889999999999</v>
      </c>
      <c r="F1320" s="59">
        <v>13.21557</v>
      </c>
      <c r="G1320" s="56">
        <v>1872.92</v>
      </c>
      <c r="H1320" s="56">
        <v>3444.39</v>
      </c>
      <c r="I1320" s="58">
        <v>0.81465399999999999</v>
      </c>
      <c r="J1320" s="57">
        <v>1.46235</v>
      </c>
      <c r="K1320" s="56"/>
      <c r="L1320" s="56" t="s">
        <v>488</v>
      </c>
    </row>
    <row r="1321" spans="2:12" x14ac:dyDescent="0.2">
      <c r="B1321" s="62" t="s">
        <v>4663</v>
      </c>
      <c r="C1321" s="61" t="s">
        <v>502</v>
      </c>
      <c r="D1321" s="60">
        <v>0.71827799999999997</v>
      </c>
      <c r="E1321" s="59">
        <v>8.4763300000000008</v>
      </c>
      <c r="F1321" s="59">
        <v>12.69722</v>
      </c>
      <c r="G1321" s="56">
        <v>1948.6</v>
      </c>
      <c r="H1321" s="56">
        <v>2712.88</v>
      </c>
      <c r="I1321" s="58">
        <v>0.75791200000000003</v>
      </c>
      <c r="J1321" s="57">
        <v>1.0513999999999999</v>
      </c>
      <c r="K1321" s="56"/>
      <c r="L1321" s="56" t="s">
        <v>488</v>
      </c>
    </row>
    <row r="1322" spans="2:12" x14ac:dyDescent="0.2">
      <c r="B1322" s="62" t="s">
        <v>4662</v>
      </c>
      <c r="C1322" s="61" t="s">
        <v>625</v>
      </c>
      <c r="D1322" s="60">
        <v>1.4452799999999999</v>
      </c>
      <c r="E1322" s="59">
        <v>8.43309</v>
      </c>
      <c r="F1322" s="59">
        <v>9.2842500000000001</v>
      </c>
      <c r="G1322" s="56">
        <v>991.06500000000005</v>
      </c>
      <c r="H1322" s="56">
        <v>720.20100000000002</v>
      </c>
      <c r="I1322" s="58">
        <v>0.336758</v>
      </c>
      <c r="J1322" s="57">
        <v>0.34259400000000001</v>
      </c>
      <c r="K1322" s="56"/>
      <c r="L1322" s="56" t="s">
        <v>624</v>
      </c>
    </row>
    <row r="1323" spans="2:12" x14ac:dyDescent="0.2">
      <c r="B1323" s="62" t="s">
        <v>4661</v>
      </c>
      <c r="C1323" s="61" t="s">
        <v>625</v>
      </c>
      <c r="D1323" s="60">
        <v>1.37609</v>
      </c>
      <c r="E1323" s="59">
        <v>7.91031</v>
      </c>
      <c r="F1323" s="59">
        <v>8.8500099999999993</v>
      </c>
      <c r="G1323" s="56">
        <v>964.04200000000003</v>
      </c>
      <c r="H1323" s="56">
        <v>667.029</v>
      </c>
      <c r="I1323" s="58">
        <v>0.36582599999999998</v>
      </c>
      <c r="J1323" s="57">
        <v>0.37873400000000002</v>
      </c>
      <c r="K1323" s="56"/>
      <c r="L1323" s="56" t="s">
        <v>624</v>
      </c>
    </row>
    <row r="1324" spans="2:12" x14ac:dyDescent="0.2">
      <c r="B1324" s="62" t="s">
        <v>4660</v>
      </c>
      <c r="C1324" s="61" t="s">
        <v>625</v>
      </c>
      <c r="D1324" s="60">
        <v>1.4138900000000001</v>
      </c>
      <c r="E1324" s="59">
        <v>7.9871499999999997</v>
      </c>
      <c r="F1324" s="59">
        <v>8.8115799999999993</v>
      </c>
      <c r="G1324" s="56">
        <v>983.34799999999996</v>
      </c>
      <c r="H1324" s="56">
        <v>695.49300000000005</v>
      </c>
      <c r="I1324" s="58">
        <v>0.352155</v>
      </c>
      <c r="J1324" s="57">
        <v>0.357655</v>
      </c>
      <c r="K1324" s="56"/>
      <c r="L1324" s="56" t="s">
        <v>624</v>
      </c>
    </row>
    <row r="1325" spans="2:12" x14ac:dyDescent="0.2">
      <c r="B1325" s="62" t="s">
        <v>4659</v>
      </c>
      <c r="C1325" s="61" t="s">
        <v>625</v>
      </c>
      <c r="D1325" s="60">
        <v>1.55213</v>
      </c>
      <c r="E1325" s="59">
        <v>6.96591</v>
      </c>
      <c r="F1325" s="59">
        <v>7.8473600000000001</v>
      </c>
      <c r="G1325" s="56">
        <v>617.28599999999994</v>
      </c>
      <c r="H1325" s="56">
        <v>391.30200000000002</v>
      </c>
      <c r="I1325" s="58">
        <v>0.24149399999999999</v>
      </c>
      <c r="J1325" s="57">
        <v>0.300348</v>
      </c>
      <c r="K1325" s="56"/>
      <c r="L1325" s="56" t="s">
        <v>624</v>
      </c>
    </row>
    <row r="1326" spans="2:12" x14ac:dyDescent="0.2">
      <c r="B1326" s="62" t="s">
        <v>4658</v>
      </c>
      <c r="C1326" s="61" t="s">
        <v>625</v>
      </c>
      <c r="D1326" s="60">
        <v>1.57752</v>
      </c>
      <c r="E1326" s="59">
        <v>6.4306900000000002</v>
      </c>
      <c r="F1326" s="59">
        <v>8.3280899999999995</v>
      </c>
      <c r="G1326" s="56">
        <v>664.84400000000005</v>
      </c>
      <c r="H1326" s="56">
        <v>428.34300000000002</v>
      </c>
      <c r="I1326" s="58">
        <v>0.229494</v>
      </c>
      <c r="J1326" s="57">
        <v>0.28888399999999997</v>
      </c>
      <c r="K1326" s="56"/>
      <c r="L1326" s="56" t="s">
        <v>624</v>
      </c>
    </row>
    <row r="1327" spans="2:12" x14ac:dyDescent="0.2">
      <c r="B1327" s="62" t="s">
        <v>4657</v>
      </c>
      <c r="C1327" s="61" t="s">
        <v>625</v>
      </c>
      <c r="D1327" s="60">
        <v>1.7339100000000001</v>
      </c>
      <c r="E1327" s="59">
        <v>3.6526700000000001</v>
      </c>
      <c r="F1327" s="59">
        <v>5.5735599999999996</v>
      </c>
      <c r="G1327" s="56">
        <v>0</v>
      </c>
      <c r="H1327" s="56">
        <v>0</v>
      </c>
      <c r="I1327" s="58">
        <v>0.14110200000000001</v>
      </c>
      <c r="J1327" s="57">
        <v>0.23388300000000001</v>
      </c>
      <c r="K1327" s="56"/>
      <c r="L1327" s="56" t="s">
        <v>624</v>
      </c>
    </row>
    <row r="1328" spans="2:12" x14ac:dyDescent="0.2">
      <c r="B1328" s="62" t="s">
        <v>4656</v>
      </c>
      <c r="C1328" s="61" t="s">
        <v>502</v>
      </c>
      <c r="D1328" s="60">
        <v>0.98416199999999998</v>
      </c>
      <c r="E1328" s="59">
        <v>4.6526699999999996</v>
      </c>
      <c r="F1328" s="59">
        <v>6.8215000000000003</v>
      </c>
      <c r="G1328" s="56">
        <v>1610.63</v>
      </c>
      <c r="H1328" s="56">
        <v>1636.55</v>
      </c>
      <c r="I1328" s="58">
        <v>0.63605800000000001</v>
      </c>
      <c r="J1328" s="57">
        <v>0.65852699999999997</v>
      </c>
      <c r="K1328" s="56"/>
      <c r="L1328" s="56" t="s">
        <v>488</v>
      </c>
    </row>
    <row r="1329" spans="2:12" x14ac:dyDescent="0.2">
      <c r="B1329" s="62" t="s">
        <v>4655</v>
      </c>
      <c r="C1329" s="61" t="s">
        <v>550</v>
      </c>
      <c r="D1329" s="60">
        <v>1.1137600000000001</v>
      </c>
      <c r="E1329" s="59">
        <v>14.281980000000001</v>
      </c>
      <c r="F1329" s="59">
        <v>14.373329999999999</v>
      </c>
      <c r="G1329" s="56">
        <v>718.49699999999996</v>
      </c>
      <c r="H1329" s="56">
        <v>645.10900000000004</v>
      </c>
      <c r="I1329" s="58">
        <v>0.443106</v>
      </c>
      <c r="J1329" s="57">
        <v>0.51028200000000001</v>
      </c>
      <c r="K1329" s="56"/>
      <c r="L1329" s="56" t="s">
        <v>488</v>
      </c>
    </row>
    <row r="1330" spans="2:12" x14ac:dyDescent="0.2">
      <c r="B1330" s="62" t="s">
        <v>4654</v>
      </c>
      <c r="C1330" s="61" t="s">
        <v>495</v>
      </c>
      <c r="D1330" s="60">
        <v>0.81766300000000003</v>
      </c>
      <c r="E1330" s="59">
        <v>5.0350400000000004</v>
      </c>
      <c r="F1330" s="59">
        <v>6.7876799999999999</v>
      </c>
      <c r="G1330" s="56">
        <v>2452.42</v>
      </c>
      <c r="H1330" s="56">
        <v>2999.31</v>
      </c>
      <c r="I1330" s="58">
        <v>0.70841699999999996</v>
      </c>
      <c r="J1330" s="57">
        <v>0.86665000000000003</v>
      </c>
      <c r="K1330" s="56"/>
      <c r="L1330" s="56" t="s">
        <v>488</v>
      </c>
    </row>
    <row r="1331" spans="2:12" x14ac:dyDescent="0.2">
      <c r="B1331" s="62" t="s">
        <v>4653</v>
      </c>
      <c r="C1331" s="61" t="s">
        <v>612</v>
      </c>
      <c r="D1331" s="60">
        <v>0.87163199999999996</v>
      </c>
      <c r="E1331" s="59">
        <v>8.6083700000000007</v>
      </c>
      <c r="F1331" s="59">
        <v>10.10622</v>
      </c>
      <c r="G1331" s="56">
        <v>1403.6</v>
      </c>
      <c r="H1331" s="56">
        <v>1610.31</v>
      </c>
      <c r="I1331" s="58">
        <v>0.62471200000000005</v>
      </c>
      <c r="J1331" s="57">
        <v>0.73859200000000003</v>
      </c>
      <c r="K1331" s="56"/>
      <c r="L1331" s="56" t="s">
        <v>488</v>
      </c>
    </row>
    <row r="1332" spans="2:12" x14ac:dyDescent="0.2">
      <c r="B1332" s="62" t="s">
        <v>4652</v>
      </c>
      <c r="C1332" s="61" t="s">
        <v>499</v>
      </c>
      <c r="D1332" s="60">
        <v>0.98370899999999994</v>
      </c>
      <c r="E1332" s="59">
        <v>5.3944400000000003</v>
      </c>
      <c r="F1332" s="59">
        <v>6.7184600000000003</v>
      </c>
      <c r="G1332" s="56">
        <v>1393.53</v>
      </c>
      <c r="H1332" s="56">
        <v>1416.61</v>
      </c>
      <c r="I1332" s="58">
        <v>0.50874399999999997</v>
      </c>
      <c r="J1332" s="57">
        <v>0.58138000000000001</v>
      </c>
      <c r="K1332" s="56" t="s">
        <v>3968</v>
      </c>
      <c r="L1332" s="56" t="s">
        <v>563</v>
      </c>
    </row>
    <row r="1333" spans="2:12" x14ac:dyDescent="0.2">
      <c r="B1333" s="62" t="s">
        <v>4651</v>
      </c>
      <c r="C1333" s="61" t="s">
        <v>533</v>
      </c>
      <c r="D1333" s="60">
        <v>1.6351899999999999</v>
      </c>
      <c r="E1333" s="59">
        <v>4.2877700000000001</v>
      </c>
      <c r="F1333" s="59">
        <v>4.7207499999999998</v>
      </c>
      <c r="G1333" s="56">
        <v>771.93299999999999</v>
      </c>
      <c r="H1333" s="56">
        <v>472.07600000000002</v>
      </c>
      <c r="I1333" s="58">
        <v>0.430116</v>
      </c>
      <c r="J1333" s="57">
        <v>0.328932</v>
      </c>
      <c r="K1333" s="56"/>
      <c r="L1333" s="56" t="s">
        <v>488</v>
      </c>
    </row>
    <row r="1334" spans="2:12" x14ac:dyDescent="0.2">
      <c r="B1334" s="62" t="s">
        <v>4650</v>
      </c>
      <c r="C1334" s="61" t="s">
        <v>499</v>
      </c>
      <c r="D1334" s="60">
        <v>1.4921</v>
      </c>
      <c r="E1334" s="59">
        <v>4.4337</v>
      </c>
      <c r="F1334" s="59">
        <v>4.7659399999999996</v>
      </c>
      <c r="G1334" s="56">
        <v>892.18899999999996</v>
      </c>
      <c r="H1334" s="56">
        <v>597.94299999999998</v>
      </c>
      <c r="I1334" s="58">
        <v>0.48168100000000003</v>
      </c>
      <c r="J1334" s="57">
        <v>0.34504099999999999</v>
      </c>
      <c r="K1334" s="56"/>
      <c r="L1334" s="56" t="s">
        <v>488</v>
      </c>
    </row>
    <row r="1335" spans="2:12" x14ac:dyDescent="0.2">
      <c r="B1335" s="62" t="s">
        <v>4649</v>
      </c>
      <c r="C1335" s="61" t="s">
        <v>495</v>
      </c>
      <c r="D1335" s="60">
        <v>1.9835400000000001</v>
      </c>
      <c r="E1335" s="59">
        <v>3.86741</v>
      </c>
      <c r="F1335" s="59">
        <v>4.00169</v>
      </c>
      <c r="G1335" s="56">
        <v>197.785</v>
      </c>
      <c r="H1335" s="56">
        <v>99.713499999999996</v>
      </c>
      <c r="I1335" s="58">
        <v>0.28271499999999999</v>
      </c>
      <c r="J1335" s="57">
        <v>0.20441999999999999</v>
      </c>
      <c r="K1335" s="56"/>
      <c r="L1335" s="56" t="s">
        <v>488</v>
      </c>
    </row>
    <row r="1336" spans="2:12" x14ac:dyDescent="0.2">
      <c r="B1336" s="62" t="s">
        <v>4648</v>
      </c>
      <c r="C1336" s="61" t="s">
        <v>1100</v>
      </c>
      <c r="D1336" s="60">
        <v>1.8495299999999999</v>
      </c>
      <c r="E1336" s="59">
        <v>2.50265</v>
      </c>
      <c r="F1336" s="59">
        <v>4.5705999999999998</v>
      </c>
      <c r="G1336" s="56">
        <v>0</v>
      </c>
      <c r="H1336" s="56">
        <v>0</v>
      </c>
      <c r="I1336" s="58">
        <v>0.24453900000000001</v>
      </c>
      <c r="J1336" s="57">
        <v>0.228657</v>
      </c>
      <c r="K1336" s="56"/>
      <c r="L1336" s="56" t="s">
        <v>488</v>
      </c>
    </row>
    <row r="1337" spans="2:12" x14ac:dyDescent="0.2">
      <c r="B1337" s="62" t="s">
        <v>4647</v>
      </c>
      <c r="C1337" s="61" t="s">
        <v>1786</v>
      </c>
      <c r="D1337" s="60">
        <v>2.5236200000000002</v>
      </c>
      <c r="E1337" s="59">
        <v>3.3233000000000001</v>
      </c>
      <c r="F1337" s="59">
        <v>5.2114099999999999</v>
      </c>
      <c r="G1337" s="56">
        <v>0</v>
      </c>
      <c r="H1337" s="56">
        <v>0</v>
      </c>
      <c r="I1337" s="58">
        <v>0.14139199999999999</v>
      </c>
      <c r="J1337" s="57">
        <v>0.140121</v>
      </c>
      <c r="K1337" s="56"/>
      <c r="L1337" s="56" t="s">
        <v>624</v>
      </c>
    </row>
    <row r="1338" spans="2:12" x14ac:dyDescent="0.2">
      <c r="B1338" s="62" t="s">
        <v>4646</v>
      </c>
      <c r="C1338" s="61" t="s">
        <v>708</v>
      </c>
      <c r="D1338" s="60">
        <v>1.2494799999999999</v>
      </c>
      <c r="E1338" s="59">
        <v>3.2359499999999999</v>
      </c>
      <c r="F1338" s="59">
        <v>5.0654899999999996</v>
      </c>
      <c r="G1338" s="56">
        <v>0</v>
      </c>
      <c r="H1338" s="56">
        <v>0</v>
      </c>
      <c r="I1338" s="58">
        <v>0.29331600000000002</v>
      </c>
      <c r="J1338" s="57">
        <v>0.383185</v>
      </c>
      <c r="K1338" s="56"/>
      <c r="L1338" s="56" t="s">
        <v>488</v>
      </c>
    </row>
    <row r="1339" spans="2:12" x14ac:dyDescent="0.2">
      <c r="B1339" s="62" t="s">
        <v>4645</v>
      </c>
      <c r="C1339" s="61" t="s">
        <v>499</v>
      </c>
      <c r="D1339" s="60">
        <v>1.0218499999999999</v>
      </c>
      <c r="E1339" s="59">
        <v>3.7725900000000001</v>
      </c>
      <c r="F1339" s="59">
        <v>5.9524999999999997</v>
      </c>
      <c r="G1339" s="56">
        <v>1126.29</v>
      </c>
      <c r="H1339" s="56">
        <v>1102.21</v>
      </c>
      <c r="I1339" s="58">
        <v>0.56071700000000002</v>
      </c>
      <c r="J1339" s="57">
        <v>0.60299000000000003</v>
      </c>
      <c r="K1339" s="56"/>
      <c r="L1339" s="56" t="s">
        <v>488</v>
      </c>
    </row>
    <row r="1340" spans="2:12" x14ac:dyDescent="0.2">
      <c r="B1340" s="62" t="s">
        <v>4644</v>
      </c>
      <c r="C1340" s="61" t="s">
        <v>499</v>
      </c>
      <c r="D1340" s="60">
        <v>0.87435700000000005</v>
      </c>
      <c r="E1340" s="59">
        <v>8.2637300000000007</v>
      </c>
      <c r="F1340" s="59">
        <v>8.5697200000000002</v>
      </c>
      <c r="G1340" s="56">
        <v>1837.25</v>
      </c>
      <c r="H1340" s="56">
        <v>2101.2600000000002</v>
      </c>
      <c r="I1340" s="58">
        <v>0.69459300000000002</v>
      </c>
      <c r="J1340" s="57">
        <v>0.78073599999999999</v>
      </c>
      <c r="K1340" s="56"/>
      <c r="L1340" s="56" t="s">
        <v>488</v>
      </c>
    </row>
    <row r="1341" spans="2:12" x14ac:dyDescent="0.2">
      <c r="B1341" s="62" t="s">
        <v>4643</v>
      </c>
      <c r="C1341" s="61" t="s">
        <v>1539</v>
      </c>
      <c r="D1341" s="60">
        <v>1.50475</v>
      </c>
      <c r="E1341" s="59">
        <v>7.0036399999999999</v>
      </c>
      <c r="F1341" s="59">
        <v>8.3022299999999998</v>
      </c>
      <c r="G1341" s="56">
        <v>903.34299999999996</v>
      </c>
      <c r="H1341" s="56">
        <v>600.32600000000002</v>
      </c>
      <c r="I1341" s="58">
        <v>0.37058999999999997</v>
      </c>
      <c r="J1341" s="57">
        <v>0.37740000000000001</v>
      </c>
      <c r="K1341" s="56"/>
      <c r="L1341" s="56" t="s">
        <v>488</v>
      </c>
    </row>
    <row r="1342" spans="2:12" x14ac:dyDescent="0.2">
      <c r="B1342" s="62" t="s">
        <v>4642</v>
      </c>
      <c r="C1342" s="61" t="s">
        <v>708</v>
      </c>
      <c r="D1342" s="60">
        <v>1.4613799999999999</v>
      </c>
      <c r="E1342" s="59">
        <v>2.8459699999999999</v>
      </c>
      <c r="F1342" s="59">
        <v>5.1636300000000004</v>
      </c>
      <c r="G1342" s="56">
        <v>0</v>
      </c>
      <c r="H1342" s="56">
        <v>0</v>
      </c>
      <c r="I1342" s="58">
        <v>0.30826399999999998</v>
      </c>
      <c r="J1342" s="57">
        <v>0.32726699999999997</v>
      </c>
      <c r="K1342" s="56"/>
      <c r="L1342" s="56" t="s">
        <v>488</v>
      </c>
    </row>
    <row r="1343" spans="2:12" x14ac:dyDescent="0.2">
      <c r="B1343" s="62" t="s">
        <v>4641</v>
      </c>
      <c r="C1343" s="61" t="s">
        <v>502</v>
      </c>
      <c r="D1343" s="60">
        <v>0.27914899999999998</v>
      </c>
      <c r="E1343" s="59">
        <v>11.53772</v>
      </c>
      <c r="F1343" s="59">
        <v>28.665220000000001</v>
      </c>
      <c r="G1343" s="56">
        <v>1612.64</v>
      </c>
      <c r="H1343" s="56">
        <v>5776.99</v>
      </c>
      <c r="I1343" s="58">
        <v>0.91605899999999996</v>
      </c>
      <c r="J1343" s="57">
        <v>3.1709499999999999</v>
      </c>
      <c r="K1343" s="56"/>
      <c r="L1343" s="56" t="s">
        <v>488</v>
      </c>
    </row>
    <row r="1344" spans="2:12" x14ac:dyDescent="0.2">
      <c r="B1344" s="62" t="s">
        <v>4640</v>
      </c>
      <c r="C1344" s="61" t="s">
        <v>499</v>
      </c>
      <c r="D1344" s="60">
        <v>0.58936299999999997</v>
      </c>
      <c r="E1344" s="59">
        <v>7.1779500000000001</v>
      </c>
      <c r="F1344" s="59">
        <v>10.08038</v>
      </c>
      <c r="G1344" s="56">
        <v>2403.94</v>
      </c>
      <c r="H1344" s="56">
        <v>4078.87</v>
      </c>
      <c r="I1344" s="58">
        <v>0.81762500000000005</v>
      </c>
      <c r="J1344" s="57">
        <v>1.3107</v>
      </c>
      <c r="K1344" s="56"/>
      <c r="L1344" s="56" t="s">
        <v>488</v>
      </c>
    </row>
    <row r="1345" spans="2:12" x14ac:dyDescent="0.2">
      <c r="B1345" s="62" t="s">
        <v>4639</v>
      </c>
      <c r="C1345" s="61" t="s">
        <v>533</v>
      </c>
      <c r="D1345" s="60">
        <v>1.6096299999999999</v>
      </c>
      <c r="E1345" s="59">
        <v>2.9712399999999999</v>
      </c>
      <c r="F1345" s="59">
        <v>4.4739100000000001</v>
      </c>
      <c r="G1345" s="56">
        <v>0</v>
      </c>
      <c r="H1345" s="56">
        <v>0</v>
      </c>
      <c r="I1345" s="58">
        <v>0.23849699999999999</v>
      </c>
      <c r="J1345" s="57">
        <v>0.27879599999999999</v>
      </c>
      <c r="K1345" s="56"/>
      <c r="L1345" s="56" t="s">
        <v>488</v>
      </c>
    </row>
    <row r="1346" spans="2:12" x14ac:dyDescent="0.2">
      <c r="B1346" s="62" t="s">
        <v>4638</v>
      </c>
      <c r="C1346" s="61" t="s">
        <v>535</v>
      </c>
      <c r="D1346" s="60">
        <v>1.6133500000000001</v>
      </c>
      <c r="E1346" s="59">
        <v>3.0106000000000002</v>
      </c>
      <c r="F1346" s="59">
        <v>4.4878400000000003</v>
      </c>
      <c r="G1346" s="56">
        <v>0</v>
      </c>
      <c r="H1346" s="56">
        <v>0</v>
      </c>
      <c r="I1346" s="58">
        <v>0.2379</v>
      </c>
      <c r="J1346" s="57">
        <v>0.27904400000000001</v>
      </c>
      <c r="K1346" s="56"/>
      <c r="L1346" s="56" t="s">
        <v>488</v>
      </c>
    </row>
    <row r="1347" spans="2:12" x14ac:dyDescent="0.2">
      <c r="B1347" s="62" t="s">
        <v>4637</v>
      </c>
      <c r="C1347" s="61" t="s">
        <v>859</v>
      </c>
      <c r="D1347" s="60">
        <v>1.65256</v>
      </c>
      <c r="E1347" s="59">
        <v>2.9529299999999998</v>
      </c>
      <c r="F1347" s="59">
        <v>4.4178199999999999</v>
      </c>
      <c r="G1347" s="56">
        <v>0</v>
      </c>
      <c r="H1347" s="56">
        <v>0</v>
      </c>
      <c r="I1347" s="58">
        <v>0.234817</v>
      </c>
      <c r="J1347" s="57">
        <v>0.27038400000000001</v>
      </c>
      <c r="K1347" s="56"/>
      <c r="L1347" s="56" t="s">
        <v>488</v>
      </c>
    </row>
    <row r="1348" spans="2:12" x14ac:dyDescent="0.2">
      <c r="B1348" s="62" t="s">
        <v>4636</v>
      </c>
      <c r="C1348" s="61" t="s">
        <v>499</v>
      </c>
      <c r="D1348" s="60">
        <v>1.0623100000000001</v>
      </c>
      <c r="E1348" s="59">
        <v>4.7301700000000002</v>
      </c>
      <c r="F1348" s="59">
        <v>6.7320700000000002</v>
      </c>
      <c r="G1348" s="56">
        <v>1229.51</v>
      </c>
      <c r="H1348" s="56">
        <v>1157.3900000000001</v>
      </c>
      <c r="I1348" s="58">
        <v>0.450934</v>
      </c>
      <c r="J1348" s="57">
        <v>0.54627599999999998</v>
      </c>
      <c r="K1348" s="56"/>
      <c r="L1348" s="56" t="s">
        <v>492</v>
      </c>
    </row>
    <row r="1349" spans="2:12" x14ac:dyDescent="0.2">
      <c r="B1349" s="62" t="s">
        <v>4635</v>
      </c>
      <c r="C1349" s="61" t="s">
        <v>499</v>
      </c>
      <c r="D1349" s="60">
        <v>1.03115</v>
      </c>
      <c r="E1349" s="59">
        <v>4.7770000000000001</v>
      </c>
      <c r="F1349" s="59">
        <v>5.6381300000000003</v>
      </c>
      <c r="G1349" s="56">
        <v>1098.54</v>
      </c>
      <c r="H1349" s="56">
        <v>1065.3499999999999</v>
      </c>
      <c r="I1349" s="58">
        <v>0.45565800000000001</v>
      </c>
      <c r="J1349" s="57">
        <v>0.54342199999999996</v>
      </c>
      <c r="K1349" s="56"/>
      <c r="L1349" s="56" t="s">
        <v>492</v>
      </c>
    </row>
    <row r="1350" spans="2:12" x14ac:dyDescent="0.2">
      <c r="B1350" s="62" t="s">
        <v>4634</v>
      </c>
      <c r="C1350" s="61" t="s">
        <v>507</v>
      </c>
      <c r="D1350" s="60">
        <v>1.5311999999999999</v>
      </c>
      <c r="E1350" s="59">
        <v>4.2866299999999997</v>
      </c>
      <c r="F1350" s="59">
        <v>4.8556800000000004</v>
      </c>
      <c r="G1350" s="56">
        <v>909.49800000000005</v>
      </c>
      <c r="H1350" s="56">
        <v>593.97699999999998</v>
      </c>
      <c r="I1350" s="58">
        <v>0.34211900000000001</v>
      </c>
      <c r="J1350" s="57">
        <v>0.34583399999999997</v>
      </c>
      <c r="K1350" s="56"/>
      <c r="L1350" s="56" t="s">
        <v>488</v>
      </c>
    </row>
    <row r="1351" spans="2:12" x14ac:dyDescent="0.2">
      <c r="B1351" s="62" t="s">
        <v>4633</v>
      </c>
      <c r="C1351" s="61" t="s">
        <v>579</v>
      </c>
      <c r="D1351" s="60">
        <v>1.51624</v>
      </c>
      <c r="E1351" s="59">
        <v>4.3023400000000001</v>
      </c>
      <c r="F1351" s="59">
        <v>4.8010799999999998</v>
      </c>
      <c r="G1351" s="56">
        <v>966.47900000000004</v>
      </c>
      <c r="H1351" s="56">
        <v>637.41899999999998</v>
      </c>
      <c r="I1351" s="58">
        <v>0.36122399999999999</v>
      </c>
      <c r="J1351" s="57">
        <v>0.35448000000000002</v>
      </c>
      <c r="K1351" s="56"/>
      <c r="L1351" s="56" t="s">
        <v>488</v>
      </c>
    </row>
    <row r="1352" spans="2:12" x14ac:dyDescent="0.2">
      <c r="B1352" s="62" t="s">
        <v>4632</v>
      </c>
      <c r="C1352" s="61" t="s">
        <v>541</v>
      </c>
      <c r="D1352" s="60">
        <v>1.5340800000000001</v>
      </c>
      <c r="E1352" s="59">
        <v>4.2877700000000001</v>
      </c>
      <c r="F1352" s="59">
        <v>4.80464</v>
      </c>
      <c r="G1352" s="56">
        <v>969.68399999999997</v>
      </c>
      <c r="H1352" s="56">
        <v>632.096</v>
      </c>
      <c r="I1352" s="58">
        <v>0.36403000000000002</v>
      </c>
      <c r="J1352" s="57">
        <v>0.34990900000000003</v>
      </c>
      <c r="K1352" s="56"/>
      <c r="L1352" s="56" t="s">
        <v>488</v>
      </c>
    </row>
    <row r="1353" spans="2:12" x14ac:dyDescent="0.2">
      <c r="B1353" s="62" t="s">
        <v>4631</v>
      </c>
      <c r="C1353" s="61" t="s">
        <v>582</v>
      </c>
      <c r="D1353" s="60">
        <v>1.5814900000000001</v>
      </c>
      <c r="E1353" s="59">
        <v>4.18269</v>
      </c>
      <c r="F1353" s="59">
        <v>4.7418899999999997</v>
      </c>
      <c r="G1353" s="56">
        <v>973.98699999999997</v>
      </c>
      <c r="H1353" s="56">
        <v>615.86699999999996</v>
      </c>
      <c r="I1353" s="58">
        <v>0.36453999999999998</v>
      </c>
      <c r="J1353" s="57">
        <v>0.33785599999999999</v>
      </c>
      <c r="K1353" s="56"/>
      <c r="L1353" s="56" t="s">
        <v>488</v>
      </c>
    </row>
    <row r="1354" spans="2:12" x14ac:dyDescent="0.2">
      <c r="B1354" s="62" t="s">
        <v>4630</v>
      </c>
      <c r="C1354" s="61" t="s">
        <v>533</v>
      </c>
      <c r="D1354" s="60">
        <v>1.6231</v>
      </c>
      <c r="E1354" s="59">
        <v>4.22431</v>
      </c>
      <c r="F1354" s="59">
        <v>4.7604300000000004</v>
      </c>
      <c r="G1354" s="56">
        <v>972.71600000000001</v>
      </c>
      <c r="H1354" s="56">
        <v>599.29399999999998</v>
      </c>
      <c r="I1354" s="58">
        <v>0.36444700000000002</v>
      </c>
      <c r="J1354" s="57">
        <v>0.32787300000000003</v>
      </c>
      <c r="K1354" s="56"/>
      <c r="L1354" s="56" t="s">
        <v>488</v>
      </c>
    </row>
    <row r="1355" spans="2:12" x14ac:dyDescent="0.2">
      <c r="B1355" s="62" t="s">
        <v>4629</v>
      </c>
      <c r="C1355" s="61" t="s">
        <v>561</v>
      </c>
      <c r="D1355" s="60">
        <v>1.35819</v>
      </c>
      <c r="E1355" s="59">
        <v>4.1369999999999996</v>
      </c>
      <c r="F1355" s="59">
        <v>4.6702199999999996</v>
      </c>
      <c r="G1355" s="56">
        <v>918.21500000000003</v>
      </c>
      <c r="H1355" s="56">
        <v>676.05899999999997</v>
      </c>
      <c r="I1355" s="58">
        <v>0.35920099999999999</v>
      </c>
      <c r="J1355" s="57">
        <v>0.384799</v>
      </c>
      <c r="K1355" s="56"/>
      <c r="L1355" s="56" t="s">
        <v>488</v>
      </c>
    </row>
    <row r="1356" spans="2:12" x14ac:dyDescent="0.2">
      <c r="B1356" s="62" t="s">
        <v>4628</v>
      </c>
      <c r="C1356" s="61" t="s">
        <v>531</v>
      </c>
      <c r="D1356" s="60">
        <v>1.6026899999999999</v>
      </c>
      <c r="E1356" s="59">
        <v>4.2176400000000003</v>
      </c>
      <c r="F1356" s="59">
        <v>4.75047</v>
      </c>
      <c r="G1356" s="56">
        <v>967.63</v>
      </c>
      <c r="H1356" s="56">
        <v>603.755</v>
      </c>
      <c r="I1356" s="58">
        <v>0.36605799999999999</v>
      </c>
      <c r="J1356" s="57">
        <v>0.33137800000000001</v>
      </c>
      <c r="K1356" s="56"/>
      <c r="L1356" s="56" t="s">
        <v>488</v>
      </c>
    </row>
    <row r="1357" spans="2:12" x14ac:dyDescent="0.2">
      <c r="B1357" s="62" t="s">
        <v>4627</v>
      </c>
      <c r="C1357" s="61" t="s">
        <v>708</v>
      </c>
      <c r="D1357" s="60">
        <v>0.95833199999999996</v>
      </c>
      <c r="E1357" s="59">
        <v>6.2522700000000002</v>
      </c>
      <c r="F1357" s="59">
        <v>9.0671400000000002</v>
      </c>
      <c r="G1357" s="56">
        <v>1350.86</v>
      </c>
      <c r="H1357" s="56">
        <v>1409.59</v>
      </c>
      <c r="I1357" s="58">
        <v>0.61230799999999996</v>
      </c>
      <c r="J1357" s="57">
        <v>0.61642399999999997</v>
      </c>
      <c r="K1357" s="56"/>
      <c r="L1357" s="56" t="s">
        <v>488</v>
      </c>
    </row>
    <row r="1358" spans="2:12" x14ac:dyDescent="0.2">
      <c r="B1358" s="62" t="s">
        <v>4626</v>
      </c>
      <c r="C1358" s="61" t="s">
        <v>499</v>
      </c>
      <c r="D1358" s="60">
        <v>1.17363</v>
      </c>
      <c r="E1358" s="59">
        <v>6.9775400000000003</v>
      </c>
      <c r="F1358" s="59">
        <v>7.5192399999999999</v>
      </c>
      <c r="G1358" s="56">
        <v>1025.06</v>
      </c>
      <c r="H1358" s="56">
        <v>873.40800000000002</v>
      </c>
      <c r="I1358" s="58">
        <v>0.46524500000000002</v>
      </c>
      <c r="J1358" s="57">
        <v>0.44451499999999999</v>
      </c>
      <c r="K1358" s="56"/>
      <c r="L1358" s="56" t="s">
        <v>488</v>
      </c>
    </row>
    <row r="1359" spans="2:12" x14ac:dyDescent="0.2">
      <c r="B1359" s="62" t="s">
        <v>4625</v>
      </c>
      <c r="C1359" s="61" t="s">
        <v>550</v>
      </c>
      <c r="D1359" s="60">
        <v>1.2051099999999999</v>
      </c>
      <c r="E1359" s="59">
        <v>5.3904300000000003</v>
      </c>
      <c r="F1359" s="59">
        <v>7.3337700000000003</v>
      </c>
      <c r="G1359" s="56">
        <v>1134.82</v>
      </c>
      <c r="H1359" s="56">
        <v>941.67</v>
      </c>
      <c r="I1359" s="58">
        <v>0.46424700000000002</v>
      </c>
      <c r="J1359" s="57">
        <v>0.44184600000000002</v>
      </c>
      <c r="K1359" s="56"/>
      <c r="L1359" s="56" t="s">
        <v>488</v>
      </c>
    </row>
    <row r="1360" spans="2:12" x14ac:dyDescent="0.2">
      <c r="B1360" s="62" t="s">
        <v>4624</v>
      </c>
      <c r="C1360" s="61" t="s">
        <v>526</v>
      </c>
      <c r="D1360" s="60">
        <v>0.96235700000000002</v>
      </c>
      <c r="E1360" s="59">
        <v>4.2881299999999998</v>
      </c>
      <c r="F1360" s="59">
        <v>10.402419999999999</v>
      </c>
      <c r="G1360" s="56">
        <v>959.84699999999998</v>
      </c>
      <c r="H1360" s="56">
        <v>997.39099999999996</v>
      </c>
      <c r="I1360" s="58">
        <v>0.44981700000000002</v>
      </c>
      <c r="J1360" s="57">
        <v>0.59589000000000003</v>
      </c>
      <c r="K1360" s="56"/>
      <c r="L1360" s="56" t="s">
        <v>624</v>
      </c>
    </row>
    <row r="1361" spans="2:12" x14ac:dyDescent="0.2">
      <c r="B1361" s="62" t="s">
        <v>4623</v>
      </c>
      <c r="C1361" s="61" t="s">
        <v>526</v>
      </c>
      <c r="D1361" s="60">
        <v>0.848298</v>
      </c>
      <c r="E1361" s="59">
        <v>4.7004999999999999</v>
      </c>
      <c r="F1361" s="59">
        <v>9.8000699999999998</v>
      </c>
      <c r="G1361" s="56">
        <v>1867.07</v>
      </c>
      <c r="H1361" s="56">
        <v>2200.96</v>
      </c>
      <c r="I1361" s="58">
        <v>0.69225899999999996</v>
      </c>
      <c r="J1361" s="57">
        <v>0.78414099999999998</v>
      </c>
      <c r="K1361" s="56"/>
      <c r="L1361" s="56" t="s">
        <v>488</v>
      </c>
    </row>
    <row r="1362" spans="2:12" x14ac:dyDescent="0.2">
      <c r="B1362" s="62" t="s">
        <v>4622</v>
      </c>
      <c r="C1362" s="61" t="s">
        <v>641</v>
      </c>
      <c r="D1362" s="60">
        <v>1.4172100000000001</v>
      </c>
      <c r="E1362" s="59">
        <v>3.1465100000000001</v>
      </c>
      <c r="F1362" s="59">
        <v>4.9695999999999998</v>
      </c>
      <c r="G1362" s="56">
        <v>0</v>
      </c>
      <c r="H1362" s="56">
        <v>0</v>
      </c>
      <c r="I1362" s="58">
        <v>0.41853299999999999</v>
      </c>
      <c r="J1362" s="57">
        <v>0.37159700000000001</v>
      </c>
      <c r="K1362" s="56"/>
      <c r="L1362" s="56" t="s">
        <v>488</v>
      </c>
    </row>
    <row r="1363" spans="2:12" x14ac:dyDescent="0.2">
      <c r="B1363" s="62" t="s">
        <v>4621</v>
      </c>
      <c r="C1363" s="61" t="s">
        <v>507</v>
      </c>
      <c r="D1363" s="60">
        <v>1.42337</v>
      </c>
      <c r="E1363" s="59">
        <v>3.2031499999999999</v>
      </c>
      <c r="F1363" s="59">
        <v>4.9691700000000001</v>
      </c>
      <c r="G1363" s="56">
        <v>0</v>
      </c>
      <c r="H1363" s="56">
        <v>0</v>
      </c>
      <c r="I1363" s="58">
        <v>0.410078</v>
      </c>
      <c r="J1363" s="57">
        <v>0.36925400000000003</v>
      </c>
      <c r="K1363" s="56"/>
      <c r="L1363" s="56" t="s">
        <v>488</v>
      </c>
    </row>
    <row r="1364" spans="2:12" x14ac:dyDescent="0.2">
      <c r="B1364" s="62" t="s">
        <v>4620</v>
      </c>
      <c r="C1364" s="61" t="s">
        <v>579</v>
      </c>
      <c r="D1364" s="60">
        <v>1.44018</v>
      </c>
      <c r="E1364" s="59">
        <v>3.1309399999999998</v>
      </c>
      <c r="F1364" s="59">
        <v>4.9422800000000002</v>
      </c>
      <c r="G1364" s="56">
        <v>0</v>
      </c>
      <c r="H1364" s="56">
        <v>0</v>
      </c>
      <c r="I1364" s="58">
        <v>0.40427400000000002</v>
      </c>
      <c r="J1364" s="57">
        <v>0.36394399999999999</v>
      </c>
      <c r="K1364" s="56"/>
      <c r="L1364" s="56" t="s">
        <v>488</v>
      </c>
    </row>
    <row r="1365" spans="2:12" x14ac:dyDescent="0.2">
      <c r="B1365" s="62" t="s">
        <v>4619</v>
      </c>
      <c r="C1365" s="61" t="s">
        <v>507</v>
      </c>
      <c r="D1365" s="60">
        <v>1.8114600000000001</v>
      </c>
      <c r="E1365" s="59">
        <v>2.72919</v>
      </c>
      <c r="F1365" s="59">
        <v>3.7682799999999999</v>
      </c>
      <c r="G1365" s="56">
        <v>0</v>
      </c>
      <c r="H1365" s="56">
        <v>0</v>
      </c>
      <c r="I1365" s="58">
        <v>0.13298199999999999</v>
      </c>
      <c r="J1365" s="57">
        <v>0.22125800000000001</v>
      </c>
      <c r="K1365" s="56"/>
      <c r="L1365" s="56" t="s">
        <v>488</v>
      </c>
    </row>
    <row r="1366" spans="2:12" x14ac:dyDescent="0.2">
      <c r="B1366" s="62" t="s">
        <v>4618</v>
      </c>
      <c r="C1366" s="61" t="s">
        <v>579</v>
      </c>
      <c r="D1366" s="60">
        <v>1.82538</v>
      </c>
      <c r="E1366" s="59">
        <v>2.6997300000000002</v>
      </c>
      <c r="F1366" s="59">
        <v>3.7213099999999999</v>
      </c>
      <c r="G1366" s="56">
        <v>0</v>
      </c>
      <c r="H1366" s="56">
        <v>0</v>
      </c>
      <c r="I1366" s="58">
        <v>0.127307</v>
      </c>
      <c r="J1366" s="57">
        <v>0.21787500000000001</v>
      </c>
      <c r="K1366" s="56"/>
      <c r="L1366" s="56" t="s">
        <v>488</v>
      </c>
    </row>
    <row r="1367" spans="2:12" x14ac:dyDescent="0.2">
      <c r="B1367" s="62" t="s">
        <v>4617</v>
      </c>
      <c r="C1367" s="61" t="s">
        <v>502</v>
      </c>
      <c r="D1367" s="60">
        <v>0.86886600000000003</v>
      </c>
      <c r="E1367" s="59">
        <v>4.31562</v>
      </c>
      <c r="F1367" s="59">
        <v>12.82817</v>
      </c>
      <c r="G1367" s="56">
        <v>1594.08</v>
      </c>
      <c r="H1367" s="56">
        <v>1834.67</v>
      </c>
      <c r="I1367" s="58">
        <v>0.69623900000000005</v>
      </c>
      <c r="J1367" s="57">
        <v>0.77794300000000005</v>
      </c>
      <c r="K1367" s="56"/>
      <c r="L1367" s="56" t="s">
        <v>488</v>
      </c>
    </row>
    <row r="1368" spans="2:12" x14ac:dyDescent="0.2">
      <c r="B1368" s="62" t="s">
        <v>4616</v>
      </c>
      <c r="C1368" s="61" t="s">
        <v>550</v>
      </c>
      <c r="D1368" s="60">
        <v>0.559917</v>
      </c>
      <c r="E1368" s="59">
        <v>8.9697600000000008</v>
      </c>
      <c r="F1368" s="59">
        <v>20.25844</v>
      </c>
      <c r="G1368" s="56">
        <v>2079</v>
      </c>
      <c r="H1368" s="56">
        <v>3713.05</v>
      </c>
      <c r="I1368" s="58">
        <v>0.83761300000000005</v>
      </c>
      <c r="J1368" s="57">
        <v>1.51718</v>
      </c>
      <c r="K1368" s="56"/>
      <c r="L1368" s="56" t="s">
        <v>488</v>
      </c>
    </row>
    <row r="1369" spans="2:12" x14ac:dyDescent="0.2">
      <c r="B1369" s="62" t="s">
        <v>4615</v>
      </c>
      <c r="C1369" s="61" t="s">
        <v>499</v>
      </c>
      <c r="D1369" s="60">
        <v>1.10395</v>
      </c>
      <c r="E1369" s="59">
        <v>5.1394200000000003</v>
      </c>
      <c r="F1369" s="59">
        <v>6.9062200000000002</v>
      </c>
      <c r="G1369" s="56">
        <v>1124.23</v>
      </c>
      <c r="H1369" s="56">
        <v>1018.37</v>
      </c>
      <c r="I1369" s="58">
        <v>0.42687799999999998</v>
      </c>
      <c r="J1369" s="57">
        <v>0.49821700000000002</v>
      </c>
      <c r="K1369" s="56"/>
      <c r="L1369" s="56" t="s">
        <v>492</v>
      </c>
    </row>
    <row r="1370" spans="2:12" x14ac:dyDescent="0.2">
      <c r="B1370" s="62" t="s">
        <v>4614</v>
      </c>
      <c r="C1370" s="61" t="s">
        <v>1494</v>
      </c>
      <c r="D1370" s="60">
        <v>1.2357400000000001</v>
      </c>
      <c r="E1370" s="59">
        <v>3.0088300000000001</v>
      </c>
      <c r="F1370" s="59">
        <v>3.9821399999999998</v>
      </c>
      <c r="G1370" s="56">
        <v>0</v>
      </c>
      <c r="H1370" s="56">
        <v>0</v>
      </c>
      <c r="I1370" s="58">
        <v>0.30003299999999999</v>
      </c>
      <c r="J1370" s="57">
        <v>0.40472200000000003</v>
      </c>
      <c r="K1370" s="56"/>
      <c r="L1370" s="56" t="s">
        <v>488</v>
      </c>
    </row>
    <row r="1371" spans="2:12" x14ac:dyDescent="0.2">
      <c r="B1371" s="62" t="s">
        <v>4613</v>
      </c>
      <c r="C1371" s="61" t="s">
        <v>550</v>
      </c>
      <c r="D1371" s="60">
        <v>0.97083299999999995</v>
      </c>
      <c r="E1371" s="59">
        <v>9.0601299999999991</v>
      </c>
      <c r="F1371" s="59">
        <v>12.962260000000001</v>
      </c>
      <c r="G1371" s="56">
        <v>780.89499999999998</v>
      </c>
      <c r="H1371" s="56">
        <v>804.35500000000002</v>
      </c>
      <c r="I1371" s="58">
        <v>0.45495000000000002</v>
      </c>
      <c r="J1371" s="57">
        <v>0.60123499999999996</v>
      </c>
      <c r="K1371" s="56"/>
      <c r="L1371" s="56" t="s">
        <v>492</v>
      </c>
    </row>
    <row r="1372" spans="2:12" x14ac:dyDescent="0.2">
      <c r="B1372" s="62" t="s">
        <v>4612</v>
      </c>
      <c r="C1372" s="61" t="s">
        <v>1604</v>
      </c>
      <c r="D1372" s="60">
        <v>1.6386000000000001</v>
      </c>
      <c r="E1372" s="59">
        <v>2.7279499999999999</v>
      </c>
      <c r="F1372" s="59">
        <v>3.68052</v>
      </c>
      <c r="G1372" s="56">
        <v>0</v>
      </c>
      <c r="H1372" s="56">
        <v>0</v>
      </c>
      <c r="I1372" s="58">
        <v>0.21063599999999999</v>
      </c>
      <c r="J1372" s="57">
        <v>0.27604499999999998</v>
      </c>
      <c r="K1372" s="56"/>
      <c r="L1372" s="56" t="s">
        <v>488</v>
      </c>
    </row>
    <row r="1373" spans="2:12" x14ac:dyDescent="0.2">
      <c r="B1373" s="62" t="s">
        <v>4611</v>
      </c>
      <c r="C1373" s="61" t="s">
        <v>499</v>
      </c>
      <c r="D1373" s="60">
        <v>1.4798100000000001</v>
      </c>
      <c r="E1373" s="59">
        <v>3.3828399999999998</v>
      </c>
      <c r="F1373" s="59">
        <v>4.8636499999999998</v>
      </c>
      <c r="G1373" s="56">
        <v>0</v>
      </c>
      <c r="H1373" s="56">
        <v>0</v>
      </c>
      <c r="I1373" s="58">
        <v>0.32650800000000002</v>
      </c>
      <c r="J1373" s="57">
        <v>0.33819900000000003</v>
      </c>
      <c r="K1373" s="56"/>
      <c r="L1373" s="56" t="s">
        <v>488</v>
      </c>
    </row>
    <row r="1374" spans="2:12" x14ac:dyDescent="0.2">
      <c r="B1374" s="62" t="s">
        <v>4610</v>
      </c>
      <c r="C1374" s="61" t="s">
        <v>878</v>
      </c>
      <c r="D1374" s="60">
        <v>2.3258100000000002</v>
      </c>
      <c r="E1374" s="59">
        <v>3.1747899999999998</v>
      </c>
      <c r="F1374" s="59">
        <v>4.0549900000000001</v>
      </c>
      <c r="G1374" s="56">
        <v>0</v>
      </c>
      <c r="H1374" s="56">
        <v>0</v>
      </c>
      <c r="I1374" s="58">
        <v>8.2256800000000005E-2</v>
      </c>
      <c r="J1374" s="57">
        <v>0.162329</v>
      </c>
      <c r="K1374" s="56"/>
      <c r="L1374" s="56" t="s">
        <v>488</v>
      </c>
    </row>
    <row r="1375" spans="2:12" x14ac:dyDescent="0.2">
      <c r="B1375" s="62" t="s">
        <v>4609</v>
      </c>
      <c r="C1375" s="61" t="s">
        <v>1637</v>
      </c>
      <c r="D1375" s="60">
        <v>3.7539600000000002</v>
      </c>
      <c r="E1375" s="59">
        <v>3.1428699999999998</v>
      </c>
      <c r="F1375" s="59">
        <v>5.7514700000000003</v>
      </c>
      <c r="G1375" s="56">
        <v>0</v>
      </c>
      <c r="H1375" s="56">
        <v>0</v>
      </c>
      <c r="I1375" s="58">
        <v>0.294964</v>
      </c>
      <c r="J1375" s="57">
        <v>0.124862</v>
      </c>
      <c r="K1375" s="56"/>
      <c r="L1375" s="56" t="s">
        <v>488</v>
      </c>
    </row>
    <row r="1376" spans="2:12" x14ac:dyDescent="0.2">
      <c r="B1376" s="62" t="s">
        <v>4608</v>
      </c>
      <c r="C1376" s="61" t="s">
        <v>535</v>
      </c>
      <c r="D1376" s="60">
        <v>1.7765599999999999</v>
      </c>
      <c r="E1376" s="59">
        <v>6.9637000000000002</v>
      </c>
      <c r="F1376" s="59">
        <v>7.3046899999999999</v>
      </c>
      <c r="G1376" s="56">
        <v>490.35700000000003</v>
      </c>
      <c r="H1376" s="56">
        <v>276.01400000000001</v>
      </c>
      <c r="I1376" s="58">
        <v>0.24366199999999999</v>
      </c>
      <c r="J1376" s="57">
        <v>0.26261099999999998</v>
      </c>
      <c r="K1376" s="56"/>
      <c r="L1376" s="56" t="s">
        <v>488</v>
      </c>
    </row>
    <row r="1377" spans="2:12" x14ac:dyDescent="0.2">
      <c r="B1377" s="62" t="s">
        <v>4607</v>
      </c>
      <c r="C1377" s="61" t="s">
        <v>502</v>
      </c>
      <c r="D1377" s="60">
        <v>1.5622799999999999</v>
      </c>
      <c r="E1377" s="59">
        <v>2.70818</v>
      </c>
      <c r="F1377" s="59">
        <v>3.7895400000000001</v>
      </c>
      <c r="G1377" s="56">
        <v>0</v>
      </c>
      <c r="H1377" s="56">
        <v>0</v>
      </c>
      <c r="I1377" s="58">
        <v>0.15224199999999999</v>
      </c>
      <c r="J1377" s="57">
        <v>0.292624</v>
      </c>
      <c r="K1377" s="56"/>
      <c r="L1377" s="56" t="s">
        <v>488</v>
      </c>
    </row>
    <row r="1378" spans="2:12" x14ac:dyDescent="0.2">
      <c r="B1378" s="62" t="s">
        <v>4606</v>
      </c>
      <c r="C1378" s="61" t="s">
        <v>535</v>
      </c>
      <c r="D1378" s="60">
        <v>1.8682000000000001</v>
      </c>
      <c r="E1378" s="59">
        <v>2.6234199999999999</v>
      </c>
      <c r="F1378" s="59">
        <v>4.49519</v>
      </c>
      <c r="G1378" s="56">
        <v>0</v>
      </c>
      <c r="H1378" s="56">
        <v>0</v>
      </c>
      <c r="I1378" s="58">
        <v>0.19600100000000001</v>
      </c>
      <c r="J1378" s="57">
        <v>0.235434</v>
      </c>
      <c r="K1378" s="56"/>
      <c r="L1378" s="56" t="s">
        <v>488</v>
      </c>
    </row>
    <row r="1379" spans="2:12" x14ac:dyDescent="0.2">
      <c r="B1379" s="62" t="s">
        <v>4605</v>
      </c>
      <c r="C1379" s="61" t="s">
        <v>550</v>
      </c>
      <c r="D1379" s="60">
        <v>1.31969</v>
      </c>
      <c r="E1379" s="59">
        <v>3.8053400000000002</v>
      </c>
      <c r="F1379" s="59">
        <v>5.6350100000000003</v>
      </c>
      <c r="G1379" s="56">
        <v>1410.01</v>
      </c>
      <c r="H1379" s="56">
        <v>1068.44</v>
      </c>
      <c r="I1379" s="58">
        <v>0.49035499999999999</v>
      </c>
      <c r="J1379" s="57">
        <v>0.50875800000000004</v>
      </c>
      <c r="K1379" s="56"/>
      <c r="L1379" s="56" t="s">
        <v>488</v>
      </c>
    </row>
    <row r="1380" spans="2:12" x14ac:dyDescent="0.2">
      <c r="B1380" s="62" t="s">
        <v>4604</v>
      </c>
      <c r="C1380" s="61" t="s">
        <v>510</v>
      </c>
      <c r="D1380" s="60">
        <v>1.34379</v>
      </c>
      <c r="E1380" s="59">
        <v>3.0120499999999999</v>
      </c>
      <c r="F1380" s="59">
        <v>4.8416100000000002</v>
      </c>
      <c r="G1380" s="56">
        <v>0</v>
      </c>
      <c r="H1380" s="56">
        <v>0</v>
      </c>
      <c r="I1380" s="58">
        <v>0.241065</v>
      </c>
      <c r="J1380" s="57">
        <v>0.316834</v>
      </c>
      <c r="K1380" s="56"/>
      <c r="L1380" s="56" t="s">
        <v>488</v>
      </c>
    </row>
    <row r="1381" spans="2:12" x14ac:dyDescent="0.2">
      <c r="B1381" s="62" t="s">
        <v>4603</v>
      </c>
      <c r="C1381" s="61" t="s">
        <v>495</v>
      </c>
      <c r="D1381" s="60">
        <v>1.3129299999999999</v>
      </c>
      <c r="E1381" s="59">
        <v>3.1305999999999998</v>
      </c>
      <c r="F1381" s="59">
        <v>4.8719200000000003</v>
      </c>
      <c r="G1381" s="56">
        <v>0</v>
      </c>
      <c r="H1381" s="56">
        <v>0</v>
      </c>
      <c r="I1381" s="58">
        <v>0.20685899999999999</v>
      </c>
      <c r="J1381" s="57">
        <v>0.32406299999999999</v>
      </c>
      <c r="K1381" s="56"/>
      <c r="L1381" s="56" t="s">
        <v>488</v>
      </c>
    </row>
    <row r="1382" spans="2:12" x14ac:dyDescent="0.2">
      <c r="B1382" s="62" t="s">
        <v>4602</v>
      </c>
      <c r="C1382" s="61" t="s">
        <v>495</v>
      </c>
      <c r="D1382" s="60">
        <v>1.30836</v>
      </c>
      <c r="E1382" s="59">
        <v>3.052</v>
      </c>
      <c r="F1382" s="59">
        <v>5.0863199999999997</v>
      </c>
      <c r="G1382" s="56">
        <v>0</v>
      </c>
      <c r="H1382" s="56">
        <v>0</v>
      </c>
      <c r="I1382" s="58">
        <v>0.25521300000000002</v>
      </c>
      <c r="J1382" s="57">
        <v>0.33024399999999998</v>
      </c>
      <c r="K1382" s="56"/>
      <c r="L1382" s="56" t="s">
        <v>488</v>
      </c>
    </row>
    <row r="1383" spans="2:12" x14ac:dyDescent="0.2">
      <c r="B1383" s="62" t="s">
        <v>4601</v>
      </c>
      <c r="C1383" s="61" t="s">
        <v>1393</v>
      </c>
      <c r="D1383" s="60">
        <v>0.95993499999999998</v>
      </c>
      <c r="E1383" s="59">
        <v>8.8610500000000005</v>
      </c>
      <c r="F1383" s="59">
        <v>9.7861700000000003</v>
      </c>
      <c r="G1383" s="56">
        <v>1570.17</v>
      </c>
      <c r="H1383" s="56">
        <v>1635.7</v>
      </c>
      <c r="I1383" s="58">
        <v>0.61561200000000005</v>
      </c>
      <c r="J1383" s="57">
        <v>0.64194600000000002</v>
      </c>
      <c r="K1383" s="56"/>
      <c r="L1383" s="56" t="s">
        <v>488</v>
      </c>
    </row>
    <row r="1384" spans="2:12" x14ac:dyDescent="0.2">
      <c r="B1384" s="62" t="s">
        <v>4600</v>
      </c>
      <c r="C1384" s="61" t="s">
        <v>550</v>
      </c>
      <c r="D1384" s="60">
        <v>0.89543600000000001</v>
      </c>
      <c r="E1384" s="59">
        <v>5.8845999999999998</v>
      </c>
      <c r="F1384" s="59">
        <v>7.0402699999999996</v>
      </c>
      <c r="G1384" s="56">
        <v>1936.26</v>
      </c>
      <c r="H1384" s="56">
        <v>2162.36</v>
      </c>
      <c r="I1384" s="58">
        <v>0.65987300000000004</v>
      </c>
      <c r="J1384" s="57">
        <v>0.72035499999999997</v>
      </c>
      <c r="K1384" s="56"/>
      <c r="L1384" s="56" t="s">
        <v>488</v>
      </c>
    </row>
    <row r="1385" spans="2:12" x14ac:dyDescent="0.2">
      <c r="B1385" s="62" t="s">
        <v>4599</v>
      </c>
      <c r="C1385" s="61" t="s">
        <v>708</v>
      </c>
      <c r="D1385" s="60">
        <v>1.3655299999999999</v>
      </c>
      <c r="E1385" s="59">
        <v>4.5248100000000004</v>
      </c>
      <c r="F1385" s="59">
        <v>5.1709300000000002</v>
      </c>
      <c r="G1385" s="56">
        <v>557.58900000000006</v>
      </c>
      <c r="H1385" s="56">
        <v>408.33</v>
      </c>
      <c r="I1385" s="58">
        <v>0.27543099999999998</v>
      </c>
      <c r="J1385" s="57">
        <v>0.31622099999999997</v>
      </c>
      <c r="K1385" s="56"/>
      <c r="L1385" s="56" t="s">
        <v>488</v>
      </c>
    </row>
    <row r="1386" spans="2:12" x14ac:dyDescent="0.2">
      <c r="B1386" s="62" t="s">
        <v>4598</v>
      </c>
      <c r="C1386" s="61" t="s">
        <v>2221</v>
      </c>
      <c r="D1386" s="60">
        <v>1.07253</v>
      </c>
      <c r="E1386" s="59">
        <v>3.0758200000000002</v>
      </c>
      <c r="F1386" s="59">
        <v>6.1060400000000001</v>
      </c>
      <c r="G1386" s="56">
        <v>0</v>
      </c>
      <c r="H1386" s="56">
        <v>0</v>
      </c>
      <c r="I1386" s="58">
        <v>0.56073600000000001</v>
      </c>
      <c r="J1386" s="57">
        <v>0.54755100000000001</v>
      </c>
      <c r="K1386" s="56"/>
      <c r="L1386" s="56" t="s">
        <v>488</v>
      </c>
    </row>
    <row r="1387" spans="2:12" x14ac:dyDescent="0.2">
      <c r="B1387" s="62" t="s">
        <v>4597</v>
      </c>
      <c r="C1387" s="61" t="s">
        <v>4596</v>
      </c>
      <c r="D1387" s="60">
        <v>1.16133</v>
      </c>
      <c r="E1387" s="59">
        <v>3.0077699999999998</v>
      </c>
      <c r="F1387" s="59">
        <v>6.3561300000000003</v>
      </c>
      <c r="G1387" s="56">
        <v>0</v>
      </c>
      <c r="H1387" s="56">
        <v>0</v>
      </c>
      <c r="I1387" s="58">
        <v>0.55948699999999996</v>
      </c>
      <c r="J1387" s="57">
        <v>0.50999399999999995</v>
      </c>
      <c r="K1387" s="56"/>
      <c r="L1387" s="56" t="s">
        <v>488</v>
      </c>
    </row>
    <row r="1388" spans="2:12" x14ac:dyDescent="0.2">
      <c r="B1388" s="62" t="s">
        <v>4595</v>
      </c>
      <c r="C1388" s="61" t="s">
        <v>1814</v>
      </c>
      <c r="D1388" s="60">
        <v>1.5672299999999999</v>
      </c>
      <c r="E1388" s="59">
        <v>2.7120700000000002</v>
      </c>
      <c r="F1388" s="59">
        <v>4.4048499999999997</v>
      </c>
      <c r="G1388" s="56">
        <v>0</v>
      </c>
      <c r="H1388" s="56">
        <v>0</v>
      </c>
      <c r="I1388" s="58">
        <v>0.31939699999999999</v>
      </c>
      <c r="J1388" s="57">
        <v>0.30210100000000001</v>
      </c>
      <c r="K1388" s="56"/>
      <c r="L1388" s="56" t="s">
        <v>488</v>
      </c>
    </row>
    <row r="1389" spans="2:12" x14ac:dyDescent="0.2">
      <c r="B1389" s="62" t="s">
        <v>4594</v>
      </c>
      <c r="C1389" s="61" t="s">
        <v>499</v>
      </c>
      <c r="D1389" s="60">
        <v>1.1520699999999999</v>
      </c>
      <c r="E1389" s="59">
        <v>5.5211699999999997</v>
      </c>
      <c r="F1389" s="59">
        <v>5.9754399999999999</v>
      </c>
      <c r="G1389" s="56">
        <v>1286.02</v>
      </c>
      <c r="H1389" s="56">
        <v>1116.27</v>
      </c>
      <c r="I1389" s="58">
        <v>0.57608800000000004</v>
      </c>
      <c r="J1389" s="57">
        <v>0.539605</v>
      </c>
      <c r="K1389" s="56"/>
      <c r="L1389" s="56" t="s">
        <v>488</v>
      </c>
    </row>
    <row r="1390" spans="2:12" x14ac:dyDescent="0.2">
      <c r="B1390" s="62" t="s">
        <v>4593</v>
      </c>
      <c r="C1390" s="61" t="s">
        <v>550</v>
      </c>
      <c r="D1390" s="60">
        <v>1.29989</v>
      </c>
      <c r="E1390" s="59">
        <v>5.17685</v>
      </c>
      <c r="F1390" s="59">
        <v>5.6819100000000002</v>
      </c>
      <c r="G1390" s="56">
        <v>1468.03</v>
      </c>
      <c r="H1390" s="56">
        <v>1129.3399999999999</v>
      </c>
      <c r="I1390" s="58">
        <v>0.63202999999999998</v>
      </c>
      <c r="J1390" s="57">
        <v>0.48403099999999999</v>
      </c>
      <c r="K1390" s="56"/>
      <c r="L1390" s="56" t="s">
        <v>488</v>
      </c>
    </row>
    <row r="1391" spans="2:12" x14ac:dyDescent="0.2">
      <c r="B1391" s="62" t="s">
        <v>4592</v>
      </c>
      <c r="C1391" s="61" t="s">
        <v>502</v>
      </c>
      <c r="D1391" s="60">
        <v>1.32331</v>
      </c>
      <c r="E1391" s="59">
        <v>4.6116400000000004</v>
      </c>
      <c r="F1391" s="59">
        <v>5.4254499999999997</v>
      </c>
      <c r="G1391" s="56">
        <v>894.58199999999999</v>
      </c>
      <c r="H1391" s="56">
        <v>676.02099999999996</v>
      </c>
      <c r="I1391" s="58">
        <v>0.50643300000000002</v>
      </c>
      <c r="J1391" s="57">
        <v>0.41144399999999998</v>
      </c>
      <c r="K1391" s="56"/>
      <c r="L1391" s="56" t="s">
        <v>730</v>
      </c>
    </row>
    <row r="1392" spans="2:12" x14ac:dyDescent="0.2">
      <c r="B1392" s="62" t="s">
        <v>4591</v>
      </c>
      <c r="C1392" s="61" t="s">
        <v>510</v>
      </c>
      <c r="D1392" s="60">
        <v>0.90013600000000005</v>
      </c>
      <c r="E1392" s="59">
        <v>6.8228900000000001</v>
      </c>
      <c r="F1392" s="59">
        <v>9.5807400000000005</v>
      </c>
      <c r="G1392" s="56">
        <v>1840.01</v>
      </c>
      <c r="H1392" s="56">
        <v>2044.15</v>
      </c>
      <c r="I1392" s="58">
        <v>0.733931</v>
      </c>
      <c r="J1392" s="57">
        <v>0.73983500000000002</v>
      </c>
      <c r="K1392" s="56"/>
      <c r="L1392" s="56" t="s">
        <v>488</v>
      </c>
    </row>
    <row r="1393" spans="2:12" x14ac:dyDescent="0.2">
      <c r="B1393" s="62" t="s">
        <v>4590</v>
      </c>
      <c r="C1393" s="61" t="s">
        <v>1141</v>
      </c>
      <c r="D1393" s="60">
        <v>1.37181</v>
      </c>
      <c r="E1393" s="59">
        <v>3.6589</v>
      </c>
      <c r="F1393" s="59">
        <v>7.2544199999999996</v>
      </c>
      <c r="G1393" s="56">
        <v>0</v>
      </c>
      <c r="H1393" s="56">
        <v>0</v>
      </c>
      <c r="I1393" s="58">
        <v>0.357906</v>
      </c>
      <c r="J1393" s="57">
        <v>0.369342</v>
      </c>
      <c r="K1393" s="56"/>
      <c r="L1393" s="56" t="s">
        <v>624</v>
      </c>
    </row>
    <row r="1394" spans="2:12" x14ac:dyDescent="0.2">
      <c r="B1394" s="62" t="s">
        <v>4589</v>
      </c>
      <c r="C1394" s="61" t="s">
        <v>2455</v>
      </c>
      <c r="D1394" s="60">
        <v>1.1359900000000001</v>
      </c>
      <c r="E1394" s="59">
        <v>3.4254500000000001</v>
      </c>
      <c r="F1394" s="59">
        <v>5.8907800000000003</v>
      </c>
      <c r="G1394" s="56">
        <v>0</v>
      </c>
      <c r="H1394" s="56">
        <v>0</v>
      </c>
      <c r="I1394" s="58">
        <v>0.38208399999999998</v>
      </c>
      <c r="J1394" s="57">
        <v>0.46140199999999998</v>
      </c>
      <c r="K1394" s="56"/>
      <c r="L1394" s="56" t="s">
        <v>488</v>
      </c>
    </row>
    <row r="1395" spans="2:12" x14ac:dyDescent="0.2">
      <c r="B1395" s="62" t="s">
        <v>4588</v>
      </c>
      <c r="C1395" s="61" t="s">
        <v>526</v>
      </c>
      <c r="D1395" s="60">
        <v>0.72122600000000003</v>
      </c>
      <c r="E1395" s="59">
        <v>7.9203700000000001</v>
      </c>
      <c r="F1395" s="59">
        <v>11.178509999999999</v>
      </c>
      <c r="G1395" s="56">
        <v>1758.87</v>
      </c>
      <c r="H1395" s="56">
        <v>2455.65</v>
      </c>
      <c r="I1395" s="58">
        <v>0.71255999999999997</v>
      </c>
      <c r="J1395" s="57">
        <v>0.95411400000000002</v>
      </c>
      <c r="K1395" s="56"/>
      <c r="L1395" s="56" t="s">
        <v>492</v>
      </c>
    </row>
    <row r="1396" spans="2:12" x14ac:dyDescent="0.2">
      <c r="B1396" s="62" t="s">
        <v>4587</v>
      </c>
      <c r="C1396" s="61" t="s">
        <v>526</v>
      </c>
      <c r="D1396" s="60">
        <v>0.716256</v>
      </c>
      <c r="E1396" s="59">
        <v>7.94034</v>
      </c>
      <c r="F1396" s="59">
        <v>11.204370000000001</v>
      </c>
      <c r="G1396" s="56">
        <v>1776.41</v>
      </c>
      <c r="H1396" s="56">
        <v>2498.44</v>
      </c>
      <c r="I1396" s="58">
        <v>0.704152</v>
      </c>
      <c r="J1396" s="57">
        <v>0.96280600000000005</v>
      </c>
      <c r="K1396" s="56"/>
      <c r="L1396" s="56" t="s">
        <v>492</v>
      </c>
    </row>
    <row r="1397" spans="2:12" x14ac:dyDescent="0.2">
      <c r="B1397" s="62" t="s">
        <v>4586</v>
      </c>
      <c r="C1397" s="61" t="s">
        <v>526</v>
      </c>
      <c r="D1397" s="60">
        <v>0.71100799999999997</v>
      </c>
      <c r="E1397" s="59">
        <v>7.9593999999999996</v>
      </c>
      <c r="F1397" s="59">
        <v>11.217129999999999</v>
      </c>
      <c r="G1397" s="56">
        <v>1776.29</v>
      </c>
      <c r="H1397" s="56">
        <v>2506.64</v>
      </c>
      <c r="I1397" s="58">
        <v>0.71553900000000004</v>
      </c>
      <c r="J1397" s="57">
        <v>0.97397100000000003</v>
      </c>
      <c r="K1397" s="56"/>
      <c r="L1397" s="56" t="s">
        <v>492</v>
      </c>
    </row>
    <row r="1398" spans="2:12" x14ac:dyDescent="0.2">
      <c r="B1398" s="62" t="s">
        <v>4585</v>
      </c>
      <c r="C1398" s="61" t="s">
        <v>526</v>
      </c>
      <c r="D1398" s="60">
        <v>0.70863200000000004</v>
      </c>
      <c r="E1398" s="59">
        <v>8.0251099999999997</v>
      </c>
      <c r="F1398" s="59">
        <v>11.31495</v>
      </c>
      <c r="G1398" s="56">
        <v>1760.84</v>
      </c>
      <c r="H1398" s="56">
        <v>2511.16</v>
      </c>
      <c r="I1398" s="58">
        <v>0.71771099999999999</v>
      </c>
      <c r="J1398" s="57">
        <v>0.97937700000000005</v>
      </c>
      <c r="K1398" s="56"/>
      <c r="L1398" s="56" t="s">
        <v>492</v>
      </c>
    </row>
    <row r="1399" spans="2:12" x14ac:dyDescent="0.2">
      <c r="B1399" s="62" t="s">
        <v>4584</v>
      </c>
      <c r="C1399" s="61" t="s">
        <v>526</v>
      </c>
      <c r="D1399" s="60">
        <v>0.701206</v>
      </c>
      <c r="E1399" s="59">
        <v>8.06264</v>
      </c>
      <c r="F1399" s="59">
        <v>11.58602</v>
      </c>
      <c r="G1399" s="56">
        <v>1759.68</v>
      </c>
      <c r="H1399" s="56">
        <v>2533.65</v>
      </c>
      <c r="I1399" s="58">
        <v>0.71470500000000003</v>
      </c>
      <c r="J1399" s="57">
        <v>0.99456</v>
      </c>
      <c r="K1399" s="56"/>
      <c r="L1399" s="56" t="s">
        <v>492</v>
      </c>
    </row>
    <row r="1400" spans="2:12" x14ac:dyDescent="0.2">
      <c r="B1400" s="62" t="s">
        <v>4583</v>
      </c>
      <c r="C1400" s="61" t="s">
        <v>526</v>
      </c>
      <c r="D1400" s="60">
        <v>0.69452100000000005</v>
      </c>
      <c r="E1400" s="59">
        <v>7.9190399999999999</v>
      </c>
      <c r="F1400" s="59">
        <v>11.11626</v>
      </c>
      <c r="G1400" s="56">
        <v>1772</v>
      </c>
      <c r="H1400" s="56">
        <v>2456.9299999999998</v>
      </c>
      <c r="I1400" s="58">
        <v>0.71553199999999995</v>
      </c>
      <c r="J1400" s="57">
        <v>1.00766</v>
      </c>
      <c r="K1400" s="56"/>
      <c r="L1400" s="56" t="s">
        <v>492</v>
      </c>
    </row>
    <row r="1401" spans="2:12" x14ac:dyDescent="0.2">
      <c r="B1401" s="62" t="s">
        <v>4582</v>
      </c>
      <c r="C1401" s="61" t="s">
        <v>1167</v>
      </c>
      <c r="D1401" s="60">
        <v>1.5081800000000001</v>
      </c>
      <c r="E1401" s="59">
        <v>4.2827900000000003</v>
      </c>
      <c r="F1401" s="59">
        <v>7.82822</v>
      </c>
      <c r="G1401" s="56">
        <v>955.428</v>
      </c>
      <c r="H1401" s="56">
        <v>633.49599999999998</v>
      </c>
      <c r="I1401" s="58">
        <v>0.38431300000000002</v>
      </c>
      <c r="J1401" s="57">
        <v>0.30213800000000002</v>
      </c>
      <c r="K1401" s="56"/>
      <c r="L1401" s="56" t="s">
        <v>488</v>
      </c>
    </row>
    <row r="1402" spans="2:12" x14ac:dyDescent="0.2">
      <c r="B1402" s="62" t="s">
        <v>4581</v>
      </c>
      <c r="C1402" s="61" t="s">
        <v>1006</v>
      </c>
      <c r="D1402" s="60">
        <v>1.9076599999999999</v>
      </c>
      <c r="E1402" s="59">
        <v>2.59232</v>
      </c>
      <c r="F1402" s="59">
        <v>3.6012400000000002</v>
      </c>
      <c r="G1402" s="56">
        <v>0</v>
      </c>
      <c r="H1402" s="56">
        <v>0</v>
      </c>
      <c r="I1402" s="58">
        <v>0.119934</v>
      </c>
      <c r="J1402" s="57">
        <v>0.18138000000000001</v>
      </c>
      <c r="K1402" s="56"/>
      <c r="L1402" s="56" t="s">
        <v>492</v>
      </c>
    </row>
    <row r="1403" spans="2:12" x14ac:dyDescent="0.2">
      <c r="B1403" s="62" t="s">
        <v>4580</v>
      </c>
      <c r="C1403" s="61" t="s">
        <v>510</v>
      </c>
      <c r="D1403" s="60">
        <v>0.99681799999999998</v>
      </c>
      <c r="E1403" s="59">
        <v>8.1126199999999997</v>
      </c>
      <c r="F1403" s="59">
        <v>10.553890000000001</v>
      </c>
      <c r="G1403" s="56">
        <v>1969.75</v>
      </c>
      <c r="H1403" s="56">
        <v>1976.04</v>
      </c>
      <c r="I1403" s="58">
        <v>0.68300799999999995</v>
      </c>
      <c r="J1403" s="57">
        <v>0.70098000000000005</v>
      </c>
      <c r="K1403" s="56"/>
      <c r="L1403" s="56" t="s">
        <v>488</v>
      </c>
    </row>
    <row r="1404" spans="2:12" x14ac:dyDescent="0.2">
      <c r="B1404" s="62" t="s">
        <v>4579</v>
      </c>
      <c r="C1404" s="61" t="s">
        <v>708</v>
      </c>
      <c r="D1404" s="60">
        <v>1.29721</v>
      </c>
      <c r="E1404" s="59">
        <v>3.81582</v>
      </c>
      <c r="F1404" s="59">
        <v>10.135910000000001</v>
      </c>
      <c r="G1404" s="56">
        <v>1346.89</v>
      </c>
      <c r="H1404" s="56">
        <v>1038.29</v>
      </c>
      <c r="I1404" s="58">
        <v>0.51297000000000004</v>
      </c>
      <c r="J1404" s="57">
        <v>0.452262</v>
      </c>
      <c r="K1404" s="56"/>
      <c r="L1404" s="56" t="s">
        <v>488</v>
      </c>
    </row>
    <row r="1405" spans="2:12" x14ac:dyDescent="0.2">
      <c r="B1405" s="62" t="s">
        <v>4578</v>
      </c>
      <c r="C1405" s="61" t="s">
        <v>499</v>
      </c>
      <c r="D1405" s="60">
        <v>1.1368400000000001</v>
      </c>
      <c r="E1405" s="59">
        <v>3.3053300000000001</v>
      </c>
      <c r="F1405" s="59">
        <v>7.1997</v>
      </c>
      <c r="G1405" s="56">
        <v>0</v>
      </c>
      <c r="H1405" s="56">
        <v>0</v>
      </c>
      <c r="I1405" s="58">
        <v>0.39128499999999999</v>
      </c>
      <c r="J1405" s="57">
        <v>0.45896999999999999</v>
      </c>
      <c r="K1405" s="56"/>
      <c r="L1405" s="56" t="s">
        <v>488</v>
      </c>
    </row>
    <row r="1406" spans="2:12" x14ac:dyDescent="0.2">
      <c r="B1406" s="62" t="s">
        <v>4577</v>
      </c>
      <c r="C1406" s="61" t="s">
        <v>541</v>
      </c>
      <c r="D1406" s="60">
        <v>1.05474</v>
      </c>
      <c r="E1406" s="59">
        <v>4.9865399999999998</v>
      </c>
      <c r="F1406" s="59">
        <v>6.54643</v>
      </c>
      <c r="G1406" s="56">
        <v>2105.36</v>
      </c>
      <c r="H1406" s="56">
        <v>1996.1</v>
      </c>
      <c r="I1406" s="58">
        <v>0.66437400000000002</v>
      </c>
      <c r="J1406" s="57">
        <v>0.60725600000000002</v>
      </c>
      <c r="K1406" s="56"/>
      <c r="L1406" s="56" t="s">
        <v>488</v>
      </c>
    </row>
    <row r="1407" spans="2:12" x14ac:dyDescent="0.2">
      <c r="B1407" s="62" t="s">
        <v>4576</v>
      </c>
      <c r="C1407" s="61" t="s">
        <v>541</v>
      </c>
      <c r="D1407" s="60">
        <v>1.0794699999999999</v>
      </c>
      <c r="E1407" s="59">
        <v>4.6791299999999998</v>
      </c>
      <c r="F1407" s="59">
        <v>6.4500500000000001</v>
      </c>
      <c r="G1407" s="56">
        <v>2173.7600000000002</v>
      </c>
      <c r="H1407" s="56">
        <v>2013.73</v>
      </c>
      <c r="I1407" s="58">
        <v>0.65923399999999999</v>
      </c>
      <c r="J1407" s="57">
        <v>0.58720099999999997</v>
      </c>
      <c r="K1407" s="56"/>
      <c r="L1407" s="56" t="s">
        <v>488</v>
      </c>
    </row>
    <row r="1408" spans="2:12" x14ac:dyDescent="0.2">
      <c r="B1408" s="62" t="s">
        <v>4575</v>
      </c>
      <c r="C1408" s="61" t="s">
        <v>541</v>
      </c>
      <c r="D1408" s="60">
        <v>1.25709</v>
      </c>
      <c r="E1408" s="59">
        <v>3.7773400000000001</v>
      </c>
      <c r="F1408" s="59">
        <v>5.2579099999999999</v>
      </c>
      <c r="G1408" s="56">
        <v>832.79100000000005</v>
      </c>
      <c r="H1408" s="56">
        <v>662.47799999999995</v>
      </c>
      <c r="I1408" s="58">
        <v>0.440716</v>
      </c>
      <c r="J1408" s="57">
        <v>0.44025300000000001</v>
      </c>
      <c r="K1408" s="56"/>
      <c r="L1408" s="56" t="s">
        <v>492</v>
      </c>
    </row>
    <row r="1409" spans="2:12" x14ac:dyDescent="0.2">
      <c r="B1409" s="62" t="s">
        <v>4574</v>
      </c>
      <c r="C1409" s="61" t="s">
        <v>541</v>
      </c>
      <c r="D1409" s="60">
        <v>1.1563600000000001</v>
      </c>
      <c r="E1409" s="59">
        <v>3.92842</v>
      </c>
      <c r="F1409" s="59">
        <v>5.7736200000000002</v>
      </c>
      <c r="G1409" s="56">
        <v>1910.11</v>
      </c>
      <c r="H1409" s="56">
        <v>1651.83</v>
      </c>
      <c r="I1409" s="58">
        <v>0.61880500000000005</v>
      </c>
      <c r="J1409" s="57">
        <v>0.52370000000000005</v>
      </c>
      <c r="K1409" s="56"/>
      <c r="L1409" s="56" t="s">
        <v>488</v>
      </c>
    </row>
    <row r="1410" spans="2:12" x14ac:dyDescent="0.2">
      <c r="B1410" s="62" t="s">
        <v>4573</v>
      </c>
      <c r="C1410" s="61" t="s">
        <v>541</v>
      </c>
      <c r="D1410" s="60">
        <v>1.3129500000000001</v>
      </c>
      <c r="E1410" s="59">
        <v>3.2828900000000001</v>
      </c>
      <c r="F1410" s="59">
        <v>5.5451800000000002</v>
      </c>
      <c r="G1410" s="56">
        <v>0</v>
      </c>
      <c r="H1410" s="56">
        <v>0</v>
      </c>
      <c r="I1410" s="58">
        <v>0.46000200000000002</v>
      </c>
      <c r="J1410" s="57">
        <v>0.40069900000000003</v>
      </c>
      <c r="K1410" s="56"/>
      <c r="L1410" s="56" t="s">
        <v>488</v>
      </c>
    </row>
    <row r="1411" spans="2:12" x14ac:dyDescent="0.2">
      <c r="B1411" s="62" t="s">
        <v>4572</v>
      </c>
      <c r="C1411" s="61" t="s">
        <v>541</v>
      </c>
      <c r="D1411" s="60">
        <v>1.49929</v>
      </c>
      <c r="E1411" s="59">
        <v>2.8094800000000002</v>
      </c>
      <c r="F1411" s="59">
        <v>5.02719</v>
      </c>
      <c r="G1411" s="56">
        <v>0</v>
      </c>
      <c r="H1411" s="56">
        <v>0</v>
      </c>
      <c r="I1411" s="58">
        <v>0.218857</v>
      </c>
      <c r="J1411" s="57">
        <v>0.29284100000000002</v>
      </c>
      <c r="K1411" s="56"/>
      <c r="L1411" s="56" t="s">
        <v>488</v>
      </c>
    </row>
    <row r="1412" spans="2:12" x14ac:dyDescent="0.2">
      <c r="B1412" s="62" t="s">
        <v>4571</v>
      </c>
      <c r="C1412" s="61" t="s">
        <v>541</v>
      </c>
      <c r="D1412" s="60">
        <v>1.23925</v>
      </c>
      <c r="E1412" s="59">
        <v>3.4508100000000002</v>
      </c>
      <c r="F1412" s="59">
        <v>5.0095999999999998</v>
      </c>
      <c r="G1412" s="56">
        <v>0</v>
      </c>
      <c r="H1412" s="56">
        <v>0</v>
      </c>
      <c r="I1412" s="58">
        <v>0.55922400000000005</v>
      </c>
      <c r="J1412" s="57">
        <v>0.465667</v>
      </c>
      <c r="K1412" s="56"/>
      <c r="L1412" s="56" t="s">
        <v>488</v>
      </c>
    </row>
    <row r="1413" spans="2:12" x14ac:dyDescent="0.2">
      <c r="B1413" s="62" t="s">
        <v>4570</v>
      </c>
      <c r="C1413" s="61" t="s">
        <v>541</v>
      </c>
      <c r="D1413" s="60">
        <v>1.1186400000000001</v>
      </c>
      <c r="E1413" s="59">
        <v>4.2377599999999997</v>
      </c>
      <c r="F1413" s="59">
        <v>6.0445200000000003</v>
      </c>
      <c r="G1413" s="56">
        <v>1981.7</v>
      </c>
      <c r="H1413" s="56">
        <v>1771.52</v>
      </c>
      <c r="I1413" s="58">
        <v>0.63981900000000003</v>
      </c>
      <c r="J1413" s="57">
        <v>0.55402300000000004</v>
      </c>
      <c r="K1413" s="56"/>
      <c r="L1413" s="56" t="s">
        <v>488</v>
      </c>
    </row>
    <row r="1414" spans="2:12" x14ac:dyDescent="0.2">
      <c r="B1414" s="62" t="s">
        <v>4569</v>
      </c>
      <c r="C1414" s="61" t="s">
        <v>541</v>
      </c>
      <c r="D1414" s="60">
        <v>1.17011</v>
      </c>
      <c r="E1414" s="59">
        <v>3.8264499999999999</v>
      </c>
      <c r="F1414" s="59">
        <v>5.4462799999999998</v>
      </c>
      <c r="G1414" s="56">
        <v>1667.82</v>
      </c>
      <c r="H1414" s="56">
        <v>1425.36</v>
      </c>
      <c r="I1414" s="58">
        <v>0.60562899999999997</v>
      </c>
      <c r="J1414" s="57">
        <v>0.51327800000000001</v>
      </c>
      <c r="K1414" s="56"/>
      <c r="L1414" s="56" t="s">
        <v>488</v>
      </c>
    </row>
    <row r="1415" spans="2:12" x14ac:dyDescent="0.2">
      <c r="B1415" s="62" t="s">
        <v>4568</v>
      </c>
      <c r="C1415" s="61" t="s">
        <v>541</v>
      </c>
      <c r="D1415" s="60">
        <v>1.38544</v>
      </c>
      <c r="E1415" s="59">
        <v>3.73359</v>
      </c>
      <c r="F1415" s="59">
        <v>4.8201700000000001</v>
      </c>
      <c r="G1415" s="56">
        <v>627.34400000000005</v>
      </c>
      <c r="H1415" s="56">
        <v>452.81099999999998</v>
      </c>
      <c r="I1415" s="58">
        <v>0.43621500000000002</v>
      </c>
      <c r="J1415" s="57">
        <v>0.36543500000000001</v>
      </c>
      <c r="K1415" s="56"/>
      <c r="L1415" s="56" t="s">
        <v>488</v>
      </c>
    </row>
    <row r="1416" spans="2:12" x14ac:dyDescent="0.2">
      <c r="B1416" s="62" t="s">
        <v>4567</v>
      </c>
      <c r="C1416" s="61" t="s">
        <v>541</v>
      </c>
      <c r="D1416" s="60">
        <v>1.45682</v>
      </c>
      <c r="E1416" s="59">
        <v>2.75603</v>
      </c>
      <c r="F1416" s="59">
        <v>4.6219000000000001</v>
      </c>
      <c r="G1416" s="56">
        <v>0</v>
      </c>
      <c r="H1416" s="56">
        <v>0</v>
      </c>
      <c r="I1416" s="58">
        <v>0.31882199999999999</v>
      </c>
      <c r="J1416" s="57">
        <v>0.31759700000000002</v>
      </c>
      <c r="K1416" s="56"/>
      <c r="L1416" s="56" t="s">
        <v>488</v>
      </c>
    </row>
    <row r="1417" spans="2:12" x14ac:dyDescent="0.2">
      <c r="B1417" s="62" t="s">
        <v>4566</v>
      </c>
      <c r="C1417" s="61" t="s">
        <v>541</v>
      </c>
      <c r="D1417" s="60">
        <v>1.1070800000000001</v>
      </c>
      <c r="E1417" s="59">
        <v>4.2308599999999998</v>
      </c>
      <c r="F1417" s="59">
        <v>6.1042399999999999</v>
      </c>
      <c r="G1417" s="56">
        <v>2026.98</v>
      </c>
      <c r="H1417" s="56">
        <v>1830.91</v>
      </c>
      <c r="I1417" s="58">
        <v>0.64710400000000001</v>
      </c>
      <c r="J1417" s="57">
        <v>0.56397799999999998</v>
      </c>
      <c r="K1417" s="56"/>
      <c r="L1417" s="56" t="s">
        <v>488</v>
      </c>
    </row>
    <row r="1418" spans="2:12" x14ac:dyDescent="0.2">
      <c r="B1418" s="62" t="s">
        <v>4565</v>
      </c>
      <c r="C1418" s="61" t="s">
        <v>541</v>
      </c>
      <c r="D1418" s="60">
        <v>1.2078899999999999</v>
      </c>
      <c r="E1418" s="59">
        <v>4.0274799999999997</v>
      </c>
      <c r="F1418" s="59">
        <v>6.8646000000000003</v>
      </c>
      <c r="G1418" s="56">
        <v>1124.56</v>
      </c>
      <c r="H1418" s="56">
        <v>931.01199999999994</v>
      </c>
      <c r="I1418" s="58">
        <v>0.52307999999999999</v>
      </c>
      <c r="J1418" s="57">
        <v>0.45880799999999999</v>
      </c>
      <c r="K1418" s="56"/>
      <c r="L1418" s="56" t="s">
        <v>488</v>
      </c>
    </row>
    <row r="1419" spans="2:12" x14ac:dyDescent="0.2">
      <c r="B1419" s="62" t="s">
        <v>4564</v>
      </c>
      <c r="C1419" s="61" t="s">
        <v>541</v>
      </c>
      <c r="D1419" s="60">
        <v>1.0896300000000001</v>
      </c>
      <c r="E1419" s="59">
        <v>4.2831599999999996</v>
      </c>
      <c r="F1419" s="59">
        <v>6.1495100000000003</v>
      </c>
      <c r="G1419" s="56">
        <v>1921.27</v>
      </c>
      <c r="H1419" s="56">
        <v>1763.23</v>
      </c>
      <c r="I1419" s="58">
        <v>0.64250799999999997</v>
      </c>
      <c r="J1419" s="57">
        <v>0.57769199999999998</v>
      </c>
      <c r="K1419" s="56"/>
      <c r="L1419" s="56" t="s">
        <v>488</v>
      </c>
    </row>
    <row r="1420" spans="2:12" x14ac:dyDescent="0.2">
      <c r="B1420" s="62" t="s">
        <v>4563</v>
      </c>
      <c r="C1420" s="61" t="s">
        <v>510</v>
      </c>
      <c r="D1420" s="60">
        <v>1.13405</v>
      </c>
      <c r="E1420" s="59">
        <v>3.07239</v>
      </c>
      <c r="F1420" s="59">
        <v>5.0131699999999997</v>
      </c>
      <c r="G1420" s="56">
        <v>0</v>
      </c>
      <c r="H1420" s="56">
        <v>0</v>
      </c>
      <c r="I1420" s="58">
        <v>0.34559400000000001</v>
      </c>
      <c r="J1420" s="57">
        <v>0.45295299999999999</v>
      </c>
      <c r="K1420" s="56"/>
      <c r="L1420" s="56" t="s">
        <v>488</v>
      </c>
    </row>
    <row r="1421" spans="2:12" x14ac:dyDescent="0.2">
      <c r="B1421" s="62" t="s">
        <v>4562</v>
      </c>
      <c r="C1421" s="61" t="s">
        <v>502</v>
      </c>
      <c r="D1421" s="60">
        <v>1.0481100000000001</v>
      </c>
      <c r="E1421" s="59">
        <v>6.2796200000000004</v>
      </c>
      <c r="F1421" s="59">
        <v>6.7378600000000004</v>
      </c>
      <c r="G1421" s="56">
        <v>1196.43</v>
      </c>
      <c r="H1421" s="56">
        <v>1141.51</v>
      </c>
      <c r="I1421" s="58">
        <v>0.40696500000000002</v>
      </c>
      <c r="J1421" s="57">
        <v>0.52657500000000002</v>
      </c>
      <c r="K1421" s="56"/>
      <c r="L1421" s="56" t="s">
        <v>488</v>
      </c>
    </row>
    <row r="1422" spans="2:12" x14ac:dyDescent="0.2">
      <c r="B1422" s="62" t="s">
        <v>4561</v>
      </c>
      <c r="C1422" s="61" t="s">
        <v>502</v>
      </c>
      <c r="D1422" s="60">
        <v>0.99113399999999996</v>
      </c>
      <c r="E1422" s="59">
        <v>5.8304499999999999</v>
      </c>
      <c r="F1422" s="59">
        <v>6.4344099999999997</v>
      </c>
      <c r="G1422" s="56">
        <v>1137.6300000000001</v>
      </c>
      <c r="H1422" s="56">
        <v>1147.81</v>
      </c>
      <c r="I1422" s="58">
        <v>0.39096700000000001</v>
      </c>
      <c r="J1422" s="57">
        <v>0.55106900000000003</v>
      </c>
      <c r="K1422" s="56"/>
      <c r="L1422" s="56" t="s">
        <v>488</v>
      </c>
    </row>
    <row r="1423" spans="2:12" x14ac:dyDescent="0.2">
      <c r="B1423" s="62" t="s">
        <v>4560</v>
      </c>
      <c r="C1423" s="61" t="s">
        <v>502</v>
      </c>
      <c r="D1423" s="60">
        <v>0.83888300000000005</v>
      </c>
      <c r="E1423" s="59">
        <v>6.5735799999999998</v>
      </c>
      <c r="F1423" s="59">
        <v>10.73095</v>
      </c>
      <c r="G1423" s="56">
        <v>1786.53</v>
      </c>
      <c r="H1423" s="56">
        <v>2129.65</v>
      </c>
      <c r="I1423" s="58">
        <v>0.76346499999999995</v>
      </c>
      <c r="J1423" s="57">
        <v>0.84461299999999995</v>
      </c>
      <c r="K1423" s="56"/>
      <c r="L1423" s="56" t="s">
        <v>488</v>
      </c>
    </row>
    <row r="1424" spans="2:12" x14ac:dyDescent="0.2">
      <c r="B1424" s="62" t="s">
        <v>4559</v>
      </c>
      <c r="C1424" s="61" t="s">
        <v>555</v>
      </c>
      <c r="D1424" s="60">
        <v>1.08118</v>
      </c>
      <c r="E1424" s="59">
        <v>2.8526899999999999</v>
      </c>
      <c r="F1424" s="59">
        <v>7.8514600000000003</v>
      </c>
      <c r="G1424" s="56">
        <v>0</v>
      </c>
      <c r="H1424" s="56">
        <v>0</v>
      </c>
      <c r="I1424" s="58">
        <v>0.52669999999999995</v>
      </c>
      <c r="J1424" s="57">
        <v>0.50583999999999996</v>
      </c>
      <c r="K1424" s="56"/>
      <c r="L1424" s="56" t="s">
        <v>488</v>
      </c>
    </row>
    <row r="1425" spans="2:12" x14ac:dyDescent="0.2">
      <c r="B1425" s="62" t="s">
        <v>4558</v>
      </c>
      <c r="C1425" s="61" t="s">
        <v>4557</v>
      </c>
      <c r="D1425" s="60">
        <v>1.3470599999999999</v>
      </c>
      <c r="E1425" s="59">
        <v>3.1795399999999998</v>
      </c>
      <c r="F1425" s="59">
        <v>5.4474200000000002</v>
      </c>
      <c r="G1425" s="56">
        <v>0</v>
      </c>
      <c r="H1425" s="56">
        <v>0</v>
      </c>
      <c r="I1425" s="58">
        <v>0.362871</v>
      </c>
      <c r="J1425" s="57">
        <v>0.38472200000000001</v>
      </c>
      <c r="K1425" s="56"/>
      <c r="L1425" s="56" t="s">
        <v>488</v>
      </c>
    </row>
    <row r="1426" spans="2:12" x14ac:dyDescent="0.2">
      <c r="B1426" s="62" t="s">
        <v>4556</v>
      </c>
      <c r="C1426" s="61" t="s">
        <v>4555</v>
      </c>
      <c r="D1426" s="60">
        <v>1.49275</v>
      </c>
      <c r="E1426" s="59">
        <v>2.6529199999999999</v>
      </c>
      <c r="F1426" s="59">
        <v>4.2189699999999997</v>
      </c>
      <c r="G1426" s="56">
        <v>0</v>
      </c>
      <c r="H1426" s="56">
        <v>0</v>
      </c>
      <c r="I1426" s="58">
        <v>0.19259699999999999</v>
      </c>
      <c r="J1426" s="57">
        <v>0.235013</v>
      </c>
      <c r="K1426" s="56"/>
      <c r="L1426" s="56" t="s">
        <v>488</v>
      </c>
    </row>
    <row r="1427" spans="2:12" x14ac:dyDescent="0.2">
      <c r="B1427" s="62" t="s">
        <v>4554</v>
      </c>
      <c r="C1427" s="61" t="s">
        <v>499</v>
      </c>
      <c r="D1427" s="60">
        <v>1.4156500000000001</v>
      </c>
      <c r="E1427" s="59">
        <v>2.5981900000000002</v>
      </c>
      <c r="F1427" s="59">
        <v>4.0163200000000003</v>
      </c>
      <c r="G1427" s="56">
        <v>0</v>
      </c>
      <c r="H1427" s="56">
        <v>0</v>
      </c>
      <c r="I1427" s="58">
        <v>0.20661199999999999</v>
      </c>
      <c r="J1427" s="57">
        <v>0.31123099999999998</v>
      </c>
      <c r="K1427" s="56"/>
      <c r="L1427" s="56" t="s">
        <v>488</v>
      </c>
    </row>
    <row r="1428" spans="2:12" x14ac:dyDescent="0.2">
      <c r="B1428" s="62" t="s">
        <v>4553</v>
      </c>
      <c r="C1428" s="61" t="s">
        <v>495</v>
      </c>
      <c r="D1428" s="60">
        <v>1.4268799999999999</v>
      </c>
      <c r="E1428" s="59">
        <v>2.6356600000000001</v>
      </c>
      <c r="F1428" s="59">
        <v>3.8102999999999998</v>
      </c>
      <c r="G1428" s="56">
        <v>0</v>
      </c>
      <c r="H1428" s="56">
        <v>0</v>
      </c>
      <c r="I1428" s="58">
        <v>0.251863</v>
      </c>
      <c r="J1428" s="57">
        <v>0.34377799999999997</v>
      </c>
      <c r="K1428" s="56"/>
      <c r="L1428" s="56" t="s">
        <v>488</v>
      </c>
    </row>
    <row r="1429" spans="2:12" x14ac:dyDescent="0.2">
      <c r="B1429" s="62" t="s">
        <v>4552</v>
      </c>
      <c r="C1429" s="61" t="s">
        <v>495</v>
      </c>
      <c r="D1429" s="60">
        <v>1.4369099999999999</v>
      </c>
      <c r="E1429" s="59">
        <v>2.5562499999999999</v>
      </c>
      <c r="F1429" s="59">
        <v>3.8281499999999999</v>
      </c>
      <c r="G1429" s="56">
        <v>0</v>
      </c>
      <c r="H1429" s="56">
        <v>0</v>
      </c>
      <c r="I1429" s="58">
        <v>0.22815299999999999</v>
      </c>
      <c r="J1429" s="57">
        <v>0.335092</v>
      </c>
      <c r="K1429" s="56"/>
      <c r="L1429" s="56" t="s">
        <v>488</v>
      </c>
    </row>
    <row r="1430" spans="2:12" x14ac:dyDescent="0.2">
      <c r="B1430" s="62" t="s">
        <v>4551</v>
      </c>
      <c r="C1430" s="61" t="s">
        <v>495</v>
      </c>
      <c r="D1430" s="60">
        <v>1.43716</v>
      </c>
      <c r="E1430" s="59">
        <v>2.6177600000000001</v>
      </c>
      <c r="F1430" s="59">
        <v>3.8442599999999998</v>
      </c>
      <c r="G1430" s="56">
        <v>0</v>
      </c>
      <c r="H1430" s="56">
        <v>0</v>
      </c>
      <c r="I1430" s="58">
        <v>0.22503200000000001</v>
      </c>
      <c r="J1430" s="57">
        <v>0.33616600000000002</v>
      </c>
      <c r="K1430" s="56"/>
      <c r="L1430" s="56" t="s">
        <v>488</v>
      </c>
    </row>
    <row r="1431" spans="2:12" x14ac:dyDescent="0.2">
      <c r="B1431" s="62" t="s">
        <v>4550</v>
      </c>
      <c r="C1431" s="61" t="s">
        <v>708</v>
      </c>
      <c r="D1431" s="60">
        <v>1.57413</v>
      </c>
      <c r="E1431" s="59">
        <v>2.4058799999999998</v>
      </c>
      <c r="F1431" s="59">
        <v>3.5725199999999999</v>
      </c>
      <c r="G1431" s="56">
        <v>0</v>
      </c>
      <c r="H1431" s="56">
        <v>0</v>
      </c>
      <c r="I1431" s="58">
        <v>0.21316199999999999</v>
      </c>
      <c r="J1431" s="57">
        <v>0.29785200000000001</v>
      </c>
      <c r="K1431" s="56"/>
      <c r="L1431" s="56" t="s">
        <v>488</v>
      </c>
    </row>
    <row r="1432" spans="2:12" x14ac:dyDescent="0.2">
      <c r="B1432" s="62" t="s">
        <v>4549</v>
      </c>
      <c r="C1432" s="61" t="s">
        <v>708</v>
      </c>
      <c r="D1432" s="60">
        <v>1.5889800000000001</v>
      </c>
      <c r="E1432" s="59">
        <v>2.4353400000000001</v>
      </c>
      <c r="F1432" s="59">
        <v>3.6196600000000001</v>
      </c>
      <c r="G1432" s="56">
        <v>0</v>
      </c>
      <c r="H1432" s="56">
        <v>0</v>
      </c>
      <c r="I1432" s="58">
        <v>0.18194099999999999</v>
      </c>
      <c r="J1432" s="57">
        <v>0.28943000000000002</v>
      </c>
      <c r="K1432" s="56"/>
      <c r="L1432" s="56" t="s">
        <v>488</v>
      </c>
    </row>
    <row r="1433" spans="2:12" x14ac:dyDescent="0.2">
      <c r="B1433" s="62" t="s">
        <v>4548</v>
      </c>
      <c r="C1433" s="61" t="s">
        <v>537</v>
      </c>
      <c r="D1433" s="60">
        <v>1.15452</v>
      </c>
      <c r="E1433" s="59">
        <v>4.4574400000000001</v>
      </c>
      <c r="F1433" s="59">
        <v>7.1040700000000001</v>
      </c>
      <c r="G1433" s="56">
        <v>1469.04</v>
      </c>
      <c r="H1433" s="56">
        <v>1272.42</v>
      </c>
      <c r="I1433" s="58">
        <v>0.59746699999999997</v>
      </c>
      <c r="J1433" s="57">
        <v>0.51936800000000005</v>
      </c>
      <c r="K1433" s="56"/>
      <c r="L1433" s="56" t="s">
        <v>488</v>
      </c>
    </row>
    <row r="1434" spans="2:12" x14ac:dyDescent="0.2">
      <c r="B1434" s="62" t="s">
        <v>4547</v>
      </c>
      <c r="C1434" s="61" t="s">
        <v>499</v>
      </c>
      <c r="D1434" s="60">
        <v>1.4443299999999999</v>
      </c>
      <c r="E1434" s="59">
        <v>3.4506700000000001</v>
      </c>
      <c r="F1434" s="59">
        <v>4.0924899999999997</v>
      </c>
      <c r="G1434" s="56">
        <v>0</v>
      </c>
      <c r="H1434" s="56">
        <v>0</v>
      </c>
      <c r="I1434" s="58">
        <v>0.30660599999999999</v>
      </c>
      <c r="J1434" s="57">
        <v>0.33759299999999998</v>
      </c>
      <c r="K1434" s="56"/>
      <c r="L1434" s="56" t="s">
        <v>488</v>
      </c>
    </row>
    <row r="1435" spans="2:12" x14ac:dyDescent="0.2">
      <c r="B1435" s="62" t="s">
        <v>4546</v>
      </c>
      <c r="C1435" s="61" t="s">
        <v>550</v>
      </c>
      <c r="D1435" s="60">
        <v>1.3279300000000001</v>
      </c>
      <c r="E1435" s="59">
        <v>3.2085499999999998</v>
      </c>
      <c r="F1435" s="59">
        <v>4.7907799999999998</v>
      </c>
      <c r="G1435" s="56">
        <v>0</v>
      </c>
      <c r="H1435" s="56">
        <v>0</v>
      </c>
      <c r="I1435" s="58">
        <v>0.30133799999999999</v>
      </c>
      <c r="J1435" s="57">
        <v>0.36208299999999999</v>
      </c>
      <c r="K1435" s="56"/>
      <c r="L1435" s="56" t="s">
        <v>488</v>
      </c>
    </row>
    <row r="1436" spans="2:12" x14ac:dyDescent="0.2">
      <c r="B1436" s="62" t="s">
        <v>4545</v>
      </c>
      <c r="C1436" s="61" t="s">
        <v>499</v>
      </c>
      <c r="D1436" s="60">
        <v>1.05982</v>
      </c>
      <c r="E1436" s="59">
        <v>3.8081800000000001</v>
      </c>
      <c r="F1436" s="59">
        <v>6.9389200000000004</v>
      </c>
      <c r="G1436" s="56">
        <v>933.322</v>
      </c>
      <c r="H1436" s="56">
        <v>880.63900000000001</v>
      </c>
      <c r="I1436" s="58">
        <v>0.454289</v>
      </c>
      <c r="J1436" s="57">
        <v>0.50763100000000005</v>
      </c>
      <c r="K1436" s="56"/>
      <c r="L1436" s="56" t="s">
        <v>488</v>
      </c>
    </row>
    <row r="1437" spans="2:12" x14ac:dyDescent="0.2">
      <c r="B1437" s="62" t="s">
        <v>4544</v>
      </c>
      <c r="C1437" s="61" t="s">
        <v>878</v>
      </c>
      <c r="D1437" s="60">
        <v>1.47529</v>
      </c>
      <c r="E1437" s="59">
        <v>7.3832800000000001</v>
      </c>
      <c r="F1437" s="59">
        <v>8.5151900000000005</v>
      </c>
      <c r="G1437" s="56">
        <v>949.47699999999998</v>
      </c>
      <c r="H1437" s="56">
        <v>643.58600000000001</v>
      </c>
      <c r="I1437" s="58">
        <v>0.37658599999999998</v>
      </c>
      <c r="J1437" s="57">
        <v>0.38837500000000003</v>
      </c>
      <c r="K1437" s="56"/>
      <c r="L1437" s="56" t="s">
        <v>488</v>
      </c>
    </row>
    <row r="1438" spans="2:12" x14ac:dyDescent="0.2">
      <c r="B1438" s="62" t="s">
        <v>4543</v>
      </c>
      <c r="C1438" s="61" t="s">
        <v>505</v>
      </c>
      <c r="D1438" s="60">
        <v>1.1142799999999999</v>
      </c>
      <c r="E1438" s="59">
        <v>6.6425000000000001</v>
      </c>
      <c r="F1438" s="59">
        <v>9.1648499999999995</v>
      </c>
      <c r="G1438" s="56">
        <v>1327.95</v>
      </c>
      <c r="H1438" s="56">
        <v>1191.76</v>
      </c>
      <c r="I1438" s="58">
        <v>0.63800500000000004</v>
      </c>
      <c r="J1438" s="57">
        <v>0.56035900000000005</v>
      </c>
      <c r="K1438" s="56"/>
      <c r="L1438" s="56" t="s">
        <v>488</v>
      </c>
    </row>
    <row r="1439" spans="2:12" x14ac:dyDescent="0.2">
      <c r="B1439" s="62" t="s">
        <v>4542</v>
      </c>
      <c r="C1439" s="61" t="s">
        <v>553</v>
      </c>
      <c r="D1439" s="60">
        <v>1.2325600000000001</v>
      </c>
      <c r="E1439" s="59">
        <v>2.43038</v>
      </c>
      <c r="F1439" s="59">
        <v>4.6824300000000001</v>
      </c>
      <c r="G1439" s="56">
        <v>0</v>
      </c>
      <c r="H1439" s="56">
        <v>0</v>
      </c>
      <c r="I1439" s="58">
        <v>0.29286499999999999</v>
      </c>
      <c r="J1439" s="57">
        <v>0.39931800000000001</v>
      </c>
      <c r="K1439" s="56"/>
      <c r="L1439" s="56" t="s">
        <v>492</v>
      </c>
    </row>
    <row r="1440" spans="2:12" x14ac:dyDescent="0.2">
      <c r="B1440" s="62" t="s">
        <v>4541</v>
      </c>
      <c r="C1440" s="61" t="s">
        <v>2887</v>
      </c>
      <c r="D1440" s="60">
        <v>1.15577</v>
      </c>
      <c r="E1440" s="59">
        <v>3.27603</v>
      </c>
      <c r="F1440" s="59">
        <v>4.9711600000000002</v>
      </c>
      <c r="G1440" s="56">
        <v>0</v>
      </c>
      <c r="H1440" s="56">
        <v>0</v>
      </c>
      <c r="I1440" s="58">
        <v>0.36591099999999999</v>
      </c>
      <c r="J1440" s="57">
        <v>0.45736199999999999</v>
      </c>
      <c r="K1440" s="56"/>
      <c r="L1440" s="56" t="s">
        <v>492</v>
      </c>
    </row>
    <row r="1441" spans="2:12" x14ac:dyDescent="0.2">
      <c r="B1441" s="62" t="s">
        <v>4540</v>
      </c>
      <c r="C1441" s="61" t="s">
        <v>4538</v>
      </c>
      <c r="D1441" s="60">
        <v>1.2054400000000001</v>
      </c>
      <c r="E1441" s="59">
        <v>6.7910000000000004</v>
      </c>
      <c r="F1441" s="59">
        <v>9.3261000000000003</v>
      </c>
      <c r="G1441" s="56">
        <v>1551.4</v>
      </c>
      <c r="H1441" s="56">
        <v>1287</v>
      </c>
      <c r="I1441" s="58">
        <v>0.473362</v>
      </c>
      <c r="J1441" s="57">
        <v>0.48521599999999998</v>
      </c>
      <c r="K1441" s="56"/>
      <c r="L1441" s="56" t="s">
        <v>492</v>
      </c>
    </row>
    <row r="1442" spans="2:12" x14ac:dyDescent="0.2">
      <c r="B1442" s="62" t="s">
        <v>4539</v>
      </c>
      <c r="C1442" s="61" t="s">
        <v>4538</v>
      </c>
      <c r="D1442" s="60">
        <v>1.2047600000000001</v>
      </c>
      <c r="E1442" s="59">
        <v>6.1509799999999997</v>
      </c>
      <c r="F1442" s="59">
        <v>11.664300000000001</v>
      </c>
      <c r="G1442" s="56">
        <v>1569.45</v>
      </c>
      <c r="H1442" s="56">
        <v>1302.71</v>
      </c>
      <c r="I1442" s="58">
        <v>0.49953999999999998</v>
      </c>
      <c r="J1442" s="57">
        <v>0.49826700000000002</v>
      </c>
      <c r="K1442" s="56"/>
      <c r="L1442" s="56" t="s">
        <v>492</v>
      </c>
    </row>
    <row r="1443" spans="2:12" x14ac:dyDescent="0.2">
      <c r="B1443" s="62" t="s">
        <v>4537</v>
      </c>
      <c r="C1443" s="61" t="s">
        <v>510</v>
      </c>
      <c r="D1443" s="60">
        <v>1.0543899999999999</v>
      </c>
      <c r="E1443" s="59">
        <v>7.4469200000000004</v>
      </c>
      <c r="F1443" s="59">
        <v>7.6338299999999997</v>
      </c>
      <c r="G1443" s="56">
        <v>817.38800000000003</v>
      </c>
      <c r="H1443" s="56">
        <v>775.221</v>
      </c>
      <c r="I1443" s="58">
        <v>0.34191700000000003</v>
      </c>
      <c r="J1443" s="57">
        <v>0.49587199999999998</v>
      </c>
      <c r="K1443" s="56"/>
      <c r="L1443" s="56" t="s">
        <v>488</v>
      </c>
    </row>
    <row r="1444" spans="2:12" x14ac:dyDescent="0.2">
      <c r="B1444" s="62" t="s">
        <v>4536</v>
      </c>
      <c r="C1444" s="61" t="s">
        <v>708</v>
      </c>
      <c r="D1444" s="60">
        <v>1.05603</v>
      </c>
      <c r="E1444" s="59">
        <v>7.3490399999999996</v>
      </c>
      <c r="F1444" s="59">
        <v>7.5779800000000002</v>
      </c>
      <c r="G1444" s="56">
        <v>829.91800000000001</v>
      </c>
      <c r="H1444" s="56">
        <v>785.88800000000003</v>
      </c>
      <c r="I1444" s="58">
        <v>0.33756700000000001</v>
      </c>
      <c r="J1444" s="57">
        <v>0.499421</v>
      </c>
      <c r="K1444" s="56"/>
      <c r="L1444" s="56" t="s">
        <v>488</v>
      </c>
    </row>
    <row r="1445" spans="2:12" x14ac:dyDescent="0.2">
      <c r="B1445" s="62" t="s">
        <v>4535</v>
      </c>
      <c r="C1445" s="61" t="s">
        <v>510</v>
      </c>
      <c r="D1445" s="60">
        <v>1.54101</v>
      </c>
      <c r="E1445" s="59">
        <v>2.6107100000000001</v>
      </c>
      <c r="F1445" s="59">
        <v>3.3312400000000002</v>
      </c>
      <c r="G1445" s="56">
        <v>0</v>
      </c>
      <c r="H1445" s="56">
        <v>0</v>
      </c>
      <c r="I1445" s="58">
        <v>0.104466</v>
      </c>
      <c r="J1445" s="57">
        <v>0.24934100000000001</v>
      </c>
      <c r="K1445" s="56"/>
      <c r="L1445" s="56" t="s">
        <v>488</v>
      </c>
    </row>
    <row r="1446" spans="2:12" x14ac:dyDescent="0.2">
      <c r="B1446" s="62" t="s">
        <v>4534</v>
      </c>
      <c r="C1446" s="61" t="s">
        <v>550</v>
      </c>
      <c r="D1446" s="60">
        <v>0.70882100000000003</v>
      </c>
      <c r="E1446" s="59">
        <v>6.6386000000000003</v>
      </c>
      <c r="F1446" s="59">
        <v>8.0576600000000003</v>
      </c>
      <c r="G1446" s="56">
        <v>1959.95</v>
      </c>
      <c r="H1446" s="56">
        <v>2765.09</v>
      </c>
      <c r="I1446" s="58">
        <v>0.67707499999999998</v>
      </c>
      <c r="J1446" s="57">
        <v>1.0021100000000001</v>
      </c>
      <c r="K1446" s="56"/>
      <c r="L1446" s="56" t="s">
        <v>488</v>
      </c>
    </row>
    <row r="1447" spans="2:12" x14ac:dyDescent="0.2">
      <c r="B1447" s="62" t="s">
        <v>4533</v>
      </c>
      <c r="C1447" s="61" t="s">
        <v>550</v>
      </c>
      <c r="D1447" s="60">
        <v>1.67391</v>
      </c>
      <c r="E1447" s="59">
        <v>3.0206499999999998</v>
      </c>
      <c r="F1447" s="59">
        <v>4.5903799999999997</v>
      </c>
      <c r="G1447" s="56">
        <v>0</v>
      </c>
      <c r="H1447" s="56">
        <v>0</v>
      </c>
      <c r="I1447" s="58">
        <v>0.23462</v>
      </c>
      <c r="J1447" s="57">
        <v>0.28172199999999997</v>
      </c>
      <c r="K1447" s="56"/>
      <c r="L1447" s="56" t="s">
        <v>488</v>
      </c>
    </row>
    <row r="1448" spans="2:12" x14ac:dyDescent="0.2">
      <c r="B1448" s="62" t="s">
        <v>4532</v>
      </c>
      <c r="C1448" s="61" t="s">
        <v>533</v>
      </c>
      <c r="D1448" s="60">
        <v>2.0640800000000001</v>
      </c>
      <c r="E1448" s="59">
        <v>2.6871200000000002</v>
      </c>
      <c r="F1448" s="59">
        <v>3.7155300000000002</v>
      </c>
      <c r="G1448" s="56">
        <v>0</v>
      </c>
      <c r="H1448" s="56">
        <v>0</v>
      </c>
      <c r="I1448" s="58">
        <v>0.19198200000000001</v>
      </c>
      <c r="J1448" s="57">
        <v>0.201317</v>
      </c>
      <c r="K1448" s="56"/>
      <c r="L1448" s="56" t="s">
        <v>488</v>
      </c>
    </row>
    <row r="1449" spans="2:12" x14ac:dyDescent="0.2">
      <c r="B1449" s="62" t="s">
        <v>4531</v>
      </c>
      <c r="C1449" s="61" t="s">
        <v>533</v>
      </c>
      <c r="D1449" s="60">
        <v>1.67855</v>
      </c>
      <c r="E1449" s="59">
        <v>4.6118100000000002</v>
      </c>
      <c r="F1449" s="59">
        <v>5.4688800000000004</v>
      </c>
      <c r="G1449" s="56">
        <v>942.44500000000005</v>
      </c>
      <c r="H1449" s="56">
        <v>561.46500000000003</v>
      </c>
      <c r="I1449" s="58">
        <v>0.40327499999999999</v>
      </c>
      <c r="J1449" s="57">
        <v>0.32576500000000003</v>
      </c>
      <c r="K1449" s="56"/>
      <c r="L1449" s="56" t="s">
        <v>488</v>
      </c>
    </row>
    <row r="1450" spans="2:12" x14ac:dyDescent="0.2">
      <c r="B1450" s="62" t="s">
        <v>4530</v>
      </c>
      <c r="C1450" s="61" t="s">
        <v>502</v>
      </c>
      <c r="D1450" s="60">
        <v>1.69669</v>
      </c>
      <c r="E1450" s="59">
        <v>4.48576</v>
      </c>
      <c r="F1450" s="59">
        <v>4.8296700000000001</v>
      </c>
      <c r="G1450" s="56">
        <v>432.74900000000002</v>
      </c>
      <c r="H1450" s="56">
        <v>255.054</v>
      </c>
      <c r="I1450" s="58">
        <v>0.23969099999999999</v>
      </c>
      <c r="J1450" s="57">
        <v>0.23792199999999999</v>
      </c>
      <c r="K1450" s="56"/>
      <c r="L1450" s="56" t="s">
        <v>488</v>
      </c>
    </row>
    <row r="1451" spans="2:12" x14ac:dyDescent="0.2">
      <c r="B1451" s="62" t="s">
        <v>4529</v>
      </c>
      <c r="C1451" s="61" t="s">
        <v>499</v>
      </c>
      <c r="D1451" s="60">
        <v>1.23461</v>
      </c>
      <c r="E1451" s="59">
        <v>3.1653899999999999</v>
      </c>
      <c r="F1451" s="59">
        <v>4.1271800000000001</v>
      </c>
      <c r="G1451" s="56">
        <v>0</v>
      </c>
      <c r="H1451" s="56">
        <v>0</v>
      </c>
      <c r="I1451" s="58">
        <v>0.28827000000000003</v>
      </c>
      <c r="J1451" s="57">
        <v>0.37876500000000002</v>
      </c>
      <c r="K1451" s="56"/>
      <c r="L1451" s="56" t="s">
        <v>492</v>
      </c>
    </row>
    <row r="1452" spans="2:12" x14ac:dyDescent="0.2">
      <c r="B1452" s="62" t="s">
        <v>4528</v>
      </c>
      <c r="C1452" s="61" t="s">
        <v>550</v>
      </c>
      <c r="D1452" s="60">
        <v>1.2164299999999999</v>
      </c>
      <c r="E1452" s="59">
        <v>2.6112199999999999</v>
      </c>
      <c r="F1452" s="59">
        <v>4.4203799999999998</v>
      </c>
      <c r="G1452" s="56">
        <v>0</v>
      </c>
      <c r="H1452" s="56">
        <v>0</v>
      </c>
      <c r="I1452" s="58">
        <v>0.27241900000000002</v>
      </c>
      <c r="J1452" s="57">
        <v>0.42464299999999999</v>
      </c>
      <c r="K1452" s="56"/>
      <c r="L1452" s="56" t="s">
        <v>492</v>
      </c>
    </row>
    <row r="1453" spans="2:12" x14ac:dyDescent="0.2">
      <c r="B1453" s="62" t="s">
        <v>4527</v>
      </c>
      <c r="C1453" s="61" t="s">
        <v>510</v>
      </c>
      <c r="D1453" s="60">
        <v>1.1535299999999999</v>
      </c>
      <c r="E1453" s="59">
        <v>5.1277400000000002</v>
      </c>
      <c r="F1453" s="59">
        <v>7.9717399999999996</v>
      </c>
      <c r="G1453" s="56">
        <v>1766.04</v>
      </c>
      <c r="H1453" s="56">
        <v>1530.99</v>
      </c>
      <c r="I1453" s="58">
        <v>0.62017900000000004</v>
      </c>
      <c r="J1453" s="57">
        <v>0.53349199999999997</v>
      </c>
      <c r="K1453" s="56"/>
      <c r="L1453" s="56" t="s">
        <v>488</v>
      </c>
    </row>
    <row r="1454" spans="2:12" x14ac:dyDescent="0.2">
      <c r="B1454" s="62" t="s">
        <v>4526</v>
      </c>
      <c r="C1454" s="61" t="s">
        <v>499</v>
      </c>
      <c r="D1454" s="60">
        <v>1.7454700000000001</v>
      </c>
      <c r="E1454" s="59">
        <v>3.4144800000000002</v>
      </c>
      <c r="F1454" s="59">
        <v>4.78674</v>
      </c>
      <c r="G1454" s="56">
        <v>0</v>
      </c>
      <c r="H1454" s="56">
        <v>0</v>
      </c>
      <c r="I1454" s="58">
        <v>0.35714299999999999</v>
      </c>
      <c r="J1454" s="57">
        <v>0.271704</v>
      </c>
      <c r="K1454" s="56"/>
      <c r="L1454" s="56" t="s">
        <v>488</v>
      </c>
    </row>
    <row r="1455" spans="2:12" x14ac:dyDescent="0.2">
      <c r="B1455" s="62" t="s">
        <v>4525</v>
      </c>
      <c r="C1455" s="61" t="s">
        <v>582</v>
      </c>
      <c r="D1455" s="60">
        <v>1.8554299999999999</v>
      </c>
      <c r="E1455" s="59">
        <v>3.2557700000000001</v>
      </c>
      <c r="F1455" s="59">
        <v>5.1287599999999998</v>
      </c>
      <c r="G1455" s="56">
        <v>0</v>
      </c>
      <c r="H1455" s="56">
        <v>0</v>
      </c>
      <c r="I1455" s="58">
        <v>0.47707899999999998</v>
      </c>
      <c r="J1455" s="57">
        <v>0.29572300000000001</v>
      </c>
      <c r="K1455" s="56"/>
      <c r="L1455" s="56" t="s">
        <v>488</v>
      </c>
    </row>
    <row r="1456" spans="2:12" x14ac:dyDescent="0.2">
      <c r="B1456" s="62" t="s">
        <v>4524</v>
      </c>
      <c r="C1456" s="61" t="s">
        <v>531</v>
      </c>
      <c r="D1456" s="60">
        <v>1.8814299999999999</v>
      </c>
      <c r="E1456" s="59">
        <v>3.2380300000000002</v>
      </c>
      <c r="F1456" s="59">
        <v>5.10703</v>
      </c>
      <c r="G1456" s="56">
        <v>0</v>
      </c>
      <c r="H1456" s="56">
        <v>0</v>
      </c>
      <c r="I1456" s="58">
        <v>0.474717</v>
      </c>
      <c r="J1456" s="57">
        <v>0.290543</v>
      </c>
      <c r="K1456" s="56"/>
      <c r="L1456" s="56" t="s">
        <v>488</v>
      </c>
    </row>
    <row r="1457" spans="2:12" x14ac:dyDescent="0.2">
      <c r="B1457" s="62" t="s">
        <v>4523</v>
      </c>
      <c r="C1457" s="61" t="s">
        <v>489</v>
      </c>
      <c r="D1457" s="60">
        <v>1.2273499999999999</v>
      </c>
      <c r="E1457" s="59">
        <v>4.1057800000000002</v>
      </c>
      <c r="F1457" s="59">
        <v>4.6138399999999997</v>
      </c>
      <c r="G1457" s="56">
        <v>972.202</v>
      </c>
      <c r="H1457" s="56">
        <v>792.11199999999997</v>
      </c>
      <c r="I1457" s="58">
        <v>0.38015599999999999</v>
      </c>
      <c r="J1457" s="57">
        <v>0.45768399999999998</v>
      </c>
      <c r="K1457" s="56"/>
      <c r="L1457" s="56" t="s">
        <v>488</v>
      </c>
    </row>
    <row r="1458" spans="2:12" x14ac:dyDescent="0.2">
      <c r="B1458" s="62" t="s">
        <v>4522</v>
      </c>
      <c r="C1458" s="61" t="s">
        <v>489</v>
      </c>
      <c r="D1458" s="60">
        <v>1.2642100000000001</v>
      </c>
      <c r="E1458" s="59">
        <v>4.1667899999999998</v>
      </c>
      <c r="F1458" s="59">
        <v>4.4551400000000001</v>
      </c>
      <c r="G1458" s="56">
        <v>892.07799999999997</v>
      </c>
      <c r="H1458" s="56">
        <v>705.63900000000001</v>
      </c>
      <c r="I1458" s="58">
        <v>0.36412</v>
      </c>
      <c r="J1458" s="57">
        <v>0.42496099999999998</v>
      </c>
      <c r="K1458" s="56"/>
      <c r="L1458" s="56" t="s">
        <v>488</v>
      </c>
    </row>
    <row r="1459" spans="2:12" x14ac:dyDescent="0.2">
      <c r="B1459" s="62" t="s">
        <v>4521</v>
      </c>
      <c r="C1459" s="61" t="s">
        <v>499</v>
      </c>
      <c r="D1459" s="60">
        <v>1.36287</v>
      </c>
      <c r="E1459" s="59">
        <v>3.07382</v>
      </c>
      <c r="F1459" s="59">
        <v>5.2642699999999998</v>
      </c>
      <c r="G1459" s="56">
        <v>0</v>
      </c>
      <c r="H1459" s="56">
        <v>0</v>
      </c>
      <c r="I1459" s="58">
        <v>0.261911</v>
      </c>
      <c r="J1459" s="57">
        <v>0.32743299999999997</v>
      </c>
      <c r="K1459" s="56"/>
      <c r="L1459" s="56" t="s">
        <v>488</v>
      </c>
    </row>
    <row r="1460" spans="2:12" x14ac:dyDescent="0.2">
      <c r="B1460" s="62" t="s">
        <v>4520</v>
      </c>
      <c r="C1460" s="61" t="s">
        <v>632</v>
      </c>
      <c r="D1460" s="60">
        <v>2.5237099999999999</v>
      </c>
      <c r="E1460" s="59">
        <v>2.7831000000000001</v>
      </c>
      <c r="F1460" s="59">
        <v>4.5777999999999999</v>
      </c>
      <c r="G1460" s="56">
        <v>0</v>
      </c>
      <c r="H1460" s="56">
        <v>0</v>
      </c>
      <c r="I1460" s="58">
        <v>0.53371100000000005</v>
      </c>
      <c r="J1460" s="57">
        <v>0.167298</v>
      </c>
      <c r="K1460" s="56"/>
      <c r="L1460" s="56" t="s">
        <v>488</v>
      </c>
    </row>
    <row r="1461" spans="2:12" x14ac:dyDescent="0.2">
      <c r="B1461" s="62" t="s">
        <v>4519</v>
      </c>
      <c r="C1461" s="61" t="s">
        <v>1896</v>
      </c>
      <c r="D1461" s="60">
        <v>1.3706499999999999</v>
      </c>
      <c r="E1461" s="59">
        <v>3.20702</v>
      </c>
      <c r="F1461" s="59">
        <v>6.0678999999999998</v>
      </c>
      <c r="G1461" s="56">
        <v>0</v>
      </c>
      <c r="H1461" s="56">
        <v>0</v>
      </c>
      <c r="I1461" s="58">
        <v>0.397426</v>
      </c>
      <c r="J1461" s="57">
        <v>0.37970700000000002</v>
      </c>
      <c r="K1461" s="56"/>
      <c r="L1461" s="56" t="s">
        <v>488</v>
      </c>
    </row>
    <row r="1462" spans="2:12" x14ac:dyDescent="0.2">
      <c r="B1462" s="62" t="s">
        <v>4518</v>
      </c>
      <c r="C1462" s="61" t="s">
        <v>1463</v>
      </c>
      <c r="D1462" s="60">
        <v>1.3511599999999999</v>
      </c>
      <c r="E1462" s="59">
        <v>3.2875100000000002</v>
      </c>
      <c r="F1462" s="59">
        <v>6.0987</v>
      </c>
      <c r="G1462" s="56">
        <v>0</v>
      </c>
      <c r="H1462" s="56">
        <v>0</v>
      </c>
      <c r="I1462" s="58">
        <v>0.40066400000000002</v>
      </c>
      <c r="J1462" s="57">
        <v>0.38741900000000001</v>
      </c>
      <c r="K1462" s="56"/>
      <c r="L1462" s="56" t="s">
        <v>488</v>
      </c>
    </row>
    <row r="1463" spans="2:12" x14ac:dyDescent="0.2">
      <c r="B1463" s="62" t="s">
        <v>4517</v>
      </c>
      <c r="C1463" s="61" t="s">
        <v>502</v>
      </c>
      <c r="D1463" s="60">
        <v>1.91107</v>
      </c>
      <c r="E1463" s="59">
        <v>2.48549</v>
      </c>
      <c r="F1463" s="59">
        <v>3.9144399999999999</v>
      </c>
      <c r="G1463" s="56">
        <v>0</v>
      </c>
      <c r="H1463" s="56">
        <v>0</v>
      </c>
      <c r="I1463" s="58">
        <v>0.24751600000000001</v>
      </c>
      <c r="J1463" s="57">
        <v>0.230048</v>
      </c>
      <c r="K1463" s="56"/>
      <c r="L1463" s="56" t="s">
        <v>488</v>
      </c>
    </row>
    <row r="1464" spans="2:12" x14ac:dyDescent="0.2">
      <c r="B1464" s="62" t="s">
        <v>4516</v>
      </c>
      <c r="C1464" s="61" t="s">
        <v>502</v>
      </c>
      <c r="D1464" s="60">
        <v>1.9181699999999999</v>
      </c>
      <c r="E1464" s="59">
        <v>2.5101499999999999</v>
      </c>
      <c r="F1464" s="59">
        <v>3.9281999999999999</v>
      </c>
      <c r="G1464" s="56">
        <v>0</v>
      </c>
      <c r="H1464" s="56">
        <v>0</v>
      </c>
      <c r="I1464" s="58">
        <v>0.23962600000000001</v>
      </c>
      <c r="J1464" s="57">
        <v>0.22775699999999999</v>
      </c>
      <c r="K1464" s="56"/>
      <c r="L1464" s="56" t="s">
        <v>488</v>
      </c>
    </row>
    <row r="1465" spans="2:12" x14ac:dyDescent="0.2">
      <c r="B1465" s="62" t="s">
        <v>4515</v>
      </c>
      <c r="C1465" s="61" t="s">
        <v>502</v>
      </c>
      <c r="D1465" s="60">
        <v>1.90638</v>
      </c>
      <c r="E1465" s="59">
        <v>2.5021499999999999</v>
      </c>
      <c r="F1465" s="59">
        <v>3.9228900000000002</v>
      </c>
      <c r="G1465" s="56">
        <v>0</v>
      </c>
      <c r="H1465" s="56">
        <v>0</v>
      </c>
      <c r="I1465" s="58">
        <v>0.24168899999999999</v>
      </c>
      <c r="J1465" s="57">
        <v>0.23069500000000001</v>
      </c>
      <c r="K1465" s="56"/>
      <c r="L1465" s="56" t="s">
        <v>488</v>
      </c>
    </row>
    <row r="1466" spans="2:12" x14ac:dyDescent="0.2">
      <c r="B1466" s="62" t="s">
        <v>4514</v>
      </c>
      <c r="C1466" s="61" t="s">
        <v>502</v>
      </c>
      <c r="D1466" s="60">
        <v>1.90802</v>
      </c>
      <c r="E1466" s="59">
        <v>2.5289999999999999</v>
      </c>
      <c r="F1466" s="59">
        <v>3.9407700000000001</v>
      </c>
      <c r="G1466" s="56">
        <v>0</v>
      </c>
      <c r="H1466" s="56">
        <v>0</v>
      </c>
      <c r="I1466" s="58">
        <v>0.23982800000000001</v>
      </c>
      <c r="J1466" s="57">
        <v>0.23028799999999999</v>
      </c>
      <c r="K1466" s="56"/>
      <c r="L1466" s="56" t="s">
        <v>488</v>
      </c>
    </row>
    <row r="1467" spans="2:12" x14ac:dyDescent="0.2">
      <c r="B1467" s="62" t="s">
        <v>4513</v>
      </c>
      <c r="C1467" s="61" t="s">
        <v>502</v>
      </c>
      <c r="D1467" s="60">
        <v>1.9016500000000001</v>
      </c>
      <c r="E1467" s="59">
        <v>2.5336799999999999</v>
      </c>
      <c r="F1467" s="59">
        <v>3.9317899999999999</v>
      </c>
      <c r="G1467" s="56">
        <v>0</v>
      </c>
      <c r="H1467" s="56">
        <v>0</v>
      </c>
      <c r="I1467" s="58">
        <v>0.24106</v>
      </c>
      <c r="J1467" s="57">
        <v>0.232157</v>
      </c>
      <c r="K1467" s="56"/>
      <c r="L1467" s="56" t="s">
        <v>488</v>
      </c>
    </row>
    <row r="1468" spans="2:12" x14ac:dyDescent="0.2">
      <c r="B1468" s="62" t="s">
        <v>4512</v>
      </c>
      <c r="C1468" s="61" t="s">
        <v>502</v>
      </c>
      <c r="D1468" s="60">
        <v>1.8987799999999999</v>
      </c>
      <c r="E1468" s="59">
        <v>2.5600999999999998</v>
      </c>
      <c r="F1468" s="59">
        <v>3.9617300000000002</v>
      </c>
      <c r="G1468" s="56">
        <v>0</v>
      </c>
      <c r="H1468" s="56">
        <v>0</v>
      </c>
      <c r="I1468" s="58">
        <v>0.24010699999999999</v>
      </c>
      <c r="J1468" s="57">
        <v>0.232657</v>
      </c>
      <c r="K1468" s="56"/>
      <c r="L1468" s="56" t="s">
        <v>488</v>
      </c>
    </row>
    <row r="1469" spans="2:12" x14ac:dyDescent="0.2">
      <c r="B1469" s="62" t="s">
        <v>4511</v>
      </c>
      <c r="C1469" s="61" t="s">
        <v>502</v>
      </c>
      <c r="D1469" s="60">
        <v>1.8922099999999999</v>
      </c>
      <c r="E1469" s="59">
        <v>2.5600999999999998</v>
      </c>
      <c r="F1469" s="59">
        <v>3.9617300000000002</v>
      </c>
      <c r="G1469" s="56">
        <v>0</v>
      </c>
      <c r="H1469" s="56">
        <v>0</v>
      </c>
      <c r="I1469" s="58">
        <v>0.244197</v>
      </c>
      <c r="J1469" s="57">
        <v>0.23441600000000001</v>
      </c>
      <c r="K1469" s="56"/>
      <c r="L1469" s="56" t="s">
        <v>488</v>
      </c>
    </row>
    <row r="1470" spans="2:12" x14ac:dyDescent="0.2">
      <c r="B1470" s="62" t="s">
        <v>4510</v>
      </c>
      <c r="C1470" s="61" t="s">
        <v>502</v>
      </c>
      <c r="D1470" s="60">
        <v>1.8922099999999999</v>
      </c>
      <c r="E1470" s="59">
        <v>2.5665100000000001</v>
      </c>
      <c r="F1470" s="59">
        <v>3.94198</v>
      </c>
      <c r="G1470" s="56">
        <v>0</v>
      </c>
      <c r="H1470" s="56">
        <v>0</v>
      </c>
      <c r="I1470" s="58">
        <v>0.24246000000000001</v>
      </c>
      <c r="J1470" s="57">
        <v>0.23441600000000001</v>
      </c>
      <c r="K1470" s="56"/>
      <c r="L1470" s="56" t="s">
        <v>488</v>
      </c>
    </row>
    <row r="1471" spans="2:12" x14ac:dyDescent="0.2">
      <c r="B1471" s="62" t="s">
        <v>4509</v>
      </c>
      <c r="C1471" s="61" t="s">
        <v>502</v>
      </c>
      <c r="D1471" s="60">
        <v>1.8991899999999999</v>
      </c>
      <c r="E1471" s="59">
        <v>2.5801099999999999</v>
      </c>
      <c r="F1471" s="59">
        <v>3.94339</v>
      </c>
      <c r="G1471" s="56">
        <v>0</v>
      </c>
      <c r="H1471" s="56">
        <v>0</v>
      </c>
      <c r="I1471" s="58">
        <v>0.242698</v>
      </c>
      <c r="J1471" s="57">
        <v>0.23305899999999999</v>
      </c>
      <c r="K1471" s="56"/>
      <c r="L1471" s="56" t="s">
        <v>488</v>
      </c>
    </row>
    <row r="1472" spans="2:12" x14ac:dyDescent="0.2">
      <c r="B1472" s="62" t="s">
        <v>4508</v>
      </c>
      <c r="C1472" s="61" t="s">
        <v>502</v>
      </c>
      <c r="D1472" s="60">
        <v>1.89876</v>
      </c>
      <c r="E1472" s="59">
        <v>2.5988500000000001</v>
      </c>
      <c r="F1472" s="59">
        <v>3.9469599999999998</v>
      </c>
      <c r="G1472" s="56">
        <v>0</v>
      </c>
      <c r="H1472" s="56">
        <v>0</v>
      </c>
      <c r="I1472" s="58">
        <v>0.24341199999999999</v>
      </c>
      <c r="J1472" s="57">
        <v>0.23316400000000001</v>
      </c>
      <c r="K1472" s="56"/>
      <c r="L1472" s="56" t="s">
        <v>488</v>
      </c>
    </row>
    <row r="1473" spans="2:12" x14ac:dyDescent="0.2">
      <c r="B1473" s="62" t="s">
        <v>4507</v>
      </c>
      <c r="C1473" s="61" t="s">
        <v>502</v>
      </c>
      <c r="D1473" s="60">
        <v>1.8893200000000001</v>
      </c>
      <c r="E1473" s="59">
        <v>2.6126800000000001</v>
      </c>
      <c r="F1473" s="59">
        <v>3.92028</v>
      </c>
      <c r="G1473" s="56">
        <v>0</v>
      </c>
      <c r="H1473" s="56">
        <v>0</v>
      </c>
      <c r="I1473" s="58">
        <v>0.24381700000000001</v>
      </c>
      <c r="J1473" s="57">
        <v>0.235233</v>
      </c>
      <c r="K1473" s="56"/>
      <c r="L1473" s="56" t="s">
        <v>488</v>
      </c>
    </row>
    <row r="1474" spans="2:12" x14ac:dyDescent="0.2">
      <c r="B1474" s="62" t="s">
        <v>4506</v>
      </c>
      <c r="C1474" s="61" t="s">
        <v>502</v>
      </c>
      <c r="D1474" s="60">
        <v>1.9000600000000001</v>
      </c>
      <c r="E1474" s="59">
        <v>2.5714399999999999</v>
      </c>
      <c r="F1474" s="59">
        <v>3.9233199999999999</v>
      </c>
      <c r="G1474" s="56">
        <v>0</v>
      </c>
      <c r="H1474" s="56">
        <v>0</v>
      </c>
      <c r="I1474" s="58">
        <v>0.24662999999999999</v>
      </c>
      <c r="J1474" s="57">
        <v>0.23324700000000001</v>
      </c>
      <c r="K1474" s="56"/>
      <c r="L1474" s="56" t="s">
        <v>488</v>
      </c>
    </row>
    <row r="1475" spans="2:12" x14ac:dyDescent="0.2">
      <c r="B1475" s="62" t="s">
        <v>4505</v>
      </c>
      <c r="C1475" s="61" t="s">
        <v>502</v>
      </c>
      <c r="D1475" s="60">
        <v>1.90524</v>
      </c>
      <c r="E1475" s="59">
        <v>2.5544199999999999</v>
      </c>
      <c r="F1475" s="59">
        <v>3.9370799999999999</v>
      </c>
      <c r="G1475" s="56">
        <v>0</v>
      </c>
      <c r="H1475" s="56">
        <v>0</v>
      </c>
      <c r="I1475" s="58">
        <v>0.24235999999999999</v>
      </c>
      <c r="J1475" s="57">
        <v>0.23184399999999999</v>
      </c>
      <c r="K1475" s="56"/>
      <c r="L1475" s="56" t="s">
        <v>488</v>
      </c>
    </row>
    <row r="1476" spans="2:12" x14ac:dyDescent="0.2">
      <c r="B1476" s="62" t="s">
        <v>4504</v>
      </c>
      <c r="C1476" s="61" t="s">
        <v>550</v>
      </c>
      <c r="D1476" s="60">
        <v>1.6386099999999999</v>
      </c>
      <c r="E1476" s="59">
        <v>3.4718100000000001</v>
      </c>
      <c r="F1476" s="59">
        <v>3.7838699999999998</v>
      </c>
      <c r="G1476" s="56">
        <v>0</v>
      </c>
      <c r="H1476" s="56">
        <v>0</v>
      </c>
      <c r="I1476" s="58">
        <v>0.25781300000000001</v>
      </c>
      <c r="J1476" s="57">
        <v>0.26660600000000001</v>
      </c>
      <c r="K1476" s="56"/>
      <c r="L1476" s="56" t="s">
        <v>488</v>
      </c>
    </row>
    <row r="1477" spans="2:12" x14ac:dyDescent="0.2">
      <c r="B1477" s="62" t="s">
        <v>4503</v>
      </c>
      <c r="C1477" s="61" t="s">
        <v>550</v>
      </c>
      <c r="D1477" s="60">
        <v>1.4484600000000001</v>
      </c>
      <c r="E1477" s="59">
        <v>5.70228</v>
      </c>
      <c r="F1477" s="59">
        <v>8.71143</v>
      </c>
      <c r="G1477" s="56">
        <v>1357.86</v>
      </c>
      <c r="H1477" s="56">
        <v>937.44799999999998</v>
      </c>
      <c r="I1477" s="58">
        <v>0.56067699999999998</v>
      </c>
      <c r="J1477" s="57">
        <v>0.40156700000000001</v>
      </c>
      <c r="K1477" s="56"/>
      <c r="L1477" s="56" t="s">
        <v>488</v>
      </c>
    </row>
    <row r="1478" spans="2:12" x14ac:dyDescent="0.2">
      <c r="B1478" s="62" t="s">
        <v>4502</v>
      </c>
      <c r="C1478" s="61" t="s">
        <v>499</v>
      </c>
      <c r="D1478" s="60">
        <v>1.67581</v>
      </c>
      <c r="E1478" s="59">
        <v>2.6465000000000001</v>
      </c>
      <c r="F1478" s="59">
        <v>3.8088500000000001</v>
      </c>
      <c r="G1478" s="56">
        <v>0</v>
      </c>
      <c r="H1478" s="56">
        <v>0</v>
      </c>
      <c r="I1478" s="58">
        <v>0.215142</v>
      </c>
      <c r="J1478" s="57">
        <v>0.28854800000000003</v>
      </c>
      <c r="K1478" s="56"/>
      <c r="L1478" s="56" t="s">
        <v>488</v>
      </c>
    </row>
    <row r="1479" spans="2:12" x14ac:dyDescent="0.2">
      <c r="B1479" s="62" t="s">
        <v>4501</v>
      </c>
      <c r="C1479" s="61" t="s">
        <v>499</v>
      </c>
      <c r="D1479" s="60">
        <v>1.3156399999999999</v>
      </c>
      <c r="E1479" s="59">
        <v>2.7069399999999999</v>
      </c>
      <c r="F1479" s="59">
        <v>4.3823800000000004</v>
      </c>
      <c r="G1479" s="56">
        <v>0</v>
      </c>
      <c r="H1479" s="56">
        <v>0</v>
      </c>
      <c r="I1479" s="58">
        <v>0.17221500000000001</v>
      </c>
      <c r="J1479" s="57">
        <v>0.33873700000000001</v>
      </c>
      <c r="K1479" s="56"/>
      <c r="L1479" s="56" t="s">
        <v>488</v>
      </c>
    </row>
    <row r="1480" spans="2:12" x14ac:dyDescent="0.2">
      <c r="B1480" s="62" t="s">
        <v>4500</v>
      </c>
      <c r="C1480" s="61" t="s">
        <v>499</v>
      </c>
      <c r="D1480" s="60">
        <v>0.87713600000000003</v>
      </c>
      <c r="E1480" s="59">
        <v>4.6043099999999999</v>
      </c>
      <c r="F1480" s="59">
        <v>6.3938499999999996</v>
      </c>
      <c r="G1480" s="56">
        <v>1716.7</v>
      </c>
      <c r="H1480" s="56">
        <v>1957.16</v>
      </c>
      <c r="I1480" s="58">
        <v>0.64588400000000001</v>
      </c>
      <c r="J1480" s="57">
        <v>0.74075199999999997</v>
      </c>
      <c r="K1480" s="56"/>
      <c r="L1480" s="56" t="s">
        <v>488</v>
      </c>
    </row>
    <row r="1481" spans="2:12" x14ac:dyDescent="0.2">
      <c r="B1481" s="62" t="s">
        <v>4499</v>
      </c>
      <c r="C1481" s="61" t="s">
        <v>550</v>
      </c>
      <c r="D1481" s="60">
        <v>0.95760400000000001</v>
      </c>
      <c r="E1481" s="59">
        <v>14.42018</v>
      </c>
      <c r="F1481" s="59">
        <v>14.50531</v>
      </c>
      <c r="G1481" s="56">
        <v>1123.8900000000001</v>
      </c>
      <c r="H1481" s="56">
        <v>1173.6500000000001</v>
      </c>
      <c r="I1481" s="58">
        <v>0.61682499999999996</v>
      </c>
      <c r="J1481" s="57">
        <v>0.66335999999999995</v>
      </c>
      <c r="K1481" s="56"/>
      <c r="L1481" s="56" t="s">
        <v>488</v>
      </c>
    </row>
    <row r="1482" spans="2:12" x14ac:dyDescent="0.2">
      <c r="B1482" s="62" t="s">
        <v>4498</v>
      </c>
      <c r="C1482" s="61" t="s">
        <v>4497</v>
      </c>
      <c r="D1482" s="60">
        <v>1.7066600000000001</v>
      </c>
      <c r="E1482" s="59">
        <v>3.9388999999999998</v>
      </c>
      <c r="F1482" s="59">
        <v>5.0230800000000002</v>
      </c>
      <c r="G1482" s="56">
        <v>902.67600000000004</v>
      </c>
      <c r="H1482" s="56">
        <v>528.91200000000003</v>
      </c>
      <c r="I1482" s="58">
        <v>0.46994599999999997</v>
      </c>
      <c r="J1482" s="57">
        <v>0.34512999999999999</v>
      </c>
      <c r="K1482" s="56"/>
      <c r="L1482" s="56" t="s">
        <v>488</v>
      </c>
    </row>
    <row r="1483" spans="2:12" x14ac:dyDescent="0.2">
      <c r="B1483" s="62" t="s">
        <v>4496</v>
      </c>
      <c r="C1483" s="61" t="s">
        <v>4495</v>
      </c>
      <c r="D1483" s="60">
        <v>1.80531</v>
      </c>
      <c r="E1483" s="59">
        <v>3.8685499999999999</v>
      </c>
      <c r="F1483" s="59">
        <v>4.8964100000000004</v>
      </c>
      <c r="G1483" s="56">
        <v>860.41200000000003</v>
      </c>
      <c r="H1483" s="56">
        <v>476.6</v>
      </c>
      <c r="I1483" s="58">
        <v>0.48118300000000003</v>
      </c>
      <c r="J1483" s="57">
        <v>0.32117899999999999</v>
      </c>
      <c r="K1483" s="56"/>
      <c r="L1483" s="56" t="s">
        <v>488</v>
      </c>
    </row>
    <row r="1484" spans="2:12" x14ac:dyDescent="0.2">
      <c r="B1484" s="62" t="s">
        <v>4494</v>
      </c>
      <c r="C1484" s="61" t="s">
        <v>4493</v>
      </c>
      <c r="D1484" s="60">
        <v>1.85808</v>
      </c>
      <c r="E1484" s="59">
        <v>3.81392</v>
      </c>
      <c r="F1484" s="59">
        <v>4.8108899999999997</v>
      </c>
      <c r="G1484" s="56">
        <v>790.67</v>
      </c>
      <c r="H1484" s="56">
        <v>425.53</v>
      </c>
      <c r="I1484" s="58">
        <v>0.48284199999999999</v>
      </c>
      <c r="J1484" s="57">
        <v>0.30987500000000001</v>
      </c>
      <c r="K1484" s="56"/>
      <c r="L1484" s="56" t="s">
        <v>488</v>
      </c>
    </row>
    <row r="1485" spans="2:12" x14ac:dyDescent="0.2">
      <c r="B1485" s="62" t="s">
        <v>4492</v>
      </c>
      <c r="C1485" s="61" t="s">
        <v>3081</v>
      </c>
      <c r="D1485" s="60">
        <v>1.79298</v>
      </c>
      <c r="E1485" s="59">
        <v>3.86869</v>
      </c>
      <c r="F1485" s="59">
        <v>4.89316</v>
      </c>
      <c r="G1485" s="56">
        <v>878.58299999999997</v>
      </c>
      <c r="H1485" s="56">
        <v>490.01299999999998</v>
      </c>
      <c r="I1485" s="58">
        <v>0.48575200000000002</v>
      </c>
      <c r="J1485" s="57">
        <v>0.323882</v>
      </c>
      <c r="K1485" s="56"/>
      <c r="L1485" s="56" t="s">
        <v>488</v>
      </c>
    </row>
    <row r="1486" spans="2:12" x14ac:dyDescent="0.2">
      <c r="B1486" s="62" t="s">
        <v>4491</v>
      </c>
      <c r="C1486" s="61" t="s">
        <v>4490</v>
      </c>
      <c r="D1486" s="60">
        <v>1.8479699999999999</v>
      </c>
      <c r="E1486" s="59">
        <v>3.7841399999999998</v>
      </c>
      <c r="F1486" s="59">
        <v>4.7971500000000002</v>
      </c>
      <c r="G1486" s="56">
        <v>769.83699999999999</v>
      </c>
      <c r="H1486" s="56">
        <v>416.584</v>
      </c>
      <c r="I1486" s="58">
        <v>0.47809200000000002</v>
      </c>
      <c r="J1486" s="57">
        <v>0.31162800000000002</v>
      </c>
      <c r="K1486" s="56"/>
      <c r="L1486" s="56" t="s">
        <v>488</v>
      </c>
    </row>
    <row r="1487" spans="2:12" x14ac:dyDescent="0.2">
      <c r="B1487" s="62" t="s">
        <v>4489</v>
      </c>
      <c r="C1487" s="61" t="s">
        <v>4488</v>
      </c>
      <c r="D1487" s="60">
        <v>1.69109</v>
      </c>
      <c r="E1487" s="59">
        <v>3.9560300000000002</v>
      </c>
      <c r="F1487" s="59">
        <v>5.0496600000000003</v>
      </c>
      <c r="G1487" s="56">
        <v>954.03599999999994</v>
      </c>
      <c r="H1487" s="56">
        <v>564.154</v>
      </c>
      <c r="I1487" s="58">
        <v>0.47425099999999998</v>
      </c>
      <c r="J1487" s="57">
        <v>0.34945700000000002</v>
      </c>
      <c r="K1487" s="56"/>
      <c r="L1487" s="56" t="s">
        <v>488</v>
      </c>
    </row>
    <row r="1488" spans="2:12" x14ac:dyDescent="0.2">
      <c r="B1488" s="62" t="s">
        <v>4487</v>
      </c>
      <c r="C1488" s="61" t="s">
        <v>1833</v>
      </c>
      <c r="D1488" s="60">
        <v>1.7362</v>
      </c>
      <c r="E1488" s="59">
        <v>3.90727</v>
      </c>
      <c r="F1488" s="59">
        <v>4.9359299999999999</v>
      </c>
      <c r="G1488" s="56">
        <v>921.96100000000001</v>
      </c>
      <c r="H1488" s="56">
        <v>531.02200000000005</v>
      </c>
      <c r="I1488" s="58">
        <v>0.48956499999999997</v>
      </c>
      <c r="J1488" s="57">
        <v>0.337393</v>
      </c>
      <c r="K1488" s="56"/>
      <c r="L1488" s="56" t="s">
        <v>488</v>
      </c>
    </row>
    <row r="1489" spans="2:12" x14ac:dyDescent="0.2">
      <c r="B1489" s="62" t="s">
        <v>4486</v>
      </c>
      <c r="C1489" s="61" t="s">
        <v>4485</v>
      </c>
      <c r="D1489" s="60">
        <v>1.69435</v>
      </c>
      <c r="E1489" s="59">
        <v>4.0158800000000001</v>
      </c>
      <c r="F1489" s="59">
        <v>4.6510199999999999</v>
      </c>
      <c r="G1489" s="56">
        <v>1132.19</v>
      </c>
      <c r="H1489" s="56">
        <v>668.21699999999998</v>
      </c>
      <c r="I1489" s="58">
        <v>0.43015199999999998</v>
      </c>
      <c r="J1489" s="57">
        <v>0.338283</v>
      </c>
      <c r="K1489" s="56"/>
      <c r="L1489" s="56" t="s">
        <v>488</v>
      </c>
    </row>
    <row r="1490" spans="2:12" x14ac:dyDescent="0.2">
      <c r="B1490" s="62" t="s">
        <v>4484</v>
      </c>
      <c r="C1490" s="61" t="s">
        <v>4483</v>
      </c>
      <c r="D1490" s="60">
        <v>1.80735</v>
      </c>
      <c r="E1490" s="59">
        <v>3.8575599999999999</v>
      </c>
      <c r="F1490" s="59">
        <v>4.8587699999999998</v>
      </c>
      <c r="G1490" s="56">
        <v>857.71400000000006</v>
      </c>
      <c r="H1490" s="56">
        <v>474.56900000000002</v>
      </c>
      <c r="I1490" s="58">
        <v>0.48502400000000001</v>
      </c>
      <c r="J1490" s="57">
        <v>0.32116800000000001</v>
      </c>
      <c r="K1490" s="56"/>
      <c r="L1490" s="56" t="s">
        <v>488</v>
      </c>
    </row>
    <row r="1491" spans="2:12" x14ac:dyDescent="0.2">
      <c r="B1491" s="62" t="s">
        <v>4482</v>
      </c>
      <c r="C1491" s="61" t="s">
        <v>798</v>
      </c>
      <c r="D1491" s="60">
        <v>1.0176700000000001</v>
      </c>
      <c r="E1491" s="59">
        <v>3.1847300000000001</v>
      </c>
      <c r="F1491" s="59">
        <v>5.3463700000000003</v>
      </c>
      <c r="G1491" s="56">
        <v>0</v>
      </c>
      <c r="H1491" s="56">
        <v>0</v>
      </c>
      <c r="I1491" s="58">
        <v>0.47346899999999997</v>
      </c>
      <c r="J1491" s="57">
        <v>0.53948300000000005</v>
      </c>
      <c r="K1491" s="56"/>
      <c r="L1491" s="56" t="s">
        <v>488</v>
      </c>
    </row>
    <row r="1492" spans="2:12" x14ac:dyDescent="0.2">
      <c r="B1492" s="62" t="s">
        <v>4481</v>
      </c>
      <c r="C1492" s="61" t="s">
        <v>510</v>
      </c>
      <c r="D1492" s="60">
        <v>1.3323100000000001</v>
      </c>
      <c r="E1492" s="59">
        <v>3.7652800000000002</v>
      </c>
      <c r="F1492" s="59">
        <v>4.4202500000000002</v>
      </c>
      <c r="G1492" s="56">
        <v>235.654</v>
      </c>
      <c r="H1492" s="56">
        <v>176.876</v>
      </c>
      <c r="I1492" s="58">
        <v>0.23108999999999999</v>
      </c>
      <c r="J1492" s="57">
        <v>0.32939600000000002</v>
      </c>
      <c r="K1492" s="56"/>
      <c r="L1492" s="56" t="s">
        <v>488</v>
      </c>
    </row>
    <row r="1493" spans="2:12" x14ac:dyDescent="0.2">
      <c r="B1493" s="62" t="s">
        <v>4480</v>
      </c>
      <c r="C1493" s="61" t="s">
        <v>507</v>
      </c>
      <c r="D1493" s="60">
        <v>2.0179399999999998</v>
      </c>
      <c r="E1493" s="59">
        <v>2.61511</v>
      </c>
      <c r="F1493" s="59">
        <v>3.3704299999999998</v>
      </c>
      <c r="G1493" s="56">
        <v>0</v>
      </c>
      <c r="H1493" s="56">
        <v>0</v>
      </c>
      <c r="I1493" s="58">
        <v>0.12675</v>
      </c>
      <c r="J1493" s="57">
        <v>0.198713</v>
      </c>
      <c r="K1493" s="56"/>
      <c r="L1493" s="56" t="s">
        <v>488</v>
      </c>
    </row>
    <row r="1494" spans="2:12" x14ac:dyDescent="0.2">
      <c r="B1494" s="62" t="s">
        <v>4479</v>
      </c>
      <c r="C1494" s="61" t="s">
        <v>510</v>
      </c>
      <c r="D1494" s="60">
        <v>1.4035200000000001</v>
      </c>
      <c r="E1494" s="59">
        <v>3.2611300000000001</v>
      </c>
      <c r="F1494" s="59">
        <v>4.0030599999999996</v>
      </c>
      <c r="G1494" s="56">
        <v>0</v>
      </c>
      <c r="H1494" s="56">
        <v>0</v>
      </c>
      <c r="I1494" s="58">
        <v>0.169485</v>
      </c>
      <c r="J1494" s="57">
        <v>0.29742600000000002</v>
      </c>
      <c r="K1494" s="56"/>
      <c r="L1494" s="56" t="s">
        <v>488</v>
      </c>
    </row>
    <row r="1495" spans="2:12" x14ac:dyDescent="0.2">
      <c r="B1495" s="62" t="s">
        <v>4478</v>
      </c>
      <c r="C1495" s="61" t="s">
        <v>510</v>
      </c>
      <c r="D1495" s="60">
        <v>1.0947800000000001</v>
      </c>
      <c r="E1495" s="59">
        <v>3.72987</v>
      </c>
      <c r="F1495" s="59">
        <v>11.25539</v>
      </c>
      <c r="G1495" s="56">
        <v>1314.31</v>
      </c>
      <c r="H1495" s="56">
        <v>1200.53</v>
      </c>
      <c r="I1495" s="58">
        <v>0.50424599999999997</v>
      </c>
      <c r="J1495" s="57">
        <v>0.55389299999999997</v>
      </c>
      <c r="K1495" s="56"/>
      <c r="L1495" s="56" t="s">
        <v>488</v>
      </c>
    </row>
    <row r="1496" spans="2:12" x14ac:dyDescent="0.2">
      <c r="B1496" s="62" t="s">
        <v>4477</v>
      </c>
      <c r="C1496" s="61" t="s">
        <v>510</v>
      </c>
      <c r="D1496" s="60">
        <v>0.90340600000000004</v>
      </c>
      <c r="E1496" s="59">
        <v>3.10209</v>
      </c>
      <c r="F1496" s="59">
        <v>11.400589999999999</v>
      </c>
      <c r="G1496" s="56">
        <v>0</v>
      </c>
      <c r="H1496" s="56">
        <v>0</v>
      </c>
      <c r="I1496" s="58">
        <v>0.51147100000000001</v>
      </c>
      <c r="J1496" s="57">
        <v>0.67351300000000003</v>
      </c>
      <c r="K1496" s="56" t="s">
        <v>1816</v>
      </c>
      <c r="L1496" s="56" t="s">
        <v>563</v>
      </c>
    </row>
    <row r="1497" spans="2:12" x14ac:dyDescent="0.2">
      <c r="B1497" s="62" t="s">
        <v>4476</v>
      </c>
      <c r="C1497" s="61" t="s">
        <v>510</v>
      </c>
      <c r="D1497" s="60">
        <v>0.90203299999999997</v>
      </c>
      <c r="E1497" s="59">
        <v>3.0734300000000001</v>
      </c>
      <c r="F1497" s="59">
        <v>11.413690000000001</v>
      </c>
      <c r="G1497" s="56">
        <v>0</v>
      </c>
      <c r="H1497" s="56">
        <v>0</v>
      </c>
      <c r="I1497" s="58">
        <v>0.509629</v>
      </c>
      <c r="J1497" s="57">
        <v>0.67523900000000003</v>
      </c>
      <c r="K1497" s="56" t="s">
        <v>1816</v>
      </c>
      <c r="L1497" s="56" t="s">
        <v>563</v>
      </c>
    </row>
    <row r="1498" spans="2:12" x14ac:dyDescent="0.2">
      <c r="B1498" s="62" t="s">
        <v>4475</v>
      </c>
      <c r="C1498" s="61" t="s">
        <v>499</v>
      </c>
      <c r="D1498" s="60">
        <v>1.0331399999999999</v>
      </c>
      <c r="E1498" s="59">
        <v>8.0396300000000007</v>
      </c>
      <c r="F1498" s="59">
        <v>10.85901</v>
      </c>
      <c r="G1498" s="56">
        <v>1188.47</v>
      </c>
      <c r="H1498" s="56">
        <v>1150.3399999999999</v>
      </c>
      <c r="I1498" s="58">
        <v>0.50193399999999999</v>
      </c>
      <c r="J1498" s="57">
        <v>0.59693300000000005</v>
      </c>
      <c r="K1498" s="56"/>
      <c r="L1498" s="56" t="s">
        <v>488</v>
      </c>
    </row>
    <row r="1499" spans="2:12" x14ac:dyDescent="0.2">
      <c r="B1499" s="62" t="s">
        <v>4474</v>
      </c>
      <c r="C1499" s="61" t="s">
        <v>499</v>
      </c>
      <c r="D1499" s="60">
        <v>0.77711200000000002</v>
      </c>
      <c r="E1499" s="59">
        <v>13.37931</v>
      </c>
      <c r="F1499" s="59">
        <v>15.27666</v>
      </c>
      <c r="G1499" s="56">
        <v>1688.7</v>
      </c>
      <c r="H1499" s="56">
        <v>2173.0500000000002</v>
      </c>
      <c r="I1499" s="58">
        <v>0.65777200000000002</v>
      </c>
      <c r="J1499" s="57">
        <v>0.93770399999999998</v>
      </c>
      <c r="K1499" s="56"/>
      <c r="L1499" s="56" t="s">
        <v>488</v>
      </c>
    </row>
    <row r="1500" spans="2:12" x14ac:dyDescent="0.2">
      <c r="B1500" s="62" t="s">
        <v>4473</v>
      </c>
      <c r="C1500" s="61" t="s">
        <v>499</v>
      </c>
      <c r="D1500" s="60">
        <v>0.77711200000000002</v>
      </c>
      <c r="E1500" s="59">
        <v>13.379479999999999</v>
      </c>
      <c r="F1500" s="59">
        <v>15.24588</v>
      </c>
      <c r="G1500" s="56">
        <v>1698.88</v>
      </c>
      <c r="H1500" s="56">
        <v>2186.15</v>
      </c>
      <c r="I1500" s="58">
        <v>0.65487200000000001</v>
      </c>
      <c r="J1500" s="57">
        <v>0.93643799999999999</v>
      </c>
      <c r="K1500" s="56"/>
      <c r="L1500" s="56" t="s">
        <v>488</v>
      </c>
    </row>
    <row r="1501" spans="2:12" x14ac:dyDescent="0.2">
      <c r="B1501" s="62" t="s">
        <v>4472</v>
      </c>
      <c r="C1501" s="61" t="s">
        <v>499</v>
      </c>
      <c r="D1501" s="60">
        <v>1.1548499999999999</v>
      </c>
      <c r="E1501" s="59">
        <v>5.4728599999999998</v>
      </c>
      <c r="F1501" s="59">
        <v>17.007149999999999</v>
      </c>
      <c r="G1501" s="56">
        <v>1160.28</v>
      </c>
      <c r="H1501" s="56">
        <v>1004.7</v>
      </c>
      <c r="I1501" s="58">
        <v>0.50256000000000001</v>
      </c>
      <c r="J1501" s="57">
        <v>0.54830900000000005</v>
      </c>
      <c r="K1501" s="56"/>
      <c r="L1501" s="56" t="s">
        <v>488</v>
      </c>
    </row>
    <row r="1502" spans="2:12" x14ac:dyDescent="0.2">
      <c r="B1502" s="62" t="s">
        <v>4471</v>
      </c>
      <c r="C1502" s="61" t="s">
        <v>499</v>
      </c>
      <c r="D1502" s="60">
        <v>1.1548499999999999</v>
      </c>
      <c r="E1502" s="59">
        <v>5.4556100000000001</v>
      </c>
      <c r="F1502" s="59">
        <v>17.004239999999999</v>
      </c>
      <c r="G1502" s="56">
        <v>1170.28</v>
      </c>
      <c r="H1502" s="56">
        <v>1013.36</v>
      </c>
      <c r="I1502" s="58">
        <v>0.49952299999999999</v>
      </c>
      <c r="J1502" s="57">
        <v>0.55097499999999999</v>
      </c>
      <c r="K1502" s="56"/>
      <c r="L1502" s="56" t="s">
        <v>488</v>
      </c>
    </row>
    <row r="1503" spans="2:12" x14ac:dyDescent="0.2">
      <c r="B1503" s="62" t="s">
        <v>4470</v>
      </c>
      <c r="C1503" s="61" t="s">
        <v>499</v>
      </c>
      <c r="D1503" s="60">
        <v>1.5527599999999999</v>
      </c>
      <c r="E1503" s="59">
        <v>3.9878</v>
      </c>
      <c r="F1503" s="59">
        <v>5.0487799999999998</v>
      </c>
      <c r="G1503" s="56">
        <v>607.077</v>
      </c>
      <c r="H1503" s="56">
        <v>390.96600000000001</v>
      </c>
      <c r="I1503" s="58">
        <v>0.318552</v>
      </c>
      <c r="J1503" s="57">
        <v>0.29624499999999998</v>
      </c>
      <c r="K1503" s="56"/>
      <c r="L1503" s="56" t="s">
        <v>488</v>
      </c>
    </row>
    <row r="1504" spans="2:12" x14ac:dyDescent="0.2">
      <c r="B1504" s="62" t="s">
        <v>4469</v>
      </c>
      <c r="C1504" s="61" t="s">
        <v>502</v>
      </c>
      <c r="D1504" s="60">
        <v>1.8226</v>
      </c>
      <c r="E1504" s="59">
        <v>4.7573400000000001</v>
      </c>
      <c r="F1504" s="59">
        <v>6.29643</v>
      </c>
      <c r="G1504" s="56">
        <v>1308.75</v>
      </c>
      <c r="H1504" s="56">
        <v>718.06799999999998</v>
      </c>
      <c r="I1504" s="58">
        <v>0.39070500000000002</v>
      </c>
      <c r="J1504" s="57">
        <v>0.32153700000000002</v>
      </c>
      <c r="K1504" s="56"/>
      <c r="L1504" s="56" t="s">
        <v>488</v>
      </c>
    </row>
    <row r="1505" spans="2:12" x14ac:dyDescent="0.2">
      <c r="B1505" s="62" t="s">
        <v>4468</v>
      </c>
      <c r="C1505" s="61" t="s">
        <v>4463</v>
      </c>
      <c r="D1505" s="60">
        <v>1.0748899999999999</v>
      </c>
      <c r="E1505" s="59">
        <v>3.8411200000000001</v>
      </c>
      <c r="F1505" s="59">
        <v>6.2873299999999999</v>
      </c>
      <c r="G1505" s="56">
        <v>1219.73</v>
      </c>
      <c r="H1505" s="56">
        <v>1134.75</v>
      </c>
      <c r="I1505" s="58">
        <v>0.50033399999999995</v>
      </c>
      <c r="J1505" s="57">
        <v>0.52922999999999998</v>
      </c>
      <c r="K1505" s="56"/>
      <c r="L1505" s="56" t="s">
        <v>492</v>
      </c>
    </row>
    <row r="1506" spans="2:12" x14ac:dyDescent="0.2">
      <c r="B1506" s="62" t="s">
        <v>4467</v>
      </c>
      <c r="C1506" s="61" t="s">
        <v>4461</v>
      </c>
      <c r="D1506" s="60">
        <v>1.0757099999999999</v>
      </c>
      <c r="E1506" s="59">
        <v>4.2401799999999996</v>
      </c>
      <c r="F1506" s="59">
        <v>6.4559300000000004</v>
      </c>
      <c r="G1506" s="56">
        <v>1396.09</v>
      </c>
      <c r="H1506" s="56">
        <v>1297.8399999999999</v>
      </c>
      <c r="I1506" s="58">
        <v>0.51575700000000002</v>
      </c>
      <c r="J1506" s="57">
        <v>0.54045600000000005</v>
      </c>
      <c r="K1506" s="56"/>
      <c r="L1506" s="56" t="s">
        <v>492</v>
      </c>
    </row>
    <row r="1507" spans="2:12" x14ac:dyDescent="0.2">
      <c r="B1507" s="62" t="s">
        <v>4466</v>
      </c>
      <c r="C1507" s="61" t="s">
        <v>4463</v>
      </c>
      <c r="D1507" s="60">
        <v>1.1355</v>
      </c>
      <c r="E1507" s="59">
        <v>4.0136500000000002</v>
      </c>
      <c r="F1507" s="59">
        <v>6.1387</v>
      </c>
      <c r="G1507" s="56">
        <v>1078.06</v>
      </c>
      <c r="H1507" s="56">
        <v>949.40899999999999</v>
      </c>
      <c r="I1507" s="58">
        <v>0.48370099999999999</v>
      </c>
      <c r="J1507" s="57">
        <v>0.485564</v>
      </c>
      <c r="K1507" s="56"/>
      <c r="L1507" s="56" t="s">
        <v>492</v>
      </c>
    </row>
    <row r="1508" spans="2:12" x14ac:dyDescent="0.2">
      <c r="B1508" s="62" t="s">
        <v>4465</v>
      </c>
      <c r="C1508" s="61" t="s">
        <v>4463</v>
      </c>
      <c r="D1508" s="60">
        <v>1.0719700000000001</v>
      </c>
      <c r="E1508" s="59">
        <v>4.17814</v>
      </c>
      <c r="F1508" s="59">
        <v>6.0535500000000004</v>
      </c>
      <c r="G1508" s="56">
        <v>1240.58</v>
      </c>
      <c r="H1508" s="56">
        <v>1157.28</v>
      </c>
      <c r="I1508" s="58">
        <v>0.51372099999999998</v>
      </c>
      <c r="J1508" s="57">
        <v>0.53229899999999997</v>
      </c>
      <c r="K1508" s="56"/>
      <c r="L1508" s="56" t="s">
        <v>624</v>
      </c>
    </row>
    <row r="1509" spans="2:12" x14ac:dyDescent="0.2">
      <c r="B1509" s="62" t="s">
        <v>4464</v>
      </c>
      <c r="C1509" s="61" t="s">
        <v>4463</v>
      </c>
      <c r="D1509" s="60">
        <v>1.2575700000000001</v>
      </c>
      <c r="E1509" s="59">
        <v>3.6879</v>
      </c>
      <c r="F1509" s="59">
        <v>5.1249700000000002</v>
      </c>
      <c r="G1509" s="56">
        <v>0</v>
      </c>
      <c r="H1509" s="56">
        <v>0</v>
      </c>
      <c r="I1509" s="58">
        <v>0.34091199999999999</v>
      </c>
      <c r="J1509" s="57">
        <v>0.392652</v>
      </c>
      <c r="K1509" s="56"/>
      <c r="L1509" s="56" t="s">
        <v>624</v>
      </c>
    </row>
    <row r="1510" spans="2:12" x14ac:dyDescent="0.2">
      <c r="B1510" s="62" t="s">
        <v>4462</v>
      </c>
      <c r="C1510" s="61" t="s">
        <v>4461</v>
      </c>
      <c r="D1510" s="60">
        <v>1.0948599999999999</v>
      </c>
      <c r="E1510" s="59">
        <v>4.1853600000000002</v>
      </c>
      <c r="F1510" s="59">
        <v>6.1860299999999997</v>
      </c>
      <c r="G1510" s="56">
        <v>1441.42</v>
      </c>
      <c r="H1510" s="56">
        <v>1316.54</v>
      </c>
      <c r="I1510" s="58">
        <v>0.54539099999999996</v>
      </c>
      <c r="J1510" s="57">
        <v>0.53468000000000004</v>
      </c>
      <c r="K1510" s="56"/>
      <c r="L1510" s="56" t="s">
        <v>624</v>
      </c>
    </row>
    <row r="1511" spans="2:12" x14ac:dyDescent="0.2">
      <c r="B1511" s="62" t="s">
        <v>4460</v>
      </c>
      <c r="C1511" s="61" t="s">
        <v>550</v>
      </c>
      <c r="D1511" s="60">
        <v>1.91597</v>
      </c>
      <c r="E1511" s="59">
        <v>2.4540999999999999</v>
      </c>
      <c r="F1511" s="59">
        <v>2.94875</v>
      </c>
      <c r="G1511" s="56">
        <v>0</v>
      </c>
      <c r="H1511" s="56">
        <v>0</v>
      </c>
      <c r="I1511" s="58">
        <v>4.7337799999999999E-2</v>
      </c>
      <c r="J1511" s="57">
        <v>0.18563399999999999</v>
      </c>
      <c r="K1511" s="56"/>
      <c r="L1511" s="56" t="s">
        <v>488</v>
      </c>
    </row>
    <row r="1512" spans="2:12" x14ac:dyDescent="0.2">
      <c r="B1512" s="62" t="s">
        <v>4459</v>
      </c>
      <c r="C1512" s="61" t="s">
        <v>502</v>
      </c>
      <c r="D1512" s="60">
        <v>1.4707300000000001</v>
      </c>
      <c r="E1512" s="59">
        <v>3.33731</v>
      </c>
      <c r="F1512" s="59">
        <v>4.4284699999999999</v>
      </c>
      <c r="G1512" s="56">
        <v>0</v>
      </c>
      <c r="H1512" s="56">
        <v>0</v>
      </c>
      <c r="I1512" s="58">
        <v>0.39452199999999998</v>
      </c>
      <c r="J1512" s="57">
        <v>0.36909399999999998</v>
      </c>
      <c r="K1512" s="56"/>
      <c r="L1512" s="56" t="s">
        <v>488</v>
      </c>
    </row>
    <row r="1513" spans="2:12" x14ac:dyDescent="0.2">
      <c r="B1513" s="62" t="s">
        <v>4458</v>
      </c>
      <c r="C1513" s="61" t="s">
        <v>550</v>
      </c>
      <c r="D1513" s="60">
        <v>1.04037</v>
      </c>
      <c r="E1513" s="59">
        <v>5.4017799999999996</v>
      </c>
      <c r="F1513" s="59">
        <v>17.369350000000001</v>
      </c>
      <c r="G1513" s="56">
        <v>1399.64</v>
      </c>
      <c r="H1513" s="56">
        <v>1345.33</v>
      </c>
      <c r="I1513" s="58">
        <v>0.58286099999999996</v>
      </c>
      <c r="J1513" s="57">
        <v>0.63093500000000002</v>
      </c>
      <c r="K1513" s="56"/>
      <c r="L1513" s="56" t="s">
        <v>488</v>
      </c>
    </row>
    <row r="1514" spans="2:12" x14ac:dyDescent="0.2">
      <c r="B1514" s="62" t="s">
        <v>4457</v>
      </c>
      <c r="C1514" s="61" t="s">
        <v>641</v>
      </c>
      <c r="D1514" s="60">
        <v>1.5618099999999999</v>
      </c>
      <c r="E1514" s="59">
        <v>2.7331599999999998</v>
      </c>
      <c r="F1514" s="59">
        <v>3.5735800000000002</v>
      </c>
      <c r="G1514" s="56">
        <v>0</v>
      </c>
      <c r="H1514" s="56">
        <v>0</v>
      </c>
      <c r="I1514" s="58">
        <v>0.27151399999999998</v>
      </c>
      <c r="J1514" s="57">
        <v>0.29035899999999998</v>
      </c>
      <c r="K1514" s="56"/>
      <c r="L1514" s="56" t="s">
        <v>488</v>
      </c>
    </row>
    <row r="1515" spans="2:12" x14ac:dyDescent="0.2">
      <c r="B1515" s="62" t="s">
        <v>4456</v>
      </c>
      <c r="C1515" s="61" t="s">
        <v>641</v>
      </c>
      <c r="D1515" s="60">
        <v>1.72312</v>
      </c>
      <c r="E1515" s="59">
        <v>4.9417099999999996</v>
      </c>
      <c r="F1515" s="59">
        <v>5.5084999999999997</v>
      </c>
      <c r="G1515" s="56">
        <v>168.92599999999999</v>
      </c>
      <c r="H1515" s="56">
        <v>108.161</v>
      </c>
      <c r="I1515" s="58">
        <v>0.11297599999999999</v>
      </c>
      <c r="J1515" s="57">
        <v>0.232686</v>
      </c>
      <c r="K1515" s="56"/>
      <c r="L1515" s="56" t="s">
        <v>488</v>
      </c>
    </row>
    <row r="1516" spans="2:12" x14ac:dyDescent="0.2">
      <c r="B1516" s="62" t="s">
        <v>4455</v>
      </c>
      <c r="C1516" s="61" t="s">
        <v>1604</v>
      </c>
      <c r="D1516" s="60">
        <v>1.4519899999999999</v>
      </c>
      <c r="E1516" s="59">
        <v>5.0441399999999996</v>
      </c>
      <c r="F1516" s="59">
        <v>5.4260799999999998</v>
      </c>
      <c r="G1516" s="56">
        <v>751.07500000000005</v>
      </c>
      <c r="H1516" s="56">
        <v>517.27499999999998</v>
      </c>
      <c r="I1516" s="58">
        <v>0.34045900000000001</v>
      </c>
      <c r="J1516" s="57">
        <v>0.343277</v>
      </c>
      <c r="K1516" s="56"/>
      <c r="L1516" s="56" t="s">
        <v>488</v>
      </c>
    </row>
    <row r="1517" spans="2:12" x14ac:dyDescent="0.2">
      <c r="B1517" s="62" t="s">
        <v>4454</v>
      </c>
      <c r="C1517" s="61" t="s">
        <v>1604</v>
      </c>
      <c r="D1517" s="60">
        <v>1.4657800000000001</v>
      </c>
      <c r="E1517" s="59">
        <v>4.9680900000000001</v>
      </c>
      <c r="F1517" s="59">
        <v>5.3503400000000001</v>
      </c>
      <c r="G1517" s="56">
        <v>744.48599999999999</v>
      </c>
      <c r="H1517" s="56">
        <v>507.91</v>
      </c>
      <c r="I1517" s="58">
        <v>0.33291300000000001</v>
      </c>
      <c r="J1517" s="57">
        <v>0.33700400000000003</v>
      </c>
      <c r="K1517" s="56"/>
      <c r="L1517" s="56" t="s">
        <v>488</v>
      </c>
    </row>
    <row r="1518" spans="2:12" x14ac:dyDescent="0.2">
      <c r="B1518" s="62" t="s">
        <v>4453</v>
      </c>
      <c r="C1518" s="61" t="s">
        <v>1604</v>
      </c>
      <c r="D1518" s="60">
        <v>1.46994</v>
      </c>
      <c r="E1518" s="59">
        <v>4.9186699999999997</v>
      </c>
      <c r="F1518" s="59">
        <v>5.4193100000000003</v>
      </c>
      <c r="G1518" s="56">
        <v>717.84199999999998</v>
      </c>
      <c r="H1518" s="56">
        <v>488.34800000000001</v>
      </c>
      <c r="I1518" s="58">
        <v>0.330897</v>
      </c>
      <c r="J1518" s="57">
        <v>0.33356200000000003</v>
      </c>
      <c r="K1518" s="56"/>
      <c r="L1518" s="56" t="s">
        <v>488</v>
      </c>
    </row>
    <row r="1519" spans="2:12" x14ac:dyDescent="0.2">
      <c r="B1519" s="62" t="s">
        <v>4452</v>
      </c>
      <c r="C1519" s="61" t="s">
        <v>550</v>
      </c>
      <c r="D1519" s="60">
        <v>1.2151400000000001</v>
      </c>
      <c r="E1519" s="59">
        <v>4.1219299999999999</v>
      </c>
      <c r="F1519" s="59">
        <v>5.7274599999999998</v>
      </c>
      <c r="G1519" s="56">
        <v>1660.03</v>
      </c>
      <c r="H1519" s="56">
        <v>1366.12</v>
      </c>
      <c r="I1519" s="58">
        <v>0.57572299999999998</v>
      </c>
      <c r="J1519" s="57">
        <v>0.50321000000000005</v>
      </c>
      <c r="K1519" s="56"/>
      <c r="L1519" s="56" t="s">
        <v>488</v>
      </c>
    </row>
    <row r="1520" spans="2:12" x14ac:dyDescent="0.2">
      <c r="B1520" s="62" t="s">
        <v>4451</v>
      </c>
      <c r="C1520" s="61" t="s">
        <v>550</v>
      </c>
      <c r="D1520" s="60">
        <v>1.11314</v>
      </c>
      <c r="E1520" s="59">
        <v>4.3240999999999996</v>
      </c>
      <c r="F1520" s="59">
        <v>5.8556499999999998</v>
      </c>
      <c r="G1520" s="56">
        <v>1884.41</v>
      </c>
      <c r="H1520" s="56">
        <v>1692.88</v>
      </c>
      <c r="I1520" s="58">
        <v>0.60880000000000001</v>
      </c>
      <c r="J1520" s="57">
        <v>0.570496</v>
      </c>
      <c r="K1520" s="56"/>
      <c r="L1520" s="56" t="s">
        <v>488</v>
      </c>
    </row>
    <row r="1521" spans="2:12" x14ac:dyDescent="0.2">
      <c r="B1521" s="62" t="s">
        <v>4450</v>
      </c>
      <c r="C1521" s="61" t="s">
        <v>499</v>
      </c>
      <c r="D1521" s="60">
        <v>0.95957800000000004</v>
      </c>
      <c r="E1521" s="59">
        <v>5.0894599999999999</v>
      </c>
      <c r="F1521" s="59">
        <v>6.1595899999999997</v>
      </c>
      <c r="G1521" s="56">
        <v>1830.64</v>
      </c>
      <c r="H1521" s="56">
        <v>1907.76</v>
      </c>
      <c r="I1521" s="58">
        <v>0.61898600000000004</v>
      </c>
      <c r="J1521" s="57">
        <v>0.67037800000000003</v>
      </c>
      <c r="K1521" s="56"/>
      <c r="L1521" s="56" t="s">
        <v>488</v>
      </c>
    </row>
    <row r="1522" spans="2:12" x14ac:dyDescent="0.2">
      <c r="B1522" s="62" t="s">
        <v>4449</v>
      </c>
      <c r="C1522" s="61" t="s">
        <v>499</v>
      </c>
      <c r="D1522" s="60">
        <v>1.1869700000000001</v>
      </c>
      <c r="E1522" s="59">
        <v>2.7811499999999998</v>
      </c>
      <c r="F1522" s="59">
        <v>5.3178999999999998</v>
      </c>
      <c r="G1522" s="56">
        <v>0</v>
      </c>
      <c r="H1522" s="56">
        <v>0</v>
      </c>
      <c r="I1522" s="58">
        <v>0.35628900000000002</v>
      </c>
      <c r="J1522" s="57">
        <v>0.48835400000000001</v>
      </c>
      <c r="K1522" s="56"/>
      <c r="L1522" s="56" t="s">
        <v>488</v>
      </c>
    </row>
    <row r="1523" spans="2:12" x14ac:dyDescent="0.2">
      <c r="B1523" s="62" t="s">
        <v>4448</v>
      </c>
      <c r="C1523" s="61" t="s">
        <v>510</v>
      </c>
      <c r="D1523" s="60">
        <v>1.5862000000000001</v>
      </c>
      <c r="E1523" s="59">
        <v>3.0350199999999998</v>
      </c>
      <c r="F1523" s="59">
        <v>3.8617499999999998</v>
      </c>
      <c r="G1523" s="56">
        <v>0</v>
      </c>
      <c r="H1523" s="56">
        <v>0</v>
      </c>
      <c r="I1523" s="58">
        <v>0.24812600000000001</v>
      </c>
      <c r="J1523" s="57">
        <v>0.26472600000000002</v>
      </c>
      <c r="K1523" s="56"/>
      <c r="L1523" s="56" t="s">
        <v>488</v>
      </c>
    </row>
    <row r="1524" spans="2:12" x14ac:dyDescent="0.2">
      <c r="B1524" s="62" t="s">
        <v>4447</v>
      </c>
      <c r="C1524" s="61" t="s">
        <v>550</v>
      </c>
      <c r="D1524" s="60">
        <v>1.05121</v>
      </c>
      <c r="E1524" s="59">
        <v>5.3380799999999997</v>
      </c>
      <c r="F1524" s="59">
        <v>17.264379999999999</v>
      </c>
      <c r="G1524" s="56">
        <v>1416.14</v>
      </c>
      <c r="H1524" s="56">
        <v>1347.16</v>
      </c>
      <c r="I1524" s="58">
        <v>0.58221699999999998</v>
      </c>
      <c r="J1524" s="57">
        <v>0.62332500000000002</v>
      </c>
      <c r="K1524" s="56"/>
      <c r="L1524" s="56" t="s">
        <v>488</v>
      </c>
    </row>
    <row r="1525" spans="2:12" x14ac:dyDescent="0.2">
      <c r="B1525" s="62" t="s">
        <v>4446</v>
      </c>
      <c r="C1525" s="61" t="s">
        <v>569</v>
      </c>
      <c r="D1525" s="60">
        <v>0.87863000000000002</v>
      </c>
      <c r="E1525" s="59">
        <v>3.0833699999999999</v>
      </c>
      <c r="F1525" s="59">
        <v>5.8477100000000002</v>
      </c>
      <c r="G1525" s="56">
        <v>0</v>
      </c>
      <c r="H1525" s="56">
        <v>0</v>
      </c>
      <c r="I1525" s="58">
        <v>0.38835700000000001</v>
      </c>
      <c r="J1525" s="57">
        <v>0.58141600000000004</v>
      </c>
      <c r="K1525" s="56"/>
      <c r="L1525" s="56" t="s">
        <v>488</v>
      </c>
    </row>
    <row r="1526" spans="2:12" x14ac:dyDescent="0.2">
      <c r="B1526" s="62" t="s">
        <v>4445</v>
      </c>
      <c r="C1526" s="61" t="s">
        <v>510</v>
      </c>
      <c r="D1526" s="60">
        <v>0.84309299999999998</v>
      </c>
      <c r="E1526" s="59">
        <v>5.8251099999999996</v>
      </c>
      <c r="F1526" s="59">
        <v>8.2240699999999993</v>
      </c>
      <c r="G1526" s="56">
        <v>1591.28</v>
      </c>
      <c r="H1526" s="56">
        <v>1887.43</v>
      </c>
      <c r="I1526" s="58">
        <v>0.55241700000000005</v>
      </c>
      <c r="J1526" s="57">
        <v>0.762235</v>
      </c>
      <c r="K1526" s="56"/>
      <c r="L1526" s="56" t="s">
        <v>488</v>
      </c>
    </row>
    <row r="1527" spans="2:12" x14ac:dyDescent="0.2">
      <c r="B1527" s="62" t="s">
        <v>4444</v>
      </c>
      <c r="C1527" s="61" t="s">
        <v>499</v>
      </c>
      <c r="D1527" s="60">
        <v>1.0628</v>
      </c>
      <c r="E1527" s="59">
        <v>4.0714399999999999</v>
      </c>
      <c r="F1527" s="59">
        <v>4.9593400000000001</v>
      </c>
      <c r="G1527" s="56">
        <v>1766.11</v>
      </c>
      <c r="H1527" s="56">
        <v>1661.76</v>
      </c>
      <c r="I1527" s="58">
        <v>0.62410399999999999</v>
      </c>
      <c r="J1527" s="57">
        <v>0.58889999999999998</v>
      </c>
      <c r="K1527" s="56"/>
      <c r="L1527" s="56" t="s">
        <v>488</v>
      </c>
    </row>
    <row r="1528" spans="2:12" x14ac:dyDescent="0.2">
      <c r="B1528" s="62" t="s">
        <v>4443</v>
      </c>
      <c r="C1528" s="61" t="s">
        <v>495</v>
      </c>
      <c r="D1528" s="60">
        <v>0.99950000000000006</v>
      </c>
      <c r="E1528" s="59">
        <v>4.17049</v>
      </c>
      <c r="F1528" s="59">
        <v>4.5987600000000004</v>
      </c>
      <c r="G1528" s="56">
        <v>1778.61</v>
      </c>
      <c r="H1528" s="56">
        <v>1779.5</v>
      </c>
      <c r="I1528" s="58">
        <v>0.618282</v>
      </c>
      <c r="J1528" s="57">
        <v>0.61992400000000003</v>
      </c>
      <c r="K1528" s="56"/>
      <c r="L1528" s="56" t="s">
        <v>488</v>
      </c>
    </row>
    <row r="1529" spans="2:12" x14ac:dyDescent="0.2">
      <c r="B1529" s="62" t="s">
        <v>4442</v>
      </c>
      <c r="C1529" s="61" t="s">
        <v>616</v>
      </c>
      <c r="D1529" s="60">
        <v>2.78878</v>
      </c>
      <c r="E1529" s="59">
        <v>4.3557399999999999</v>
      </c>
      <c r="F1529" s="59">
        <v>4.7989199999999999</v>
      </c>
      <c r="G1529" s="56">
        <v>637.61099999999999</v>
      </c>
      <c r="H1529" s="56">
        <v>228.63399999999999</v>
      </c>
      <c r="I1529" s="58">
        <v>0.42008600000000001</v>
      </c>
      <c r="J1529" s="57">
        <v>0.18884500000000001</v>
      </c>
      <c r="K1529" s="56"/>
      <c r="L1529" s="56" t="s">
        <v>488</v>
      </c>
    </row>
    <row r="1530" spans="2:12" x14ac:dyDescent="0.2">
      <c r="B1530" s="62" t="s">
        <v>4441</v>
      </c>
      <c r="C1530" s="61" t="s">
        <v>616</v>
      </c>
      <c r="D1530" s="60">
        <v>1.28609</v>
      </c>
      <c r="E1530" s="59">
        <v>5.9623299999999997</v>
      </c>
      <c r="F1530" s="59">
        <v>16.631430000000002</v>
      </c>
      <c r="G1530" s="56">
        <v>1870.12</v>
      </c>
      <c r="H1530" s="56">
        <v>1454.11</v>
      </c>
      <c r="I1530" s="58">
        <v>0.63457300000000005</v>
      </c>
      <c r="J1530" s="57">
        <v>0.56879599999999997</v>
      </c>
      <c r="K1530" s="56"/>
      <c r="L1530" s="56" t="s">
        <v>492</v>
      </c>
    </row>
    <row r="1531" spans="2:12" x14ac:dyDescent="0.2">
      <c r="B1531" s="62" t="s">
        <v>4440</v>
      </c>
      <c r="C1531" s="61" t="s">
        <v>567</v>
      </c>
      <c r="D1531" s="60">
        <v>1.25142</v>
      </c>
      <c r="E1531" s="59">
        <v>2.8549799999999999</v>
      </c>
      <c r="F1531" s="59">
        <v>7.7908900000000001</v>
      </c>
      <c r="G1531" s="56">
        <v>0</v>
      </c>
      <c r="H1531" s="56">
        <v>0</v>
      </c>
      <c r="I1531" s="58">
        <v>0.34404299999999999</v>
      </c>
      <c r="J1531" s="57">
        <v>0.35347000000000001</v>
      </c>
      <c r="K1531" s="56" t="s">
        <v>4439</v>
      </c>
      <c r="L1531" s="56" t="s">
        <v>563</v>
      </c>
    </row>
    <row r="1532" spans="2:12" x14ac:dyDescent="0.2">
      <c r="B1532" s="62" t="s">
        <v>4438</v>
      </c>
      <c r="C1532" s="61" t="s">
        <v>502</v>
      </c>
      <c r="D1532" s="60">
        <v>1.6304700000000001</v>
      </c>
      <c r="E1532" s="59">
        <v>4.5475899999999996</v>
      </c>
      <c r="F1532" s="59">
        <v>6.0924899999999997</v>
      </c>
      <c r="G1532" s="56">
        <v>1072.77</v>
      </c>
      <c r="H1532" s="56">
        <v>657.94899999999996</v>
      </c>
      <c r="I1532" s="58">
        <v>0.404366</v>
      </c>
      <c r="J1532" s="57">
        <v>0.33923700000000001</v>
      </c>
      <c r="K1532" s="56"/>
      <c r="L1532" s="56" t="s">
        <v>488</v>
      </c>
    </row>
    <row r="1533" spans="2:12" x14ac:dyDescent="0.2">
      <c r="B1533" s="62" t="s">
        <v>4437</v>
      </c>
      <c r="C1533" s="61" t="s">
        <v>4436</v>
      </c>
      <c r="D1533" s="60">
        <v>2.16778</v>
      </c>
      <c r="E1533" s="59">
        <v>3.3696199999999998</v>
      </c>
      <c r="F1533" s="59">
        <v>3.7301500000000001</v>
      </c>
      <c r="G1533" s="56">
        <v>0</v>
      </c>
      <c r="H1533" s="56">
        <v>0</v>
      </c>
      <c r="I1533" s="58">
        <v>0.139205</v>
      </c>
      <c r="J1533" s="57">
        <v>0.17038400000000001</v>
      </c>
      <c r="K1533" s="56"/>
      <c r="L1533" s="56" t="s">
        <v>488</v>
      </c>
    </row>
    <row r="1534" spans="2:12" x14ac:dyDescent="0.2">
      <c r="B1534" s="62" t="s">
        <v>4435</v>
      </c>
      <c r="C1534" s="61" t="s">
        <v>548</v>
      </c>
      <c r="D1534" s="60">
        <v>1.7761199999999999</v>
      </c>
      <c r="E1534" s="59">
        <v>3.3664000000000001</v>
      </c>
      <c r="F1534" s="59">
        <v>5.3269299999999999</v>
      </c>
      <c r="G1534" s="56">
        <v>0</v>
      </c>
      <c r="H1534" s="56">
        <v>0</v>
      </c>
      <c r="I1534" s="58">
        <v>0.60623099999999996</v>
      </c>
      <c r="J1534" s="57">
        <v>0.25234299999999998</v>
      </c>
      <c r="K1534" s="56"/>
      <c r="L1534" s="56" t="s">
        <v>488</v>
      </c>
    </row>
    <row r="1535" spans="2:12" x14ac:dyDescent="0.2">
      <c r="B1535" s="62" t="s">
        <v>4434</v>
      </c>
      <c r="C1535" s="61" t="s">
        <v>548</v>
      </c>
      <c r="D1535" s="60">
        <v>1.73424</v>
      </c>
      <c r="E1535" s="59">
        <v>3.6396000000000002</v>
      </c>
      <c r="F1535" s="59">
        <v>5.3837999999999999</v>
      </c>
      <c r="G1535" s="56">
        <v>0</v>
      </c>
      <c r="H1535" s="56">
        <v>0</v>
      </c>
      <c r="I1535" s="58">
        <v>0.611707</v>
      </c>
      <c r="J1535" s="57">
        <v>0.26438600000000001</v>
      </c>
      <c r="K1535" s="56"/>
      <c r="L1535" s="56" t="s">
        <v>488</v>
      </c>
    </row>
    <row r="1536" spans="2:12" x14ac:dyDescent="0.2">
      <c r="B1536" s="62" t="s">
        <v>4433</v>
      </c>
      <c r="C1536" s="61" t="s">
        <v>510</v>
      </c>
      <c r="D1536" s="60">
        <v>0.93099100000000001</v>
      </c>
      <c r="E1536" s="59">
        <v>4.1899600000000001</v>
      </c>
      <c r="F1536" s="59">
        <v>6.8646399999999996</v>
      </c>
      <c r="G1536" s="56">
        <v>1329.3</v>
      </c>
      <c r="H1536" s="56">
        <v>1427.84</v>
      </c>
      <c r="I1536" s="58">
        <v>0.56762800000000002</v>
      </c>
      <c r="J1536" s="57">
        <v>0.64511600000000002</v>
      </c>
      <c r="K1536" s="56"/>
      <c r="L1536" s="56" t="s">
        <v>488</v>
      </c>
    </row>
    <row r="1537" spans="2:12" x14ac:dyDescent="0.2">
      <c r="B1537" s="62" t="s">
        <v>4432</v>
      </c>
      <c r="C1537" s="61" t="s">
        <v>550</v>
      </c>
      <c r="D1537" s="60">
        <v>1.21319</v>
      </c>
      <c r="E1537" s="59">
        <v>3.44252</v>
      </c>
      <c r="F1537" s="59">
        <v>4.2155300000000002</v>
      </c>
      <c r="G1537" s="56">
        <v>0</v>
      </c>
      <c r="H1537" s="56">
        <v>0</v>
      </c>
      <c r="I1537" s="58">
        <v>0.28085100000000002</v>
      </c>
      <c r="J1537" s="57">
        <v>0.39405499999999999</v>
      </c>
      <c r="K1537" s="56"/>
      <c r="L1537" s="56" t="s">
        <v>488</v>
      </c>
    </row>
    <row r="1538" spans="2:12" x14ac:dyDescent="0.2">
      <c r="B1538" s="62" t="s">
        <v>4431</v>
      </c>
      <c r="C1538" s="61" t="s">
        <v>641</v>
      </c>
      <c r="D1538" s="60">
        <v>1.6442600000000001</v>
      </c>
      <c r="E1538" s="59">
        <v>2.9525399999999999</v>
      </c>
      <c r="F1538" s="59">
        <v>4.66296</v>
      </c>
      <c r="G1538" s="56">
        <v>0</v>
      </c>
      <c r="H1538" s="56">
        <v>0</v>
      </c>
      <c r="I1538" s="58">
        <v>0.28025800000000001</v>
      </c>
      <c r="J1538" s="57">
        <v>0.26915600000000001</v>
      </c>
      <c r="K1538" s="56"/>
      <c r="L1538" s="56" t="s">
        <v>488</v>
      </c>
    </row>
    <row r="1539" spans="2:12" x14ac:dyDescent="0.2">
      <c r="B1539" s="62" t="s">
        <v>4430</v>
      </c>
      <c r="C1539" s="61" t="s">
        <v>541</v>
      </c>
      <c r="D1539" s="60">
        <v>1.69984</v>
      </c>
      <c r="E1539" s="59">
        <v>2.89757</v>
      </c>
      <c r="F1539" s="59">
        <v>4.6612099999999996</v>
      </c>
      <c r="G1539" s="56">
        <v>0</v>
      </c>
      <c r="H1539" s="56">
        <v>0</v>
      </c>
      <c r="I1539" s="58">
        <v>0.27123999999999998</v>
      </c>
      <c r="J1539" s="57">
        <v>0.253884</v>
      </c>
      <c r="K1539" s="56"/>
      <c r="L1539" s="56" t="s">
        <v>488</v>
      </c>
    </row>
    <row r="1540" spans="2:12" x14ac:dyDescent="0.2">
      <c r="B1540" s="62" t="s">
        <v>4429</v>
      </c>
      <c r="C1540" s="61" t="s">
        <v>1604</v>
      </c>
      <c r="D1540" s="60">
        <v>2.2275399999999999</v>
      </c>
      <c r="E1540" s="59">
        <v>2.6172399999999998</v>
      </c>
      <c r="F1540" s="59">
        <v>3.5510700000000002</v>
      </c>
      <c r="G1540" s="56">
        <v>0</v>
      </c>
      <c r="H1540" s="56">
        <v>0</v>
      </c>
      <c r="I1540" s="58">
        <v>0.10338</v>
      </c>
      <c r="J1540" s="57">
        <v>0.17344499999999999</v>
      </c>
      <c r="K1540" s="56"/>
      <c r="L1540" s="56" t="s">
        <v>488</v>
      </c>
    </row>
    <row r="1541" spans="2:12" x14ac:dyDescent="0.2">
      <c r="B1541" s="62" t="s">
        <v>4428</v>
      </c>
      <c r="C1541" s="61" t="s">
        <v>550</v>
      </c>
      <c r="D1541" s="60">
        <v>1.5055700000000001</v>
      </c>
      <c r="E1541" s="59">
        <v>2.80491</v>
      </c>
      <c r="F1541" s="59">
        <v>3.9422899999999998</v>
      </c>
      <c r="G1541" s="56">
        <v>0</v>
      </c>
      <c r="H1541" s="56">
        <v>0</v>
      </c>
      <c r="I1541" s="58">
        <v>0.22464300000000001</v>
      </c>
      <c r="J1541" s="57">
        <v>0.29960999999999999</v>
      </c>
      <c r="K1541" s="56"/>
      <c r="L1541" s="56" t="s">
        <v>488</v>
      </c>
    </row>
    <row r="1542" spans="2:12" x14ac:dyDescent="0.2">
      <c r="B1542" s="62" t="s">
        <v>4427</v>
      </c>
      <c r="C1542" s="61" t="s">
        <v>495</v>
      </c>
      <c r="D1542" s="60">
        <v>1.347</v>
      </c>
      <c r="E1542" s="59">
        <v>2.7409500000000002</v>
      </c>
      <c r="F1542" s="59">
        <v>3.9810599999999998</v>
      </c>
      <c r="G1542" s="56">
        <v>0</v>
      </c>
      <c r="H1542" s="56">
        <v>0</v>
      </c>
      <c r="I1542" s="58">
        <v>0.23252</v>
      </c>
      <c r="J1542" s="57">
        <v>0.327129</v>
      </c>
      <c r="K1542" s="56"/>
      <c r="L1542" s="56" t="s">
        <v>488</v>
      </c>
    </row>
    <row r="1543" spans="2:12" x14ac:dyDescent="0.2">
      <c r="B1543" s="62" t="s">
        <v>4426</v>
      </c>
      <c r="C1543" s="61" t="s">
        <v>507</v>
      </c>
      <c r="D1543" s="60">
        <v>1.88296</v>
      </c>
      <c r="E1543" s="59">
        <v>3.25061</v>
      </c>
      <c r="F1543" s="59">
        <v>4.1351100000000001</v>
      </c>
      <c r="G1543" s="56">
        <v>0</v>
      </c>
      <c r="H1543" s="56">
        <v>0</v>
      </c>
      <c r="I1543" s="58">
        <v>0.17305799999999999</v>
      </c>
      <c r="J1543" s="57">
        <v>0.23573</v>
      </c>
      <c r="K1543" s="56"/>
      <c r="L1543" s="56" t="s">
        <v>488</v>
      </c>
    </row>
    <row r="1544" spans="2:12" x14ac:dyDescent="0.2">
      <c r="B1544" s="62" t="s">
        <v>4425</v>
      </c>
      <c r="C1544" s="61" t="s">
        <v>531</v>
      </c>
      <c r="D1544" s="60">
        <v>1.2396199999999999</v>
      </c>
      <c r="E1544" s="59">
        <v>4.9727100000000002</v>
      </c>
      <c r="F1544" s="59">
        <v>6.0648900000000001</v>
      </c>
      <c r="G1544" s="56">
        <v>1820.79</v>
      </c>
      <c r="H1544" s="56">
        <v>1468.84</v>
      </c>
      <c r="I1544" s="58">
        <v>0.62653800000000004</v>
      </c>
      <c r="J1544" s="57">
        <v>0.49048599999999998</v>
      </c>
      <c r="K1544" s="56"/>
      <c r="L1544" s="56" t="s">
        <v>488</v>
      </c>
    </row>
    <row r="1545" spans="2:12" x14ac:dyDescent="0.2">
      <c r="B1545" s="62" t="s">
        <v>4424</v>
      </c>
      <c r="C1545" s="61" t="s">
        <v>940</v>
      </c>
      <c r="D1545" s="60">
        <v>1.8150200000000001</v>
      </c>
      <c r="E1545" s="59">
        <v>5.1368400000000003</v>
      </c>
      <c r="F1545" s="59">
        <v>7.6579600000000001</v>
      </c>
      <c r="G1545" s="56">
        <v>743.58299999999997</v>
      </c>
      <c r="H1545" s="56">
        <v>409.68299999999999</v>
      </c>
      <c r="I1545" s="58">
        <v>0.29359000000000002</v>
      </c>
      <c r="J1545" s="57">
        <v>0.255888</v>
      </c>
      <c r="K1545" s="56"/>
      <c r="L1545" s="56" t="s">
        <v>488</v>
      </c>
    </row>
    <row r="1546" spans="2:12" x14ac:dyDescent="0.2">
      <c r="B1546" s="62" t="s">
        <v>4423</v>
      </c>
      <c r="C1546" s="61" t="s">
        <v>499</v>
      </c>
      <c r="D1546" s="60">
        <v>1.39734</v>
      </c>
      <c r="E1546" s="59">
        <v>3.49743</v>
      </c>
      <c r="F1546" s="59">
        <v>4.2580200000000001</v>
      </c>
      <c r="G1546" s="56">
        <v>0</v>
      </c>
      <c r="H1546" s="56">
        <v>0</v>
      </c>
      <c r="I1546" s="58">
        <v>0.27597100000000002</v>
      </c>
      <c r="J1546" s="57">
        <v>0.32826300000000003</v>
      </c>
      <c r="K1546" s="56"/>
      <c r="L1546" s="56" t="s">
        <v>488</v>
      </c>
    </row>
    <row r="1547" spans="2:12" x14ac:dyDescent="0.2">
      <c r="B1547" s="62" t="s">
        <v>4422</v>
      </c>
      <c r="C1547" s="61" t="s">
        <v>1226</v>
      </c>
      <c r="D1547" s="60">
        <v>0.67433399999999999</v>
      </c>
      <c r="E1547" s="59">
        <v>15.325139999999999</v>
      </c>
      <c r="F1547" s="59">
        <v>16.100359999999998</v>
      </c>
      <c r="G1547" s="56">
        <v>1543.74</v>
      </c>
      <c r="H1547" s="56">
        <v>2289.2800000000002</v>
      </c>
      <c r="I1547" s="58">
        <v>0.72575000000000001</v>
      </c>
      <c r="J1547" s="57">
        <v>1.0826100000000001</v>
      </c>
      <c r="K1547" s="56"/>
      <c r="L1547" s="56" t="s">
        <v>488</v>
      </c>
    </row>
    <row r="1548" spans="2:12" x14ac:dyDescent="0.2">
      <c r="B1548" s="62" t="s">
        <v>4421</v>
      </c>
      <c r="C1548" s="61" t="s">
        <v>1226</v>
      </c>
      <c r="D1548" s="60">
        <v>0.75686699999999996</v>
      </c>
      <c r="E1548" s="59">
        <v>7.48414</v>
      </c>
      <c r="F1548" s="59">
        <v>8.6930800000000001</v>
      </c>
      <c r="G1548" s="56">
        <v>1981.13</v>
      </c>
      <c r="H1548" s="56">
        <v>2617.54</v>
      </c>
      <c r="I1548" s="58">
        <v>0.70254099999999997</v>
      </c>
      <c r="J1548" s="57">
        <v>0.92543200000000003</v>
      </c>
      <c r="K1548" s="56"/>
      <c r="L1548" s="56" t="s">
        <v>488</v>
      </c>
    </row>
    <row r="1549" spans="2:12" x14ac:dyDescent="0.2">
      <c r="B1549" s="62" t="s">
        <v>4420</v>
      </c>
      <c r="C1549" s="61" t="s">
        <v>550</v>
      </c>
      <c r="D1549" s="60">
        <v>0.734572</v>
      </c>
      <c r="E1549" s="59">
        <v>7.5200800000000001</v>
      </c>
      <c r="F1549" s="59">
        <v>15.980359999999999</v>
      </c>
      <c r="G1549" s="56">
        <v>1717.24</v>
      </c>
      <c r="H1549" s="56">
        <v>2337.75</v>
      </c>
      <c r="I1549" s="58">
        <v>0.77506900000000001</v>
      </c>
      <c r="J1549" s="57">
        <v>1.03447</v>
      </c>
      <c r="K1549" s="56"/>
      <c r="L1549" s="56" t="s">
        <v>488</v>
      </c>
    </row>
    <row r="1550" spans="2:12" x14ac:dyDescent="0.2">
      <c r="B1550" s="62" t="s">
        <v>4419</v>
      </c>
      <c r="C1550" s="61" t="s">
        <v>550</v>
      </c>
      <c r="D1550" s="60">
        <v>0.91897700000000004</v>
      </c>
      <c r="E1550" s="59">
        <v>6.3044599999999997</v>
      </c>
      <c r="F1550" s="59">
        <v>11.059380000000001</v>
      </c>
      <c r="G1550" s="56">
        <v>2150.94</v>
      </c>
      <c r="H1550" s="56">
        <v>2340.59</v>
      </c>
      <c r="I1550" s="58">
        <v>0.72313499999999997</v>
      </c>
      <c r="J1550" s="57">
        <v>0.79156300000000002</v>
      </c>
      <c r="K1550" s="56"/>
      <c r="L1550" s="56" t="s">
        <v>488</v>
      </c>
    </row>
    <row r="1551" spans="2:12" x14ac:dyDescent="0.2">
      <c r="B1551" s="62" t="s">
        <v>4418</v>
      </c>
      <c r="C1551" s="61" t="s">
        <v>550</v>
      </c>
      <c r="D1551" s="60">
        <v>1.2768299999999999</v>
      </c>
      <c r="E1551" s="59">
        <v>7.1683500000000002</v>
      </c>
      <c r="F1551" s="59">
        <v>7.6135999999999999</v>
      </c>
      <c r="G1551" s="56">
        <v>1604.6</v>
      </c>
      <c r="H1551" s="56">
        <v>1256.71</v>
      </c>
      <c r="I1551" s="58">
        <v>0.57240899999999995</v>
      </c>
      <c r="J1551" s="57">
        <v>0.50067499999999998</v>
      </c>
      <c r="K1551" s="56"/>
      <c r="L1551" s="56" t="s">
        <v>488</v>
      </c>
    </row>
    <row r="1552" spans="2:12" x14ac:dyDescent="0.2">
      <c r="B1552" s="62" t="s">
        <v>4417</v>
      </c>
      <c r="C1552" s="61" t="s">
        <v>1380</v>
      </c>
      <c r="D1552" s="60">
        <v>0.66298900000000005</v>
      </c>
      <c r="E1552" s="59">
        <v>7.3359800000000002</v>
      </c>
      <c r="F1552" s="59">
        <v>9.6107399999999998</v>
      </c>
      <c r="G1552" s="56">
        <v>2301.1799999999998</v>
      </c>
      <c r="H1552" s="56">
        <v>3470.91</v>
      </c>
      <c r="I1552" s="58">
        <v>0.739116</v>
      </c>
      <c r="J1552" s="57">
        <v>1.1855</v>
      </c>
      <c r="K1552" s="56"/>
      <c r="L1552" s="56" t="s">
        <v>823</v>
      </c>
    </row>
    <row r="1553" spans="2:12" x14ac:dyDescent="0.2">
      <c r="B1553" s="62" t="s">
        <v>4416</v>
      </c>
      <c r="C1553" s="61" t="s">
        <v>502</v>
      </c>
      <c r="D1553" s="60">
        <v>2.5398999999999998</v>
      </c>
      <c r="E1553" s="59">
        <v>4.4671200000000004</v>
      </c>
      <c r="F1553" s="59">
        <v>7.4006999999999996</v>
      </c>
      <c r="G1553" s="56">
        <v>401.10599999999999</v>
      </c>
      <c r="H1553" s="56">
        <v>163.44</v>
      </c>
      <c r="I1553" s="58">
        <v>0.19986400000000001</v>
      </c>
      <c r="J1553" s="57">
        <v>0.17571700000000001</v>
      </c>
      <c r="K1553" s="56"/>
      <c r="L1553" s="56" t="s">
        <v>488</v>
      </c>
    </row>
    <row r="1554" spans="2:12" x14ac:dyDescent="0.2">
      <c r="B1554" s="62" t="s">
        <v>4415</v>
      </c>
      <c r="C1554" s="61" t="s">
        <v>502</v>
      </c>
      <c r="D1554" s="60">
        <v>2.4541499999999998</v>
      </c>
      <c r="E1554" s="59">
        <v>10.84779</v>
      </c>
      <c r="F1554" s="59">
        <v>23.870930000000001</v>
      </c>
      <c r="G1554" s="56">
        <v>1597.53</v>
      </c>
      <c r="H1554" s="56">
        <v>1753.13</v>
      </c>
      <c r="I1554" s="58">
        <v>0.20397199999999999</v>
      </c>
      <c r="J1554" s="57">
        <v>0.19014200000000001</v>
      </c>
      <c r="K1554" s="56"/>
      <c r="L1554" s="56" t="s">
        <v>488</v>
      </c>
    </row>
    <row r="1555" spans="2:12" x14ac:dyDescent="0.2">
      <c r="B1555" s="62" t="s">
        <v>4414</v>
      </c>
      <c r="C1555" s="61" t="s">
        <v>502</v>
      </c>
      <c r="D1555" s="60">
        <v>0.91124499999999997</v>
      </c>
      <c r="E1555" s="59">
        <v>4.38863</v>
      </c>
      <c r="F1555" s="59">
        <v>7.2916499999999997</v>
      </c>
      <c r="G1555" s="56">
        <v>365.315</v>
      </c>
      <c r="H1555" s="56">
        <v>143.83000000000001</v>
      </c>
      <c r="I1555" s="58">
        <v>0.76619599999999999</v>
      </c>
      <c r="J1555" s="57">
        <v>0.88048099999999996</v>
      </c>
      <c r="K1555" s="56"/>
      <c r="L1555" s="56" t="s">
        <v>488</v>
      </c>
    </row>
    <row r="1556" spans="2:12" x14ac:dyDescent="0.2">
      <c r="B1556" s="62" t="s">
        <v>4413</v>
      </c>
      <c r="C1556" s="61" t="s">
        <v>550</v>
      </c>
      <c r="D1556" s="60">
        <v>1.53742</v>
      </c>
      <c r="E1556" s="59">
        <v>3.8895</v>
      </c>
      <c r="F1556" s="59">
        <v>5.5553999999999997</v>
      </c>
      <c r="G1556" s="56">
        <v>326.21100000000001</v>
      </c>
      <c r="H1556" s="56">
        <v>212.18</v>
      </c>
      <c r="I1556" s="58">
        <v>0.17560700000000001</v>
      </c>
      <c r="J1556" s="57">
        <v>0.31895699999999999</v>
      </c>
      <c r="K1556" s="56"/>
      <c r="L1556" s="56" t="s">
        <v>488</v>
      </c>
    </row>
    <row r="1557" spans="2:12" x14ac:dyDescent="0.2">
      <c r="B1557" s="62" t="s">
        <v>4412</v>
      </c>
      <c r="C1557" s="61" t="s">
        <v>550</v>
      </c>
      <c r="D1557" s="60">
        <v>0.92077100000000001</v>
      </c>
      <c r="E1557" s="59">
        <v>3.6739099999999998</v>
      </c>
      <c r="F1557" s="59">
        <v>12.69031</v>
      </c>
      <c r="G1557" s="56">
        <v>0</v>
      </c>
      <c r="H1557" s="56">
        <v>0</v>
      </c>
      <c r="I1557" s="58">
        <v>0.55294399999999999</v>
      </c>
      <c r="J1557" s="57">
        <v>0.74052399999999996</v>
      </c>
      <c r="K1557" s="56" t="s">
        <v>1816</v>
      </c>
      <c r="L1557" s="56" t="s">
        <v>563</v>
      </c>
    </row>
    <row r="1558" spans="2:12" x14ac:dyDescent="0.2">
      <c r="B1558" s="62" t="s">
        <v>4411</v>
      </c>
      <c r="C1558" s="61" t="s">
        <v>550</v>
      </c>
      <c r="D1558" s="60">
        <v>0.81472500000000003</v>
      </c>
      <c r="E1558" s="59">
        <v>8.6289099999999994</v>
      </c>
      <c r="F1558" s="59">
        <v>13.646710000000001</v>
      </c>
      <c r="G1558" s="56">
        <v>1763.09</v>
      </c>
      <c r="H1558" s="56">
        <v>2164.0300000000002</v>
      </c>
      <c r="I1558" s="58">
        <v>0.665381</v>
      </c>
      <c r="J1558" s="57">
        <v>0.90227800000000002</v>
      </c>
      <c r="K1558" s="56"/>
      <c r="L1558" s="56" t="s">
        <v>488</v>
      </c>
    </row>
    <row r="1559" spans="2:12" x14ac:dyDescent="0.2">
      <c r="B1559" s="62" t="s">
        <v>4410</v>
      </c>
      <c r="C1559" s="61" t="s">
        <v>550</v>
      </c>
      <c r="D1559" s="60">
        <v>1.0989599999999999</v>
      </c>
      <c r="E1559" s="59">
        <v>4.7010300000000003</v>
      </c>
      <c r="F1559" s="59">
        <v>7.3271600000000001</v>
      </c>
      <c r="G1559" s="56">
        <v>1069.05</v>
      </c>
      <c r="H1559" s="56">
        <v>972.79100000000005</v>
      </c>
      <c r="I1559" s="58">
        <v>0.39544400000000002</v>
      </c>
      <c r="J1559" s="57">
        <v>0.55501800000000001</v>
      </c>
      <c r="K1559" s="56"/>
      <c r="L1559" s="56" t="s">
        <v>488</v>
      </c>
    </row>
    <row r="1560" spans="2:12" x14ac:dyDescent="0.2">
      <c r="B1560" s="62" t="s">
        <v>4409</v>
      </c>
      <c r="C1560" s="61" t="s">
        <v>550</v>
      </c>
      <c r="D1560" s="60">
        <v>1.1352199999999999</v>
      </c>
      <c r="E1560" s="59">
        <v>3.8381799999999999</v>
      </c>
      <c r="F1560" s="59">
        <v>12.58623</v>
      </c>
      <c r="G1560" s="56">
        <v>1413.06</v>
      </c>
      <c r="H1560" s="56">
        <v>1244.75</v>
      </c>
      <c r="I1560" s="58">
        <v>0.57119500000000001</v>
      </c>
      <c r="J1560" s="57">
        <v>0.57591499999999995</v>
      </c>
      <c r="K1560" s="56"/>
      <c r="L1560" s="56" t="s">
        <v>488</v>
      </c>
    </row>
    <row r="1561" spans="2:12" x14ac:dyDescent="0.2">
      <c r="B1561" s="62" t="s">
        <v>4408</v>
      </c>
      <c r="C1561" s="61" t="s">
        <v>550</v>
      </c>
      <c r="D1561" s="60">
        <v>0.94546699999999995</v>
      </c>
      <c r="E1561" s="59">
        <v>7.6538599999999999</v>
      </c>
      <c r="F1561" s="59">
        <v>20.68684</v>
      </c>
      <c r="G1561" s="56">
        <v>1466.02</v>
      </c>
      <c r="H1561" s="56">
        <v>1550.58</v>
      </c>
      <c r="I1561" s="58">
        <v>0.65033099999999999</v>
      </c>
      <c r="J1561" s="57">
        <v>0.75182700000000002</v>
      </c>
      <c r="K1561" s="56"/>
      <c r="L1561" s="56" t="s">
        <v>488</v>
      </c>
    </row>
    <row r="1562" spans="2:12" x14ac:dyDescent="0.2">
      <c r="B1562" s="62" t="s">
        <v>4407</v>
      </c>
      <c r="C1562" s="61" t="s">
        <v>550</v>
      </c>
      <c r="D1562" s="60">
        <v>1.19855</v>
      </c>
      <c r="E1562" s="59">
        <v>3.8463799999999999</v>
      </c>
      <c r="F1562" s="59">
        <v>4.7476900000000004</v>
      </c>
      <c r="G1562" s="56">
        <v>374.92500000000001</v>
      </c>
      <c r="H1562" s="56">
        <v>312.815</v>
      </c>
      <c r="I1562" s="58">
        <v>0.207454</v>
      </c>
      <c r="J1562" s="57">
        <v>0.45364300000000002</v>
      </c>
      <c r="K1562" s="56"/>
      <c r="L1562" s="56" t="s">
        <v>488</v>
      </c>
    </row>
    <row r="1563" spans="2:12" x14ac:dyDescent="0.2">
      <c r="B1563" s="62" t="s">
        <v>4406</v>
      </c>
      <c r="C1563" s="61" t="s">
        <v>499</v>
      </c>
      <c r="D1563" s="60">
        <v>1.2210700000000001</v>
      </c>
      <c r="E1563" s="59">
        <v>2.97133</v>
      </c>
      <c r="F1563" s="59">
        <v>4.2683400000000002</v>
      </c>
      <c r="G1563" s="56">
        <v>0</v>
      </c>
      <c r="H1563" s="56">
        <v>0</v>
      </c>
      <c r="I1563" s="58">
        <v>0.115123</v>
      </c>
      <c r="J1563" s="57">
        <v>0.38522899999999999</v>
      </c>
      <c r="K1563" s="56"/>
      <c r="L1563" s="56" t="s">
        <v>488</v>
      </c>
    </row>
    <row r="1564" spans="2:12" x14ac:dyDescent="0.2">
      <c r="B1564" s="62" t="s">
        <v>4405</v>
      </c>
      <c r="C1564" s="61" t="s">
        <v>495</v>
      </c>
      <c r="D1564" s="60">
        <v>1.5359499999999999</v>
      </c>
      <c r="E1564" s="59">
        <v>3.3564500000000002</v>
      </c>
      <c r="F1564" s="59">
        <v>3.6847500000000002</v>
      </c>
      <c r="G1564" s="56">
        <v>0</v>
      </c>
      <c r="H1564" s="56">
        <v>0</v>
      </c>
      <c r="I1564" s="58">
        <v>0.180316</v>
      </c>
      <c r="J1564" s="57">
        <v>0.25198100000000001</v>
      </c>
      <c r="K1564" s="56"/>
      <c r="L1564" s="56" t="s">
        <v>488</v>
      </c>
    </row>
    <row r="1565" spans="2:12" x14ac:dyDescent="0.2">
      <c r="B1565" s="62" t="s">
        <v>4404</v>
      </c>
      <c r="C1565" s="61" t="s">
        <v>495</v>
      </c>
      <c r="D1565" s="60">
        <v>1.5509200000000001</v>
      </c>
      <c r="E1565" s="59">
        <v>3.3884099999999999</v>
      </c>
      <c r="F1565" s="59">
        <v>3.7126600000000001</v>
      </c>
      <c r="G1565" s="56">
        <v>0</v>
      </c>
      <c r="H1565" s="56">
        <v>0</v>
      </c>
      <c r="I1565" s="58">
        <v>0.17840500000000001</v>
      </c>
      <c r="J1565" s="57">
        <v>0.246419</v>
      </c>
      <c r="K1565" s="56"/>
      <c r="L1565" s="56" t="s">
        <v>488</v>
      </c>
    </row>
    <row r="1566" spans="2:12" x14ac:dyDescent="0.2">
      <c r="B1566" s="62" t="s">
        <v>4403</v>
      </c>
      <c r="C1566" s="61" t="s">
        <v>499</v>
      </c>
      <c r="D1566" s="60">
        <v>2.7139799999999998</v>
      </c>
      <c r="E1566" s="59">
        <v>3.1646800000000002</v>
      </c>
      <c r="F1566" s="59">
        <v>3.9531100000000001</v>
      </c>
      <c r="G1566" s="56">
        <v>0</v>
      </c>
      <c r="H1566" s="56">
        <v>0</v>
      </c>
      <c r="I1566" s="58">
        <v>0.18446599999999999</v>
      </c>
      <c r="J1566" s="57">
        <v>0.15176600000000001</v>
      </c>
      <c r="K1566" s="56"/>
      <c r="L1566" s="56" t="s">
        <v>488</v>
      </c>
    </row>
    <row r="1567" spans="2:12" x14ac:dyDescent="0.2">
      <c r="B1567" s="62" t="s">
        <v>4402</v>
      </c>
      <c r="C1567" s="61" t="s">
        <v>1380</v>
      </c>
      <c r="D1567" s="60">
        <v>0.69659000000000004</v>
      </c>
      <c r="E1567" s="59">
        <v>8.4112200000000001</v>
      </c>
      <c r="F1567" s="59">
        <v>9.4660399999999996</v>
      </c>
      <c r="G1567" s="56">
        <v>2293.7199999999998</v>
      </c>
      <c r="H1567" s="56">
        <v>3292.78</v>
      </c>
      <c r="I1567" s="58">
        <v>0.73635399999999995</v>
      </c>
      <c r="J1567" s="57">
        <v>1.11757</v>
      </c>
      <c r="K1567" s="56"/>
      <c r="L1567" s="56" t="s">
        <v>488</v>
      </c>
    </row>
    <row r="1568" spans="2:12" x14ac:dyDescent="0.2">
      <c r="B1568" s="62" t="s">
        <v>4401</v>
      </c>
      <c r="C1568" s="61" t="s">
        <v>526</v>
      </c>
      <c r="D1568" s="60">
        <v>1.2460199999999999</v>
      </c>
      <c r="E1568" s="59">
        <v>5.7898199999999997</v>
      </c>
      <c r="F1568" s="59">
        <v>6.6796899999999999</v>
      </c>
      <c r="G1568" s="56">
        <v>1632.08</v>
      </c>
      <c r="H1568" s="56">
        <v>1309.83</v>
      </c>
      <c r="I1568" s="58">
        <v>0.65707099999999996</v>
      </c>
      <c r="J1568" s="57">
        <v>0.49094500000000002</v>
      </c>
      <c r="K1568" s="56"/>
      <c r="L1568" s="56" t="s">
        <v>492</v>
      </c>
    </row>
    <row r="1569" spans="2:12" x14ac:dyDescent="0.2">
      <c r="B1569" s="62" t="s">
        <v>4400</v>
      </c>
      <c r="C1569" s="61" t="s">
        <v>1613</v>
      </c>
      <c r="D1569" s="60">
        <v>2.0912000000000002</v>
      </c>
      <c r="E1569" s="59">
        <v>2.9392900000000002</v>
      </c>
      <c r="F1569" s="59">
        <v>3.8121700000000001</v>
      </c>
      <c r="G1569" s="56">
        <v>0</v>
      </c>
      <c r="H1569" s="56">
        <v>0</v>
      </c>
      <c r="I1569" s="58">
        <v>0.264075</v>
      </c>
      <c r="J1569" s="57">
        <v>0.215805</v>
      </c>
      <c r="K1569" s="56"/>
      <c r="L1569" s="56" t="s">
        <v>488</v>
      </c>
    </row>
    <row r="1570" spans="2:12" x14ac:dyDescent="0.2">
      <c r="B1570" s="62" t="s">
        <v>4399</v>
      </c>
      <c r="C1570" s="61" t="s">
        <v>4398</v>
      </c>
      <c r="D1570" s="60">
        <v>1.85945</v>
      </c>
      <c r="E1570" s="59">
        <v>2.5607099999999998</v>
      </c>
      <c r="F1570" s="59">
        <v>4.8467500000000001</v>
      </c>
      <c r="G1570" s="56">
        <v>0</v>
      </c>
      <c r="H1570" s="56">
        <v>0</v>
      </c>
      <c r="I1570" s="58">
        <v>0.24992900000000001</v>
      </c>
      <c r="J1570" s="57">
        <v>0.23297999999999999</v>
      </c>
      <c r="K1570" s="56"/>
      <c r="L1570" s="56" t="s">
        <v>488</v>
      </c>
    </row>
    <row r="1571" spans="2:12" x14ac:dyDescent="0.2">
      <c r="B1571" s="62" t="s">
        <v>4397</v>
      </c>
      <c r="C1571" s="61" t="s">
        <v>4396</v>
      </c>
      <c r="D1571" s="60">
        <v>1.4823999999999999</v>
      </c>
      <c r="E1571" s="59">
        <v>4.9377000000000004</v>
      </c>
      <c r="F1571" s="59">
        <v>6.4617500000000003</v>
      </c>
      <c r="G1571" s="56">
        <v>1214.54</v>
      </c>
      <c r="H1571" s="56">
        <v>819.31100000000004</v>
      </c>
      <c r="I1571" s="58">
        <v>0.49952600000000003</v>
      </c>
      <c r="J1571" s="57">
        <v>0.36472199999999999</v>
      </c>
      <c r="K1571" s="56"/>
      <c r="L1571" s="56" t="s">
        <v>488</v>
      </c>
    </row>
    <row r="1572" spans="2:12" x14ac:dyDescent="0.2">
      <c r="B1572" s="62" t="s">
        <v>4395</v>
      </c>
      <c r="C1572" s="61" t="s">
        <v>541</v>
      </c>
      <c r="D1572" s="60">
        <v>1.3188500000000001</v>
      </c>
      <c r="E1572" s="59">
        <v>3.7082099999999998</v>
      </c>
      <c r="F1572" s="59">
        <v>4.6620400000000002</v>
      </c>
      <c r="G1572" s="56">
        <v>0</v>
      </c>
      <c r="H1572" s="56">
        <v>0</v>
      </c>
      <c r="I1572" s="58">
        <v>0.249165</v>
      </c>
      <c r="J1572" s="57">
        <v>0.349105</v>
      </c>
      <c r="K1572" s="56"/>
      <c r="L1572" s="56" t="s">
        <v>488</v>
      </c>
    </row>
    <row r="1573" spans="2:12" x14ac:dyDescent="0.2">
      <c r="B1573" s="62" t="s">
        <v>4394</v>
      </c>
      <c r="C1573" s="61" t="s">
        <v>531</v>
      </c>
      <c r="D1573" s="60">
        <v>1.32281</v>
      </c>
      <c r="E1573" s="59">
        <v>3.8075100000000002</v>
      </c>
      <c r="F1573" s="59">
        <v>4.6737500000000001</v>
      </c>
      <c r="G1573" s="56">
        <v>309.74200000000002</v>
      </c>
      <c r="H1573" s="56">
        <v>234.154</v>
      </c>
      <c r="I1573" s="58">
        <v>0.25723499999999999</v>
      </c>
      <c r="J1573" s="57">
        <v>0.34893600000000002</v>
      </c>
      <c r="K1573" s="56"/>
      <c r="L1573" s="56" t="s">
        <v>488</v>
      </c>
    </row>
    <row r="1574" spans="2:12" x14ac:dyDescent="0.2">
      <c r="B1574" s="62" t="s">
        <v>4393</v>
      </c>
      <c r="C1574" s="61" t="s">
        <v>523</v>
      </c>
      <c r="D1574" s="60">
        <v>1.5224800000000001</v>
      </c>
      <c r="E1574" s="59">
        <v>2.7905000000000002</v>
      </c>
      <c r="F1574" s="59">
        <v>3.00082</v>
      </c>
      <c r="G1574" s="56">
        <v>0</v>
      </c>
      <c r="H1574" s="56">
        <v>0</v>
      </c>
      <c r="I1574" s="58">
        <v>0.11934699999999999</v>
      </c>
      <c r="J1574" s="57">
        <v>0.27632299999999999</v>
      </c>
      <c r="K1574" s="56"/>
      <c r="L1574" s="56" t="s">
        <v>730</v>
      </c>
    </row>
    <row r="1575" spans="2:12" x14ac:dyDescent="0.2">
      <c r="B1575" s="62" t="s">
        <v>4392</v>
      </c>
      <c r="C1575" s="61" t="s">
        <v>523</v>
      </c>
      <c r="D1575" s="60">
        <v>1.5502100000000001</v>
      </c>
      <c r="E1575" s="59">
        <v>3.0428999999999999</v>
      </c>
      <c r="F1575" s="59">
        <v>3.1989000000000001</v>
      </c>
      <c r="G1575" s="56">
        <v>0</v>
      </c>
      <c r="H1575" s="56">
        <v>0</v>
      </c>
      <c r="I1575" s="58">
        <v>0.14152100000000001</v>
      </c>
      <c r="J1575" s="57">
        <v>0.27670400000000001</v>
      </c>
      <c r="K1575" s="56"/>
      <c r="L1575" s="56" t="s">
        <v>488</v>
      </c>
    </row>
    <row r="1576" spans="2:12" x14ac:dyDescent="0.2">
      <c r="B1576" s="62" t="s">
        <v>4391</v>
      </c>
      <c r="C1576" s="61" t="s">
        <v>502</v>
      </c>
      <c r="D1576" s="60">
        <v>1.44659</v>
      </c>
      <c r="E1576" s="59">
        <v>11.394880000000001</v>
      </c>
      <c r="F1576" s="59">
        <v>13.35791</v>
      </c>
      <c r="G1576" s="56">
        <v>827.62</v>
      </c>
      <c r="H1576" s="56">
        <v>572.11699999999996</v>
      </c>
      <c r="I1576" s="58">
        <v>0.36725400000000002</v>
      </c>
      <c r="J1576" s="57">
        <v>0.38089699999999999</v>
      </c>
      <c r="K1576" s="56"/>
      <c r="L1576" s="56" t="s">
        <v>488</v>
      </c>
    </row>
    <row r="1577" spans="2:12" x14ac:dyDescent="0.2">
      <c r="B1577" s="62" t="s">
        <v>4390</v>
      </c>
      <c r="C1577" s="61" t="s">
        <v>499</v>
      </c>
      <c r="D1577" s="60">
        <v>1.21092</v>
      </c>
      <c r="E1577" s="59">
        <v>7.9712399999999999</v>
      </c>
      <c r="F1577" s="59">
        <v>8.4600500000000007</v>
      </c>
      <c r="G1577" s="56">
        <v>1599.55</v>
      </c>
      <c r="H1577" s="56">
        <v>1320.94</v>
      </c>
      <c r="I1577" s="58">
        <v>0.631857</v>
      </c>
      <c r="J1577" s="57">
        <v>0.55347800000000003</v>
      </c>
      <c r="K1577" s="56"/>
      <c r="L1577" s="56" t="s">
        <v>488</v>
      </c>
    </row>
    <row r="1578" spans="2:12" x14ac:dyDescent="0.2">
      <c r="B1578" s="62" t="s">
        <v>4389</v>
      </c>
      <c r="C1578" s="61" t="s">
        <v>641</v>
      </c>
      <c r="D1578" s="60">
        <v>0.97821999999999998</v>
      </c>
      <c r="E1578" s="59">
        <v>4.1137199999999998</v>
      </c>
      <c r="F1578" s="59">
        <v>6.1804899999999998</v>
      </c>
      <c r="G1578" s="56">
        <v>1319.85</v>
      </c>
      <c r="H1578" s="56">
        <v>1349.24</v>
      </c>
      <c r="I1578" s="58">
        <v>0.56576400000000004</v>
      </c>
      <c r="J1578" s="57">
        <v>0.62151400000000001</v>
      </c>
      <c r="K1578" s="56"/>
      <c r="L1578" s="56" t="s">
        <v>488</v>
      </c>
    </row>
    <row r="1579" spans="2:12" x14ac:dyDescent="0.2">
      <c r="B1579" s="62" t="s">
        <v>4388</v>
      </c>
      <c r="C1579" s="61" t="s">
        <v>502</v>
      </c>
      <c r="D1579" s="60">
        <v>1.41449</v>
      </c>
      <c r="E1579" s="59">
        <v>3.9653999999999998</v>
      </c>
      <c r="F1579" s="59">
        <v>4.8479200000000002</v>
      </c>
      <c r="G1579" s="56">
        <v>579.54300000000001</v>
      </c>
      <c r="H1579" s="56">
        <v>409.72</v>
      </c>
      <c r="I1579" s="58">
        <v>0.26768199999999998</v>
      </c>
      <c r="J1579" s="57">
        <v>0.32535199999999997</v>
      </c>
      <c r="K1579" s="56"/>
      <c r="L1579" s="56" t="s">
        <v>488</v>
      </c>
    </row>
    <row r="1580" spans="2:12" x14ac:dyDescent="0.2">
      <c r="B1580" s="62" t="s">
        <v>4387</v>
      </c>
      <c r="C1580" s="61" t="s">
        <v>548</v>
      </c>
      <c r="D1580" s="60">
        <v>1.89462</v>
      </c>
      <c r="E1580" s="59">
        <v>2.4001399999999999</v>
      </c>
      <c r="F1580" s="59">
        <v>3.7664</v>
      </c>
      <c r="G1580" s="56">
        <v>0</v>
      </c>
      <c r="H1580" s="56">
        <v>0</v>
      </c>
      <c r="I1580" s="58">
        <v>0.221883</v>
      </c>
      <c r="J1580" s="57">
        <v>0.19736999999999999</v>
      </c>
      <c r="K1580" s="56"/>
      <c r="L1580" s="56" t="s">
        <v>488</v>
      </c>
    </row>
    <row r="1581" spans="2:12" x14ac:dyDescent="0.2">
      <c r="B1581" s="62" t="s">
        <v>4386</v>
      </c>
      <c r="C1581" s="61" t="s">
        <v>510</v>
      </c>
      <c r="D1581" s="60">
        <v>1.20445</v>
      </c>
      <c r="E1581" s="59">
        <v>5.1211399999999996</v>
      </c>
      <c r="F1581" s="59">
        <v>5.6297199999999998</v>
      </c>
      <c r="G1581" s="56">
        <v>815.83100000000002</v>
      </c>
      <c r="H1581" s="56">
        <v>677.34699999999998</v>
      </c>
      <c r="I1581" s="58">
        <v>0.293848</v>
      </c>
      <c r="J1581" s="57">
        <v>0.39576299999999998</v>
      </c>
      <c r="K1581" s="56"/>
      <c r="L1581" s="56" t="s">
        <v>488</v>
      </c>
    </row>
    <row r="1582" spans="2:12" x14ac:dyDescent="0.2">
      <c r="B1582" s="62" t="s">
        <v>4385</v>
      </c>
      <c r="C1582" s="61" t="s">
        <v>499</v>
      </c>
      <c r="D1582" s="60">
        <v>1.5951</v>
      </c>
      <c r="E1582" s="59">
        <v>2.5801799999999999</v>
      </c>
      <c r="F1582" s="59">
        <v>2.7920199999999999</v>
      </c>
      <c r="G1582" s="56">
        <v>0</v>
      </c>
      <c r="H1582" s="56">
        <v>0</v>
      </c>
      <c r="I1582" s="58">
        <v>2.2852999999999998E-2</v>
      </c>
      <c r="J1582" s="57">
        <v>0.23588799999999999</v>
      </c>
      <c r="K1582" s="56"/>
      <c r="L1582" s="56" t="s">
        <v>488</v>
      </c>
    </row>
    <row r="1583" spans="2:12" x14ac:dyDescent="0.2">
      <c r="B1583" s="62" t="s">
        <v>4384</v>
      </c>
      <c r="C1583" s="61" t="s">
        <v>1006</v>
      </c>
      <c r="D1583" s="60">
        <v>1.7632699999999999</v>
      </c>
      <c r="E1583" s="59">
        <v>2.9712700000000001</v>
      </c>
      <c r="F1583" s="59">
        <v>3.6749999999999998</v>
      </c>
      <c r="G1583" s="56">
        <v>0</v>
      </c>
      <c r="H1583" s="56">
        <v>0</v>
      </c>
      <c r="I1583" s="58">
        <v>0.25647300000000001</v>
      </c>
      <c r="J1583" s="57">
        <v>0.234241</v>
      </c>
      <c r="K1583" s="56"/>
      <c r="L1583" s="56" t="s">
        <v>488</v>
      </c>
    </row>
    <row r="1584" spans="2:12" x14ac:dyDescent="0.2">
      <c r="B1584" s="62" t="s">
        <v>4383</v>
      </c>
      <c r="C1584" s="61" t="s">
        <v>502</v>
      </c>
      <c r="D1584" s="60">
        <v>1.5983000000000001</v>
      </c>
      <c r="E1584" s="59">
        <v>2.52285</v>
      </c>
      <c r="F1584" s="59">
        <v>2.7870200000000001</v>
      </c>
      <c r="G1584" s="56">
        <v>0</v>
      </c>
      <c r="H1584" s="56">
        <v>0</v>
      </c>
      <c r="I1584" s="58">
        <v>2.02472E-2</v>
      </c>
      <c r="J1584" s="57">
        <v>0.23414099999999999</v>
      </c>
      <c r="K1584" s="56"/>
      <c r="L1584" s="56" t="s">
        <v>488</v>
      </c>
    </row>
    <row r="1585" spans="2:12" x14ac:dyDescent="0.2">
      <c r="B1585" s="62" t="s">
        <v>4382</v>
      </c>
      <c r="C1585" s="61" t="s">
        <v>499</v>
      </c>
      <c r="D1585" s="60">
        <v>1.08724</v>
      </c>
      <c r="E1585" s="59">
        <v>6.0631300000000001</v>
      </c>
      <c r="F1585" s="59">
        <v>6.3897399999999998</v>
      </c>
      <c r="G1585" s="56">
        <v>834.26900000000001</v>
      </c>
      <c r="H1585" s="56">
        <v>767.32899999999995</v>
      </c>
      <c r="I1585" s="58">
        <v>0.50112199999999996</v>
      </c>
      <c r="J1585" s="57">
        <v>0.52095100000000005</v>
      </c>
      <c r="K1585" s="56"/>
      <c r="L1585" s="56" t="s">
        <v>488</v>
      </c>
    </row>
    <row r="1586" spans="2:12" x14ac:dyDescent="0.2">
      <c r="B1586" s="62" t="s">
        <v>4381</v>
      </c>
      <c r="C1586" s="61" t="s">
        <v>499</v>
      </c>
      <c r="D1586" s="60">
        <v>1.06721</v>
      </c>
      <c r="E1586" s="59">
        <v>5.6442800000000002</v>
      </c>
      <c r="F1586" s="59">
        <v>6.8119300000000003</v>
      </c>
      <c r="G1586" s="56">
        <v>1449.89</v>
      </c>
      <c r="H1586" s="56">
        <v>1358.58</v>
      </c>
      <c r="I1586" s="58">
        <v>0.55782799999999999</v>
      </c>
      <c r="J1586" s="57">
        <v>0.55193899999999996</v>
      </c>
      <c r="K1586" s="56"/>
      <c r="L1586" s="56" t="s">
        <v>488</v>
      </c>
    </row>
    <row r="1587" spans="2:12" x14ac:dyDescent="0.2">
      <c r="B1587" s="62" t="s">
        <v>4380</v>
      </c>
      <c r="C1587" s="61" t="s">
        <v>499</v>
      </c>
      <c r="D1587" s="60">
        <v>1.5356000000000001</v>
      </c>
      <c r="E1587" s="59">
        <v>3.8814600000000001</v>
      </c>
      <c r="F1587" s="59">
        <v>4.7839600000000004</v>
      </c>
      <c r="G1587" s="56">
        <v>303.64499999999998</v>
      </c>
      <c r="H1587" s="56">
        <v>200.12299999999999</v>
      </c>
      <c r="I1587" s="58">
        <v>0.21752099999999999</v>
      </c>
      <c r="J1587" s="57">
        <v>0.27074399999999998</v>
      </c>
      <c r="K1587" s="56"/>
      <c r="L1587" s="56" t="s">
        <v>488</v>
      </c>
    </row>
    <row r="1588" spans="2:12" x14ac:dyDescent="0.2">
      <c r="B1588" s="62" t="s">
        <v>4379</v>
      </c>
      <c r="C1588" s="61" t="s">
        <v>499</v>
      </c>
      <c r="D1588" s="60">
        <v>1.51729</v>
      </c>
      <c r="E1588" s="59">
        <v>3.8447200000000001</v>
      </c>
      <c r="F1588" s="59">
        <v>4.7437399999999998</v>
      </c>
      <c r="G1588" s="56">
        <v>279.72300000000001</v>
      </c>
      <c r="H1588" s="56">
        <v>182.15899999999999</v>
      </c>
      <c r="I1588" s="58">
        <v>0.22296299999999999</v>
      </c>
      <c r="J1588" s="57">
        <v>0.27776800000000001</v>
      </c>
      <c r="K1588" s="56"/>
      <c r="L1588" s="56" t="s">
        <v>488</v>
      </c>
    </row>
    <row r="1589" spans="2:12" x14ac:dyDescent="0.2">
      <c r="B1589" s="62" t="s">
        <v>4378</v>
      </c>
      <c r="C1589" s="61" t="s">
        <v>499</v>
      </c>
      <c r="D1589" s="60">
        <v>1.0766199999999999</v>
      </c>
      <c r="E1589" s="59">
        <v>5.2091599999999998</v>
      </c>
      <c r="F1589" s="59">
        <v>7.04894</v>
      </c>
      <c r="G1589" s="56">
        <v>1482.02</v>
      </c>
      <c r="H1589" s="56">
        <v>1376.55</v>
      </c>
      <c r="I1589" s="58">
        <v>0.55376099999999995</v>
      </c>
      <c r="J1589" s="57">
        <v>0.54342900000000005</v>
      </c>
      <c r="K1589" s="56"/>
      <c r="L1589" s="56" t="s">
        <v>488</v>
      </c>
    </row>
    <row r="1590" spans="2:12" x14ac:dyDescent="0.2">
      <c r="B1590" s="62" t="s">
        <v>4377</v>
      </c>
      <c r="C1590" s="61" t="s">
        <v>502</v>
      </c>
      <c r="D1590" s="60">
        <v>0.28945199999999999</v>
      </c>
      <c r="E1590" s="59">
        <v>12.0883</v>
      </c>
      <c r="F1590" s="59">
        <v>25.715309999999999</v>
      </c>
      <c r="G1590" s="56">
        <v>1664.21</v>
      </c>
      <c r="H1590" s="56">
        <v>5749.51</v>
      </c>
      <c r="I1590" s="58">
        <v>0.91328799999999999</v>
      </c>
      <c r="J1590" s="57">
        <v>3.0439400000000001</v>
      </c>
      <c r="K1590" s="56"/>
      <c r="L1590" s="56" t="s">
        <v>488</v>
      </c>
    </row>
    <row r="1591" spans="2:12" x14ac:dyDescent="0.2">
      <c r="B1591" s="62" t="s">
        <v>4376</v>
      </c>
      <c r="C1591" s="61" t="s">
        <v>502</v>
      </c>
      <c r="D1591" s="60">
        <v>0.38234000000000001</v>
      </c>
      <c r="E1591" s="59">
        <v>9.0354700000000001</v>
      </c>
      <c r="F1591" s="59">
        <v>24.300249999999998</v>
      </c>
      <c r="G1591" s="56">
        <v>1854.22</v>
      </c>
      <c r="H1591" s="56">
        <v>4849.67</v>
      </c>
      <c r="I1591" s="58">
        <v>0.88994600000000001</v>
      </c>
      <c r="J1591" s="57">
        <v>2.21088</v>
      </c>
      <c r="K1591" s="56" t="s">
        <v>4375</v>
      </c>
      <c r="L1591" s="56" t="s">
        <v>563</v>
      </c>
    </row>
    <row r="1592" spans="2:12" x14ac:dyDescent="0.2">
      <c r="B1592" s="62" t="s">
        <v>4374</v>
      </c>
      <c r="C1592" s="61" t="s">
        <v>2162</v>
      </c>
      <c r="D1592" s="60">
        <v>0.92946700000000004</v>
      </c>
      <c r="E1592" s="59">
        <v>5.5004</v>
      </c>
      <c r="F1592" s="59">
        <v>7.2215299999999996</v>
      </c>
      <c r="G1592" s="56">
        <v>1576.55</v>
      </c>
      <c r="H1592" s="56">
        <v>1696.19</v>
      </c>
      <c r="I1592" s="58">
        <v>0.60159099999999999</v>
      </c>
      <c r="J1592" s="57">
        <v>0.68398000000000003</v>
      </c>
      <c r="K1592" s="56"/>
      <c r="L1592" s="56" t="s">
        <v>488</v>
      </c>
    </row>
    <row r="1593" spans="2:12" x14ac:dyDescent="0.2">
      <c r="B1593" s="62" t="s">
        <v>4373</v>
      </c>
      <c r="C1593" s="61" t="s">
        <v>2162</v>
      </c>
      <c r="D1593" s="60">
        <v>1.47217</v>
      </c>
      <c r="E1593" s="59">
        <v>2.4346899999999998</v>
      </c>
      <c r="F1593" s="59">
        <v>3.8670300000000002</v>
      </c>
      <c r="G1593" s="56">
        <v>0</v>
      </c>
      <c r="H1593" s="56">
        <v>0</v>
      </c>
      <c r="I1593" s="58">
        <v>0.13981499999999999</v>
      </c>
      <c r="J1593" s="57">
        <v>0.28013300000000002</v>
      </c>
      <c r="K1593" s="56"/>
      <c r="L1593" s="56" t="s">
        <v>488</v>
      </c>
    </row>
    <row r="1594" spans="2:12" x14ac:dyDescent="0.2">
      <c r="B1594" s="62" t="s">
        <v>4372</v>
      </c>
      <c r="C1594" s="61" t="s">
        <v>510</v>
      </c>
      <c r="D1594" s="60">
        <v>1.6567499999999999</v>
      </c>
      <c r="E1594" s="59">
        <v>2.4869699999999999</v>
      </c>
      <c r="F1594" s="59">
        <v>4.2217500000000001</v>
      </c>
      <c r="G1594" s="56">
        <v>0</v>
      </c>
      <c r="H1594" s="56">
        <v>0</v>
      </c>
      <c r="I1594" s="58">
        <v>0.29977300000000001</v>
      </c>
      <c r="J1594" s="57">
        <v>0.25501299999999999</v>
      </c>
      <c r="K1594" s="56"/>
      <c r="L1594" s="56" t="s">
        <v>488</v>
      </c>
    </row>
    <row r="1595" spans="2:12" x14ac:dyDescent="0.2">
      <c r="B1595" s="62" t="s">
        <v>4371</v>
      </c>
      <c r="C1595" s="61" t="s">
        <v>499</v>
      </c>
      <c r="D1595" s="60">
        <v>1.0227200000000001</v>
      </c>
      <c r="E1595" s="59">
        <v>3.5101599999999999</v>
      </c>
      <c r="F1595" s="59">
        <v>4.8216400000000004</v>
      </c>
      <c r="G1595" s="56">
        <v>0</v>
      </c>
      <c r="H1595" s="56">
        <v>0</v>
      </c>
      <c r="I1595" s="58">
        <v>0.57936799999999999</v>
      </c>
      <c r="J1595" s="57">
        <v>0.56496299999999999</v>
      </c>
      <c r="K1595" s="56"/>
      <c r="L1595" s="56" t="s">
        <v>488</v>
      </c>
    </row>
    <row r="1596" spans="2:12" x14ac:dyDescent="0.2">
      <c r="B1596" s="62" t="s">
        <v>4370</v>
      </c>
      <c r="C1596" s="61" t="s">
        <v>548</v>
      </c>
      <c r="D1596" s="60">
        <v>0.94517899999999999</v>
      </c>
      <c r="E1596" s="59">
        <v>6.9311600000000002</v>
      </c>
      <c r="F1596" s="59">
        <v>7.3930499999999997</v>
      </c>
      <c r="G1596" s="56">
        <v>1506.06</v>
      </c>
      <c r="H1596" s="56">
        <v>1593.41</v>
      </c>
      <c r="I1596" s="58">
        <v>0.736452</v>
      </c>
      <c r="J1596" s="57">
        <v>0.65129899999999996</v>
      </c>
      <c r="K1596" s="56"/>
      <c r="L1596" s="56" t="s">
        <v>488</v>
      </c>
    </row>
    <row r="1597" spans="2:12" x14ac:dyDescent="0.2">
      <c r="B1597" s="62" t="s">
        <v>4369</v>
      </c>
      <c r="C1597" s="61" t="s">
        <v>548</v>
      </c>
      <c r="D1597" s="60">
        <v>0.922153</v>
      </c>
      <c r="E1597" s="59">
        <v>5.3148200000000001</v>
      </c>
      <c r="F1597" s="59">
        <v>6.7136800000000001</v>
      </c>
      <c r="G1597" s="56">
        <v>1401.6</v>
      </c>
      <c r="H1597" s="56">
        <v>1519.92</v>
      </c>
      <c r="I1597" s="58">
        <v>0.65626200000000001</v>
      </c>
      <c r="J1597" s="57">
        <v>0.67372500000000002</v>
      </c>
      <c r="K1597" s="56"/>
      <c r="L1597" s="56" t="s">
        <v>488</v>
      </c>
    </row>
    <row r="1598" spans="2:12" x14ac:dyDescent="0.2">
      <c r="B1598" s="62" t="s">
        <v>4368</v>
      </c>
      <c r="C1598" s="61" t="s">
        <v>708</v>
      </c>
      <c r="D1598" s="60">
        <v>0.55400700000000003</v>
      </c>
      <c r="E1598" s="59">
        <v>7.5237999999999996</v>
      </c>
      <c r="F1598" s="59">
        <v>15.37241</v>
      </c>
      <c r="G1598" s="56">
        <v>2004.65</v>
      </c>
      <c r="H1598" s="56">
        <v>3618.46</v>
      </c>
      <c r="I1598" s="58">
        <v>0.81334600000000001</v>
      </c>
      <c r="J1598" s="57">
        <v>1.4245099999999999</v>
      </c>
      <c r="K1598" s="56"/>
      <c r="L1598" s="56" t="s">
        <v>488</v>
      </c>
    </row>
    <row r="1599" spans="2:12" x14ac:dyDescent="0.2">
      <c r="B1599" s="62" t="s">
        <v>4367</v>
      </c>
      <c r="C1599" s="61" t="s">
        <v>555</v>
      </c>
      <c r="D1599" s="60">
        <v>0.98987700000000001</v>
      </c>
      <c r="E1599" s="59">
        <v>4.1057399999999999</v>
      </c>
      <c r="F1599" s="59">
        <v>5.59823</v>
      </c>
      <c r="G1599" s="56">
        <v>1112.67</v>
      </c>
      <c r="H1599" s="56">
        <v>1124.04</v>
      </c>
      <c r="I1599" s="58">
        <v>0.55205800000000005</v>
      </c>
      <c r="J1599" s="57">
        <v>0.56955</v>
      </c>
      <c r="K1599" s="56"/>
      <c r="L1599" s="56" t="s">
        <v>488</v>
      </c>
    </row>
    <row r="1600" spans="2:12" x14ac:dyDescent="0.2">
      <c r="B1600" s="62" t="s">
        <v>4366</v>
      </c>
      <c r="C1600" s="61" t="s">
        <v>798</v>
      </c>
      <c r="D1600" s="60">
        <v>0.93931100000000001</v>
      </c>
      <c r="E1600" s="59">
        <v>7.1419499999999996</v>
      </c>
      <c r="F1600" s="59">
        <v>7.2617399999999996</v>
      </c>
      <c r="G1600" s="56">
        <v>1463.83</v>
      </c>
      <c r="H1600" s="56">
        <v>1558.4</v>
      </c>
      <c r="I1600" s="58">
        <v>0.63574299999999995</v>
      </c>
      <c r="J1600" s="57">
        <v>0.64783900000000005</v>
      </c>
      <c r="K1600" s="56"/>
      <c r="L1600" s="56" t="s">
        <v>488</v>
      </c>
    </row>
    <row r="1601" spans="2:12" x14ac:dyDescent="0.2">
      <c r="B1601" s="62" t="s">
        <v>4365</v>
      </c>
      <c r="C1601" s="61" t="s">
        <v>499</v>
      </c>
      <c r="D1601" s="60">
        <v>0.85287100000000005</v>
      </c>
      <c r="E1601" s="59">
        <v>4.1596200000000003</v>
      </c>
      <c r="F1601" s="59">
        <v>9.3082700000000003</v>
      </c>
      <c r="G1601" s="56">
        <v>1176.5</v>
      </c>
      <c r="H1601" s="56">
        <v>1379.46</v>
      </c>
      <c r="I1601" s="58">
        <v>0.498724</v>
      </c>
      <c r="J1601" s="57">
        <v>0.73798699999999995</v>
      </c>
      <c r="K1601" s="56"/>
      <c r="L1601" s="56" t="s">
        <v>492</v>
      </c>
    </row>
    <row r="1602" spans="2:12" x14ac:dyDescent="0.2">
      <c r="B1602" s="62" t="s">
        <v>4364</v>
      </c>
      <c r="C1602" s="61" t="s">
        <v>2455</v>
      </c>
      <c r="D1602" s="60">
        <v>1.3875200000000001</v>
      </c>
      <c r="E1602" s="59">
        <v>3.3800300000000001</v>
      </c>
      <c r="F1602" s="59">
        <v>5.2845599999999999</v>
      </c>
      <c r="G1602" s="56">
        <v>0</v>
      </c>
      <c r="H1602" s="56">
        <v>0</v>
      </c>
      <c r="I1602" s="58">
        <v>0.23191100000000001</v>
      </c>
      <c r="J1602" s="57">
        <v>0.28373799999999999</v>
      </c>
      <c r="K1602" s="56"/>
      <c r="L1602" s="56" t="s">
        <v>492</v>
      </c>
    </row>
    <row r="1603" spans="2:12" x14ac:dyDescent="0.2">
      <c r="B1603" s="62" t="s">
        <v>4363</v>
      </c>
      <c r="C1603" s="61" t="s">
        <v>2455</v>
      </c>
      <c r="D1603" s="60">
        <v>1.3727499999999999</v>
      </c>
      <c r="E1603" s="59">
        <v>3.4356399999999998</v>
      </c>
      <c r="F1603" s="59">
        <v>5.1779500000000001</v>
      </c>
      <c r="G1603" s="56">
        <v>0</v>
      </c>
      <c r="H1603" s="56">
        <v>0</v>
      </c>
      <c r="I1603" s="58">
        <v>0.23394200000000001</v>
      </c>
      <c r="J1603" s="57">
        <v>0.29193000000000002</v>
      </c>
      <c r="K1603" s="56"/>
      <c r="L1603" s="56" t="s">
        <v>492</v>
      </c>
    </row>
    <row r="1604" spans="2:12" x14ac:dyDescent="0.2">
      <c r="B1604" s="62" t="s">
        <v>4362</v>
      </c>
      <c r="C1604" s="61" t="s">
        <v>625</v>
      </c>
      <c r="D1604" s="60">
        <v>1.5928199999999999</v>
      </c>
      <c r="E1604" s="59">
        <v>8.6241199999999996</v>
      </c>
      <c r="F1604" s="59">
        <v>9.53782</v>
      </c>
      <c r="G1604" s="56">
        <v>556.10799999999995</v>
      </c>
      <c r="H1604" s="56">
        <v>349.13400000000001</v>
      </c>
      <c r="I1604" s="58">
        <v>0.22273200000000001</v>
      </c>
      <c r="J1604" s="57">
        <v>0.28312399999999999</v>
      </c>
      <c r="K1604" s="56"/>
      <c r="L1604" s="56" t="s">
        <v>492</v>
      </c>
    </row>
    <row r="1605" spans="2:12" x14ac:dyDescent="0.2">
      <c r="B1605" s="62" t="s">
        <v>4361</v>
      </c>
      <c r="C1605" s="61" t="s">
        <v>502</v>
      </c>
      <c r="D1605" s="60">
        <v>1.7228000000000001</v>
      </c>
      <c r="E1605" s="59">
        <v>3.00678</v>
      </c>
      <c r="F1605" s="59">
        <v>3.57551</v>
      </c>
      <c r="G1605" s="56">
        <v>0</v>
      </c>
      <c r="H1605" s="56">
        <v>0</v>
      </c>
      <c r="I1605" s="58">
        <v>0.10764</v>
      </c>
      <c r="J1605" s="57">
        <v>0.22722700000000001</v>
      </c>
      <c r="K1605" s="56"/>
      <c r="L1605" s="56" t="s">
        <v>488</v>
      </c>
    </row>
    <row r="1606" spans="2:12" x14ac:dyDescent="0.2">
      <c r="B1606" s="62" t="s">
        <v>4360</v>
      </c>
      <c r="C1606" s="61" t="s">
        <v>550</v>
      </c>
      <c r="D1606" s="60">
        <v>1.35592</v>
      </c>
      <c r="E1606" s="59">
        <v>3.47132</v>
      </c>
      <c r="F1606" s="59">
        <v>6.6696499999999999</v>
      </c>
      <c r="G1606" s="56">
        <v>0</v>
      </c>
      <c r="H1606" s="56">
        <v>0</v>
      </c>
      <c r="I1606" s="58">
        <v>0.510212</v>
      </c>
      <c r="J1606" s="57">
        <v>0.38892199999999999</v>
      </c>
      <c r="K1606" s="56"/>
      <c r="L1606" s="56" t="s">
        <v>488</v>
      </c>
    </row>
    <row r="1607" spans="2:12" x14ac:dyDescent="0.2">
      <c r="B1607" s="62" t="s">
        <v>4359</v>
      </c>
      <c r="C1607" s="61" t="s">
        <v>510</v>
      </c>
      <c r="D1607" s="60">
        <v>1.26606</v>
      </c>
      <c r="E1607" s="59">
        <v>3.2673399999999999</v>
      </c>
      <c r="F1607" s="59">
        <v>6.2257400000000001</v>
      </c>
      <c r="G1607" s="56">
        <v>0</v>
      </c>
      <c r="H1607" s="56">
        <v>0</v>
      </c>
      <c r="I1607" s="58">
        <v>0.499919</v>
      </c>
      <c r="J1607" s="57">
        <v>0.38785399999999998</v>
      </c>
      <c r="K1607" s="56"/>
      <c r="L1607" s="56" t="s">
        <v>488</v>
      </c>
    </row>
    <row r="1608" spans="2:12" x14ac:dyDescent="0.2">
      <c r="B1608" s="62" t="s">
        <v>4358</v>
      </c>
      <c r="C1608" s="61" t="s">
        <v>612</v>
      </c>
      <c r="D1608" s="60">
        <v>1.36069</v>
      </c>
      <c r="E1608" s="59">
        <v>3.45438</v>
      </c>
      <c r="F1608" s="59">
        <v>5.8774199999999999</v>
      </c>
      <c r="G1608" s="56">
        <v>0</v>
      </c>
      <c r="H1608" s="56">
        <v>0</v>
      </c>
      <c r="I1608" s="58">
        <v>0.161273</v>
      </c>
      <c r="J1608" s="57">
        <v>0.27047599999999999</v>
      </c>
      <c r="K1608" s="56"/>
      <c r="L1608" s="56" t="s">
        <v>488</v>
      </c>
    </row>
    <row r="1609" spans="2:12" x14ac:dyDescent="0.2">
      <c r="B1609" s="62" t="s">
        <v>4357</v>
      </c>
      <c r="C1609" s="61" t="s">
        <v>612</v>
      </c>
      <c r="D1609" s="60">
        <v>1.3626199999999999</v>
      </c>
      <c r="E1609" s="59">
        <v>3.51824</v>
      </c>
      <c r="F1609" s="59">
        <v>5.8828100000000001</v>
      </c>
      <c r="G1609" s="56">
        <v>0</v>
      </c>
      <c r="H1609" s="56">
        <v>0</v>
      </c>
      <c r="I1609" s="58">
        <v>0.16048100000000001</v>
      </c>
      <c r="J1609" s="57">
        <v>0.27004400000000001</v>
      </c>
      <c r="K1609" s="56"/>
      <c r="L1609" s="56" t="s">
        <v>488</v>
      </c>
    </row>
    <row r="1610" spans="2:12" x14ac:dyDescent="0.2">
      <c r="B1610" s="62" t="s">
        <v>4356</v>
      </c>
      <c r="C1610" s="61" t="s">
        <v>612</v>
      </c>
      <c r="D1610" s="60">
        <v>1.35798</v>
      </c>
      <c r="E1610" s="59">
        <v>3.5289000000000001</v>
      </c>
      <c r="F1610" s="59">
        <v>5.8860000000000001</v>
      </c>
      <c r="G1610" s="56">
        <v>0</v>
      </c>
      <c r="H1610" s="56">
        <v>0</v>
      </c>
      <c r="I1610" s="58">
        <v>0.16050700000000001</v>
      </c>
      <c r="J1610" s="57">
        <v>0.272034</v>
      </c>
      <c r="K1610" s="56"/>
      <c r="L1610" s="56" t="s">
        <v>488</v>
      </c>
    </row>
    <row r="1611" spans="2:12" x14ac:dyDescent="0.2">
      <c r="B1611" s="62" t="s">
        <v>4355</v>
      </c>
      <c r="C1611" s="61" t="s">
        <v>612</v>
      </c>
      <c r="D1611" s="60">
        <v>1.34629</v>
      </c>
      <c r="E1611" s="59">
        <v>3.5978699999999999</v>
      </c>
      <c r="F1611" s="59">
        <v>5.9383299999999997</v>
      </c>
      <c r="G1611" s="56">
        <v>0</v>
      </c>
      <c r="H1611" s="56">
        <v>0</v>
      </c>
      <c r="I1611" s="58">
        <v>0.16678499999999999</v>
      </c>
      <c r="J1611" s="57">
        <v>0.281107</v>
      </c>
      <c r="K1611" s="56"/>
      <c r="L1611" s="56" t="s">
        <v>488</v>
      </c>
    </row>
    <row r="1612" spans="2:12" x14ac:dyDescent="0.2">
      <c r="B1612" s="62" t="s">
        <v>4354</v>
      </c>
      <c r="C1612" s="61" t="s">
        <v>612</v>
      </c>
      <c r="D1612" s="60">
        <v>1.32826</v>
      </c>
      <c r="E1612" s="59">
        <v>3.6368800000000001</v>
      </c>
      <c r="F1612" s="59">
        <v>5.9802900000000001</v>
      </c>
      <c r="G1612" s="56">
        <v>0</v>
      </c>
      <c r="H1612" s="56">
        <v>0</v>
      </c>
      <c r="I1612" s="58">
        <v>0.16527500000000001</v>
      </c>
      <c r="J1612" s="57">
        <v>0.28920600000000002</v>
      </c>
      <c r="K1612" s="56"/>
      <c r="L1612" s="56" t="s">
        <v>488</v>
      </c>
    </row>
    <row r="1613" spans="2:12" x14ac:dyDescent="0.2">
      <c r="B1613" s="62" t="s">
        <v>4353</v>
      </c>
      <c r="C1613" s="61" t="s">
        <v>612</v>
      </c>
      <c r="D1613" s="60">
        <v>1.3302499999999999</v>
      </c>
      <c r="E1613" s="59">
        <v>3.6246200000000002</v>
      </c>
      <c r="F1613" s="59">
        <v>5.9578600000000002</v>
      </c>
      <c r="G1613" s="56">
        <v>0</v>
      </c>
      <c r="H1613" s="56">
        <v>0</v>
      </c>
      <c r="I1613" s="58">
        <v>0.162852</v>
      </c>
      <c r="J1613" s="57">
        <v>0.28911599999999998</v>
      </c>
      <c r="K1613" s="56"/>
      <c r="L1613" s="56" t="s">
        <v>488</v>
      </c>
    </row>
    <row r="1614" spans="2:12" x14ac:dyDescent="0.2">
      <c r="B1614" s="62" t="s">
        <v>4352</v>
      </c>
      <c r="C1614" s="61" t="s">
        <v>1473</v>
      </c>
      <c r="D1614" s="60">
        <v>1.1791100000000001</v>
      </c>
      <c r="E1614" s="59">
        <v>5.0311300000000001</v>
      </c>
      <c r="F1614" s="59">
        <v>7.2579099999999999</v>
      </c>
      <c r="G1614" s="56">
        <v>1195.25</v>
      </c>
      <c r="H1614" s="56">
        <v>1013.69</v>
      </c>
      <c r="I1614" s="58">
        <v>0.60167000000000004</v>
      </c>
      <c r="J1614" s="57">
        <v>0.48734499999999997</v>
      </c>
      <c r="K1614" s="56"/>
      <c r="L1614" s="56" t="s">
        <v>488</v>
      </c>
    </row>
    <row r="1615" spans="2:12" x14ac:dyDescent="0.2">
      <c r="B1615" s="62" t="s">
        <v>4351</v>
      </c>
      <c r="C1615" s="61" t="s">
        <v>502</v>
      </c>
      <c r="D1615" s="60">
        <v>1.38697</v>
      </c>
      <c r="E1615" s="59">
        <v>2.9743300000000001</v>
      </c>
      <c r="F1615" s="59">
        <v>5.39588</v>
      </c>
      <c r="G1615" s="56">
        <v>0</v>
      </c>
      <c r="H1615" s="56">
        <v>0</v>
      </c>
      <c r="I1615" s="58">
        <v>0.23068900000000001</v>
      </c>
      <c r="J1615" s="57">
        <v>0.32388600000000001</v>
      </c>
      <c r="K1615" s="56"/>
      <c r="L1615" s="56" t="s">
        <v>488</v>
      </c>
    </row>
    <row r="1616" spans="2:12" x14ac:dyDescent="0.2">
      <c r="B1616" s="62" t="s">
        <v>4350</v>
      </c>
      <c r="C1616" s="61" t="s">
        <v>632</v>
      </c>
      <c r="D1616" s="60">
        <v>2.2254</v>
      </c>
      <c r="E1616" s="59">
        <v>2.6369699999999998</v>
      </c>
      <c r="F1616" s="59">
        <v>3.5055900000000002</v>
      </c>
      <c r="G1616" s="56">
        <v>0</v>
      </c>
      <c r="H1616" s="56">
        <v>0</v>
      </c>
      <c r="I1616" s="58">
        <v>0.27561200000000002</v>
      </c>
      <c r="J1616" s="57">
        <v>0.19073599999999999</v>
      </c>
      <c r="K1616" s="56"/>
      <c r="L1616" s="56" t="s">
        <v>488</v>
      </c>
    </row>
    <row r="1617" spans="2:12" x14ac:dyDescent="0.2">
      <c r="B1617" s="62" t="s">
        <v>4349</v>
      </c>
      <c r="C1617" s="61" t="s">
        <v>499</v>
      </c>
      <c r="D1617" s="60">
        <v>0.916107</v>
      </c>
      <c r="E1617" s="59">
        <v>5.6762300000000003</v>
      </c>
      <c r="F1617" s="59">
        <v>5.9763700000000002</v>
      </c>
      <c r="G1617" s="56">
        <v>1726.75</v>
      </c>
      <c r="H1617" s="56">
        <v>1884.88</v>
      </c>
      <c r="I1617" s="58">
        <v>0.67833500000000002</v>
      </c>
      <c r="J1617" s="57">
        <v>0.70551900000000001</v>
      </c>
      <c r="K1617" s="56"/>
      <c r="L1617" s="56" t="s">
        <v>488</v>
      </c>
    </row>
    <row r="1618" spans="2:12" x14ac:dyDescent="0.2">
      <c r="B1618" s="62" t="s">
        <v>4348</v>
      </c>
      <c r="C1618" s="61" t="s">
        <v>880</v>
      </c>
      <c r="D1618" s="60">
        <v>1.79786</v>
      </c>
      <c r="E1618" s="59">
        <v>5.0859699999999997</v>
      </c>
      <c r="F1618" s="59">
        <v>7.3712</v>
      </c>
      <c r="G1618" s="56">
        <v>722.84799999999996</v>
      </c>
      <c r="H1618" s="56">
        <v>402.06099999999998</v>
      </c>
      <c r="I1618" s="58">
        <v>0.32094800000000001</v>
      </c>
      <c r="J1618" s="57">
        <v>0.25013000000000002</v>
      </c>
      <c r="K1618" s="56"/>
      <c r="L1618" s="56" t="s">
        <v>488</v>
      </c>
    </row>
    <row r="1619" spans="2:12" x14ac:dyDescent="0.2">
      <c r="B1619" s="62" t="s">
        <v>4347</v>
      </c>
      <c r="C1619" s="61" t="s">
        <v>1668</v>
      </c>
      <c r="D1619" s="60">
        <v>1.9693499999999999</v>
      </c>
      <c r="E1619" s="59">
        <v>5.0190999999999999</v>
      </c>
      <c r="F1619" s="59">
        <v>7.1295200000000003</v>
      </c>
      <c r="G1619" s="56">
        <v>682.26400000000001</v>
      </c>
      <c r="H1619" s="56">
        <v>346.44200000000001</v>
      </c>
      <c r="I1619" s="58">
        <v>0.31740299999999999</v>
      </c>
      <c r="J1619" s="57">
        <v>0.21770400000000001</v>
      </c>
      <c r="K1619" s="56"/>
      <c r="L1619" s="56" t="s">
        <v>488</v>
      </c>
    </row>
    <row r="1620" spans="2:12" x14ac:dyDescent="0.2">
      <c r="B1620" s="62" t="s">
        <v>4346</v>
      </c>
      <c r="C1620" s="61" t="s">
        <v>502</v>
      </c>
      <c r="D1620" s="60">
        <v>0.84049300000000005</v>
      </c>
      <c r="E1620" s="59">
        <v>4.9603400000000004</v>
      </c>
      <c r="F1620" s="59">
        <v>11.326739999999999</v>
      </c>
      <c r="G1620" s="56">
        <v>1829.2</v>
      </c>
      <c r="H1620" s="56">
        <v>2176.34</v>
      </c>
      <c r="I1620" s="58">
        <v>0.72998099999999999</v>
      </c>
      <c r="J1620" s="57">
        <v>0.82200799999999996</v>
      </c>
      <c r="K1620" s="56"/>
      <c r="L1620" s="56" t="s">
        <v>488</v>
      </c>
    </row>
    <row r="1621" spans="2:12" x14ac:dyDescent="0.2">
      <c r="B1621" s="62" t="s">
        <v>4345</v>
      </c>
      <c r="C1621" s="61" t="s">
        <v>859</v>
      </c>
      <c r="D1621" s="60">
        <v>2.5330400000000002</v>
      </c>
      <c r="E1621" s="59">
        <v>2.5112199999999998</v>
      </c>
      <c r="F1621" s="59">
        <v>3.2868400000000002</v>
      </c>
      <c r="G1621" s="56">
        <v>0</v>
      </c>
      <c r="H1621" s="56">
        <v>0</v>
      </c>
      <c r="I1621" s="58">
        <v>0.131967</v>
      </c>
      <c r="J1621" s="57">
        <v>0.161692</v>
      </c>
      <c r="K1621" s="56"/>
      <c r="L1621" s="56" t="s">
        <v>488</v>
      </c>
    </row>
    <row r="1622" spans="2:12" x14ac:dyDescent="0.2">
      <c r="B1622" s="62" t="s">
        <v>4344</v>
      </c>
      <c r="C1622" s="61" t="s">
        <v>499</v>
      </c>
      <c r="D1622" s="60">
        <v>0.82710799999999995</v>
      </c>
      <c r="E1622" s="59">
        <v>6.8337000000000003</v>
      </c>
      <c r="F1622" s="59">
        <v>8.4750200000000007</v>
      </c>
      <c r="G1622" s="56">
        <v>1719.4</v>
      </c>
      <c r="H1622" s="56">
        <v>2078.8000000000002</v>
      </c>
      <c r="I1622" s="58">
        <v>0.66208100000000003</v>
      </c>
      <c r="J1622" s="57">
        <v>0.79971999999999999</v>
      </c>
      <c r="K1622" s="56"/>
      <c r="L1622" s="56" t="s">
        <v>488</v>
      </c>
    </row>
    <row r="1623" spans="2:12" x14ac:dyDescent="0.2">
      <c r="B1623" s="62" t="s">
        <v>4343</v>
      </c>
      <c r="C1623" s="61" t="s">
        <v>4303</v>
      </c>
      <c r="D1623" s="60">
        <v>2.7527599999999999</v>
      </c>
      <c r="E1623" s="59">
        <v>4.3693</v>
      </c>
      <c r="F1623" s="59">
        <v>4.7779800000000003</v>
      </c>
      <c r="G1623" s="56">
        <v>915.17499999999995</v>
      </c>
      <c r="H1623" s="56">
        <v>332.45699999999999</v>
      </c>
      <c r="I1623" s="58">
        <v>0.41549199999999997</v>
      </c>
      <c r="J1623" s="57">
        <v>0.17560999999999999</v>
      </c>
      <c r="K1623" s="56"/>
      <c r="L1623" s="56" t="s">
        <v>488</v>
      </c>
    </row>
    <row r="1624" spans="2:12" x14ac:dyDescent="0.2">
      <c r="B1624" s="62" t="s">
        <v>4342</v>
      </c>
      <c r="C1624" s="61" t="s">
        <v>4301</v>
      </c>
      <c r="D1624" s="60">
        <v>2.7740999999999998</v>
      </c>
      <c r="E1624" s="59">
        <v>4.3426299999999998</v>
      </c>
      <c r="F1624" s="59">
        <v>4.7659599999999998</v>
      </c>
      <c r="G1624" s="56">
        <v>911.71699999999998</v>
      </c>
      <c r="H1624" s="56">
        <v>328.65300000000002</v>
      </c>
      <c r="I1624" s="58">
        <v>0.41688900000000001</v>
      </c>
      <c r="J1624" s="57">
        <v>0.17407300000000001</v>
      </c>
      <c r="K1624" s="56"/>
      <c r="L1624" s="56" t="s">
        <v>488</v>
      </c>
    </row>
    <row r="1625" spans="2:12" x14ac:dyDescent="0.2">
      <c r="B1625" s="62" t="s">
        <v>4341</v>
      </c>
      <c r="C1625" s="61" t="s">
        <v>625</v>
      </c>
      <c r="D1625" s="60">
        <v>1.73333</v>
      </c>
      <c r="E1625" s="59">
        <v>2.8361100000000001</v>
      </c>
      <c r="F1625" s="59">
        <v>4.0253500000000004</v>
      </c>
      <c r="G1625" s="56">
        <v>0</v>
      </c>
      <c r="H1625" s="56">
        <v>0</v>
      </c>
      <c r="I1625" s="58">
        <v>0.21360000000000001</v>
      </c>
      <c r="J1625" s="57">
        <v>0.26122800000000002</v>
      </c>
      <c r="K1625" s="56"/>
      <c r="L1625" s="56" t="s">
        <v>488</v>
      </c>
    </row>
    <row r="1626" spans="2:12" x14ac:dyDescent="0.2">
      <c r="B1626" s="62" t="s">
        <v>4340</v>
      </c>
      <c r="C1626" s="61" t="s">
        <v>510</v>
      </c>
      <c r="D1626" s="60">
        <v>0.74012900000000004</v>
      </c>
      <c r="E1626" s="59">
        <v>5.9051</v>
      </c>
      <c r="F1626" s="59">
        <v>9.9370999999999992</v>
      </c>
      <c r="G1626" s="56">
        <v>1990.93</v>
      </c>
      <c r="H1626" s="56">
        <v>2689.98</v>
      </c>
      <c r="I1626" s="58">
        <v>0.70441299999999996</v>
      </c>
      <c r="J1626" s="57">
        <v>0.92568499999999998</v>
      </c>
      <c r="K1626" s="56"/>
      <c r="L1626" s="56" t="s">
        <v>488</v>
      </c>
    </row>
    <row r="1627" spans="2:12" x14ac:dyDescent="0.2">
      <c r="B1627" s="62" t="s">
        <v>4339</v>
      </c>
      <c r="C1627" s="61" t="s">
        <v>526</v>
      </c>
      <c r="D1627" s="60">
        <v>1.0022</v>
      </c>
      <c r="E1627" s="59">
        <v>5.3218800000000002</v>
      </c>
      <c r="F1627" s="59">
        <v>7.0287300000000004</v>
      </c>
      <c r="G1627" s="56">
        <v>1836.67</v>
      </c>
      <c r="H1627" s="56">
        <v>1832.65</v>
      </c>
      <c r="I1627" s="58">
        <v>0.64728300000000005</v>
      </c>
      <c r="J1627" s="57">
        <v>0.63168599999999997</v>
      </c>
      <c r="K1627" s="56"/>
      <c r="L1627" s="56" t="s">
        <v>488</v>
      </c>
    </row>
    <row r="1628" spans="2:12" x14ac:dyDescent="0.2">
      <c r="B1628" s="62" t="s">
        <v>4338</v>
      </c>
      <c r="C1628" s="61" t="s">
        <v>4337</v>
      </c>
      <c r="D1628" s="60">
        <v>1.27695</v>
      </c>
      <c r="E1628" s="59">
        <v>3.9398</v>
      </c>
      <c r="F1628" s="59">
        <v>6.3936900000000003</v>
      </c>
      <c r="G1628" s="56">
        <v>994.053</v>
      </c>
      <c r="H1628" s="56">
        <v>778.45600000000002</v>
      </c>
      <c r="I1628" s="58">
        <v>0.49877899999999997</v>
      </c>
      <c r="J1628" s="57">
        <v>0.44512499999999999</v>
      </c>
      <c r="K1628" s="56"/>
      <c r="L1628" s="56" t="s">
        <v>488</v>
      </c>
    </row>
    <row r="1629" spans="2:12" x14ac:dyDescent="0.2">
      <c r="B1629" s="62" t="s">
        <v>4336</v>
      </c>
      <c r="C1629" s="61" t="s">
        <v>550</v>
      </c>
      <c r="D1629" s="60">
        <v>1.3466400000000001</v>
      </c>
      <c r="E1629" s="59">
        <v>4.4148399999999999</v>
      </c>
      <c r="F1629" s="59">
        <v>6.2316399999999996</v>
      </c>
      <c r="G1629" s="56">
        <v>807.32600000000002</v>
      </c>
      <c r="H1629" s="56">
        <v>599.51199999999994</v>
      </c>
      <c r="I1629" s="58">
        <v>0.39764300000000002</v>
      </c>
      <c r="J1629" s="57">
        <v>0.37245299999999998</v>
      </c>
      <c r="K1629" s="56"/>
      <c r="L1629" s="56" t="s">
        <v>492</v>
      </c>
    </row>
    <row r="1630" spans="2:12" x14ac:dyDescent="0.2">
      <c r="B1630" s="62" t="s">
        <v>4335</v>
      </c>
      <c r="C1630" s="61" t="s">
        <v>495</v>
      </c>
      <c r="D1630" s="60">
        <v>1.2946299999999999</v>
      </c>
      <c r="E1630" s="59">
        <v>4.2615699999999999</v>
      </c>
      <c r="F1630" s="59">
        <v>5.9567699999999997</v>
      </c>
      <c r="G1630" s="56">
        <v>552.62099999999998</v>
      </c>
      <c r="H1630" s="56">
        <v>426.85700000000003</v>
      </c>
      <c r="I1630" s="58">
        <v>0.47347899999999998</v>
      </c>
      <c r="J1630" s="57">
        <v>0.39698</v>
      </c>
      <c r="K1630" s="56"/>
      <c r="L1630" s="56" t="s">
        <v>488</v>
      </c>
    </row>
    <row r="1631" spans="2:12" x14ac:dyDescent="0.2">
      <c r="B1631" s="62" t="s">
        <v>4334</v>
      </c>
      <c r="C1631" s="61" t="s">
        <v>1226</v>
      </c>
      <c r="D1631" s="60">
        <v>1.5625199999999999</v>
      </c>
      <c r="E1631" s="59">
        <v>3.3894199999999999</v>
      </c>
      <c r="F1631" s="59">
        <v>5.4257200000000001</v>
      </c>
      <c r="G1631" s="56">
        <v>0</v>
      </c>
      <c r="H1631" s="56">
        <v>0</v>
      </c>
      <c r="I1631" s="58">
        <v>0.37948500000000002</v>
      </c>
      <c r="J1631" s="57">
        <v>0.31956299999999999</v>
      </c>
      <c r="K1631" s="56"/>
      <c r="L1631" s="56" t="s">
        <v>492</v>
      </c>
    </row>
    <row r="1632" spans="2:12" x14ac:dyDescent="0.2">
      <c r="B1632" s="62" t="s">
        <v>4333</v>
      </c>
      <c r="C1632" s="61" t="s">
        <v>541</v>
      </c>
      <c r="D1632" s="60">
        <v>1.0366299999999999</v>
      </c>
      <c r="E1632" s="59">
        <v>6.0004799999999996</v>
      </c>
      <c r="F1632" s="59">
        <v>6.9463200000000001</v>
      </c>
      <c r="G1632" s="56">
        <v>2221.36</v>
      </c>
      <c r="H1632" s="56">
        <v>2142.86</v>
      </c>
      <c r="I1632" s="58">
        <v>0.68136600000000003</v>
      </c>
      <c r="J1632" s="57">
        <v>0.66632499999999995</v>
      </c>
      <c r="K1632" s="56"/>
      <c r="L1632" s="56" t="s">
        <v>488</v>
      </c>
    </row>
    <row r="1633" spans="2:12" x14ac:dyDescent="0.2">
      <c r="B1633" s="62" t="s">
        <v>4332</v>
      </c>
      <c r="C1633" s="61" t="s">
        <v>541</v>
      </c>
      <c r="D1633" s="60">
        <v>1.0177</v>
      </c>
      <c r="E1633" s="59">
        <v>6.3882000000000003</v>
      </c>
      <c r="F1633" s="59">
        <v>7.0552099999999998</v>
      </c>
      <c r="G1633" s="56">
        <v>2218.98</v>
      </c>
      <c r="H1633" s="56">
        <v>2180.39</v>
      </c>
      <c r="I1633" s="58">
        <v>0.69220899999999996</v>
      </c>
      <c r="J1633" s="57">
        <v>0.68488199999999999</v>
      </c>
      <c r="K1633" s="56"/>
      <c r="L1633" s="56" t="s">
        <v>488</v>
      </c>
    </row>
    <row r="1634" spans="2:12" x14ac:dyDescent="0.2">
      <c r="B1634" s="62" t="s">
        <v>4331</v>
      </c>
      <c r="C1634" s="61" t="s">
        <v>541</v>
      </c>
      <c r="D1634" s="60">
        <v>1.0276700000000001</v>
      </c>
      <c r="E1634" s="59">
        <v>6.2091599999999998</v>
      </c>
      <c r="F1634" s="59">
        <v>6.8598699999999999</v>
      </c>
      <c r="G1634" s="56">
        <v>2187.4299999999998</v>
      </c>
      <c r="H1634" s="56">
        <v>2128.54</v>
      </c>
      <c r="I1634" s="58">
        <v>0.68472599999999995</v>
      </c>
      <c r="J1634" s="57">
        <v>0.67495099999999997</v>
      </c>
      <c r="K1634" s="56"/>
      <c r="L1634" s="56" t="s">
        <v>488</v>
      </c>
    </row>
    <row r="1635" spans="2:12" x14ac:dyDescent="0.2">
      <c r="B1635" s="62" t="s">
        <v>4330</v>
      </c>
      <c r="C1635" s="61" t="s">
        <v>550</v>
      </c>
      <c r="D1635" s="60">
        <v>1.5074399999999999</v>
      </c>
      <c r="E1635" s="59">
        <v>5.6930199999999997</v>
      </c>
      <c r="F1635" s="59">
        <v>6.0455100000000002</v>
      </c>
      <c r="G1635" s="56">
        <v>948.90599999999995</v>
      </c>
      <c r="H1635" s="56">
        <v>629.48199999999997</v>
      </c>
      <c r="I1635" s="58">
        <v>0.44292100000000001</v>
      </c>
      <c r="J1635" s="57">
        <v>0.32668399999999997</v>
      </c>
      <c r="K1635" s="56"/>
      <c r="L1635" s="56" t="s">
        <v>488</v>
      </c>
    </row>
    <row r="1636" spans="2:12" x14ac:dyDescent="0.2">
      <c r="B1636" s="62" t="s">
        <v>4329</v>
      </c>
      <c r="C1636" s="61" t="s">
        <v>502</v>
      </c>
      <c r="D1636" s="60">
        <v>1.2840800000000001</v>
      </c>
      <c r="E1636" s="59">
        <v>3.7408899999999998</v>
      </c>
      <c r="F1636" s="59">
        <v>4.8394700000000004</v>
      </c>
      <c r="G1636" s="56">
        <v>317.81700000000001</v>
      </c>
      <c r="H1636" s="56">
        <v>247.506</v>
      </c>
      <c r="I1636" s="58">
        <v>0.47653600000000002</v>
      </c>
      <c r="J1636" s="57">
        <v>0.39167999999999997</v>
      </c>
      <c r="K1636" s="56"/>
      <c r="L1636" s="56" t="s">
        <v>488</v>
      </c>
    </row>
    <row r="1637" spans="2:12" x14ac:dyDescent="0.2">
      <c r="B1637" s="62" t="s">
        <v>4328</v>
      </c>
      <c r="C1637" s="61" t="s">
        <v>499</v>
      </c>
      <c r="D1637" s="60">
        <v>1.69059</v>
      </c>
      <c r="E1637" s="59">
        <v>3.2350699999999999</v>
      </c>
      <c r="F1637" s="59">
        <v>3.7107199999999998</v>
      </c>
      <c r="G1637" s="56">
        <v>0</v>
      </c>
      <c r="H1637" s="56">
        <v>0</v>
      </c>
      <c r="I1637" s="58">
        <v>0.110904</v>
      </c>
      <c r="J1637" s="57">
        <v>0.22820299999999999</v>
      </c>
      <c r="K1637" s="56"/>
      <c r="L1637" s="56" t="s">
        <v>488</v>
      </c>
    </row>
    <row r="1638" spans="2:12" x14ac:dyDescent="0.2">
      <c r="B1638" s="62" t="s">
        <v>4327</v>
      </c>
      <c r="C1638" s="61" t="s">
        <v>502</v>
      </c>
      <c r="D1638" s="60">
        <v>1.0871</v>
      </c>
      <c r="E1638" s="59">
        <v>5.7691999999999997</v>
      </c>
      <c r="F1638" s="59">
        <v>8.0519300000000005</v>
      </c>
      <c r="G1638" s="56">
        <v>1024.3900000000001</v>
      </c>
      <c r="H1638" s="56">
        <v>942.30799999999999</v>
      </c>
      <c r="I1638" s="58">
        <v>0.39301599999999998</v>
      </c>
      <c r="J1638" s="57">
        <v>0.55947999999999998</v>
      </c>
      <c r="K1638" s="56"/>
      <c r="L1638" s="56" t="s">
        <v>488</v>
      </c>
    </row>
    <row r="1639" spans="2:12" x14ac:dyDescent="0.2">
      <c r="B1639" s="62" t="s">
        <v>4326</v>
      </c>
      <c r="C1639" s="61" t="s">
        <v>1494</v>
      </c>
      <c r="D1639" s="60">
        <v>1.2408999999999999</v>
      </c>
      <c r="E1639" s="59">
        <v>3.0218400000000001</v>
      </c>
      <c r="F1639" s="59">
        <v>3.88897</v>
      </c>
      <c r="G1639" s="56">
        <v>0</v>
      </c>
      <c r="H1639" s="56">
        <v>0</v>
      </c>
      <c r="I1639" s="58">
        <v>0.29456700000000002</v>
      </c>
      <c r="J1639" s="57">
        <v>0.40251100000000001</v>
      </c>
      <c r="K1639" s="56"/>
      <c r="L1639" s="56" t="s">
        <v>488</v>
      </c>
    </row>
    <row r="1640" spans="2:12" x14ac:dyDescent="0.2">
      <c r="B1640" s="62" t="s">
        <v>4325</v>
      </c>
      <c r="C1640" s="61" t="s">
        <v>1494</v>
      </c>
      <c r="D1640" s="60">
        <v>1.2387900000000001</v>
      </c>
      <c r="E1640" s="59">
        <v>2.95905</v>
      </c>
      <c r="F1640" s="59">
        <v>3.85223</v>
      </c>
      <c r="G1640" s="56">
        <v>0</v>
      </c>
      <c r="H1640" s="56">
        <v>0</v>
      </c>
      <c r="I1640" s="58">
        <v>0.246812</v>
      </c>
      <c r="J1640" s="57">
        <v>0.39538099999999998</v>
      </c>
      <c r="K1640" s="56"/>
      <c r="L1640" s="56" t="s">
        <v>730</v>
      </c>
    </row>
    <row r="1641" spans="2:12" x14ac:dyDescent="0.2">
      <c r="B1641" s="62" t="s">
        <v>4324</v>
      </c>
      <c r="C1641" s="61" t="s">
        <v>1494</v>
      </c>
      <c r="D1641" s="60">
        <v>1.23872</v>
      </c>
      <c r="E1641" s="59">
        <v>2.99139</v>
      </c>
      <c r="F1641" s="59">
        <v>3.9208400000000001</v>
      </c>
      <c r="G1641" s="56">
        <v>0</v>
      </c>
      <c r="H1641" s="56">
        <v>0</v>
      </c>
      <c r="I1641" s="58">
        <v>0.238846</v>
      </c>
      <c r="J1641" s="57">
        <v>0.39387</v>
      </c>
      <c r="K1641" s="56"/>
      <c r="L1641" s="56" t="s">
        <v>730</v>
      </c>
    </row>
    <row r="1642" spans="2:12" x14ac:dyDescent="0.2">
      <c r="B1642" s="62" t="s">
        <v>4323</v>
      </c>
      <c r="C1642" s="61" t="s">
        <v>1494</v>
      </c>
      <c r="D1642" s="60">
        <v>1.2392399999999999</v>
      </c>
      <c r="E1642" s="59">
        <v>2.9715199999999999</v>
      </c>
      <c r="F1642" s="59">
        <v>3.9114599999999999</v>
      </c>
      <c r="G1642" s="56">
        <v>0</v>
      </c>
      <c r="H1642" s="56">
        <v>0</v>
      </c>
      <c r="I1642" s="58">
        <v>0.24703900000000001</v>
      </c>
      <c r="J1642" s="57">
        <v>0.393733</v>
      </c>
      <c r="K1642" s="56"/>
      <c r="L1642" s="56" t="s">
        <v>730</v>
      </c>
    </row>
    <row r="1643" spans="2:12" x14ac:dyDescent="0.2">
      <c r="B1643" s="62" t="s">
        <v>4322</v>
      </c>
      <c r="C1643" s="61" t="s">
        <v>1494</v>
      </c>
      <c r="D1643" s="60">
        <v>1.242</v>
      </c>
      <c r="E1643" s="59">
        <v>2.9695200000000002</v>
      </c>
      <c r="F1643" s="59">
        <v>3.9144800000000002</v>
      </c>
      <c r="G1643" s="56">
        <v>0</v>
      </c>
      <c r="H1643" s="56">
        <v>0</v>
      </c>
      <c r="I1643" s="58">
        <v>0.227993</v>
      </c>
      <c r="J1643" s="57">
        <v>0.38851799999999997</v>
      </c>
      <c r="K1643" s="56"/>
      <c r="L1643" s="56" t="s">
        <v>730</v>
      </c>
    </row>
    <row r="1644" spans="2:12" x14ac:dyDescent="0.2">
      <c r="B1644" s="62" t="s">
        <v>4321</v>
      </c>
      <c r="C1644" s="61" t="s">
        <v>1494</v>
      </c>
      <c r="D1644" s="60">
        <v>1.24333</v>
      </c>
      <c r="E1644" s="59">
        <v>2.9849700000000001</v>
      </c>
      <c r="F1644" s="59">
        <v>3.90842</v>
      </c>
      <c r="G1644" s="56">
        <v>0</v>
      </c>
      <c r="H1644" s="56">
        <v>0</v>
      </c>
      <c r="I1644" s="58">
        <v>0.23222200000000001</v>
      </c>
      <c r="J1644" s="57">
        <v>0.38841100000000001</v>
      </c>
      <c r="K1644" s="56"/>
      <c r="L1644" s="56" t="s">
        <v>730</v>
      </c>
    </row>
    <row r="1645" spans="2:12" x14ac:dyDescent="0.2">
      <c r="B1645" s="62" t="s">
        <v>4320</v>
      </c>
      <c r="C1645" s="61" t="s">
        <v>1494</v>
      </c>
      <c r="D1645" s="60">
        <v>1.2447299999999999</v>
      </c>
      <c r="E1645" s="59">
        <v>2.98231</v>
      </c>
      <c r="F1645" s="59">
        <v>3.8696999999999999</v>
      </c>
      <c r="G1645" s="56">
        <v>0</v>
      </c>
      <c r="H1645" s="56">
        <v>0</v>
      </c>
      <c r="I1645" s="58">
        <v>0.23572100000000001</v>
      </c>
      <c r="J1645" s="57">
        <v>0.38985999999999998</v>
      </c>
      <c r="K1645" s="56"/>
      <c r="L1645" s="56" t="s">
        <v>730</v>
      </c>
    </row>
    <row r="1646" spans="2:12" x14ac:dyDescent="0.2">
      <c r="B1646" s="62" t="s">
        <v>4319</v>
      </c>
      <c r="C1646" s="61" t="s">
        <v>1494</v>
      </c>
      <c r="D1646" s="60">
        <v>1.2461899999999999</v>
      </c>
      <c r="E1646" s="59">
        <v>2.9836499999999999</v>
      </c>
      <c r="F1646" s="59">
        <v>3.9068999999999998</v>
      </c>
      <c r="G1646" s="56">
        <v>0</v>
      </c>
      <c r="H1646" s="56">
        <v>0</v>
      </c>
      <c r="I1646" s="58">
        <v>0.23311399999999999</v>
      </c>
      <c r="J1646" s="57">
        <v>0.38975700000000002</v>
      </c>
      <c r="K1646" s="56"/>
      <c r="L1646" s="56" t="s">
        <v>730</v>
      </c>
    </row>
    <row r="1647" spans="2:12" x14ac:dyDescent="0.2">
      <c r="B1647" s="62" t="s">
        <v>4318</v>
      </c>
      <c r="C1647" s="61" t="s">
        <v>1494</v>
      </c>
      <c r="D1647" s="60">
        <v>1.2477</v>
      </c>
      <c r="E1647" s="59">
        <v>3.0013999999999998</v>
      </c>
      <c r="F1647" s="59">
        <v>3.9732099999999999</v>
      </c>
      <c r="G1647" s="56">
        <v>0</v>
      </c>
      <c r="H1647" s="56">
        <v>0</v>
      </c>
      <c r="I1647" s="58">
        <v>0.235592</v>
      </c>
      <c r="J1647" s="57">
        <v>0.38945999999999997</v>
      </c>
      <c r="K1647" s="56"/>
      <c r="L1647" s="56" t="s">
        <v>730</v>
      </c>
    </row>
    <row r="1648" spans="2:12" x14ac:dyDescent="0.2">
      <c r="B1648" s="62" t="s">
        <v>4317</v>
      </c>
      <c r="C1648" s="61" t="s">
        <v>550</v>
      </c>
      <c r="D1648" s="60">
        <v>2.01241</v>
      </c>
      <c r="E1648" s="59">
        <v>2.6083799999999999</v>
      </c>
      <c r="F1648" s="59">
        <v>4.92903</v>
      </c>
      <c r="G1648" s="56">
        <v>0</v>
      </c>
      <c r="H1648" s="56">
        <v>0</v>
      </c>
      <c r="I1648" s="58">
        <v>0.24169299999999999</v>
      </c>
      <c r="J1648" s="57">
        <v>0.21001600000000001</v>
      </c>
      <c r="K1648" s="56"/>
      <c r="L1648" s="56" t="s">
        <v>488</v>
      </c>
    </row>
    <row r="1649" spans="2:12" x14ac:dyDescent="0.2">
      <c r="B1649" s="62" t="s">
        <v>4316</v>
      </c>
      <c r="C1649" s="61" t="s">
        <v>502</v>
      </c>
      <c r="D1649" s="60">
        <v>1.19852</v>
      </c>
      <c r="E1649" s="59">
        <v>4.6700699999999999</v>
      </c>
      <c r="F1649" s="59">
        <v>7.6840700000000002</v>
      </c>
      <c r="G1649" s="56">
        <v>1814.54</v>
      </c>
      <c r="H1649" s="56">
        <v>1513.99</v>
      </c>
      <c r="I1649" s="58">
        <v>0.61165099999999994</v>
      </c>
      <c r="J1649" s="57">
        <v>0.52803199999999995</v>
      </c>
      <c r="K1649" s="56"/>
      <c r="L1649" s="56" t="s">
        <v>488</v>
      </c>
    </row>
    <row r="1650" spans="2:12" x14ac:dyDescent="0.2">
      <c r="B1650" s="62" t="s">
        <v>4315</v>
      </c>
      <c r="C1650" s="61" t="s">
        <v>510</v>
      </c>
      <c r="D1650" s="60">
        <v>1.5091600000000001</v>
      </c>
      <c r="E1650" s="59">
        <v>2.4057200000000001</v>
      </c>
      <c r="F1650" s="59">
        <v>4.6649000000000003</v>
      </c>
      <c r="G1650" s="56">
        <v>0</v>
      </c>
      <c r="H1650" s="56">
        <v>0</v>
      </c>
      <c r="I1650" s="58">
        <v>0.130883</v>
      </c>
      <c r="J1650" s="57">
        <v>0.25769500000000001</v>
      </c>
      <c r="K1650" s="56"/>
      <c r="L1650" s="56" t="s">
        <v>488</v>
      </c>
    </row>
    <row r="1651" spans="2:12" x14ac:dyDescent="0.2">
      <c r="B1651" s="62" t="s">
        <v>4314</v>
      </c>
      <c r="C1651" s="61" t="s">
        <v>510</v>
      </c>
      <c r="D1651" s="60">
        <v>1.1915100000000001</v>
      </c>
      <c r="E1651" s="59">
        <v>4.1551</v>
      </c>
      <c r="F1651" s="59">
        <v>4.6918899999999999</v>
      </c>
      <c r="G1651" s="56">
        <v>504.21499999999997</v>
      </c>
      <c r="H1651" s="56">
        <v>423.17099999999999</v>
      </c>
      <c r="I1651" s="58">
        <v>0.23039299999999999</v>
      </c>
      <c r="J1651" s="57">
        <v>0.389625</v>
      </c>
      <c r="K1651" s="56"/>
      <c r="L1651" s="56" t="s">
        <v>488</v>
      </c>
    </row>
    <row r="1652" spans="2:12" x14ac:dyDescent="0.2">
      <c r="B1652" s="62" t="s">
        <v>4313</v>
      </c>
      <c r="C1652" s="61" t="s">
        <v>550</v>
      </c>
      <c r="D1652" s="60">
        <v>1.56809</v>
      </c>
      <c r="E1652" s="59">
        <v>3.8804400000000001</v>
      </c>
      <c r="F1652" s="59">
        <v>5.1772099999999996</v>
      </c>
      <c r="G1652" s="56">
        <v>692.27800000000002</v>
      </c>
      <c r="H1652" s="56">
        <v>441.47699999999998</v>
      </c>
      <c r="I1652" s="58">
        <v>0.37535200000000002</v>
      </c>
      <c r="J1652" s="57">
        <v>0.30458299999999999</v>
      </c>
      <c r="K1652" s="56"/>
      <c r="L1652" s="56" t="s">
        <v>488</v>
      </c>
    </row>
    <row r="1653" spans="2:12" x14ac:dyDescent="0.2">
      <c r="B1653" s="62" t="s">
        <v>4312</v>
      </c>
      <c r="C1653" s="61" t="s">
        <v>499</v>
      </c>
      <c r="D1653" s="60">
        <v>1.73465</v>
      </c>
      <c r="E1653" s="59">
        <v>2.8848400000000001</v>
      </c>
      <c r="F1653" s="59">
        <v>4.6257900000000003</v>
      </c>
      <c r="G1653" s="56">
        <v>0</v>
      </c>
      <c r="H1653" s="56">
        <v>0</v>
      </c>
      <c r="I1653" s="58">
        <v>4.4984499999999997E-2</v>
      </c>
      <c r="J1653" s="57">
        <v>0.2349</v>
      </c>
      <c r="K1653" s="56"/>
      <c r="L1653" s="56" t="s">
        <v>492</v>
      </c>
    </row>
    <row r="1654" spans="2:12" x14ac:dyDescent="0.2">
      <c r="B1654" s="62" t="s">
        <v>4311</v>
      </c>
      <c r="C1654" s="61" t="s">
        <v>510</v>
      </c>
      <c r="D1654" s="60">
        <v>1.2359599999999999</v>
      </c>
      <c r="E1654" s="59">
        <v>3.0329700000000002</v>
      </c>
      <c r="F1654" s="59">
        <v>4.7061400000000004</v>
      </c>
      <c r="G1654" s="56">
        <v>0</v>
      </c>
      <c r="H1654" s="56">
        <v>0</v>
      </c>
      <c r="I1654" s="58">
        <v>0.41721599999999998</v>
      </c>
      <c r="J1654" s="57">
        <v>0.40684599999999999</v>
      </c>
      <c r="K1654" s="56"/>
      <c r="L1654" s="56" t="s">
        <v>488</v>
      </c>
    </row>
    <row r="1655" spans="2:12" x14ac:dyDescent="0.2">
      <c r="B1655" s="62" t="s">
        <v>4310</v>
      </c>
      <c r="C1655" s="61" t="s">
        <v>499</v>
      </c>
      <c r="D1655" s="60">
        <v>1.2672000000000001</v>
      </c>
      <c r="E1655" s="59">
        <v>3.0536300000000001</v>
      </c>
      <c r="F1655" s="59">
        <v>4.72105</v>
      </c>
      <c r="G1655" s="56">
        <v>0</v>
      </c>
      <c r="H1655" s="56">
        <v>0</v>
      </c>
      <c r="I1655" s="58">
        <v>0.42891099999999999</v>
      </c>
      <c r="J1655" s="57">
        <v>0.41440300000000002</v>
      </c>
      <c r="K1655" s="56"/>
      <c r="L1655" s="56" t="s">
        <v>488</v>
      </c>
    </row>
    <row r="1656" spans="2:12" x14ac:dyDescent="0.2">
      <c r="B1656" s="62" t="s">
        <v>4309</v>
      </c>
      <c r="C1656" s="61" t="s">
        <v>499</v>
      </c>
      <c r="D1656" s="60">
        <v>1.7151000000000001</v>
      </c>
      <c r="E1656" s="59">
        <v>3.2557200000000002</v>
      </c>
      <c r="F1656" s="59">
        <v>7.8017099999999999</v>
      </c>
      <c r="G1656" s="56">
        <v>0</v>
      </c>
      <c r="H1656" s="56">
        <v>0</v>
      </c>
      <c r="I1656" s="58">
        <v>0.43847000000000003</v>
      </c>
      <c r="J1656" s="57">
        <v>0.30837399999999998</v>
      </c>
      <c r="K1656" s="56"/>
      <c r="L1656" s="56" t="s">
        <v>488</v>
      </c>
    </row>
    <row r="1657" spans="2:12" x14ac:dyDescent="0.2">
      <c r="B1657" s="62" t="s">
        <v>4308</v>
      </c>
      <c r="C1657" s="61" t="s">
        <v>499</v>
      </c>
      <c r="D1657" s="60">
        <v>1.4608300000000001</v>
      </c>
      <c r="E1657" s="59">
        <v>3.71</v>
      </c>
      <c r="F1657" s="59">
        <v>7.7533700000000003</v>
      </c>
      <c r="G1657" s="56">
        <v>0</v>
      </c>
      <c r="H1657" s="56">
        <v>0</v>
      </c>
      <c r="I1657" s="58">
        <v>0.477182</v>
      </c>
      <c r="J1657" s="57">
        <v>0.37168800000000002</v>
      </c>
      <c r="K1657" s="56"/>
      <c r="L1657" s="56" t="s">
        <v>488</v>
      </c>
    </row>
    <row r="1658" spans="2:12" x14ac:dyDescent="0.2">
      <c r="B1658" s="62" t="s">
        <v>4307</v>
      </c>
      <c r="C1658" s="61" t="s">
        <v>499</v>
      </c>
      <c r="D1658" s="60">
        <v>0.78505999999999998</v>
      </c>
      <c r="E1658" s="59">
        <v>5.1208</v>
      </c>
      <c r="F1658" s="59">
        <v>8.6037599999999994</v>
      </c>
      <c r="G1658" s="56">
        <v>2105.17</v>
      </c>
      <c r="H1658" s="56">
        <v>2681.53</v>
      </c>
      <c r="I1658" s="58">
        <v>0.73343000000000003</v>
      </c>
      <c r="J1658" s="57">
        <v>0.87745200000000001</v>
      </c>
      <c r="K1658" s="56"/>
      <c r="L1658" s="56" t="s">
        <v>488</v>
      </c>
    </row>
    <row r="1659" spans="2:12" x14ac:dyDescent="0.2">
      <c r="B1659" s="62" t="s">
        <v>4306</v>
      </c>
      <c r="C1659" s="61" t="s">
        <v>4303</v>
      </c>
      <c r="D1659" s="60">
        <v>2.0617800000000002</v>
      </c>
      <c r="E1659" s="59">
        <v>3.6259800000000002</v>
      </c>
      <c r="F1659" s="59">
        <v>5.5537599999999996</v>
      </c>
      <c r="G1659" s="56">
        <v>0</v>
      </c>
      <c r="H1659" s="56">
        <v>0</v>
      </c>
      <c r="I1659" s="58">
        <v>0.460594</v>
      </c>
      <c r="J1659" s="57">
        <v>0.26542300000000002</v>
      </c>
      <c r="K1659" s="56"/>
      <c r="L1659" s="56" t="s">
        <v>488</v>
      </c>
    </row>
    <row r="1660" spans="2:12" x14ac:dyDescent="0.2">
      <c r="B1660" s="62" t="s">
        <v>4305</v>
      </c>
      <c r="C1660" s="61" t="s">
        <v>4301</v>
      </c>
      <c r="D1660" s="60">
        <v>2.0830700000000002</v>
      </c>
      <c r="E1660" s="59">
        <v>3.5865999999999998</v>
      </c>
      <c r="F1660" s="59">
        <v>5.5556400000000004</v>
      </c>
      <c r="G1660" s="56">
        <v>0</v>
      </c>
      <c r="H1660" s="56">
        <v>0</v>
      </c>
      <c r="I1660" s="58">
        <v>0.46232000000000001</v>
      </c>
      <c r="J1660" s="57">
        <v>0.26189899999999999</v>
      </c>
      <c r="K1660" s="56"/>
      <c r="L1660" s="56" t="s">
        <v>488</v>
      </c>
    </row>
    <row r="1661" spans="2:12" x14ac:dyDescent="0.2">
      <c r="B1661" s="62" t="s">
        <v>4304</v>
      </c>
      <c r="C1661" s="61" t="s">
        <v>4303</v>
      </c>
      <c r="D1661" s="60">
        <v>2.2591399999999999</v>
      </c>
      <c r="E1661" s="59">
        <v>4.5530299999999997</v>
      </c>
      <c r="F1661" s="59">
        <v>6.12669</v>
      </c>
      <c r="G1661" s="56">
        <v>1309.22</v>
      </c>
      <c r="H1661" s="56">
        <v>579.524</v>
      </c>
      <c r="I1661" s="58">
        <v>0.47558899999999998</v>
      </c>
      <c r="J1661" s="57">
        <v>0.25412200000000001</v>
      </c>
      <c r="K1661" s="56"/>
      <c r="L1661" s="56" t="s">
        <v>488</v>
      </c>
    </row>
    <row r="1662" spans="2:12" x14ac:dyDescent="0.2">
      <c r="B1662" s="62" t="s">
        <v>4302</v>
      </c>
      <c r="C1662" s="61" t="s">
        <v>4301</v>
      </c>
      <c r="D1662" s="60">
        <v>2.27942</v>
      </c>
      <c r="E1662" s="59">
        <v>4.5355299999999996</v>
      </c>
      <c r="F1662" s="59">
        <v>6.0819999999999999</v>
      </c>
      <c r="G1662" s="56">
        <v>1301.22</v>
      </c>
      <c r="H1662" s="56">
        <v>570.85599999999999</v>
      </c>
      <c r="I1662" s="58">
        <v>0.47313899999999998</v>
      </c>
      <c r="J1662" s="57">
        <v>0.25105499999999997</v>
      </c>
      <c r="K1662" s="56"/>
      <c r="L1662" s="56" t="s">
        <v>488</v>
      </c>
    </row>
    <row r="1663" spans="2:12" x14ac:dyDescent="0.2">
      <c r="B1663" s="62" t="s">
        <v>4300</v>
      </c>
      <c r="C1663" s="61" t="s">
        <v>499</v>
      </c>
      <c r="D1663" s="60">
        <v>0.93800399999999995</v>
      </c>
      <c r="E1663" s="59">
        <v>6.6235200000000001</v>
      </c>
      <c r="F1663" s="59">
        <v>8.1773600000000002</v>
      </c>
      <c r="G1663" s="56">
        <v>1895.29</v>
      </c>
      <c r="H1663" s="56">
        <v>2020.56</v>
      </c>
      <c r="I1663" s="58">
        <v>0.63678000000000001</v>
      </c>
      <c r="J1663" s="57">
        <v>0.680643</v>
      </c>
      <c r="K1663" s="56"/>
      <c r="L1663" s="56" t="s">
        <v>488</v>
      </c>
    </row>
    <row r="1664" spans="2:12" x14ac:dyDescent="0.2">
      <c r="B1664" s="62" t="s">
        <v>4299</v>
      </c>
      <c r="C1664" s="61" t="s">
        <v>499</v>
      </c>
      <c r="D1664" s="60">
        <v>1.27525</v>
      </c>
      <c r="E1664" s="59">
        <v>2.92557</v>
      </c>
      <c r="F1664" s="59">
        <v>4.7556000000000003</v>
      </c>
      <c r="G1664" s="56">
        <v>0</v>
      </c>
      <c r="H1664" s="56">
        <v>0</v>
      </c>
      <c r="I1664" s="58">
        <v>0.27486899999999997</v>
      </c>
      <c r="J1664" s="57">
        <v>0.37723099999999998</v>
      </c>
      <c r="K1664" s="56"/>
      <c r="L1664" s="56" t="s">
        <v>488</v>
      </c>
    </row>
    <row r="1665" spans="2:12" x14ac:dyDescent="0.2">
      <c r="B1665" s="62" t="s">
        <v>4298</v>
      </c>
      <c r="C1665" s="61" t="s">
        <v>502</v>
      </c>
      <c r="D1665" s="60">
        <v>1.0285599999999999</v>
      </c>
      <c r="E1665" s="59">
        <v>6.2543499999999996</v>
      </c>
      <c r="F1665" s="59">
        <v>6.9435700000000002</v>
      </c>
      <c r="G1665" s="56">
        <v>1513.25</v>
      </c>
      <c r="H1665" s="56">
        <v>1471.23</v>
      </c>
      <c r="I1665" s="58">
        <v>0.52791900000000003</v>
      </c>
      <c r="J1665" s="57">
        <v>0.56560299999999997</v>
      </c>
      <c r="K1665" s="56"/>
      <c r="L1665" s="56" t="s">
        <v>488</v>
      </c>
    </row>
    <row r="1666" spans="2:12" x14ac:dyDescent="0.2">
      <c r="B1666" s="62" t="s">
        <v>4297</v>
      </c>
      <c r="C1666" s="61" t="s">
        <v>502</v>
      </c>
      <c r="D1666" s="60">
        <v>1.7456799999999999</v>
      </c>
      <c r="E1666" s="59">
        <v>2.94252</v>
      </c>
      <c r="F1666" s="59">
        <v>3.49905</v>
      </c>
      <c r="G1666" s="56">
        <v>0</v>
      </c>
      <c r="H1666" s="56">
        <v>0</v>
      </c>
      <c r="I1666" s="58">
        <v>0.10267999999999999</v>
      </c>
      <c r="J1666" s="57">
        <v>0.22248499999999999</v>
      </c>
      <c r="K1666" s="56"/>
      <c r="L1666" s="56" t="s">
        <v>488</v>
      </c>
    </row>
    <row r="1667" spans="2:12" x14ac:dyDescent="0.2">
      <c r="B1667" s="62" t="s">
        <v>4296</v>
      </c>
      <c r="C1667" s="61" t="s">
        <v>708</v>
      </c>
      <c r="D1667" s="60">
        <v>1.08402</v>
      </c>
      <c r="E1667" s="59">
        <v>2.7808999999999999</v>
      </c>
      <c r="F1667" s="59">
        <v>4.77494</v>
      </c>
      <c r="G1667" s="56">
        <v>0</v>
      </c>
      <c r="H1667" s="56">
        <v>0</v>
      </c>
      <c r="I1667" s="58">
        <v>0.26301000000000002</v>
      </c>
      <c r="J1667" s="57">
        <v>0.45222000000000001</v>
      </c>
      <c r="K1667" s="56"/>
      <c r="L1667" s="56" t="s">
        <v>488</v>
      </c>
    </row>
    <row r="1668" spans="2:12" x14ac:dyDescent="0.2">
      <c r="B1668" s="62" t="s">
        <v>4295</v>
      </c>
      <c r="C1668" s="61" t="s">
        <v>1786</v>
      </c>
      <c r="D1668" s="60">
        <v>1.1785699999999999</v>
      </c>
      <c r="E1668" s="59">
        <v>4.2276999999999996</v>
      </c>
      <c r="F1668" s="59">
        <v>6.9290599999999998</v>
      </c>
      <c r="G1668" s="56">
        <v>618.24</v>
      </c>
      <c r="H1668" s="56">
        <v>524.56700000000001</v>
      </c>
      <c r="I1668" s="58">
        <v>0.25848500000000002</v>
      </c>
      <c r="J1668" s="57">
        <v>0.41217100000000001</v>
      </c>
      <c r="K1668" s="56"/>
      <c r="L1668" s="56" t="s">
        <v>488</v>
      </c>
    </row>
    <row r="1669" spans="2:12" x14ac:dyDescent="0.2">
      <c r="B1669" s="62" t="s">
        <v>4294</v>
      </c>
      <c r="C1669" s="61" t="s">
        <v>1786</v>
      </c>
      <c r="D1669" s="60">
        <v>1.4196899999999999</v>
      </c>
      <c r="E1669" s="59">
        <v>2.61069</v>
      </c>
      <c r="F1669" s="59">
        <v>4.9219900000000001</v>
      </c>
      <c r="G1669" s="56">
        <v>0</v>
      </c>
      <c r="H1669" s="56">
        <v>0</v>
      </c>
      <c r="I1669" s="58">
        <v>0.10926</v>
      </c>
      <c r="J1669" s="57">
        <v>0.27169700000000002</v>
      </c>
      <c r="K1669" s="56"/>
      <c r="L1669" s="56" t="s">
        <v>488</v>
      </c>
    </row>
    <row r="1670" spans="2:12" x14ac:dyDescent="0.2">
      <c r="B1670" s="62" t="s">
        <v>4293</v>
      </c>
      <c r="C1670" s="61" t="s">
        <v>2445</v>
      </c>
      <c r="D1670" s="60">
        <v>1.26616</v>
      </c>
      <c r="E1670" s="59">
        <v>6.3054399999999999</v>
      </c>
      <c r="F1670" s="59">
        <v>9.34267</v>
      </c>
      <c r="G1670" s="56">
        <v>893.05799999999999</v>
      </c>
      <c r="H1670" s="56">
        <v>705.33100000000002</v>
      </c>
      <c r="I1670" s="58">
        <v>0.50817100000000004</v>
      </c>
      <c r="J1670" s="57">
        <v>0.448347</v>
      </c>
      <c r="K1670" s="56"/>
      <c r="L1670" s="56" t="s">
        <v>624</v>
      </c>
    </row>
    <row r="1671" spans="2:12" x14ac:dyDescent="0.2">
      <c r="B1671" s="62" t="s">
        <v>4292</v>
      </c>
      <c r="C1671" s="61" t="s">
        <v>550</v>
      </c>
      <c r="D1671" s="60">
        <v>1.16865</v>
      </c>
      <c r="E1671" s="59">
        <v>7.2166300000000003</v>
      </c>
      <c r="F1671" s="59">
        <v>8.6471999999999998</v>
      </c>
      <c r="G1671" s="56">
        <v>895.47799999999995</v>
      </c>
      <c r="H1671" s="56">
        <v>766.25099999999998</v>
      </c>
      <c r="I1671" s="58">
        <v>0.50634100000000004</v>
      </c>
      <c r="J1671" s="57">
        <v>0.48919299999999999</v>
      </c>
      <c r="K1671" s="56"/>
      <c r="L1671" s="56" t="s">
        <v>492</v>
      </c>
    </row>
    <row r="1672" spans="2:12" x14ac:dyDescent="0.2">
      <c r="B1672" s="62" t="s">
        <v>4291</v>
      </c>
      <c r="C1672" s="61" t="s">
        <v>3351</v>
      </c>
      <c r="D1672" s="60">
        <v>1.0984100000000001</v>
      </c>
      <c r="E1672" s="59">
        <v>5.6292099999999996</v>
      </c>
      <c r="F1672" s="59">
        <v>9.0718899999999998</v>
      </c>
      <c r="G1672" s="56">
        <v>1054.53</v>
      </c>
      <c r="H1672" s="56">
        <v>960.05399999999997</v>
      </c>
      <c r="I1672" s="58">
        <v>0.49241400000000002</v>
      </c>
      <c r="J1672" s="57">
        <v>0.52436000000000005</v>
      </c>
      <c r="K1672" s="56"/>
      <c r="L1672" s="56" t="s">
        <v>492</v>
      </c>
    </row>
    <row r="1673" spans="2:12" x14ac:dyDescent="0.2">
      <c r="B1673" s="62" t="s">
        <v>4290</v>
      </c>
      <c r="C1673" s="61" t="s">
        <v>1921</v>
      </c>
      <c r="D1673" s="60">
        <v>1.17123</v>
      </c>
      <c r="E1673" s="59">
        <v>8.3530899999999999</v>
      </c>
      <c r="F1673" s="59">
        <v>9.5431600000000003</v>
      </c>
      <c r="G1673" s="56">
        <v>1025.21</v>
      </c>
      <c r="H1673" s="56">
        <v>875.32899999999995</v>
      </c>
      <c r="I1673" s="58">
        <v>0.50242699999999996</v>
      </c>
      <c r="J1673" s="57">
        <v>0.47923300000000002</v>
      </c>
      <c r="K1673" s="56"/>
      <c r="L1673" s="56" t="s">
        <v>624</v>
      </c>
    </row>
    <row r="1674" spans="2:12" x14ac:dyDescent="0.2">
      <c r="B1674" s="62" t="s">
        <v>4289</v>
      </c>
      <c r="C1674" s="61" t="s">
        <v>4288</v>
      </c>
      <c r="D1674" s="60">
        <v>1.70241</v>
      </c>
      <c r="E1674" s="59">
        <v>3.7824</v>
      </c>
      <c r="F1674" s="59">
        <v>4.2295499999999997</v>
      </c>
      <c r="G1674" s="56">
        <v>94.350099999999998</v>
      </c>
      <c r="H1674" s="56">
        <v>55.421399999999998</v>
      </c>
      <c r="I1674" s="58">
        <v>0.14756900000000001</v>
      </c>
      <c r="J1674" s="57">
        <v>0.236377</v>
      </c>
      <c r="K1674" s="56"/>
      <c r="L1674" s="56" t="s">
        <v>488</v>
      </c>
    </row>
    <row r="1675" spans="2:12" x14ac:dyDescent="0.2">
      <c r="B1675" s="62" t="s">
        <v>4287</v>
      </c>
      <c r="C1675" s="61" t="s">
        <v>499</v>
      </c>
      <c r="D1675" s="60">
        <v>1.09032</v>
      </c>
      <c r="E1675" s="59">
        <v>4.7391500000000004</v>
      </c>
      <c r="F1675" s="59">
        <v>6.2252900000000002</v>
      </c>
      <c r="G1675" s="56">
        <v>1064.0899999999999</v>
      </c>
      <c r="H1675" s="56">
        <v>975.94500000000005</v>
      </c>
      <c r="I1675" s="58">
        <v>0.48543399999999998</v>
      </c>
      <c r="J1675" s="57">
        <v>0.50872799999999996</v>
      </c>
      <c r="K1675" s="56"/>
      <c r="L1675" s="56" t="s">
        <v>488</v>
      </c>
    </row>
    <row r="1676" spans="2:12" x14ac:dyDescent="0.2">
      <c r="B1676" s="62" t="s">
        <v>4286</v>
      </c>
      <c r="C1676" s="61" t="s">
        <v>2110</v>
      </c>
      <c r="D1676" s="60">
        <v>0.86833499999999997</v>
      </c>
      <c r="E1676" s="59">
        <v>7.8464799999999997</v>
      </c>
      <c r="F1676" s="59">
        <v>9.6657399999999996</v>
      </c>
      <c r="G1676" s="56">
        <v>1805.15</v>
      </c>
      <c r="H1676" s="56">
        <v>2078.86</v>
      </c>
      <c r="I1676" s="58">
        <v>0.601796</v>
      </c>
      <c r="J1676" s="57">
        <v>0.76536899999999997</v>
      </c>
      <c r="K1676" s="56"/>
      <c r="L1676" s="56" t="s">
        <v>488</v>
      </c>
    </row>
    <row r="1677" spans="2:12" x14ac:dyDescent="0.2">
      <c r="B1677" s="62" t="s">
        <v>4285</v>
      </c>
      <c r="C1677" s="61" t="s">
        <v>550</v>
      </c>
      <c r="D1677" s="60">
        <v>1.10555</v>
      </c>
      <c r="E1677" s="59">
        <v>8.8138900000000007</v>
      </c>
      <c r="F1677" s="59">
        <v>9.8637700000000006</v>
      </c>
      <c r="G1677" s="56">
        <v>1119.31</v>
      </c>
      <c r="H1677" s="56">
        <v>1012.45</v>
      </c>
      <c r="I1677" s="58">
        <v>0.54504699999999995</v>
      </c>
      <c r="J1677" s="57">
        <v>0.54088499999999995</v>
      </c>
      <c r="K1677" s="56"/>
      <c r="L1677" s="56" t="s">
        <v>492</v>
      </c>
    </row>
    <row r="1678" spans="2:12" x14ac:dyDescent="0.2">
      <c r="B1678" s="62" t="s">
        <v>4284</v>
      </c>
      <c r="C1678" s="61" t="s">
        <v>550</v>
      </c>
      <c r="D1678" s="60">
        <v>1.11842</v>
      </c>
      <c r="E1678" s="59">
        <v>4.0427099999999996</v>
      </c>
      <c r="F1678" s="59">
        <v>4.8728899999999999</v>
      </c>
      <c r="G1678" s="56">
        <v>1099.47</v>
      </c>
      <c r="H1678" s="56">
        <v>983.05399999999997</v>
      </c>
      <c r="I1678" s="58">
        <v>0.54590899999999998</v>
      </c>
      <c r="J1678" s="57">
        <v>0.50303600000000004</v>
      </c>
      <c r="K1678" s="56"/>
      <c r="L1678" s="56" t="s">
        <v>488</v>
      </c>
    </row>
    <row r="1679" spans="2:12" x14ac:dyDescent="0.2">
      <c r="B1679" s="62" t="s">
        <v>4283</v>
      </c>
      <c r="C1679" s="61" t="s">
        <v>550</v>
      </c>
      <c r="D1679" s="60">
        <v>1.60368</v>
      </c>
      <c r="E1679" s="59">
        <v>3.2743799999999998</v>
      </c>
      <c r="F1679" s="59">
        <v>4.5893499999999996</v>
      </c>
      <c r="G1679" s="56">
        <v>0</v>
      </c>
      <c r="H1679" s="56">
        <v>0</v>
      </c>
      <c r="I1679" s="58">
        <v>0.38836599999999999</v>
      </c>
      <c r="J1679" s="57">
        <v>0.312807</v>
      </c>
      <c r="K1679" s="56"/>
      <c r="L1679" s="56" t="s">
        <v>488</v>
      </c>
    </row>
    <row r="1680" spans="2:12" x14ac:dyDescent="0.2">
      <c r="B1680" s="62" t="s">
        <v>4282</v>
      </c>
      <c r="C1680" s="61" t="s">
        <v>499</v>
      </c>
      <c r="D1680" s="60">
        <v>1.9384699999999999</v>
      </c>
      <c r="E1680" s="59">
        <v>2.6011199999999999</v>
      </c>
      <c r="F1680" s="59">
        <v>3.7584900000000001</v>
      </c>
      <c r="G1680" s="56">
        <v>0</v>
      </c>
      <c r="H1680" s="56">
        <v>0</v>
      </c>
      <c r="I1680" s="58">
        <v>8.8861599999999999E-2</v>
      </c>
      <c r="J1680" s="57">
        <v>0.18663299999999999</v>
      </c>
      <c r="K1680" s="56"/>
      <c r="L1680" s="56" t="s">
        <v>488</v>
      </c>
    </row>
    <row r="1681" spans="2:12" x14ac:dyDescent="0.2">
      <c r="B1681" s="62" t="s">
        <v>4281</v>
      </c>
      <c r="C1681" s="61" t="s">
        <v>499</v>
      </c>
      <c r="D1681" s="60">
        <v>1.3926700000000001</v>
      </c>
      <c r="E1681" s="59">
        <v>3.4037700000000002</v>
      </c>
      <c r="F1681" s="59">
        <v>5.2236099999999999</v>
      </c>
      <c r="G1681" s="56">
        <v>0</v>
      </c>
      <c r="H1681" s="56">
        <v>0</v>
      </c>
      <c r="I1681" s="58">
        <v>0.247085</v>
      </c>
      <c r="J1681" s="57">
        <v>0.31292399999999998</v>
      </c>
      <c r="K1681" s="56"/>
      <c r="L1681" s="56" t="s">
        <v>488</v>
      </c>
    </row>
    <row r="1682" spans="2:12" x14ac:dyDescent="0.2">
      <c r="B1682" s="62" t="s">
        <v>4280</v>
      </c>
      <c r="C1682" s="61" t="s">
        <v>510</v>
      </c>
      <c r="D1682" s="60">
        <v>0.706681</v>
      </c>
      <c r="E1682" s="59">
        <v>8.4059899999999992</v>
      </c>
      <c r="F1682" s="59">
        <v>9.0578800000000008</v>
      </c>
      <c r="G1682" s="56">
        <v>1956.34</v>
      </c>
      <c r="H1682" s="56">
        <v>2768.34</v>
      </c>
      <c r="I1682" s="58">
        <v>0.73296099999999997</v>
      </c>
      <c r="J1682" s="57">
        <v>0.99024500000000004</v>
      </c>
      <c r="K1682" s="56"/>
      <c r="L1682" s="56" t="s">
        <v>488</v>
      </c>
    </row>
    <row r="1683" spans="2:12" x14ac:dyDescent="0.2">
      <c r="B1683" s="62" t="s">
        <v>4279</v>
      </c>
      <c r="C1683" s="61" t="s">
        <v>499</v>
      </c>
      <c r="D1683" s="60">
        <v>1.5493399999999999</v>
      </c>
      <c r="E1683" s="59">
        <v>2.9795400000000001</v>
      </c>
      <c r="F1683" s="59">
        <v>4.33819</v>
      </c>
      <c r="G1683" s="56">
        <v>0</v>
      </c>
      <c r="H1683" s="56">
        <v>0</v>
      </c>
      <c r="I1683" s="58">
        <v>0.30627700000000002</v>
      </c>
      <c r="J1683" s="57">
        <v>0.32131999999999999</v>
      </c>
      <c r="K1683" s="56"/>
      <c r="L1683" s="56" t="s">
        <v>488</v>
      </c>
    </row>
    <row r="1684" spans="2:12" x14ac:dyDescent="0.2">
      <c r="B1684" s="62" t="s">
        <v>4278</v>
      </c>
      <c r="C1684" s="61" t="s">
        <v>499</v>
      </c>
      <c r="D1684" s="60">
        <v>1.5443199999999999</v>
      </c>
      <c r="E1684" s="59">
        <v>3.0048499999999998</v>
      </c>
      <c r="F1684" s="59">
        <v>4.4146599999999996</v>
      </c>
      <c r="G1684" s="56">
        <v>0</v>
      </c>
      <c r="H1684" s="56">
        <v>0</v>
      </c>
      <c r="I1684" s="58">
        <v>0.31418000000000001</v>
      </c>
      <c r="J1684" s="57">
        <v>0.32545200000000002</v>
      </c>
      <c r="K1684" s="56"/>
      <c r="L1684" s="56" t="s">
        <v>488</v>
      </c>
    </row>
    <row r="1685" spans="2:12" x14ac:dyDescent="0.2">
      <c r="B1685" s="62" t="s">
        <v>4277</v>
      </c>
      <c r="C1685" s="61" t="s">
        <v>1120</v>
      </c>
      <c r="D1685" s="60">
        <v>1.7067600000000001</v>
      </c>
      <c r="E1685" s="59">
        <v>3.8021400000000001</v>
      </c>
      <c r="F1685" s="59">
        <v>5.4915399999999996</v>
      </c>
      <c r="G1685" s="56">
        <v>303.97300000000001</v>
      </c>
      <c r="H1685" s="56">
        <v>178.09899999999999</v>
      </c>
      <c r="I1685" s="58">
        <v>0.29027199999999997</v>
      </c>
      <c r="J1685" s="57">
        <v>0.26375500000000002</v>
      </c>
      <c r="K1685" s="56"/>
      <c r="L1685" s="56" t="s">
        <v>492</v>
      </c>
    </row>
    <row r="1686" spans="2:12" x14ac:dyDescent="0.2">
      <c r="B1686" s="62" t="s">
        <v>4276</v>
      </c>
      <c r="C1686" s="61" t="s">
        <v>1139</v>
      </c>
      <c r="D1686" s="60">
        <v>1.66578</v>
      </c>
      <c r="E1686" s="59">
        <v>4.9421299999999997</v>
      </c>
      <c r="F1686" s="59">
        <v>5.58263</v>
      </c>
      <c r="G1686" s="56">
        <v>363.52800000000002</v>
      </c>
      <c r="H1686" s="56">
        <v>218.233</v>
      </c>
      <c r="I1686" s="58">
        <v>0.160691</v>
      </c>
      <c r="J1686" s="57">
        <v>0.19121199999999999</v>
      </c>
      <c r="K1686" s="56"/>
      <c r="L1686" s="56" t="s">
        <v>624</v>
      </c>
    </row>
    <row r="1687" spans="2:12" x14ac:dyDescent="0.2">
      <c r="B1687" s="62" t="s">
        <v>4275</v>
      </c>
      <c r="C1687" s="61" t="s">
        <v>550</v>
      </c>
      <c r="D1687" s="60">
        <v>1.56728</v>
      </c>
      <c r="E1687" s="59">
        <v>4.1234000000000002</v>
      </c>
      <c r="F1687" s="59">
        <v>4.82402</v>
      </c>
      <c r="G1687" s="56">
        <v>374.21800000000002</v>
      </c>
      <c r="H1687" s="56">
        <v>238.76900000000001</v>
      </c>
      <c r="I1687" s="58">
        <v>0.26969700000000002</v>
      </c>
      <c r="J1687" s="57">
        <v>0.272588</v>
      </c>
      <c r="K1687" s="56"/>
      <c r="L1687" s="56" t="s">
        <v>488</v>
      </c>
    </row>
    <row r="1688" spans="2:12" x14ac:dyDescent="0.2">
      <c r="B1688" s="62" t="s">
        <v>4274</v>
      </c>
      <c r="C1688" s="61" t="s">
        <v>502</v>
      </c>
      <c r="D1688" s="60">
        <v>0.25173400000000001</v>
      </c>
      <c r="E1688" s="59">
        <v>15.917540000000001</v>
      </c>
      <c r="F1688" s="59">
        <v>28.4313</v>
      </c>
      <c r="G1688" s="56">
        <v>1373.25</v>
      </c>
      <c r="H1688" s="56">
        <v>5455.15</v>
      </c>
      <c r="I1688" s="58">
        <v>0.92975699999999994</v>
      </c>
      <c r="J1688" s="57">
        <v>3.5824699999999998</v>
      </c>
      <c r="K1688" s="56"/>
      <c r="L1688" s="56" t="s">
        <v>488</v>
      </c>
    </row>
    <row r="1689" spans="2:12" x14ac:dyDescent="0.2">
      <c r="B1689" s="62" t="s">
        <v>4273</v>
      </c>
      <c r="C1689" s="61" t="s">
        <v>499</v>
      </c>
      <c r="D1689" s="60">
        <v>1.2797499999999999</v>
      </c>
      <c r="E1689" s="59">
        <v>3.3926099999999999</v>
      </c>
      <c r="F1689" s="59">
        <v>4.7060700000000004</v>
      </c>
      <c r="G1689" s="56">
        <v>0</v>
      </c>
      <c r="H1689" s="56">
        <v>0</v>
      </c>
      <c r="I1689" s="58">
        <v>0.40388800000000002</v>
      </c>
      <c r="J1689" s="57">
        <v>0.417103</v>
      </c>
      <c r="K1689" s="56"/>
      <c r="L1689" s="56" t="s">
        <v>488</v>
      </c>
    </row>
    <row r="1690" spans="2:12" x14ac:dyDescent="0.2">
      <c r="B1690" s="62" t="s">
        <v>4272</v>
      </c>
      <c r="C1690" s="61" t="s">
        <v>678</v>
      </c>
      <c r="D1690" s="60">
        <v>1.66245</v>
      </c>
      <c r="E1690" s="59">
        <v>2.9871400000000001</v>
      </c>
      <c r="F1690" s="59">
        <v>4.0075200000000004</v>
      </c>
      <c r="G1690" s="56">
        <v>0</v>
      </c>
      <c r="H1690" s="56">
        <v>0</v>
      </c>
      <c r="I1690" s="58">
        <v>0.22197500000000001</v>
      </c>
      <c r="J1690" s="57">
        <v>0.26071699999999998</v>
      </c>
      <c r="K1690" s="56"/>
      <c r="L1690" s="56" t="s">
        <v>488</v>
      </c>
    </row>
    <row r="1691" spans="2:12" x14ac:dyDescent="0.2">
      <c r="B1691" s="62" t="s">
        <v>4271</v>
      </c>
      <c r="C1691" s="61" t="s">
        <v>3024</v>
      </c>
      <c r="D1691" s="60">
        <v>1.8736699999999999</v>
      </c>
      <c r="E1691" s="59">
        <v>2.5160999999999998</v>
      </c>
      <c r="F1691" s="59">
        <v>3.9011100000000001</v>
      </c>
      <c r="G1691" s="56">
        <v>0</v>
      </c>
      <c r="H1691" s="56">
        <v>0</v>
      </c>
      <c r="I1691" s="58">
        <v>0.19774</v>
      </c>
      <c r="J1691" s="57">
        <v>0.22278500000000001</v>
      </c>
      <c r="K1691" s="56"/>
      <c r="L1691" s="56" t="s">
        <v>488</v>
      </c>
    </row>
    <row r="1692" spans="2:12" x14ac:dyDescent="0.2">
      <c r="B1692" s="62" t="s">
        <v>4270</v>
      </c>
      <c r="C1692" s="61" t="s">
        <v>4269</v>
      </c>
      <c r="D1692" s="60">
        <v>1.5603400000000001</v>
      </c>
      <c r="E1692" s="59">
        <v>3.4858199999999999</v>
      </c>
      <c r="F1692" s="59">
        <v>5.3195600000000001</v>
      </c>
      <c r="G1692" s="56">
        <v>0</v>
      </c>
      <c r="H1692" s="56">
        <v>0</v>
      </c>
      <c r="I1692" s="58">
        <v>0.43404199999999998</v>
      </c>
      <c r="J1692" s="57">
        <v>0.39694299999999999</v>
      </c>
      <c r="K1692" s="56"/>
      <c r="L1692" s="56" t="s">
        <v>488</v>
      </c>
    </row>
    <row r="1693" spans="2:12" x14ac:dyDescent="0.2">
      <c r="B1693" s="62" t="s">
        <v>4268</v>
      </c>
      <c r="C1693" s="61" t="s">
        <v>798</v>
      </c>
      <c r="D1693" s="60">
        <v>1.4195599999999999</v>
      </c>
      <c r="E1693" s="59">
        <v>3.6095600000000001</v>
      </c>
      <c r="F1693" s="59">
        <v>4.6820599999999999</v>
      </c>
      <c r="G1693" s="56">
        <v>0</v>
      </c>
      <c r="H1693" s="56">
        <v>0</v>
      </c>
      <c r="I1693" s="58">
        <v>0.26720699999999997</v>
      </c>
      <c r="J1693" s="57">
        <v>0.31606499999999998</v>
      </c>
      <c r="K1693" s="56"/>
      <c r="L1693" s="56" t="s">
        <v>488</v>
      </c>
    </row>
    <row r="1694" spans="2:12" x14ac:dyDescent="0.2">
      <c r="B1694" s="62" t="s">
        <v>4267</v>
      </c>
      <c r="C1694" s="61" t="s">
        <v>495</v>
      </c>
      <c r="D1694" s="60">
        <v>1.65937</v>
      </c>
      <c r="E1694" s="59">
        <v>3.8043499999999999</v>
      </c>
      <c r="F1694" s="59">
        <v>4.8126300000000004</v>
      </c>
      <c r="G1694" s="56">
        <v>484.12400000000002</v>
      </c>
      <c r="H1694" s="56">
        <v>291.75200000000001</v>
      </c>
      <c r="I1694" s="58">
        <v>0.25866699999999998</v>
      </c>
      <c r="J1694" s="57">
        <v>0.27585700000000002</v>
      </c>
      <c r="K1694" s="56"/>
      <c r="L1694" s="56" t="s">
        <v>488</v>
      </c>
    </row>
    <row r="1695" spans="2:12" x14ac:dyDescent="0.2">
      <c r="B1695" s="62" t="s">
        <v>4266</v>
      </c>
      <c r="C1695" s="61" t="s">
        <v>499</v>
      </c>
      <c r="D1695" s="60">
        <v>1.2564599999999999</v>
      </c>
      <c r="E1695" s="59">
        <v>4.3433799999999998</v>
      </c>
      <c r="F1695" s="59">
        <v>4.7882300000000004</v>
      </c>
      <c r="G1695" s="56">
        <v>840.62400000000002</v>
      </c>
      <c r="H1695" s="56">
        <v>669.04200000000003</v>
      </c>
      <c r="I1695" s="58">
        <v>0.52089700000000005</v>
      </c>
      <c r="J1695" s="57">
        <v>0.43897700000000001</v>
      </c>
      <c r="K1695" s="56"/>
      <c r="L1695" s="56" t="s">
        <v>488</v>
      </c>
    </row>
    <row r="1696" spans="2:12" x14ac:dyDescent="0.2">
      <c r="B1696" s="62" t="s">
        <v>4265</v>
      </c>
      <c r="C1696" s="61" t="s">
        <v>550</v>
      </c>
      <c r="D1696" s="60">
        <v>1.38731</v>
      </c>
      <c r="E1696" s="59">
        <v>4.18424</v>
      </c>
      <c r="F1696" s="59">
        <v>5.7073400000000003</v>
      </c>
      <c r="G1696" s="56">
        <v>1255.07</v>
      </c>
      <c r="H1696" s="56">
        <v>904.67899999999997</v>
      </c>
      <c r="I1696" s="58">
        <v>0.54574999999999996</v>
      </c>
      <c r="J1696" s="57">
        <v>0.40476400000000001</v>
      </c>
      <c r="K1696" s="56"/>
      <c r="L1696" s="56" t="s">
        <v>488</v>
      </c>
    </row>
    <row r="1697" spans="2:12" x14ac:dyDescent="0.2">
      <c r="B1697" s="62" t="s">
        <v>4264</v>
      </c>
      <c r="C1697" s="61" t="s">
        <v>550</v>
      </c>
      <c r="D1697" s="60">
        <v>1.6312800000000001</v>
      </c>
      <c r="E1697" s="59">
        <v>2.8234300000000001</v>
      </c>
      <c r="F1697" s="59">
        <v>3.5832299999999999</v>
      </c>
      <c r="G1697" s="56">
        <v>0</v>
      </c>
      <c r="H1697" s="56">
        <v>0</v>
      </c>
      <c r="I1697" s="58">
        <v>0.189445</v>
      </c>
      <c r="J1697" s="57">
        <v>0.25878699999999999</v>
      </c>
      <c r="K1697" s="56"/>
      <c r="L1697" s="56" t="s">
        <v>488</v>
      </c>
    </row>
    <row r="1698" spans="2:12" x14ac:dyDescent="0.2">
      <c r="B1698" s="62" t="s">
        <v>4263</v>
      </c>
      <c r="C1698" s="61" t="s">
        <v>499</v>
      </c>
      <c r="D1698" s="60">
        <v>1.5221899999999999</v>
      </c>
      <c r="E1698" s="59">
        <v>2.5573299999999999</v>
      </c>
      <c r="F1698" s="59">
        <v>3.7025899999999998</v>
      </c>
      <c r="G1698" s="56">
        <v>0</v>
      </c>
      <c r="H1698" s="56">
        <v>0</v>
      </c>
      <c r="I1698" s="58">
        <v>0.11083899999999999</v>
      </c>
      <c r="J1698" s="57">
        <v>0.25691199999999997</v>
      </c>
      <c r="K1698" s="56"/>
      <c r="L1698" s="56" t="s">
        <v>488</v>
      </c>
    </row>
    <row r="1699" spans="2:12" x14ac:dyDescent="0.2">
      <c r="B1699" s="62" t="s">
        <v>4262</v>
      </c>
      <c r="C1699" s="61" t="s">
        <v>499</v>
      </c>
      <c r="D1699" s="60">
        <v>0.73118300000000003</v>
      </c>
      <c r="E1699" s="59">
        <v>12.056570000000001</v>
      </c>
      <c r="F1699" s="59">
        <v>12.5848</v>
      </c>
      <c r="G1699" s="56">
        <v>1594.08</v>
      </c>
      <c r="H1699" s="56">
        <v>2180.14</v>
      </c>
      <c r="I1699" s="58">
        <v>0.70702600000000004</v>
      </c>
      <c r="J1699" s="57">
        <v>0.96938400000000002</v>
      </c>
      <c r="K1699" s="56"/>
      <c r="L1699" s="56" t="s">
        <v>488</v>
      </c>
    </row>
    <row r="1700" spans="2:12" x14ac:dyDescent="0.2">
      <c r="B1700" s="62" t="s">
        <v>4261</v>
      </c>
      <c r="C1700" s="61" t="s">
        <v>499</v>
      </c>
      <c r="D1700" s="60">
        <v>1.1041099999999999</v>
      </c>
      <c r="E1700" s="59">
        <v>4.7299199999999999</v>
      </c>
      <c r="F1700" s="59">
        <v>5.8540099999999997</v>
      </c>
      <c r="G1700" s="56">
        <v>556.73599999999999</v>
      </c>
      <c r="H1700" s="56">
        <v>504.24</v>
      </c>
      <c r="I1700" s="58">
        <v>0.38978600000000002</v>
      </c>
      <c r="J1700" s="57">
        <v>0.45401399999999997</v>
      </c>
      <c r="K1700" s="56"/>
      <c r="L1700" s="56" t="s">
        <v>488</v>
      </c>
    </row>
    <row r="1701" spans="2:12" x14ac:dyDescent="0.2">
      <c r="B1701" s="62" t="s">
        <v>4260</v>
      </c>
      <c r="C1701" s="61" t="s">
        <v>499</v>
      </c>
      <c r="D1701" s="60">
        <v>1.1658200000000001</v>
      </c>
      <c r="E1701" s="59">
        <v>7.9419399999999998</v>
      </c>
      <c r="F1701" s="59">
        <v>15.08334</v>
      </c>
      <c r="G1701" s="56">
        <v>2197.02</v>
      </c>
      <c r="H1701" s="56">
        <v>3760.47</v>
      </c>
      <c r="I1701" s="58">
        <v>0.56754800000000005</v>
      </c>
      <c r="J1701" s="57">
        <v>0.53619799999999995</v>
      </c>
      <c r="K1701" s="56"/>
      <c r="L1701" s="56" t="s">
        <v>488</v>
      </c>
    </row>
    <row r="1702" spans="2:12" x14ac:dyDescent="0.2">
      <c r="B1702" s="62" t="s">
        <v>4259</v>
      </c>
      <c r="C1702" s="61" t="s">
        <v>499</v>
      </c>
      <c r="D1702" s="60">
        <v>0.58424200000000004</v>
      </c>
      <c r="E1702" s="59">
        <v>4.1510400000000001</v>
      </c>
      <c r="F1702" s="59">
        <v>7.8829700000000003</v>
      </c>
      <c r="G1702" s="56">
        <v>1315.57</v>
      </c>
      <c r="H1702" s="56">
        <v>1136.1400000000001</v>
      </c>
      <c r="I1702" s="58">
        <v>0.82670600000000005</v>
      </c>
      <c r="J1702" s="57">
        <v>1.3847499999999999</v>
      </c>
      <c r="K1702" s="56"/>
      <c r="L1702" s="56" t="s">
        <v>488</v>
      </c>
    </row>
    <row r="1703" spans="2:12" x14ac:dyDescent="0.2">
      <c r="B1703" s="62" t="s">
        <v>4258</v>
      </c>
      <c r="C1703" s="61" t="s">
        <v>499</v>
      </c>
      <c r="D1703" s="60">
        <v>1.1579299999999999</v>
      </c>
      <c r="E1703" s="59">
        <v>4.1406599999999996</v>
      </c>
      <c r="F1703" s="59">
        <v>7.9589100000000004</v>
      </c>
      <c r="G1703" s="56">
        <v>1315.85</v>
      </c>
      <c r="H1703" s="56">
        <v>1128.7</v>
      </c>
      <c r="I1703" s="58">
        <v>0.56757999999999997</v>
      </c>
      <c r="J1703" s="57">
        <v>0.541906</v>
      </c>
      <c r="K1703" s="56"/>
      <c r="L1703" s="56" t="s">
        <v>488</v>
      </c>
    </row>
    <row r="1704" spans="2:12" x14ac:dyDescent="0.2">
      <c r="B1704" s="62" t="s">
        <v>4257</v>
      </c>
      <c r="C1704" s="61" t="s">
        <v>2665</v>
      </c>
      <c r="D1704" s="60">
        <v>1.1677299999999999</v>
      </c>
      <c r="E1704" s="59">
        <v>4.4979300000000002</v>
      </c>
      <c r="F1704" s="59">
        <v>6.3053299999999997</v>
      </c>
      <c r="G1704" s="56">
        <v>770.37699999999995</v>
      </c>
      <c r="H1704" s="56">
        <v>659.721</v>
      </c>
      <c r="I1704" s="58">
        <v>0.299734</v>
      </c>
      <c r="J1704" s="57">
        <v>0.445718</v>
      </c>
      <c r="K1704" s="56"/>
      <c r="L1704" s="56" t="s">
        <v>488</v>
      </c>
    </row>
    <row r="1705" spans="2:12" x14ac:dyDescent="0.2">
      <c r="B1705" s="62" t="s">
        <v>4256</v>
      </c>
      <c r="C1705" s="61" t="s">
        <v>499</v>
      </c>
      <c r="D1705" s="60">
        <v>0.85431000000000001</v>
      </c>
      <c r="E1705" s="59">
        <v>6.5722300000000002</v>
      </c>
      <c r="F1705" s="59">
        <v>9.00136</v>
      </c>
      <c r="G1705" s="56">
        <v>1891.74</v>
      </c>
      <c r="H1705" s="56">
        <v>2214.35</v>
      </c>
      <c r="I1705" s="58">
        <v>0.60316199999999998</v>
      </c>
      <c r="J1705" s="57">
        <v>0.81430999999999998</v>
      </c>
      <c r="K1705" s="56"/>
      <c r="L1705" s="56" t="s">
        <v>488</v>
      </c>
    </row>
    <row r="1706" spans="2:12" x14ac:dyDescent="0.2">
      <c r="B1706" s="62" t="s">
        <v>4255</v>
      </c>
      <c r="C1706" s="61" t="s">
        <v>499</v>
      </c>
      <c r="D1706" s="60">
        <v>0.81953699999999996</v>
      </c>
      <c r="E1706" s="59">
        <v>3.2992900000000001</v>
      </c>
      <c r="F1706" s="59">
        <v>11.712770000000001</v>
      </c>
      <c r="G1706" s="56">
        <v>0</v>
      </c>
      <c r="H1706" s="56">
        <v>0</v>
      </c>
      <c r="I1706" s="58">
        <v>0.63410900000000003</v>
      </c>
      <c r="J1706" s="57">
        <v>0.86775599999999997</v>
      </c>
      <c r="K1706" s="56"/>
      <c r="L1706" s="56" t="s">
        <v>488</v>
      </c>
    </row>
    <row r="1707" spans="2:12" x14ac:dyDescent="0.2">
      <c r="B1707" s="62" t="s">
        <v>4254</v>
      </c>
      <c r="C1707" s="61" t="s">
        <v>499</v>
      </c>
      <c r="D1707" s="60">
        <v>0.83399000000000001</v>
      </c>
      <c r="E1707" s="59">
        <v>5.9881399999999996</v>
      </c>
      <c r="F1707" s="59">
        <v>7.5015700000000001</v>
      </c>
      <c r="G1707" s="56">
        <v>1957.24</v>
      </c>
      <c r="H1707" s="56">
        <v>2388.2199999999998</v>
      </c>
      <c r="I1707" s="58">
        <v>0.61004700000000001</v>
      </c>
      <c r="J1707" s="57">
        <v>0.846383</v>
      </c>
      <c r="K1707" s="56"/>
      <c r="L1707" s="56" t="s">
        <v>488</v>
      </c>
    </row>
    <row r="1708" spans="2:12" x14ac:dyDescent="0.2">
      <c r="B1708" s="62" t="s">
        <v>4253</v>
      </c>
      <c r="C1708" s="61" t="s">
        <v>499</v>
      </c>
      <c r="D1708" s="60">
        <v>1.14185</v>
      </c>
      <c r="E1708" s="59">
        <v>4.81311</v>
      </c>
      <c r="F1708" s="59">
        <v>6.8264399999999998</v>
      </c>
      <c r="G1708" s="56">
        <v>1139.78</v>
      </c>
      <c r="H1708" s="56">
        <v>998.18499999999995</v>
      </c>
      <c r="I1708" s="58">
        <v>0.43509300000000001</v>
      </c>
      <c r="J1708" s="57">
        <v>0.5212</v>
      </c>
      <c r="K1708" s="56"/>
      <c r="L1708" s="56" t="s">
        <v>488</v>
      </c>
    </row>
    <row r="1709" spans="2:12" x14ac:dyDescent="0.2">
      <c r="B1709" s="62" t="s">
        <v>4252</v>
      </c>
      <c r="C1709" s="61" t="s">
        <v>502</v>
      </c>
      <c r="D1709" s="60">
        <v>1.48786</v>
      </c>
      <c r="E1709" s="59">
        <v>3.4584199999999998</v>
      </c>
      <c r="F1709" s="59">
        <v>4.52081</v>
      </c>
      <c r="G1709" s="56">
        <v>0</v>
      </c>
      <c r="H1709" s="56">
        <v>0</v>
      </c>
      <c r="I1709" s="58">
        <v>0.17649699999999999</v>
      </c>
      <c r="J1709" s="57">
        <v>0.28016799999999997</v>
      </c>
      <c r="K1709" s="56"/>
      <c r="L1709" s="56" t="s">
        <v>492</v>
      </c>
    </row>
    <row r="1710" spans="2:12" x14ac:dyDescent="0.2">
      <c r="B1710" s="62" t="s">
        <v>4251</v>
      </c>
      <c r="C1710" s="61" t="s">
        <v>1031</v>
      </c>
      <c r="D1710" s="60">
        <v>0.64959599999999995</v>
      </c>
      <c r="E1710" s="59">
        <v>6.8600199999999996</v>
      </c>
      <c r="F1710" s="59">
        <v>11.33189</v>
      </c>
      <c r="G1710" s="56">
        <v>2258.84</v>
      </c>
      <c r="H1710" s="56">
        <v>3477.31</v>
      </c>
      <c r="I1710" s="58">
        <v>0.836758</v>
      </c>
      <c r="J1710" s="57">
        <v>1.1942900000000001</v>
      </c>
      <c r="K1710" s="56"/>
      <c r="L1710" s="56" t="s">
        <v>488</v>
      </c>
    </row>
    <row r="1711" spans="2:12" x14ac:dyDescent="0.2">
      <c r="B1711" s="62" t="s">
        <v>4250</v>
      </c>
      <c r="C1711" s="61" t="s">
        <v>708</v>
      </c>
      <c r="D1711" s="60">
        <v>1.0988199999999999</v>
      </c>
      <c r="E1711" s="59">
        <v>3.46095</v>
      </c>
      <c r="F1711" s="59">
        <v>4.8631399999999996</v>
      </c>
      <c r="G1711" s="56">
        <v>0</v>
      </c>
      <c r="H1711" s="56">
        <v>0</v>
      </c>
      <c r="I1711" s="58">
        <v>0.37463800000000003</v>
      </c>
      <c r="J1711" s="57">
        <v>0.44771</v>
      </c>
      <c r="K1711" s="56"/>
      <c r="L1711" s="56" t="s">
        <v>488</v>
      </c>
    </row>
    <row r="1712" spans="2:12" x14ac:dyDescent="0.2">
      <c r="B1712" s="62" t="s">
        <v>4249</v>
      </c>
      <c r="C1712" s="61" t="s">
        <v>4248</v>
      </c>
      <c r="D1712" s="60">
        <v>1.0079100000000001</v>
      </c>
      <c r="E1712" s="59">
        <v>5.67197</v>
      </c>
      <c r="F1712" s="59">
        <v>10.556139999999999</v>
      </c>
      <c r="G1712" s="56">
        <v>1525.98</v>
      </c>
      <c r="H1712" s="56">
        <v>1514.01</v>
      </c>
      <c r="I1712" s="58">
        <v>0.66004399999999996</v>
      </c>
      <c r="J1712" s="57">
        <v>0.63854</v>
      </c>
      <c r="K1712" s="56"/>
      <c r="L1712" s="56" t="s">
        <v>488</v>
      </c>
    </row>
    <row r="1713" spans="2:12" x14ac:dyDescent="0.2">
      <c r="B1713" s="62" t="s">
        <v>4247</v>
      </c>
      <c r="C1713" s="61" t="s">
        <v>4246</v>
      </c>
      <c r="D1713" s="60">
        <v>1.0501799999999999</v>
      </c>
      <c r="E1713" s="59">
        <v>5.5295399999999999</v>
      </c>
      <c r="F1713" s="59">
        <v>9.9324499999999993</v>
      </c>
      <c r="G1713" s="56">
        <v>1473.87</v>
      </c>
      <c r="H1713" s="56">
        <v>1403.44</v>
      </c>
      <c r="I1713" s="58">
        <v>0.63269399999999998</v>
      </c>
      <c r="J1713" s="57">
        <v>0.60497199999999995</v>
      </c>
      <c r="K1713" s="56" t="s">
        <v>1816</v>
      </c>
      <c r="L1713" s="56" t="s">
        <v>563</v>
      </c>
    </row>
    <row r="1714" spans="2:12" x14ac:dyDescent="0.2">
      <c r="B1714" s="62" t="s">
        <v>4245</v>
      </c>
      <c r="C1714" s="61" t="s">
        <v>510</v>
      </c>
      <c r="D1714" s="60">
        <v>0.903111</v>
      </c>
      <c r="E1714" s="59">
        <v>4.6529999999999996</v>
      </c>
      <c r="F1714" s="59">
        <v>7.45404</v>
      </c>
      <c r="G1714" s="56">
        <v>1711.65</v>
      </c>
      <c r="H1714" s="56">
        <v>1895.28</v>
      </c>
      <c r="I1714" s="58">
        <v>0.62008099999999999</v>
      </c>
      <c r="J1714" s="57">
        <v>0.67940699999999998</v>
      </c>
      <c r="K1714" s="56"/>
      <c r="L1714" s="56" t="s">
        <v>488</v>
      </c>
    </row>
    <row r="1715" spans="2:12" x14ac:dyDescent="0.2">
      <c r="B1715" s="62" t="s">
        <v>4244</v>
      </c>
      <c r="C1715" s="61" t="s">
        <v>499</v>
      </c>
      <c r="D1715" s="60">
        <v>0.91589100000000001</v>
      </c>
      <c r="E1715" s="59">
        <v>4.7588900000000001</v>
      </c>
      <c r="F1715" s="59">
        <v>7.3942699999999997</v>
      </c>
      <c r="G1715" s="56">
        <v>1701.74</v>
      </c>
      <c r="H1715" s="56">
        <v>1858.02</v>
      </c>
      <c r="I1715" s="58">
        <v>0.62278</v>
      </c>
      <c r="J1715" s="57">
        <v>0.67286100000000004</v>
      </c>
      <c r="K1715" s="56"/>
      <c r="L1715" s="56" t="s">
        <v>488</v>
      </c>
    </row>
    <row r="1716" spans="2:12" x14ac:dyDescent="0.2">
      <c r="B1716" s="62" t="s">
        <v>4243</v>
      </c>
      <c r="C1716" s="61" t="s">
        <v>550</v>
      </c>
      <c r="D1716" s="60">
        <v>0.69686400000000004</v>
      </c>
      <c r="E1716" s="59">
        <v>6.5462800000000003</v>
      </c>
      <c r="F1716" s="59">
        <v>8.0440799999999992</v>
      </c>
      <c r="G1716" s="56">
        <v>2079.71</v>
      </c>
      <c r="H1716" s="56">
        <v>2984.38</v>
      </c>
      <c r="I1716" s="58">
        <v>0.71600699999999995</v>
      </c>
      <c r="J1716" s="57">
        <v>1.02651</v>
      </c>
      <c r="K1716" s="56"/>
      <c r="L1716" s="56" t="s">
        <v>488</v>
      </c>
    </row>
    <row r="1717" spans="2:12" x14ac:dyDescent="0.2">
      <c r="B1717" s="62" t="s">
        <v>4242</v>
      </c>
      <c r="C1717" s="61" t="s">
        <v>499</v>
      </c>
      <c r="D1717" s="60">
        <v>1.47566</v>
      </c>
      <c r="E1717" s="59">
        <v>4.9103300000000001</v>
      </c>
      <c r="F1717" s="59">
        <v>5.8642599999999998</v>
      </c>
      <c r="G1717" s="56">
        <v>595.99300000000005</v>
      </c>
      <c r="H1717" s="56">
        <v>403.88099999999997</v>
      </c>
      <c r="I1717" s="58">
        <v>0.37114000000000003</v>
      </c>
      <c r="J1717" s="57">
        <v>0.33805499999999999</v>
      </c>
      <c r="K1717" s="56"/>
      <c r="L1717" s="56" t="s">
        <v>488</v>
      </c>
    </row>
    <row r="1718" spans="2:12" x14ac:dyDescent="0.2">
      <c r="B1718" s="62" t="s">
        <v>4241</v>
      </c>
      <c r="C1718" s="61" t="s">
        <v>526</v>
      </c>
      <c r="D1718" s="60">
        <v>0.81299299999999997</v>
      </c>
      <c r="E1718" s="59">
        <v>7.9546000000000001</v>
      </c>
      <c r="F1718" s="59">
        <v>8.1478000000000002</v>
      </c>
      <c r="G1718" s="56">
        <v>2253.3000000000002</v>
      </c>
      <c r="H1718" s="56">
        <v>2771.61</v>
      </c>
      <c r="I1718" s="58">
        <v>0.83047099999999996</v>
      </c>
      <c r="J1718" s="57">
        <v>0.88384300000000005</v>
      </c>
      <c r="K1718" s="56"/>
      <c r="L1718" s="56" t="s">
        <v>488</v>
      </c>
    </row>
    <row r="1719" spans="2:12" x14ac:dyDescent="0.2">
      <c r="B1719" s="62" t="s">
        <v>4240</v>
      </c>
      <c r="C1719" s="61" t="s">
        <v>499</v>
      </c>
      <c r="D1719" s="60">
        <v>0.98566799999999999</v>
      </c>
      <c r="E1719" s="59">
        <v>3.6478600000000001</v>
      </c>
      <c r="F1719" s="59">
        <v>5.1687099999999999</v>
      </c>
      <c r="G1719" s="56">
        <v>0</v>
      </c>
      <c r="H1719" s="56">
        <v>0</v>
      </c>
      <c r="I1719" s="58">
        <v>0.50785100000000005</v>
      </c>
      <c r="J1719" s="57">
        <v>0.55733600000000005</v>
      </c>
      <c r="K1719" s="56"/>
      <c r="L1719" s="56" t="s">
        <v>488</v>
      </c>
    </row>
    <row r="1720" spans="2:12" x14ac:dyDescent="0.2">
      <c r="B1720" s="62" t="s">
        <v>4239</v>
      </c>
      <c r="C1720" s="61" t="s">
        <v>548</v>
      </c>
      <c r="D1720" s="60">
        <v>1.45949</v>
      </c>
      <c r="E1720" s="59">
        <v>3.4578700000000002</v>
      </c>
      <c r="F1720" s="59">
        <v>7.0198299999999998</v>
      </c>
      <c r="G1720" s="56">
        <v>0</v>
      </c>
      <c r="H1720" s="56">
        <v>0</v>
      </c>
      <c r="I1720" s="58">
        <v>0.81800099999999998</v>
      </c>
      <c r="J1720" s="57">
        <v>0.37756099999999998</v>
      </c>
      <c r="K1720" s="56"/>
      <c r="L1720" s="56" t="s">
        <v>488</v>
      </c>
    </row>
    <row r="1721" spans="2:12" x14ac:dyDescent="0.2">
      <c r="B1721" s="62" t="s">
        <v>4238</v>
      </c>
      <c r="C1721" s="61" t="s">
        <v>1572</v>
      </c>
      <c r="D1721" s="60">
        <v>1.1803999999999999</v>
      </c>
      <c r="E1721" s="59">
        <v>3.9030200000000002</v>
      </c>
      <c r="F1721" s="59">
        <v>5.3361999999999998</v>
      </c>
      <c r="G1721" s="56">
        <v>512.31600000000003</v>
      </c>
      <c r="H1721" s="56">
        <v>434.02</v>
      </c>
      <c r="I1721" s="58">
        <v>0.358016</v>
      </c>
      <c r="J1721" s="57">
        <v>0.45053799999999999</v>
      </c>
      <c r="K1721" s="56"/>
      <c r="L1721" s="56" t="s">
        <v>488</v>
      </c>
    </row>
    <row r="1722" spans="2:12" x14ac:dyDescent="0.2">
      <c r="B1722" s="62" t="s">
        <v>4237</v>
      </c>
      <c r="C1722" s="61" t="s">
        <v>1572</v>
      </c>
      <c r="D1722" s="60">
        <v>1.26918</v>
      </c>
      <c r="E1722" s="59">
        <v>3.52102</v>
      </c>
      <c r="F1722" s="59">
        <v>4.4959800000000003</v>
      </c>
      <c r="G1722" s="56">
        <v>0</v>
      </c>
      <c r="H1722" s="56">
        <v>0</v>
      </c>
      <c r="I1722" s="58">
        <v>0.37324099999999999</v>
      </c>
      <c r="J1722" s="57">
        <v>0.414161</v>
      </c>
      <c r="K1722" s="56"/>
      <c r="L1722" s="56" t="s">
        <v>488</v>
      </c>
    </row>
    <row r="1723" spans="2:12" x14ac:dyDescent="0.2">
      <c r="B1723" s="62" t="s">
        <v>4236</v>
      </c>
      <c r="C1723" s="61" t="s">
        <v>526</v>
      </c>
      <c r="D1723" s="60">
        <v>1.98702</v>
      </c>
      <c r="E1723" s="59">
        <v>2.6345299999999998</v>
      </c>
      <c r="F1723" s="59">
        <v>4.6061899999999998</v>
      </c>
      <c r="G1723" s="56">
        <v>0</v>
      </c>
      <c r="H1723" s="56">
        <v>0</v>
      </c>
      <c r="I1723" s="58">
        <v>0.23505499999999999</v>
      </c>
      <c r="J1723" s="57">
        <v>0.18325900000000001</v>
      </c>
      <c r="K1723" s="56"/>
      <c r="L1723" s="56" t="s">
        <v>730</v>
      </c>
    </row>
    <row r="1724" spans="2:12" x14ac:dyDescent="0.2">
      <c r="B1724" s="62" t="s">
        <v>4235</v>
      </c>
      <c r="C1724" s="61" t="s">
        <v>499</v>
      </c>
      <c r="D1724" s="60">
        <v>2.5495100000000002</v>
      </c>
      <c r="E1724" s="59">
        <v>2.75054</v>
      </c>
      <c r="F1724" s="59">
        <v>3.2409599999999998</v>
      </c>
      <c r="G1724" s="56">
        <v>0</v>
      </c>
      <c r="H1724" s="56">
        <v>0</v>
      </c>
      <c r="I1724" s="58">
        <v>0.14244299999999999</v>
      </c>
      <c r="J1724" s="57">
        <v>0.146787</v>
      </c>
      <c r="K1724" s="56"/>
      <c r="L1724" s="56" t="s">
        <v>488</v>
      </c>
    </row>
    <row r="1725" spans="2:12" x14ac:dyDescent="0.2">
      <c r="B1725" s="62" t="s">
        <v>4234</v>
      </c>
      <c r="C1725" s="61" t="s">
        <v>499</v>
      </c>
      <c r="D1725" s="60">
        <v>2.5186999999999999</v>
      </c>
      <c r="E1725" s="59">
        <v>2.67896</v>
      </c>
      <c r="F1725" s="59">
        <v>3.2297199999999999</v>
      </c>
      <c r="G1725" s="56">
        <v>0</v>
      </c>
      <c r="H1725" s="56">
        <v>0</v>
      </c>
      <c r="I1725" s="58">
        <v>0.15894900000000001</v>
      </c>
      <c r="J1725" s="57">
        <v>0.152782</v>
      </c>
      <c r="K1725" s="56"/>
      <c r="L1725" s="56" t="s">
        <v>488</v>
      </c>
    </row>
    <row r="1726" spans="2:12" x14ac:dyDescent="0.2">
      <c r="B1726" s="62" t="s">
        <v>4233</v>
      </c>
      <c r="C1726" s="61" t="s">
        <v>1637</v>
      </c>
      <c r="D1726" s="60">
        <v>1.8517300000000001</v>
      </c>
      <c r="E1726" s="59">
        <v>2.8443000000000001</v>
      </c>
      <c r="F1726" s="59">
        <v>5.1492199999999997</v>
      </c>
      <c r="G1726" s="56">
        <v>0</v>
      </c>
      <c r="H1726" s="56">
        <v>0</v>
      </c>
      <c r="I1726" s="58">
        <v>0.37262099999999998</v>
      </c>
      <c r="J1726" s="57">
        <v>0.27299099999999998</v>
      </c>
      <c r="K1726" s="56" t="s">
        <v>1816</v>
      </c>
      <c r="L1726" s="56" t="s">
        <v>563</v>
      </c>
    </row>
    <row r="1727" spans="2:12" x14ac:dyDescent="0.2">
      <c r="B1727" s="62" t="s">
        <v>4232</v>
      </c>
      <c r="C1727" s="61" t="s">
        <v>499</v>
      </c>
      <c r="D1727" s="60">
        <v>1.11826</v>
      </c>
      <c r="E1727" s="59">
        <v>9.8164499999999997</v>
      </c>
      <c r="F1727" s="59">
        <v>10.15366</v>
      </c>
      <c r="G1727" s="56">
        <v>1402.02</v>
      </c>
      <c r="H1727" s="56">
        <v>1253.74</v>
      </c>
      <c r="I1727" s="58">
        <v>0.54376800000000003</v>
      </c>
      <c r="J1727" s="57">
        <v>0.57822899999999999</v>
      </c>
      <c r="K1727" s="56"/>
      <c r="L1727" s="56" t="s">
        <v>488</v>
      </c>
    </row>
    <row r="1728" spans="2:12" x14ac:dyDescent="0.2">
      <c r="B1728" s="62" t="s">
        <v>4231</v>
      </c>
      <c r="C1728" s="61" t="s">
        <v>1658</v>
      </c>
      <c r="D1728" s="60">
        <v>1.1592899999999999</v>
      </c>
      <c r="E1728" s="59">
        <v>3.82938</v>
      </c>
      <c r="F1728" s="59">
        <v>4.5819200000000002</v>
      </c>
      <c r="G1728" s="56">
        <v>303.45400000000001</v>
      </c>
      <c r="H1728" s="56">
        <v>261.76</v>
      </c>
      <c r="I1728" s="58">
        <v>0.26584600000000003</v>
      </c>
      <c r="J1728" s="57">
        <v>0.40822900000000001</v>
      </c>
      <c r="K1728" s="56"/>
      <c r="L1728" s="56" t="s">
        <v>488</v>
      </c>
    </row>
    <row r="1729" spans="2:12" x14ac:dyDescent="0.2">
      <c r="B1729" s="62" t="s">
        <v>4230</v>
      </c>
      <c r="C1729" s="61" t="s">
        <v>495</v>
      </c>
      <c r="D1729" s="60">
        <v>1.21604</v>
      </c>
      <c r="E1729" s="59">
        <v>3.1905700000000001</v>
      </c>
      <c r="F1729" s="59">
        <v>6.7767499999999998</v>
      </c>
      <c r="G1729" s="56">
        <v>0</v>
      </c>
      <c r="H1729" s="56">
        <v>0</v>
      </c>
      <c r="I1729" s="58">
        <v>0.48500100000000002</v>
      </c>
      <c r="J1729" s="57">
        <v>0.43842300000000001</v>
      </c>
      <c r="K1729" s="56"/>
      <c r="L1729" s="56" t="s">
        <v>488</v>
      </c>
    </row>
    <row r="1730" spans="2:12" x14ac:dyDescent="0.2">
      <c r="B1730" s="62" t="s">
        <v>4229</v>
      </c>
      <c r="C1730" s="61" t="s">
        <v>550</v>
      </c>
      <c r="D1730" s="60">
        <v>1.5018100000000001</v>
      </c>
      <c r="E1730" s="59">
        <v>3.9024200000000002</v>
      </c>
      <c r="F1730" s="59">
        <v>5.1124700000000001</v>
      </c>
      <c r="G1730" s="56">
        <v>843.87800000000004</v>
      </c>
      <c r="H1730" s="56">
        <v>561.90899999999999</v>
      </c>
      <c r="I1730" s="58">
        <v>0.459874</v>
      </c>
      <c r="J1730" s="57">
        <v>0.36565199999999998</v>
      </c>
      <c r="K1730" s="56"/>
      <c r="L1730" s="56" t="s">
        <v>488</v>
      </c>
    </row>
    <row r="1731" spans="2:12" x14ac:dyDescent="0.2">
      <c r="B1731" s="62" t="s">
        <v>4228</v>
      </c>
      <c r="C1731" s="61" t="s">
        <v>550</v>
      </c>
      <c r="D1731" s="60">
        <v>1.49546</v>
      </c>
      <c r="E1731" s="59">
        <v>5.2605000000000004</v>
      </c>
      <c r="F1731" s="59">
        <v>6.3053900000000001</v>
      </c>
      <c r="G1731" s="56">
        <v>1130.42</v>
      </c>
      <c r="H1731" s="56">
        <v>755.90499999999997</v>
      </c>
      <c r="I1731" s="58">
        <v>0.52709899999999998</v>
      </c>
      <c r="J1731" s="57">
        <v>0.37251899999999999</v>
      </c>
      <c r="K1731" s="56"/>
      <c r="L1731" s="56" t="s">
        <v>488</v>
      </c>
    </row>
    <row r="1732" spans="2:12" x14ac:dyDescent="0.2">
      <c r="B1732" s="62" t="s">
        <v>4227</v>
      </c>
      <c r="C1732" s="61" t="s">
        <v>499</v>
      </c>
      <c r="D1732" s="60">
        <v>0.78421700000000005</v>
      </c>
      <c r="E1732" s="59">
        <v>5.9406299999999996</v>
      </c>
      <c r="F1732" s="59">
        <v>10.876519999999999</v>
      </c>
      <c r="G1732" s="56">
        <v>2277.5100000000002</v>
      </c>
      <c r="H1732" s="56">
        <v>2904.19</v>
      </c>
      <c r="I1732" s="58">
        <v>0.79371199999999997</v>
      </c>
      <c r="J1732" s="57">
        <v>0.93598999999999999</v>
      </c>
      <c r="K1732" s="56"/>
      <c r="L1732" s="56" t="s">
        <v>488</v>
      </c>
    </row>
    <row r="1733" spans="2:12" x14ac:dyDescent="0.2">
      <c r="B1733" s="62" t="s">
        <v>4226</v>
      </c>
      <c r="C1733" s="61" t="s">
        <v>502</v>
      </c>
      <c r="D1733" s="60">
        <v>0.76193</v>
      </c>
      <c r="E1733" s="59">
        <v>5.6047799999999999</v>
      </c>
      <c r="F1733" s="59">
        <v>9.5010600000000007</v>
      </c>
      <c r="G1733" s="56">
        <v>1932.78</v>
      </c>
      <c r="H1733" s="56">
        <v>2270.17</v>
      </c>
      <c r="I1733" s="58">
        <v>0.78110900000000005</v>
      </c>
      <c r="J1733" s="57">
        <v>0.96688200000000002</v>
      </c>
      <c r="K1733" s="56"/>
      <c r="L1733" s="56" t="s">
        <v>488</v>
      </c>
    </row>
    <row r="1734" spans="2:12" x14ac:dyDescent="0.2">
      <c r="B1734" s="62" t="s">
        <v>4225</v>
      </c>
      <c r="C1734" s="61" t="s">
        <v>502</v>
      </c>
      <c r="D1734" s="60">
        <v>0.851383</v>
      </c>
      <c r="E1734" s="59">
        <v>9.0463000000000005</v>
      </c>
      <c r="F1734" s="59">
        <v>14.03402</v>
      </c>
      <c r="G1734" s="56">
        <v>1930.34</v>
      </c>
      <c r="H1734" s="56">
        <v>2533.48</v>
      </c>
      <c r="I1734" s="58">
        <v>0.76139400000000002</v>
      </c>
      <c r="J1734" s="57">
        <v>0.829592</v>
      </c>
      <c r="K1734" s="56"/>
      <c r="L1734" s="56" t="s">
        <v>488</v>
      </c>
    </row>
    <row r="1735" spans="2:12" x14ac:dyDescent="0.2">
      <c r="B1735" s="62" t="s">
        <v>4224</v>
      </c>
      <c r="C1735" s="61" t="s">
        <v>708</v>
      </c>
      <c r="D1735" s="60">
        <v>1.1981599999999999</v>
      </c>
      <c r="E1735" s="59">
        <v>3.95099</v>
      </c>
      <c r="F1735" s="59">
        <v>5.4108200000000002</v>
      </c>
      <c r="G1735" s="56">
        <v>784.36500000000001</v>
      </c>
      <c r="H1735" s="56">
        <v>654.64300000000003</v>
      </c>
      <c r="I1735" s="58">
        <v>0.36674200000000001</v>
      </c>
      <c r="J1735" s="57">
        <v>0.44189899999999999</v>
      </c>
      <c r="K1735" s="56"/>
      <c r="L1735" s="56" t="s">
        <v>488</v>
      </c>
    </row>
    <row r="1736" spans="2:12" x14ac:dyDescent="0.2">
      <c r="B1736" s="62" t="s">
        <v>4223</v>
      </c>
      <c r="C1736" s="61" t="s">
        <v>1192</v>
      </c>
      <c r="D1736" s="60">
        <v>1.7725200000000001</v>
      </c>
      <c r="E1736" s="59">
        <v>5.1157000000000004</v>
      </c>
      <c r="F1736" s="59">
        <v>7.7057200000000003</v>
      </c>
      <c r="G1736" s="56">
        <v>770.45699999999999</v>
      </c>
      <c r="H1736" s="56">
        <v>434.66699999999997</v>
      </c>
      <c r="I1736" s="58">
        <v>0.297821</v>
      </c>
      <c r="J1736" s="57">
        <v>0.26292900000000002</v>
      </c>
      <c r="K1736" s="56"/>
      <c r="L1736" s="56" t="s">
        <v>488</v>
      </c>
    </row>
    <row r="1737" spans="2:12" x14ac:dyDescent="0.2">
      <c r="B1737" s="62" t="s">
        <v>4222</v>
      </c>
      <c r="C1737" s="61" t="s">
        <v>502</v>
      </c>
      <c r="D1737" s="60">
        <v>0.31589800000000001</v>
      </c>
      <c r="E1737" s="59">
        <v>14.89456</v>
      </c>
      <c r="F1737" s="59">
        <v>18.78417</v>
      </c>
      <c r="G1737" s="56">
        <v>1575.03</v>
      </c>
      <c r="H1737" s="56">
        <v>4985.8599999999997</v>
      </c>
      <c r="I1737" s="58">
        <v>0.87964900000000001</v>
      </c>
      <c r="J1737" s="57">
        <v>2.74085</v>
      </c>
      <c r="K1737" s="56" t="s">
        <v>2899</v>
      </c>
      <c r="L1737" s="56" t="s">
        <v>563</v>
      </c>
    </row>
    <row r="1738" spans="2:12" x14ac:dyDescent="0.2">
      <c r="B1738" s="62" t="s">
        <v>4221</v>
      </c>
      <c r="C1738" s="61" t="s">
        <v>499</v>
      </c>
      <c r="D1738" s="60">
        <v>0.53852999999999995</v>
      </c>
      <c r="E1738" s="59">
        <v>11.41766</v>
      </c>
      <c r="F1738" s="59">
        <v>13.185779999999999</v>
      </c>
      <c r="G1738" s="56">
        <v>2081.64</v>
      </c>
      <c r="H1738" s="56">
        <v>3865.41</v>
      </c>
      <c r="I1738" s="58">
        <v>0.81182200000000004</v>
      </c>
      <c r="J1738" s="57">
        <v>1.4470000000000001</v>
      </c>
      <c r="K1738" s="56"/>
      <c r="L1738" s="56" t="s">
        <v>488</v>
      </c>
    </row>
    <row r="1739" spans="2:12" x14ac:dyDescent="0.2">
      <c r="B1739" s="62" t="s">
        <v>4220</v>
      </c>
      <c r="C1739" s="61" t="s">
        <v>502</v>
      </c>
      <c r="D1739" s="60">
        <v>1.4110100000000001</v>
      </c>
      <c r="E1739" s="59">
        <v>2.8305199999999999</v>
      </c>
      <c r="F1739" s="59">
        <v>3.6333700000000002</v>
      </c>
      <c r="G1739" s="56">
        <v>0</v>
      </c>
      <c r="H1739" s="56">
        <v>0</v>
      </c>
      <c r="I1739" s="58">
        <v>0.143682</v>
      </c>
      <c r="J1739" s="57">
        <v>0.29825499999999999</v>
      </c>
      <c r="K1739" s="56"/>
      <c r="L1739" s="56" t="s">
        <v>488</v>
      </c>
    </row>
    <row r="1740" spans="2:12" x14ac:dyDescent="0.2">
      <c r="B1740" s="62" t="s">
        <v>4219</v>
      </c>
      <c r="C1740" s="61" t="s">
        <v>499</v>
      </c>
      <c r="D1740" s="60">
        <v>0.39443299999999998</v>
      </c>
      <c r="E1740" s="59">
        <v>22.854700000000001</v>
      </c>
      <c r="F1740" s="59">
        <v>23.702259999999999</v>
      </c>
      <c r="G1740" s="56">
        <v>1730.84</v>
      </c>
      <c r="H1740" s="56">
        <v>4388.16</v>
      </c>
      <c r="I1740" s="58">
        <v>0.87534599999999996</v>
      </c>
      <c r="J1740" s="57">
        <v>2.16133</v>
      </c>
      <c r="K1740" s="56" t="s">
        <v>2899</v>
      </c>
      <c r="L1740" s="56" t="s">
        <v>563</v>
      </c>
    </row>
    <row r="1741" spans="2:12" x14ac:dyDescent="0.2">
      <c r="B1741" s="62" t="s">
        <v>4218</v>
      </c>
      <c r="C1741" s="61" t="s">
        <v>632</v>
      </c>
      <c r="D1741" s="60">
        <v>1.3047899999999999</v>
      </c>
      <c r="E1741" s="59">
        <v>6.7820200000000002</v>
      </c>
      <c r="F1741" s="59">
        <v>8.5295799999999993</v>
      </c>
      <c r="G1741" s="56">
        <v>1040.25</v>
      </c>
      <c r="H1741" s="56">
        <v>797.25300000000004</v>
      </c>
      <c r="I1741" s="58">
        <v>0.70779700000000001</v>
      </c>
      <c r="J1741" s="57">
        <v>0.464258</v>
      </c>
      <c r="K1741" s="56"/>
      <c r="L1741" s="56" t="s">
        <v>488</v>
      </c>
    </row>
    <row r="1742" spans="2:12" x14ac:dyDescent="0.2">
      <c r="B1742" s="62" t="s">
        <v>4217</v>
      </c>
      <c r="C1742" s="61" t="s">
        <v>1006</v>
      </c>
      <c r="D1742" s="60">
        <v>2.0428199999999999</v>
      </c>
      <c r="E1742" s="59">
        <v>2.57002</v>
      </c>
      <c r="F1742" s="59">
        <v>3.2465600000000001</v>
      </c>
      <c r="G1742" s="56">
        <v>0</v>
      </c>
      <c r="H1742" s="56">
        <v>0</v>
      </c>
      <c r="I1742" s="58">
        <v>0.25019999999999998</v>
      </c>
      <c r="J1742" s="57">
        <v>0.18434800000000001</v>
      </c>
      <c r="K1742" s="56"/>
      <c r="L1742" s="56" t="s">
        <v>488</v>
      </c>
    </row>
    <row r="1743" spans="2:12" x14ac:dyDescent="0.2">
      <c r="B1743" s="62" t="s">
        <v>4216</v>
      </c>
      <c r="C1743" s="61" t="s">
        <v>1226</v>
      </c>
      <c r="D1743" s="60">
        <v>2.3976500000000001</v>
      </c>
      <c r="E1743" s="59">
        <v>2.5537899999999998</v>
      </c>
      <c r="F1743" s="59">
        <v>3.9509500000000002</v>
      </c>
      <c r="G1743" s="56">
        <v>0</v>
      </c>
      <c r="H1743" s="56">
        <v>0</v>
      </c>
      <c r="I1743" s="58">
        <v>0.219913</v>
      </c>
      <c r="J1743" s="57">
        <v>0.16699800000000001</v>
      </c>
      <c r="K1743" s="56"/>
      <c r="L1743" s="56" t="s">
        <v>488</v>
      </c>
    </row>
    <row r="1744" spans="2:12" x14ac:dyDescent="0.2">
      <c r="B1744" s="62" t="s">
        <v>4215</v>
      </c>
      <c r="C1744" s="61" t="s">
        <v>859</v>
      </c>
      <c r="D1744" s="60">
        <v>2.3306</v>
      </c>
      <c r="E1744" s="59">
        <v>2.5812200000000001</v>
      </c>
      <c r="F1744" s="59">
        <v>3.9820899999999999</v>
      </c>
      <c r="G1744" s="56">
        <v>0</v>
      </c>
      <c r="H1744" s="56">
        <v>0</v>
      </c>
      <c r="I1744" s="58">
        <v>0.20905199999999999</v>
      </c>
      <c r="J1744" s="57">
        <v>0.17408399999999999</v>
      </c>
      <c r="K1744" s="56"/>
      <c r="L1744" s="56" t="s">
        <v>488</v>
      </c>
    </row>
    <row r="1745" spans="2:12" x14ac:dyDescent="0.2">
      <c r="B1745" s="62" t="s">
        <v>4214</v>
      </c>
      <c r="C1745" s="61" t="s">
        <v>541</v>
      </c>
      <c r="D1745" s="60">
        <v>1.9838499999999999</v>
      </c>
      <c r="E1745" s="59">
        <v>3.36802</v>
      </c>
      <c r="F1745" s="59">
        <v>4.2809299999999997</v>
      </c>
      <c r="G1745" s="56">
        <v>0</v>
      </c>
      <c r="H1745" s="56">
        <v>0</v>
      </c>
      <c r="I1745" s="58">
        <v>0.32095800000000002</v>
      </c>
      <c r="J1745" s="57">
        <v>0.2379</v>
      </c>
      <c r="K1745" s="56"/>
      <c r="L1745" s="56" t="s">
        <v>488</v>
      </c>
    </row>
    <row r="1746" spans="2:12" x14ac:dyDescent="0.2">
      <c r="B1746" s="62" t="s">
        <v>4213</v>
      </c>
      <c r="C1746" s="61" t="s">
        <v>550</v>
      </c>
      <c r="D1746" s="60">
        <v>1.2798799999999999</v>
      </c>
      <c r="E1746" s="59">
        <v>5.9873599999999998</v>
      </c>
      <c r="F1746" s="59">
        <v>7.2151300000000003</v>
      </c>
      <c r="G1746" s="56">
        <v>1324.47</v>
      </c>
      <c r="H1746" s="56">
        <v>1034.8399999999999</v>
      </c>
      <c r="I1746" s="58">
        <v>0.55168300000000003</v>
      </c>
      <c r="J1746" s="57">
        <v>0.45142199999999999</v>
      </c>
      <c r="K1746" s="56"/>
      <c r="L1746" s="56" t="s">
        <v>488</v>
      </c>
    </row>
    <row r="1747" spans="2:12" x14ac:dyDescent="0.2">
      <c r="B1747" s="62" t="s">
        <v>4212</v>
      </c>
      <c r="C1747" s="61" t="s">
        <v>499</v>
      </c>
      <c r="D1747" s="60">
        <v>0.97171200000000002</v>
      </c>
      <c r="E1747" s="59">
        <v>5.48339</v>
      </c>
      <c r="F1747" s="59">
        <v>7.9340599999999997</v>
      </c>
      <c r="G1747" s="56">
        <v>1877.14</v>
      </c>
      <c r="H1747" s="56">
        <v>1931.79</v>
      </c>
      <c r="I1747" s="58">
        <v>0.64850600000000003</v>
      </c>
      <c r="J1747" s="57">
        <v>0.66977399999999998</v>
      </c>
      <c r="K1747" s="56"/>
      <c r="L1747" s="56" t="s">
        <v>488</v>
      </c>
    </row>
    <row r="1748" spans="2:12" x14ac:dyDescent="0.2">
      <c r="B1748" s="62" t="s">
        <v>4211</v>
      </c>
      <c r="C1748" s="61" t="s">
        <v>550</v>
      </c>
      <c r="D1748" s="60">
        <v>1.01498</v>
      </c>
      <c r="E1748" s="59">
        <v>5.3103899999999999</v>
      </c>
      <c r="F1748" s="59">
        <v>6.8261000000000003</v>
      </c>
      <c r="G1748" s="56">
        <v>1982.46</v>
      </c>
      <c r="H1748" s="56">
        <v>1953.2</v>
      </c>
      <c r="I1748" s="58">
        <v>0.70766399999999996</v>
      </c>
      <c r="J1748" s="57">
        <v>0.64705500000000005</v>
      </c>
      <c r="K1748" s="56"/>
      <c r="L1748" s="56" t="s">
        <v>488</v>
      </c>
    </row>
    <row r="1749" spans="2:12" x14ac:dyDescent="0.2">
      <c r="B1749" s="62" t="s">
        <v>4210</v>
      </c>
      <c r="C1749" s="61" t="s">
        <v>550</v>
      </c>
      <c r="D1749" s="60">
        <v>1.51423</v>
      </c>
      <c r="E1749" s="59">
        <v>3.4342600000000001</v>
      </c>
      <c r="F1749" s="59">
        <v>5.0395599999999998</v>
      </c>
      <c r="G1749" s="56">
        <v>0</v>
      </c>
      <c r="H1749" s="56">
        <v>0</v>
      </c>
      <c r="I1749" s="58">
        <v>0.341916</v>
      </c>
      <c r="J1749" s="57">
        <v>0.32051200000000002</v>
      </c>
      <c r="K1749" s="56"/>
      <c r="L1749" s="56" t="s">
        <v>488</v>
      </c>
    </row>
    <row r="1750" spans="2:12" x14ac:dyDescent="0.2">
      <c r="B1750" s="62" t="s">
        <v>4209</v>
      </c>
      <c r="C1750" s="61" t="s">
        <v>499</v>
      </c>
      <c r="D1750" s="60">
        <v>1.01806</v>
      </c>
      <c r="E1750" s="59">
        <v>2.8854600000000001</v>
      </c>
      <c r="F1750" s="59">
        <v>8.7820199999999993</v>
      </c>
      <c r="G1750" s="56">
        <v>0</v>
      </c>
      <c r="H1750" s="56">
        <v>0</v>
      </c>
      <c r="I1750" s="58">
        <v>0.60775100000000004</v>
      </c>
      <c r="J1750" s="57">
        <v>0.60820099999999999</v>
      </c>
      <c r="K1750" s="56"/>
      <c r="L1750" s="56" t="s">
        <v>488</v>
      </c>
    </row>
    <row r="1751" spans="2:12" x14ac:dyDescent="0.2">
      <c r="B1751" s="62" t="s">
        <v>4208</v>
      </c>
      <c r="C1751" s="61" t="s">
        <v>2448</v>
      </c>
      <c r="D1751" s="60">
        <v>1.7604500000000001</v>
      </c>
      <c r="E1751" s="59">
        <v>5.5634699999999997</v>
      </c>
      <c r="F1751" s="59">
        <v>7.2242199999999999</v>
      </c>
      <c r="G1751" s="56">
        <v>452.642</v>
      </c>
      <c r="H1751" s="56">
        <v>257.11700000000002</v>
      </c>
      <c r="I1751" s="58">
        <v>0.19425899999999999</v>
      </c>
      <c r="J1751" s="57">
        <v>0.24216099999999999</v>
      </c>
      <c r="K1751" s="56"/>
      <c r="L1751" s="56" t="s">
        <v>488</v>
      </c>
    </row>
    <row r="1752" spans="2:12" x14ac:dyDescent="0.2">
      <c r="B1752" s="62" t="s">
        <v>4207</v>
      </c>
      <c r="C1752" s="61" t="s">
        <v>625</v>
      </c>
      <c r="D1752" s="60">
        <v>1.16621</v>
      </c>
      <c r="E1752" s="59">
        <v>4.7341100000000003</v>
      </c>
      <c r="F1752" s="59">
        <v>6.5546899999999999</v>
      </c>
      <c r="G1752" s="56">
        <v>1210.69</v>
      </c>
      <c r="H1752" s="56">
        <v>1038.1400000000001</v>
      </c>
      <c r="I1752" s="58">
        <v>0.47387800000000002</v>
      </c>
      <c r="J1752" s="57">
        <v>0.47816599999999998</v>
      </c>
      <c r="K1752" s="56"/>
      <c r="L1752" s="56" t="s">
        <v>492</v>
      </c>
    </row>
    <row r="1753" spans="2:12" x14ac:dyDescent="0.2">
      <c r="B1753" s="62" t="s">
        <v>4206</v>
      </c>
      <c r="C1753" s="61" t="s">
        <v>531</v>
      </c>
      <c r="D1753" s="60">
        <v>1.70238</v>
      </c>
      <c r="E1753" s="59">
        <v>3.4313099999999999</v>
      </c>
      <c r="F1753" s="59">
        <v>5.6398700000000002</v>
      </c>
      <c r="G1753" s="56">
        <v>0</v>
      </c>
      <c r="H1753" s="56">
        <v>0</v>
      </c>
      <c r="I1753" s="58">
        <v>0.43179299999999998</v>
      </c>
      <c r="J1753" s="57">
        <v>0.30042799999999997</v>
      </c>
      <c r="K1753" s="56"/>
      <c r="L1753" s="56" t="s">
        <v>488</v>
      </c>
    </row>
    <row r="1754" spans="2:12" x14ac:dyDescent="0.2">
      <c r="B1754" s="62" t="s">
        <v>4205</v>
      </c>
      <c r="C1754" s="61" t="s">
        <v>1226</v>
      </c>
      <c r="D1754" s="60">
        <v>1.716</v>
      </c>
      <c r="E1754" s="59">
        <v>4.2070600000000002</v>
      </c>
      <c r="F1754" s="59">
        <v>6.3202100000000003</v>
      </c>
      <c r="G1754" s="56">
        <v>1056.03</v>
      </c>
      <c r="H1754" s="56">
        <v>615.40499999999997</v>
      </c>
      <c r="I1754" s="58">
        <v>0.51492599999999999</v>
      </c>
      <c r="J1754" s="57">
        <v>0.31339400000000001</v>
      </c>
      <c r="K1754" s="56"/>
      <c r="L1754" s="56" t="s">
        <v>488</v>
      </c>
    </row>
    <row r="1755" spans="2:12" x14ac:dyDescent="0.2">
      <c r="B1755" s="62" t="s">
        <v>4204</v>
      </c>
      <c r="C1755" s="61" t="s">
        <v>1872</v>
      </c>
      <c r="D1755" s="60">
        <v>1.38751</v>
      </c>
      <c r="E1755" s="59">
        <v>3.4981399999999998</v>
      </c>
      <c r="F1755" s="59">
        <v>5.4823000000000004</v>
      </c>
      <c r="G1755" s="56">
        <v>0</v>
      </c>
      <c r="H1755" s="56">
        <v>0</v>
      </c>
      <c r="I1755" s="58">
        <v>0.32400099999999998</v>
      </c>
      <c r="J1755" s="57">
        <v>0.32338</v>
      </c>
      <c r="K1755" s="56"/>
      <c r="L1755" s="56" t="s">
        <v>488</v>
      </c>
    </row>
    <row r="1756" spans="2:12" x14ac:dyDescent="0.2">
      <c r="B1756" s="62" t="s">
        <v>4203</v>
      </c>
      <c r="C1756" s="61" t="s">
        <v>1637</v>
      </c>
      <c r="D1756" s="60">
        <v>1.38534</v>
      </c>
      <c r="E1756" s="59">
        <v>6.4135200000000001</v>
      </c>
      <c r="F1756" s="59">
        <v>8.6984300000000001</v>
      </c>
      <c r="G1756" s="56">
        <v>1649.63</v>
      </c>
      <c r="H1756" s="56">
        <v>1190.77</v>
      </c>
      <c r="I1756" s="58">
        <v>0.59224200000000005</v>
      </c>
      <c r="J1756" s="57">
        <v>0.46030300000000002</v>
      </c>
      <c r="K1756" s="56"/>
      <c r="L1756" s="56" t="s">
        <v>488</v>
      </c>
    </row>
    <row r="1757" spans="2:12" x14ac:dyDescent="0.2">
      <c r="B1757" s="62" t="s">
        <v>4202</v>
      </c>
      <c r="C1757" s="61" t="s">
        <v>4201</v>
      </c>
      <c r="D1757" s="60">
        <v>1.20004</v>
      </c>
      <c r="E1757" s="59">
        <v>3.8975200000000001</v>
      </c>
      <c r="F1757" s="59">
        <v>5.8645399999999999</v>
      </c>
      <c r="G1757" s="56">
        <v>680.99699999999996</v>
      </c>
      <c r="H1757" s="56">
        <v>567.47500000000002</v>
      </c>
      <c r="I1757" s="58">
        <v>0.57617499999999999</v>
      </c>
      <c r="J1757" s="57">
        <v>0.43903599999999998</v>
      </c>
      <c r="K1757" s="56"/>
      <c r="L1757" s="56" t="s">
        <v>492</v>
      </c>
    </row>
    <row r="1758" spans="2:12" x14ac:dyDescent="0.2">
      <c r="B1758" s="62" t="s">
        <v>4200</v>
      </c>
      <c r="C1758" s="61" t="s">
        <v>526</v>
      </c>
      <c r="D1758" s="60">
        <v>1.1281600000000001</v>
      </c>
      <c r="E1758" s="59">
        <v>4.2288600000000001</v>
      </c>
      <c r="F1758" s="59">
        <v>5.3743499999999997</v>
      </c>
      <c r="G1758" s="56">
        <v>732.38699999999994</v>
      </c>
      <c r="H1758" s="56">
        <v>649.18799999999999</v>
      </c>
      <c r="I1758" s="58">
        <v>0.50787700000000002</v>
      </c>
      <c r="J1758" s="57">
        <v>0.48944199999999999</v>
      </c>
      <c r="K1758" s="56" t="s">
        <v>4199</v>
      </c>
      <c r="L1758" s="56" t="s">
        <v>563</v>
      </c>
    </row>
    <row r="1759" spans="2:12" x14ac:dyDescent="0.2">
      <c r="B1759" s="62" t="s">
        <v>4198</v>
      </c>
      <c r="C1759" s="61" t="s">
        <v>4197</v>
      </c>
      <c r="D1759" s="60">
        <v>2.2165499999999998</v>
      </c>
      <c r="E1759" s="59">
        <v>3.3423500000000002</v>
      </c>
      <c r="F1759" s="59">
        <v>3.72234</v>
      </c>
      <c r="G1759" s="56">
        <v>0</v>
      </c>
      <c r="H1759" s="56">
        <v>0</v>
      </c>
      <c r="I1759" s="58">
        <v>0.13711400000000001</v>
      </c>
      <c r="J1759" s="57">
        <v>0.16447200000000001</v>
      </c>
      <c r="K1759" s="56"/>
      <c r="L1759" s="56" t="s">
        <v>488</v>
      </c>
    </row>
    <row r="1760" spans="2:12" x14ac:dyDescent="0.2">
      <c r="B1760" s="62" t="s">
        <v>4196</v>
      </c>
      <c r="C1760" s="61" t="s">
        <v>550</v>
      </c>
      <c r="D1760" s="60">
        <v>2.11307</v>
      </c>
      <c r="E1760" s="59">
        <v>2.5188899999999999</v>
      </c>
      <c r="F1760" s="59">
        <v>3.6814399999999998</v>
      </c>
      <c r="G1760" s="56">
        <v>0</v>
      </c>
      <c r="H1760" s="56">
        <v>0</v>
      </c>
      <c r="I1760" s="58">
        <v>0.116926</v>
      </c>
      <c r="J1760" s="57">
        <v>0.18862200000000001</v>
      </c>
      <c r="K1760" s="56"/>
      <c r="L1760" s="56" t="s">
        <v>488</v>
      </c>
    </row>
    <row r="1761" spans="2:12" x14ac:dyDescent="0.2">
      <c r="B1761" s="62" t="s">
        <v>4195</v>
      </c>
      <c r="C1761" s="61" t="s">
        <v>550</v>
      </c>
      <c r="D1761" s="60">
        <v>1.3818299999999999</v>
      </c>
      <c r="E1761" s="59">
        <v>2.6962100000000002</v>
      </c>
      <c r="F1761" s="59">
        <v>4.7845800000000001</v>
      </c>
      <c r="G1761" s="56">
        <v>0</v>
      </c>
      <c r="H1761" s="56">
        <v>0</v>
      </c>
      <c r="I1761" s="58">
        <v>0.12517300000000001</v>
      </c>
      <c r="J1761" s="57">
        <v>0.29833599999999999</v>
      </c>
      <c r="K1761" s="56"/>
      <c r="L1761" s="56" t="s">
        <v>492</v>
      </c>
    </row>
    <row r="1762" spans="2:12" x14ac:dyDescent="0.2">
      <c r="B1762" s="62" t="s">
        <v>4194</v>
      </c>
      <c r="C1762" s="61" t="s">
        <v>4193</v>
      </c>
      <c r="D1762" s="60">
        <v>2.4224399999999999</v>
      </c>
      <c r="E1762" s="59">
        <v>3.00183</v>
      </c>
      <c r="F1762" s="59">
        <v>3.3940800000000002</v>
      </c>
      <c r="G1762" s="56">
        <v>0</v>
      </c>
      <c r="H1762" s="56">
        <v>0</v>
      </c>
      <c r="I1762" s="58">
        <v>6.5637799999999996E-2</v>
      </c>
      <c r="J1762" s="57">
        <v>0.13044800000000001</v>
      </c>
      <c r="K1762" s="56"/>
      <c r="L1762" s="56" t="s">
        <v>492</v>
      </c>
    </row>
    <row r="1763" spans="2:12" x14ac:dyDescent="0.2">
      <c r="B1763" s="62" t="s">
        <v>4192</v>
      </c>
      <c r="C1763" s="61" t="s">
        <v>510</v>
      </c>
      <c r="D1763" s="60">
        <v>1.0195000000000001</v>
      </c>
      <c r="E1763" s="59">
        <v>5.17265</v>
      </c>
      <c r="F1763" s="59">
        <v>7.7600899999999999</v>
      </c>
      <c r="G1763" s="56">
        <v>1823.95</v>
      </c>
      <c r="H1763" s="56">
        <v>1789.06</v>
      </c>
      <c r="I1763" s="58">
        <v>0.62520399999999998</v>
      </c>
      <c r="J1763" s="57">
        <v>0.61546800000000002</v>
      </c>
      <c r="K1763" s="56"/>
      <c r="L1763" s="56" t="s">
        <v>488</v>
      </c>
    </row>
    <row r="1764" spans="2:12" x14ac:dyDescent="0.2">
      <c r="B1764" s="62" t="s">
        <v>4191</v>
      </c>
      <c r="C1764" s="61" t="s">
        <v>510</v>
      </c>
      <c r="D1764" s="60">
        <v>0.937191</v>
      </c>
      <c r="E1764" s="59">
        <v>4.7246699999999997</v>
      </c>
      <c r="F1764" s="59">
        <v>6.4371200000000002</v>
      </c>
      <c r="G1764" s="56">
        <v>1329.23</v>
      </c>
      <c r="H1764" s="56">
        <v>1418.32</v>
      </c>
      <c r="I1764" s="58">
        <v>0.54741799999999996</v>
      </c>
      <c r="J1764" s="57">
        <v>0.648733</v>
      </c>
      <c r="K1764" s="56"/>
      <c r="L1764" s="56" t="s">
        <v>488</v>
      </c>
    </row>
    <row r="1765" spans="2:12" x14ac:dyDescent="0.2">
      <c r="B1765" s="62" t="s">
        <v>4190</v>
      </c>
      <c r="C1765" s="61" t="s">
        <v>708</v>
      </c>
      <c r="D1765" s="60">
        <v>1.32525</v>
      </c>
      <c r="E1765" s="59">
        <v>3.8405800000000001</v>
      </c>
      <c r="F1765" s="59">
        <v>4.9592700000000001</v>
      </c>
      <c r="G1765" s="56">
        <v>390.47500000000002</v>
      </c>
      <c r="H1765" s="56">
        <v>294.50099999999998</v>
      </c>
      <c r="I1765" s="58">
        <v>0.30698999999999999</v>
      </c>
      <c r="J1765" s="57">
        <v>0.34477600000000003</v>
      </c>
      <c r="K1765" s="56"/>
      <c r="L1765" s="56" t="s">
        <v>488</v>
      </c>
    </row>
    <row r="1766" spans="2:12" x14ac:dyDescent="0.2">
      <c r="B1766" s="62" t="s">
        <v>4189</v>
      </c>
      <c r="C1766" s="61" t="s">
        <v>708</v>
      </c>
      <c r="D1766" s="60">
        <v>1.3258799999999999</v>
      </c>
      <c r="E1766" s="59">
        <v>3.8425400000000001</v>
      </c>
      <c r="F1766" s="59">
        <v>4.9747500000000002</v>
      </c>
      <c r="G1766" s="56">
        <v>380.17099999999999</v>
      </c>
      <c r="H1766" s="56">
        <v>286.86700000000002</v>
      </c>
      <c r="I1766" s="58">
        <v>0.30708999999999997</v>
      </c>
      <c r="J1766" s="57">
        <v>0.345053</v>
      </c>
      <c r="K1766" s="56"/>
      <c r="L1766" s="56" t="s">
        <v>488</v>
      </c>
    </row>
    <row r="1767" spans="2:12" x14ac:dyDescent="0.2">
      <c r="B1767" s="62" t="s">
        <v>4188</v>
      </c>
      <c r="C1767" s="61" t="s">
        <v>510</v>
      </c>
      <c r="D1767" s="60">
        <v>1.60341</v>
      </c>
      <c r="E1767" s="59">
        <v>2.4927700000000002</v>
      </c>
      <c r="F1767" s="59">
        <v>3.1963699999999999</v>
      </c>
      <c r="G1767" s="56">
        <v>0</v>
      </c>
      <c r="H1767" s="56">
        <v>0</v>
      </c>
      <c r="I1767" s="58">
        <v>0.12926799999999999</v>
      </c>
      <c r="J1767" s="57">
        <v>0.249941</v>
      </c>
      <c r="K1767" s="56"/>
      <c r="L1767" s="56" t="s">
        <v>488</v>
      </c>
    </row>
    <row r="1768" spans="2:12" x14ac:dyDescent="0.2">
      <c r="B1768" s="62" t="s">
        <v>4187</v>
      </c>
      <c r="C1768" s="61" t="s">
        <v>507</v>
      </c>
      <c r="D1768" s="60">
        <v>1.6730499999999999</v>
      </c>
      <c r="E1768" s="59">
        <v>3.2173799999999999</v>
      </c>
      <c r="F1768" s="59">
        <v>6.3122100000000003</v>
      </c>
      <c r="G1768" s="56">
        <v>0</v>
      </c>
      <c r="H1768" s="56">
        <v>0</v>
      </c>
      <c r="I1768" s="58">
        <v>0.35600399999999999</v>
      </c>
      <c r="J1768" s="57">
        <v>0.30933300000000002</v>
      </c>
      <c r="K1768" s="56"/>
      <c r="L1768" s="56" t="s">
        <v>488</v>
      </c>
    </row>
    <row r="1769" spans="2:12" x14ac:dyDescent="0.2">
      <c r="B1769" s="62" t="s">
        <v>4186</v>
      </c>
      <c r="C1769" s="61" t="s">
        <v>550</v>
      </c>
      <c r="D1769" s="60">
        <v>2.1873100000000001</v>
      </c>
      <c r="E1769" s="59">
        <v>2.5287000000000002</v>
      </c>
      <c r="F1769" s="59">
        <v>3.1693500000000001</v>
      </c>
      <c r="G1769" s="56">
        <v>0</v>
      </c>
      <c r="H1769" s="56">
        <v>0</v>
      </c>
      <c r="I1769" s="58">
        <v>7.2933899999999996E-2</v>
      </c>
      <c r="J1769" s="57">
        <v>0.178702</v>
      </c>
      <c r="K1769" s="56"/>
      <c r="L1769" s="56" t="s">
        <v>488</v>
      </c>
    </row>
    <row r="1770" spans="2:12" x14ac:dyDescent="0.2">
      <c r="B1770" s="62" t="s">
        <v>4185</v>
      </c>
      <c r="C1770" s="61" t="s">
        <v>669</v>
      </c>
      <c r="D1770" s="60">
        <v>1.4047000000000001</v>
      </c>
      <c r="E1770" s="59">
        <v>3.2303099999999998</v>
      </c>
      <c r="F1770" s="59">
        <v>3.88653</v>
      </c>
      <c r="G1770" s="56">
        <v>0</v>
      </c>
      <c r="H1770" s="56">
        <v>0</v>
      </c>
      <c r="I1770" s="58">
        <v>0.413491</v>
      </c>
      <c r="J1770" s="57">
        <v>0.37134200000000001</v>
      </c>
      <c r="K1770" s="56"/>
      <c r="L1770" s="56" t="s">
        <v>488</v>
      </c>
    </row>
    <row r="1771" spans="2:12" x14ac:dyDescent="0.2">
      <c r="B1771" s="62" t="s">
        <v>4184</v>
      </c>
      <c r="C1771" s="61" t="s">
        <v>499</v>
      </c>
      <c r="D1771" s="60">
        <v>1.2901499999999999</v>
      </c>
      <c r="E1771" s="59">
        <v>2.94896</v>
      </c>
      <c r="F1771" s="59">
        <v>4.9396500000000003</v>
      </c>
      <c r="G1771" s="56">
        <v>0</v>
      </c>
      <c r="H1771" s="56">
        <v>0</v>
      </c>
      <c r="I1771" s="58">
        <v>0.31193100000000001</v>
      </c>
      <c r="J1771" s="57">
        <v>0.38385999999999998</v>
      </c>
      <c r="K1771" s="56"/>
      <c r="L1771" s="56" t="s">
        <v>488</v>
      </c>
    </row>
    <row r="1772" spans="2:12" x14ac:dyDescent="0.2">
      <c r="B1772" s="62" t="s">
        <v>4183</v>
      </c>
      <c r="C1772" s="61" t="s">
        <v>499</v>
      </c>
      <c r="D1772" s="60">
        <v>1.4163699999999999</v>
      </c>
      <c r="E1772" s="59">
        <v>3.9151899999999999</v>
      </c>
      <c r="F1772" s="59">
        <v>5.1459700000000002</v>
      </c>
      <c r="G1772" s="56">
        <v>302.976</v>
      </c>
      <c r="H1772" s="56">
        <v>213.91</v>
      </c>
      <c r="I1772" s="58">
        <v>0.22284100000000001</v>
      </c>
      <c r="J1772" s="57">
        <v>0.32445000000000002</v>
      </c>
      <c r="K1772" s="56"/>
      <c r="L1772" s="56" t="s">
        <v>488</v>
      </c>
    </row>
    <row r="1773" spans="2:12" x14ac:dyDescent="0.2">
      <c r="B1773" s="62" t="s">
        <v>4182</v>
      </c>
      <c r="C1773" s="61" t="s">
        <v>842</v>
      </c>
      <c r="D1773" s="60">
        <v>1.37355</v>
      </c>
      <c r="E1773" s="59">
        <v>2.46393</v>
      </c>
      <c r="F1773" s="59">
        <v>3.8927700000000001</v>
      </c>
      <c r="G1773" s="56">
        <v>0</v>
      </c>
      <c r="H1773" s="56">
        <v>0</v>
      </c>
      <c r="I1773" s="58">
        <v>0.27897300000000003</v>
      </c>
      <c r="J1773" s="57">
        <v>0.32815499999999997</v>
      </c>
      <c r="K1773" s="56"/>
      <c r="L1773" s="56" t="s">
        <v>488</v>
      </c>
    </row>
    <row r="1774" spans="2:12" x14ac:dyDescent="0.2">
      <c r="B1774" s="62" t="s">
        <v>4181</v>
      </c>
      <c r="C1774" s="61" t="s">
        <v>1252</v>
      </c>
      <c r="D1774" s="60">
        <v>1.5278499999999999</v>
      </c>
      <c r="E1774" s="59">
        <v>7.1500599999999999</v>
      </c>
      <c r="F1774" s="59">
        <v>8.3279499999999995</v>
      </c>
      <c r="G1774" s="56">
        <v>926.33</v>
      </c>
      <c r="H1774" s="56">
        <v>606.29600000000005</v>
      </c>
      <c r="I1774" s="58">
        <v>0.36587799999999998</v>
      </c>
      <c r="J1774" s="57">
        <v>0.36915300000000001</v>
      </c>
      <c r="K1774" s="56"/>
      <c r="L1774" s="56" t="s">
        <v>488</v>
      </c>
    </row>
    <row r="1775" spans="2:12" x14ac:dyDescent="0.2">
      <c r="B1775" s="62" t="s">
        <v>4180</v>
      </c>
      <c r="C1775" s="61" t="s">
        <v>708</v>
      </c>
      <c r="D1775" s="60">
        <v>0.952542</v>
      </c>
      <c r="E1775" s="59">
        <v>3.6714199999999999</v>
      </c>
      <c r="F1775" s="59">
        <v>6.6046800000000001</v>
      </c>
      <c r="G1775" s="56">
        <v>0</v>
      </c>
      <c r="H1775" s="56">
        <v>0</v>
      </c>
      <c r="I1775" s="58">
        <v>0.49097800000000003</v>
      </c>
      <c r="J1775" s="57">
        <v>0.61618200000000001</v>
      </c>
      <c r="K1775" s="56"/>
      <c r="L1775" s="56" t="s">
        <v>488</v>
      </c>
    </row>
    <row r="1776" spans="2:12" x14ac:dyDescent="0.2">
      <c r="B1776" s="62" t="s">
        <v>4179</v>
      </c>
      <c r="C1776" s="61" t="s">
        <v>708</v>
      </c>
      <c r="D1776" s="60">
        <v>0.93642800000000004</v>
      </c>
      <c r="E1776" s="59">
        <v>5.8604500000000002</v>
      </c>
      <c r="F1776" s="59">
        <v>9.2604000000000006</v>
      </c>
      <c r="G1776" s="56">
        <v>944.11800000000005</v>
      </c>
      <c r="H1776" s="56">
        <v>1008.21</v>
      </c>
      <c r="I1776" s="58">
        <v>0.432921</v>
      </c>
      <c r="J1776" s="57">
        <v>0.62666100000000002</v>
      </c>
      <c r="K1776" s="56"/>
      <c r="L1776" s="56" t="s">
        <v>488</v>
      </c>
    </row>
    <row r="1777" spans="2:12" x14ac:dyDescent="0.2">
      <c r="B1777" s="62" t="s">
        <v>4178</v>
      </c>
      <c r="C1777" s="61" t="s">
        <v>708</v>
      </c>
      <c r="D1777" s="60">
        <v>0.91220500000000004</v>
      </c>
      <c r="E1777" s="59">
        <v>6.6466599999999998</v>
      </c>
      <c r="F1777" s="59">
        <v>9.77773</v>
      </c>
      <c r="G1777" s="56">
        <v>1005.74</v>
      </c>
      <c r="H1777" s="56">
        <v>1102.54</v>
      </c>
      <c r="I1777" s="58">
        <v>0.45392199999999999</v>
      </c>
      <c r="J1777" s="57">
        <v>0.65261000000000002</v>
      </c>
      <c r="K1777" s="56"/>
      <c r="L1777" s="56" t="s">
        <v>488</v>
      </c>
    </row>
    <row r="1778" spans="2:12" x14ac:dyDescent="0.2">
      <c r="B1778" s="62" t="s">
        <v>4177</v>
      </c>
      <c r="C1778" s="61" t="s">
        <v>708</v>
      </c>
      <c r="D1778" s="60">
        <v>0.79885300000000004</v>
      </c>
      <c r="E1778" s="59">
        <v>8.7051599999999993</v>
      </c>
      <c r="F1778" s="59">
        <v>11.747669999999999</v>
      </c>
      <c r="G1778" s="56">
        <v>1312.35</v>
      </c>
      <c r="H1778" s="56">
        <v>1642.8</v>
      </c>
      <c r="I1778" s="58">
        <v>0.53272600000000003</v>
      </c>
      <c r="J1778" s="57">
        <v>0.81650900000000004</v>
      </c>
      <c r="K1778" s="56"/>
      <c r="L1778" s="56" t="s">
        <v>488</v>
      </c>
    </row>
    <row r="1779" spans="2:12" x14ac:dyDescent="0.2">
      <c r="B1779" s="62" t="s">
        <v>4176</v>
      </c>
      <c r="C1779" s="61" t="s">
        <v>550</v>
      </c>
      <c r="D1779" s="60">
        <v>1.1043799999999999</v>
      </c>
      <c r="E1779" s="59">
        <v>3.1507100000000001</v>
      </c>
      <c r="F1779" s="59">
        <v>5.5812799999999996</v>
      </c>
      <c r="G1779" s="56">
        <v>0</v>
      </c>
      <c r="H1779" s="56">
        <v>0</v>
      </c>
      <c r="I1779" s="58">
        <v>0.471611</v>
      </c>
      <c r="J1779" s="57">
        <v>0.47575600000000001</v>
      </c>
      <c r="K1779" s="56"/>
      <c r="L1779" s="56" t="s">
        <v>492</v>
      </c>
    </row>
    <row r="1780" spans="2:12" x14ac:dyDescent="0.2">
      <c r="B1780" s="62" t="s">
        <v>4175</v>
      </c>
      <c r="C1780" s="61" t="s">
        <v>550</v>
      </c>
      <c r="D1780" s="60">
        <v>0.95233400000000001</v>
      </c>
      <c r="E1780" s="59">
        <v>5.4573099999999997</v>
      </c>
      <c r="F1780" s="59">
        <v>6.2564700000000002</v>
      </c>
      <c r="G1780" s="56">
        <v>1509.43</v>
      </c>
      <c r="H1780" s="56">
        <v>1584.97</v>
      </c>
      <c r="I1780" s="58">
        <v>0.57216299999999998</v>
      </c>
      <c r="J1780" s="57">
        <v>0.60777999999999999</v>
      </c>
      <c r="K1780" s="56"/>
      <c r="L1780" s="56" t="s">
        <v>492</v>
      </c>
    </row>
    <row r="1781" spans="2:12" x14ac:dyDescent="0.2">
      <c r="B1781" s="62" t="s">
        <v>4174</v>
      </c>
      <c r="C1781" s="61" t="s">
        <v>842</v>
      </c>
      <c r="D1781" s="60">
        <v>0.90560499999999999</v>
      </c>
      <c r="E1781" s="59">
        <v>9.0173699999999997</v>
      </c>
      <c r="F1781" s="59">
        <v>10.56931</v>
      </c>
      <c r="G1781" s="56">
        <v>1399.38</v>
      </c>
      <c r="H1781" s="56">
        <v>1745.34</v>
      </c>
      <c r="I1781" s="58">
        <v>0.53230200000000005</v>
      </c>
      <c r="J1781" s="57">
        <v>0.66589799999999999</v>
      </c>
      <c r="K1781" s="56"/>
      <c r="L1781" s="56" t="s">
        <v>488</v>
      </c>
    </row>
    <row r="1782" spans="2:12" x14ac:dyDescent="0.2">
      <c r="B1782" s="62" t="s">
        <v>4173</v>
      </c>
      <c r="C1782" s="61" t="s">
        <v>842</v>
      </c>
      <c r="D1782" s="60">
        <v>0.80178300000000002</v>
      </c>
      <c r="E1782" s="59">
        <v>8.0039300000000004</v>
      </c>
      <c r="F1782" s="59">
        <v>9.9689399999999999</v>
      </c>
      <c r="G1782" s="56">
        <v>1114.57</v>
      </c>
      <c r="H1782" s="56">
        <v>1230.74</v>
      </c>
      <c r="I1782" s="58">
        <v>0.65820900000000004</v>
      </c>
      <c r="J1782" s="57">
        <v>0.81802200000000003</v>
      </c>
      <c r="K1782" s="56"/>
      <c r="L1782" s="56" t="s">
        <v>488</v>
      </c>
    </row>
    <row r="1783" spans="2:12" x14ac:dyDescent="0.2">
      <c r="B1783" s="62" t="s">
        <v>4172</v>
      </c>
      <c r="C1783" s="61" t="s">
        <v>3714</v>
      </c>
      <c r="D1783" s="60">
        <v>0.88998500000000003</v>
      </c>
      <c r="E1783" s="59">
        <v>8.6684000000000001</v>
      </c>
      <c r="F1783" s="59">
        <v>9.8815299999999997</v>
      </c>
      <c r="G1783" s="56">
        <v>1361.84</v>
      </c>
      <c r="H1783" s="56">
        <v>1617</v>
      </c>
      <c r="I1783" s="58">
        <v>0.56452800000000003</v>
      </c>
      <c r="J1783" s="57">
        <v>0.66152999999999995</v>
      </c>
      <c r="K1783" s="56"/>
      <c r="L1783" s="56" t="s">
        <v>488</v>
      </c>
    </row>
    <row r="1784" spans="2:12" x14ac:dyDescent="0.2">
      <c r="B1784" s="62" t="s">
        <v>4171</v>
      </c>
      <c r="C1784" s="61" t="s">
        <v>3714</v>
      </c>
      <c r="D1784" s="60">
        <v>0.84219999999999995</v>
      </c>
      <c r="E1784" s="59">
        <v>7.4108000000000001</v>
      </c>
      <c r="F1784" s="59">
        <v>9.1501099999999997</v>
      </c>
      <c r="G1784" s="56">
        <v>1262.48</v>
      </c>
      <c r="H1784" s="56">
        <v>1418.54</v>
      </c>
      <c r="I1784" s="58">
        <v>0.61969799999999997</v>
      </c>
      <c r="J1784" s="57">
        <v>0.72426900000000005</v>
      </c>
      <c r="K1784" s="56"/>
      <c r="L1784" s="56" t="s">
        <v>488</v>
      </c>
    </row>
    <row r="1785" spans="2:12" x14ac:dyDescent="0.2">
      <c r="B1785" s="62" t="s">
        <v>4170</v>
      </c>
      <c r="C1785" s="61" t="s">
        <v>1516</v>
      </c>
      <c r="D1785" s="60">
        <v>1.98004</v>
      </c>
      <c r="E1785" s="59">
        <v>5.0269000000000004</v>
      </c>
      <c r="F1785" s="59">
        <v>7.1268000000000002</v>
      </c>
      <c r="G1785" s="56">
        <v>695.62599999999998</v>
      </c>
      <c r="H1785" s="56">
        <v>351.32</v>
      </c>
      <c r="I1785" s="58">
        <v>0.31435999999999997</v>
      </c>
      <c r="J1785" s="57">
        <v>0.21587100000000001</v>
      </c>
      <c r="K1785" s="56"/>
      <c r="L1785" s="56" t="s">
        <v>488</v>
      </c>
    </row>
    <row r="1786" spans="2:12" x14ac:dyDescent="0.2">
      <c r="B1786" s="62" t="s">
        <v>4169</v>
      </c>
      <c r="C1786" s="61" t="s">
        <v>1668</v>
      </c>
      <c r="D1786" s="60">
        <v>1.9547000000000001</v>
      </c>
      <c r="E1786" s="59">
        <v>5.0871300000000002</v>
      </c>
      <c r="F1786" s="59">
        <v>7.1691599999999998</v>
      </c>
      <c r="G1786" s="56">
        <v>686.69399999999996</v>
      </c>
      <c r="H1786" s="56">
        <v>351.303</v>
      </c>
      <c r="I1786" s="58">
        <v>0.31630999999999998</v>
      </c>
      <c r="J1786" s="57">
        <v>0.221192</v>
      </c>
      <c r="K1786" s="56"/>
      <c r="L1786" s="56" t="s">
        <v>488</v>
      </c>
    </row>
    <row r="1787" spans="2:12" x14ac:dyDescent="0.2">
      <c r="B1787" s="62" t="s">
        <v>4168</v>
      </c>
      <c r="C1787" s="61" t="s">
        <v>875</v>
      </c>
      <c r="D1787" s="60">
        <v>1.7722599999999999</v>
      </c>
      <c r="E1787" s="59">
        <v>5.13218</v>
      </c>
      <c r="F1787" s="59">
        <v>7.4290599999999998</v>
      </c>
      <c r="G1787" s="56">
        <v>747.45600000000002</v>
      </c>
      <c r="H1787" s="56">
        <v>421.75400000000002</v>
      </c>
      <c r="I1787" s="58">
        <v>0.32159100000000002</v>
      </c>
      <c r="J1787" s="57">
        <v>0.25683600000000001</v>
      </c>
      <c r="K1787" s="56"/>
      <c r="L1787" s="56" t="s">
        <v>488</v>
      </c>
    </row>
    <row r="1788" spans="2:12" x14ac:dyDescent="0.2">
      <c r="B1788" s="62" t="s">
        <v>4167</v>
      </c>
      <c r="C1788" s="61" t="s">
        <v>1100</v>
      </c>
      <c r="D1788" s="60">
        <v>1.82355</v>
      </c>
      <c r="E1788" s="59">
        <v>5.1099399999999999</v>
      </c>
      <c r="F1788" s="59">
        <v>7.3248600000000001</v>
      </c>
      <c r="G1788" s="56">
        <v>724.44500000000005</v>
      </c>
      <c r="H1788" s="56">
        <v>397.27199999999999</v>
      </c>
      <c r="I1788" s="58">
        <v>0.31928699999999999</v>
      </c>
      <c r="J1788" s="57">
        <v>0.24512600000000001</v>
      </c>
      <c r="K1788" s="56"/>
      <c r="L1788" s="56" t="s">
        <v>488</v>
      </c>
    </row>
    <row r="1789" spans="2:12" x14ac:dyDescent="0.2">
      <c r="B1789" s="62" t="s">
        <v>4166</v>
      </c>
      <c r="C1789" s="61" t="s">
        <v>878</v>
      </c>
      <c r="D1789" s="60">
        <v>1.8688199999999999</v>
      </c>
      <c r="E1789" s="59">
        <v>5.0798699999999997</v>
      </c>
      <c r="F1789" s="59">
        <v>7.2586500000000003</v>
      </c>
      <c r="G1789" s="56">
        <v>726.2</v>
      </c>
      <c r="H1789" s="56">
        <v>388.58800000000002</v>
      </c>
      <c r="I1789" s="58">
        <v>0.31905800000000001</v>
      </c>
      <c r="J1789" s="57">
        <v>0.23606199999999999</v>
      </c>
      <c r="K1789" s="56"/>
      <c r="L1789" s="56" t="s">
        <v>488</v>
      </c>
    </row>
    <row r="1790" spans="2:12" x14ac:dyDescent="0.2">
      <c r="B1790" s="62" t="s">
        <v>4165</v>
      </c>
      <c r="C1790" s="61" t="s">
        <v>875</v>
      </c>
      <c r="D1790" s="60">
        <v>1.79999</v>
      </c>
      <c r="E1790" s="59">
        <v>5.00108</v>
      </c>
      <c r="F1790" s="59">
        <v>7.3527399999999998</v>
      </c>
      <c r="G1790" s="56">
        <v>726.48099999999999</v>
      </c>
      <c r="H1790" s="56">
        <v>403.60199999999998</v>
      </c>
      <c r="I1790" s="58">
        <v>0.31756400000000001</v>
      </c>
      <c r="J1790" s="57">
        <v>0.24820900000000001</v>
      </c>
      <c r="K1790" s="56"/>
      <c r="L1790" s="56" t="s">
        <v>488</v>
      </c>
    </row>
    <row r="1791" spans="2:12" x14ac:dyDescent="0.2">
      <c r="B1791" s="62" t="s">
        <v>4164</v>
      </c>
      <c r="C1791" s="61" t="s">
        <v>940</v>
      </c>
      <c r="D1791" s="60">
        <v>1.90327</v>
      </c>
      <c r="E1791" s="59">
        <v>5.0883399999999996</v>
      </c>
      <c r="F1791" s="59">
        <v>7.2310100000000004</v>
      </c>
      <c r="G1791" s="56">
        <v>714.495</v>
      </c>
      <c r="H1791" s="56">
        <v>375.404</v>
      </c>
      <c r="I1791" s="58">
        <v>0.31802900000000001</v>
      </c>
      <c r="J1791" s="57">
        <v>0.23009599999999999</v>
      </c>
      <c r="K1791" s="56"/>
      <c r="L1791" s="56" t="s">
        <v>488</v>
      </c>
    </row>
    <row r="1792" spans="2:12" x14ac:dyDescent="0.2">
      <c r="B1792" s="62" t="s">
        <v>4163</v>
      </c>
      <c r="C1792" s="61" t="s">
        <v>499</v>
      </c>
      <c r="D1792" s="60">
        <v>1.0723</v>
      </c>
      <c r="E1792" s="59">
        <v>9.8425999999999991</v>
      </c>
      <c r="F1792" s="59">
        <v>9.9780200000000008</v>
      </c>
      <c r="G1792" s="56">
        <v>973.22400000000005</v>
      </c>
      <c r="H1792" s="56">
        <v>907.60199999999998</v>
      </c>
      <c r="I1792" s="58">
        <v>0.42952499999999999</v>
      </c>
      <c r="J1792" s="57">
        <v>0.52940399999999999</v>
      </c>
      <c r="K1792" s="56"/>
      <c r="L1792" s="56" t="s">
        <v>488</v>
      </c>
    </row>
    <row r="1793" spans="2:12" x14ac:dyDescent="0.2">
      <c r="B1793" s="62" t="s">
        <v>4162</v>
      </c>
      <c r="C1793" s="61" t="s">
        <v>499</v>
      </c>
      <c r="D1793" s="60">
        <v>1.22593</v>
      </c>
      <c r="E1793" s="59">
        <v>9.9420800000000007</v>
      </c>
      <c r="F1793" s="59">
        <v>10.070180000000001</v>
      </c>
      <c r="G1793" s="56">
        <v>951.75</v>
      </c>
      <c r="H1793" s="56">
        <v>776.351</v>
      </c>
      <c r="I1793" s="58">
        <v>0.42115399999999997</v>
      </c>
      <c r="J1793" s="57">
        <v>0.45629700000000001</v>
      </c>
      <c r="K1793" s="56"/>
      <c r="L1793" s="56" t="s">
        <v>488</v>
      </c>
    </row>
    <row r="1794" spans="2:12" x14ac:dyDescent="0.2">
      <c r="B1794" s="62" t="s">
        <v>4161</v>
      </c>
      <c r="C1794" s="61" t="s">
        <v>499</v>
      </c>
      <c r="D1794" s="60">
        <v>1.0684899999999999</v>
      </c>
      <c r="E1794" s="59">
        <v>9.8428500000000003</v>
      </c>
      <c r="F1794" s="59">
        <v>9.9990500000000004</v>
      </c>
      <c r="G1794" s="56">
        <v>963.52499999999998</v>
      </c>
      <c r="H1794" s="56">
        <v>901.76199999999994</v>
      </c>
      <c r="I1794" s="58">
        <v>0.43059999999999998</v>
      </c>
      <c r="J1794" s="57">
        <v>0.53190400000000004</v>
      </c>
      <c r="K1794" s="56"/>
      <c r="L1794" s="56" t="s">
        <v>488</v>
      </c>
    </row>
    <row r="1795" spans="2:12" x14ac:dyDescent="0.2">
      <c r="B1795" s="62" t="s">
        <v>4160</v>
      </c>
      <c r="C1795" s="61" t="s">
        <v>499</v>
      </c>
      <c r="D1795" s="60">
        <v>1.22363</v>
      </c>
      <c r="E1795" s="59">
        <v>9.9398300000000006</v>
      </c>
      <c r="F1795" s="59">
        <v>10.098229999999999</v>
      </c>
      <c r="G1795" s="56">
        <v>946.88900000000001</v>
      </c>
      <c r="H1795" s="56">
        <v>773.83900000000006</v>
      </c>
      <c r="I1795" s="58">
        <v>0.42382900000000001</v>
      </c>
      <c r="J1795" s="57">
        <v>0.45837800000000001</v>
      </c>
      <c r="K1795" s="56"/>
      <c r="L1795" s="56" t="s">
        <v>488</v>
      </c>
    </row>
    <row r="1796" spans="2:12" x14ac:dyDescent="0.2">
      <c r="B1796" s="62" t="s">
        <v>4159</v>
      </c>
      <c r="C1796" s="61" t="s">
        <v>499</v>
      </c>
      <c r="D1796" s="60">
        <v>1.0684499999999999</v>
      </c>
      <c r="E1796" s="59">
        <v>10.01365</v>
      </c>
      <c r="F1796" s="59">
        <v>10.14615</v>
      </c>
      <c r="G1796" s="56">
        <v>993.82299999999998</v>
      </c>
      <c r="H1796" s="56">
        <v>930.15899999999999</v>
      </c>
      <c r="I1796" s="58">
        <v>0.43528299999999998</v>
      </c>
      <c r="J1796" s="57">
        <v>0.53288500000000005</v>
      </c>
      <c r="K1796" s="56"/>
      <c r="L1796" s="56" t="s">
        <v>488</v>
      </c>
    </row>
    <row r="1797" spans="2:12" x14ac:dyDescent="0.2">
      <c r="B1797" s="62" t="s">
        <v>4158</v>
      </c>
      <c r="C1797" s="61" t="s">
        <v>499</v>
      </c>
      <c r="D1797" s="60">
        <v>1.21075</v>
      </c>
      <c r="E1797" s="59">
        <v>10.076560000000001</v>
      </c>
      <c r="F1797" s="59">
        <v>10.207789999999999</v>
      </c>
      <c r="G1797" s="56">
        <v>973.71900000000005</v>
      </c>
      <c r="H1797" s="56">
        <v>804.22699999999998</v>
      </c>
      <c r="I1797" s="58">
        <v>0.42942399999999997</v>
      </c>
      <c r="J1797" s="57">
        <v>0.46721099999999999</v>
      </c>
      <c r="K1797" s="56"/>
      <c r="L1797" s="56" t="s">
        <v>488</v>
      </c>
    </row>
    <row r="1798" spans="2:12" x14ac:dyDescent="0.2">
      <c r="B1798" s="62" t="s">
        <v>4157</v>
      </c>
      <c r="C1798" s="61" t="s">
        <v>502</v>
      </c>
      <c r="D1798" s="60">
        <v>1.1772800000000001</v>
      </c>
      <c r="E1798" s="59">
        <v>4.1066399999999996</v>
      </c>
      <c r="F1798" s="59">
        <v>5.1139999999999999</v>
      </c>
      <c r="G1798" s="56">
        <v>655.80200000000002</v>
      </c>
      <c r="H1798" s="56">
        <v>557.04999999999995</v>
      </c>
      <c r="I1798" s="58">
        <v>0.327291</v>
      </c>
      <c r="J1798" s="57">
        <v>0.43745499999999998</v>
      </c>
      <c r="K1798" s="56"/>
      <c r="L1798" s="56" t="s">
        <v>488</v>
      </c>
    </row>
    <row r="1799" spans="2:12" x14ac:dyDescent="0.2">
      <c r="B1799" s="62" t="s">
        <v>4156</v>
      </c>
      <c r="C1799" s="61" t="s">
        <v>1637</v>
      </c>
      <c r="D1799" s="60">
        <v>1.97567</v>
      </c>
      <c r="E1799" s="59">
        <v>4.8227599999999997</v>
      </c>
      <c r="F1799" s="59">
        <v>5.5796700000000001</v>
      </c>
      <c r="G1799" s="56">
        <v>561.22199999999998</v>
      </c>
      <c r="H1799" s="56">
        <v>284.06700000000001</v>
      </c>
      <c r="I1799" s="58">
        <v>0.26991500000000002</v>
      </c>
      <c r="J1799" s="57">
        <v>0.219359</v>
      </c>
      <c r="K1799" s="56"/>
      <c r="L1799" s="56" t="s">
        <v>624</v>
      </c>
    </row>
    <row r="1800" spans="2:12" x14ac:dyDescent="0.2">
      <c r="B1800" s="62" t="s">
        <v>4155</v>
      </c>
      <c r="C1800" s="61" t="s">
        <v>499</v>
      </c>
      <c r="D1800" s="60">
        <v>2.0890900000000001</v>
      </c>
      <c r="E1800" s="59">
        <v>2.9175399999999998</v>
      </c>
      <c r="F1800" s="59">
        <v>6.68004</v>
      </c>
      <c r="G1800" s="56">
        <v>0</v>
      </c>
      <c r="H1800" s="56">
        <v>0</v>
      </c>
      <c r="I1800" s="58">
        <v>0.49038500000000002</v>
      </c>
      <c r="J1800" s="57">
        <v>0.26527699999999999</v>
      </c>
      <c r="K1800" s="56"/>
      <c r="L1800" s="56" t="s">
        <v>488</v>
      </c>
    </row>
    <row r="1801" spans="2:12" x14ac:dyDescent="0.2">
      <c r="B1801" s="62" t="s">
        <v>4154</v>
      </c>
      <c r="C1801" s="61" t="s">
        <v>499</v>
      </c>
      <c r="D1801" s="60">
        <v>1.2876700000000001</v>
      </c>
      <c r="E1801" s="59">
        <v>3.05925</v>
      </c>
      <c r="F1801" s="59">
        <v>5.0628799999999998</v>
      </c>
      <c r="G1801" s="56">
        <v>0</v>
      </c>
      <c r="H1801" s="56">
        <v>0</v>
      </c>
      <c r="I1801" s="58">
        <v>0.26483600000000002</v>
      </c>
      <c r="J1801" s="57">
        <v>0.35948099999999999</v>
      </c>
      <c r="K1801" s="56"/>
      <c r="L1801" s="56" t="s">
        <v>492</v>
      </c>
    </row>
    <row r="1802" spans="2:12" x14ac:dyDescent="0.2">
      <c r="B1802" s="62" t="s">
        <v>4153</v>
      </c>
      <c r="C1802" s="61" t="s">
        <v>502</v>
      </c>
      <c r="D1802" s="60">
        <v>0.94005899999999998</v>
      </c>
      <c r="E1802" s="59">
        <v>4.4934399999999997</v>
      </c>
      <c r="F1802" s="59">
        <v>6.1387</v>
      </c>
      <c r="G1802" s="56">
        <v>1578.71</v>
      </c>
      <c r="H1802" s="56">
        <v>1679.37</v>
      </c>
      <c r="I1802" s="58">
        <v>0.59584999999999999</v>
      </c>
      <c r="J1802" s="57">
        <v>0.69915499999999997</v>
      </c>
      <c r="K1802" s="56"/>
      <c r="L1802" s="56" t="s">
        <v>488</v>
      </c>
    </row>
    <row r="1803" spans="2:12" x14ac:dyDescent="0.2">
      <c r="B1803" s="62" t="s">
        <v>4152</v>
      </c>
      <c r="C1803" s="61" t="s">
        <v>502</v>
      </c>
      <c r="D1803" s="60">
        <v>1.48919</v>
      </c>
      <c r="E1803" s="59">
        <v>4.2533300000000001</v>
      </c>
      <c r="F1803" s="59">
        <v>5.0866800000000003</v>
      </c>
      <c r="G1803" s="56">
        <v>581.62800000000004</v>
      </c>
      <c r="H1803" s="56">
        <v>390.56700000000001</v>
      </c>
      <c r="I1803" s="58">
        <v>0.33707999999999999</v>
      </c>
      <c r="J1803" s="57">
        <v>0.33201599999999998</v>
      </c>
      <c r="K1803" s="56"/>
      <c r="L1803" s="56" t="s">
        <v>488</v>
      </c>
    </row>
    <row r="1804" spans="2:12" x14ac:dyDescent="0.2">
      <c r="B1804" s="62" t="s">
        <v>4151</v>
      </c>
      <c r="C1804" s="61" t="s">
        <v>499</v>
      </c>
      <c r="D1804" s="60">
        <v>1.49492</v>
      </c>
      <c r="E1804" s="59">
        <v>4.0347600000000003</v>
      </c>
      <c r="F1804" s="59">
        <v>4.2835299999999998</v>
      </c>
      <c r="G1804" s="56">
        <v>139.20099999999999</v>
      </c>
      <c r="H1804" s="56">
        <v>93.116</v>
      </c>
      <c r="I1804" s="58">
        <v>0.123393</v>
      </c>
      <c r="J1804" s="57">
        <v>0.26635399999999998</v>
      </c>
      <c r="K1804" s="56"/>
      <c r="L1804" s="56" t="s">
        <v>488</v>
      </c>
    </row>
    <row r="1805" spans="2:12" x14ac:dyDescent="0.2">
      <c r="B1805" s="62" t="s">
        <v>4150</v>
      </c>
      <c r="C1805" s="61" t="s">
        <v>499</v>
      </c>
      <c r="D1805" s="60">
        <v>2.0239199999999999</v>
      </c>
      <c r="E1805" s="59">
        <v>2.5422799999999999</v>
      </c>
      <c r="F1805" s="59">
        <v>4.8358499999999998</v>
      </c>
      <c r="G1805" s="56">
        <v>0</v>
      </c>
      <c r="H1805" s="56">
        <v>0</v>
      </c>
      <c r="I1805" s="58">
        <v>0.36751699999999998</v>
      </c>
      <c r="J1805" s="57">
        <v>0.26938899999999999</v>
      </c>
      <c r="K1805" s="56"/>
      <c r="L1805" s="56" t="s">
        <v>488</v>
      </c>
    </row>
    <row r="1806" spans="2:12" x14ac:dyDescent="0.2">
      <c r="B1806" s="62" t="s">
        <v>4149</v>
      </c>
      <c r="C1806" s="61" t="s">
        <v>502</v>
      </c>
      <c r="D1806" s="60">
        <v>0.83820399999999995</v>
      </c>
      <c r="E1806" s="59">
        <v>4.9977999999999998</v>
      </c>
      <c r="F1806" s="59">
        <v>8.7441300000000002</v>
      </c>
      <c r="G1806" s="56">
        <v>1766.68</v>
      </c>
      <c r="H1806" s="56">
        <v>2107.6999999999998</v>
      </c>
      <c r="I1806" s="58">
        <v>0.64625299999999997</v>
      </c>
      <c r="J1806" s="57">
        <v>0.77769600000000005</v>
      </c>
      <c r="K1806" s="56"/>
      <c r="L1806" s="56" t="s">
        <v>488</v>
      </c>
    </row>
    <row r="1807" spans="2:12" x14ac:dyDescent="0.2">
      <c r="B1807" s="62" t="s">
        <v>4148</v>
      </c>
      <c r="C1807" s="61" t="s">
        <v>526</v>
      </c>
      <c r="D1807" s="60">
        <v>0.79649800000000004</v>
      </c>
      <c r="E1807" s="59">
        <v>6.00068</v>
      </c>
      <c r="F1807" s="59">
        <v>7.48996</v>
      </c>
      <c r="G1807" s="56">
        <v>2316.12</v>
      </c>
      <c r="H1807" s="56">
        <v>2907.88</v>
      </c>
      <c r="I1807" s="58">
        <v>0.81909299999999996</v>
      </c>
      <c r="J1807" s="57">
        <v>0.90290999999999999</v>
      </c>
      <c r="K1807" s="56"/>
      <c r="L1807" s="56" t="s">
        <v>488</v>
      </c>
    </row>
    <row r="1808" spans="2:12" x14ac:dyDescent="0.2">
      <c r="B1808" s="62" t="s">
        <v>4147</v>
      </c>
      <c r="C1808" s="61" t="s">
        <v>510</v>
      </c>
      <c r="D1808" s="60">
        <v>0.95806899999999995</v>
      </c>
      <c r="E1808" s="59">
        <v>3.7645400000000002</v>
      </c>
      <c r="F1808" s="59">
        <v>7.2541700000000002</v>
      </c>
      <c r="G1808" s="56">
        <v>1294.18</v>
      </c>
      <c r="H1808" s="56">
        <v>1350.82</v>
      </c>
      <c r="I1808" s="58">
        <v>0.58737499999999998</v>
      </c>
      <c r="J1808" s="57">
        <v>0.621888</v>
      </c>
      <c r="K1808" s="56"/>
      <c r="L1808" s="56" t="s">
        <v>488</v>
      </c>
    </row>
    <row r="1809" spans="2:12" x14ac:dyDescent="0.2">
      <c r="B1809" s="62" t="s">
        <v>4146</v>
      </c>
      <c r="C1809" s="61" t="s">
        <v>510</v>
      </c>
      <c r="D1809" s="60">
        <v>1.1394500000000001</v>
      </c>
      <c r="E1809" s="59">
        <v>7.5780099999999999</v>
      </c>
      <c r="F1809" s="59">
        <v>8.2495799999999999</v>
      </c>
      <c r="G1809" s="56">
        <v>872.58100000000002</v>
      </c>
      <c r="H1809" s="56">
        <v>765.79399999999998</v>
      </c>
      <c r="I1809" s="58">
        <v>0.353711</v>
      </c>
      <c r="J1809" s="57">
        <v>0.44694899999999999</v>
      </c>
      <c r="K1809" s="56"/>
      <c r="L1809" s="56" t="s">
        <v>488</v>
      </c>
    </row>
    <row r="1810" spans="2:12" x14ac:dyDescent="0.2">
      <c r="B1810" s="62" t="s">
        <v>4145</v>
      </c>
      <c r="C1810" s="61" t="s">
        <v>625</v>
      </c>
      <c r="D1810" s="60">
        <v>2.0132699999999999</v>
      </c>
      <c r="E1810" s="59">
        <v>2.7668699999999999</v>
      </c>
      <c r="F1810" s="59">
        <v>7.3226100000000001</v>
      </c>
      <c r="G1810" s="56">
        <v>0</v>
      </c>
      <c r="H1810" s="56">
        <v>0</v>
      </c>
      <c r="I1810" s="58">
        <v>0.322496</v>
      </c>
      <c r="J1810" s="57">
        <v>0.21982499999999999</v>
      </c>
      <c r="K1810" s="56"/>
      <c r="L1810" s="56" t="s">
        <v>488</v>
      </c>
    </row>
    <row r="1811" spans="2:12" x14ac:dyDescent="0.2">
      <c r="B1811" s="62" t="s">
        <v>4144</v>
      </c>
      <c r="C1811" s="61" t="s">
        <v>625</v>
      </c>
      <c r="D1811" s="60">
        <v>1.99556</v>
      </c>
      <c r="E1811" s="59">
        <v>2.8069000000000002</v>
      </c>
      <c r="F1811" s="59">
        <v>7.4430399999999999</v>
      </c>
      <c r="G1811" s="56">
        <v>0</v>
      </c>
      <c r="H1811" s="56">
        <v>0</v>
      </c>
      <c r="I1811" s="58">
        <v>0.32371100000000003</v>
      </c>
      <c r="J1811" s="57">
        <v>0.22258600000000001</v>
      </c>
      <c r="K1811" s="56"/>
      <c r="L1811" s="56" t="s">
        <v>488</v>
      </c>
    </row>
    <row r="1812" spans="2:12" x14ac:dyDescent="0.2">
      <c r="B1812" s="62" t="s">
        <v>4143</v>
      </c>
      <c r="C1812" s="61" t="s">
        <v>510</v>
      </c>
      <c r="D1812" s="60">
        <v>0.40349000000000002</v>
      </c>
      <c r="E1812" s="59">
        <v>7.9572200000000004</v>
      </c>
      <c r="F1812" s="59">
        <v>20.391120000000001</v>
      </c>
      <c r="G1812" s="56">
        <v>1909.81</v>
      </c>
      <c r="H1812" s="56">
        <v>4733.24</v>
      </c>
      <c r="I1812" s="58">
        <v>0.87995299999999999</v>
      </c>
      <c r="J1812" s="57">
        <v>2.0509900000000001</v>
      </c>
      <c r="K1812" s="56"/>
      <c r="L1812" s="56" t="s">
        <v>488</v>
      </c>
    </row>
    <row r="1813" spans="2:12" x14ac:dyDescent="0.2">
      <c r="B1813" s="62" t="s">
        <v>4142</v>
      </c>
      <c r="C1813" s="61" t="s">
        <v>502</v>
      </c>
      <c r="D1813" s="60">
        <v>0.413296</v>
      </c>
      <c r="E1813" s="59">
        <v>7.9039900000000003</v>
      </c>
      <c r="F1813" s="59">
        <v>20.296109999999999</v>
      </c>
      <c r="G1813" s="56">
        <v>1878.63</v>
      </c>
      <c r="H1813" s="56">
        <v>4545.4799999999996</v>
      </c>
      <c r="I1813" s="58">
        <v>0.87662600000000002</v>
      </c>
      <c r="J1813" s="57">
        <v>1.99644</v>
      </c>
      <c r="K1813" s="56"/>
      <c r="L1813" s="56" t="s">
        <v>488</v>
      </c>
    </row>
    <row r="1814" spans="2:12" x14ac:dyDescent="0.2">
      <c r="B1814" s="62" t="s">
        <v>4141</v>
      </c>
      <c r="C1814" s="61" t="s">
        <v>502</v>
      </c>
      <c r="D1814" s="60">
        <v>0.53603699999999999</v>
      </c>
      <c r="E1814" s="59">
        <v>6.2118700000000002</v>
      </c>
      <c r="F1814" s="59">
        <v>14.91147</v>
      </c>
      <c r="G1814" s="56">
        <v>2000.32</v>
      </c>
      <c r="H1814" s="56">
        <v>3731.68</v>
      </c>
      <c r="I1814" s="58">
        <v>0.80032300000000001</v>
      </c>
      <c r="J1814" s="57">
        <v>1.43218</v>
      </c>
      <c r="K1814" s="56"/>
      <c r="L1814" s="56" t="s">
        <v>488</v>
      </c>
    </row>
    <row r="1815" spans="2:12" x14ac:dyDescent="0.2">
      <c r="B1815" s="62" t="s">
        <v>4140</v>
      </c>
      <c r="C1815" s="61" t="s">
        <v>502</v>
      </c>
      <c r="D1815" s="60">
        <v>0.61673900000000004</v>
      </c>
      <c r="E1815" s="59">
        <v>9.1848600000000005</v>
      </c>
      <c r="F1815" s="59">
        <v>16.218589999999999</v>
      </c>
      <c r="G1815" s="56">
        <v>1952.11</v>
      </c>
      <c r="H1815" s="56">
        <v>3165.21</v>
      </c>
      <c r="I1815" s="58">
        <v>0.77210100000000004</v>
      </c>
      <c r="J1815" s="57">
        <v>1.20048</v>
      </c>
      <c r="K1815" s="56"/>
      <c r="L1815" s="56" t="s">
        <v>488</v>
      </c>
    </row>
    <row r="1816" spans="2:12" x14ac:dyDescent="0.2">
      <c r="B1816" s="62" t="s">
        <v>4139</v>
      </c>
      <c r="C1816" s="61" t="s">
        <v>708</v>
      </c>
      <c r="D1816" s="60">
        <v>0.40652100000000002</v>
      </c>
      <c r="E1816" s="59">
        <v>7.9214599999999997</v>
      </c>
      <c r="F1816" s="59">
        <v>20.333390000000001</v>
      </c>
      <c r="G1816" s="56">
        <v>1889.07</v>
      </c>
      <c r="H1816" s="56">
        <v>4646.92</v>
      </c>
      <c r="I1816" s="58">
        <v>0.87746800000000003</v>
      </c>
      <c r="J1816" s="57">
        <v>2.0306099999999998</v>
      </c>
      <c r="K1816" s="56"/>
      <c r="L1816" s="56" t="s">
        <v>488</v>
      </c>
    </row>
    <row r="1817" spans="2:12" x14ac:dyDescent="0.2">
      <c r="B1817" s="62" t="s">
        <v>4138</v>
      </c>
      <c r="C1817" s="61" t="s">
        <v>550</v>
      </c>
      <c r="D1817" s="60">
        <v>1.0343800000000001</v>
      </c>
      <c r="E1817" s="59">
        <v>7.7108699999999999</v>
      </c>
      <c r="F1817" s="59">
        <v>8.0910499999999992</v>
      </c>
      <c r="G1817" s="56">
        <v>1234.94</v>
      </c>
      <c r="H1817" s="56">
        <v>1193.9000000000001</v>
      </c>
      <c r="I1817" s="58">
        <v>0.46940399999999999</v>
      </c>
      <c r="J1817" s="57">
        <v>0.55408299999999999</v>
      </c>
      <c r="K1817" s="56"/>
      <c r="L1817" s="56" t="s">
        <v>488</v>
      </c>
    </row>
    <row r="1818" spans="2:12" x14ac:dyDescent="0.2">
      <c r="B1818" s="62" t="s">
        <v>4137</v>
      </c>
      <c r="C1818" s="61" t="s">
        <v>550</v>
      </c>
      <c r="D1818" s="60">
        <v>0.94325199999999998</v>
      </c>
      <c r="E1818" s="59">
        <v>6.4178699999999997</v>
      </c>
      <c r="F1818" s="59">
        <v>7.4432900000000002</v>
      </c>
      <c r="G1818" s="56">
        <v>1993.97</v>
      </c>
      <c r="H1818" s="56">
        <v>2113.9299999999998</v>
      </c>
      <c r="I1818" s="58">
        <v>0.69033699999999998</v>
      </c>
      <c r="J1818" s="57">
        <v>0.74651900000000004</v>
      </c>
      <c r="K1818" s="56"/>
      <c r="L1818" s="56" t="s">
        <v>488</v>
      </c>
    </row>
    <row r="1819" spans="2:12" x14ac:dyDescent="0.2">
      <c r="B1819" s="62" t="s">
        <v>4136</v>
      </c>
      <c r="C1819" s="61" t="s">
        <v>612</v>
      </c>
      <c r="D1819" s="60">
        <v>0.51286500000000002</v>
      </c>
      <c r="E1819" s="59">
        <v>10.47822</v>
      </c>
      <c r="F1819" s="59">
        <v>19.79523</v>
      </c>
      <c r="G1819" s="56">
        <v>1625</v>
      </c>
      <c r="H1819" s="56">
        <v>3168.47</v>
      </c>
      <c r="I1819" s="58">
        <v>0.80294900000000002</v>
      </c>
      <c r="J1819" s="57">
        <v>1.56264</v>
      </c>
      <c r="K1819" s="56"/>
      <c r="L1819" s="56" t="s">
        <v>492</v>
      </c>
    </row>
    <row r="1820" spans="2:12" x14ac:dyDescent="0.2">
      <c r="B1820" s="62" t="s">
        <v>4135</v>
      </c>
      <c r="C1820" s="61" t="s">
        <v>4134</v>
      </c>
      <c r="D1820" s="60">
        <v>1.2204200000000001</v>
      </c>
      <c r="E1820" s="59">
        <v>3.18432</v>
      </c>
      <c r="F1820" s="59">
        <v>7.6793500000000003</v>
      </c>
      <c r="G1820" s="56">
        <v>0</v>
      </c>
      <c r="H1820" s="56">
        <v>0</v>
      </c>
      <c r="I1820" s="58">
        <v>0.308753</v>
      </c>
      <c r="J1820" s="57">
        <v>0.42939699999999997</v>
      </c>
      <c r="K1820" s="56"/>
      <c r="L1820" s="56" t="s">
        <v>492</v>
      </c>
    </row>
    <row r="1821" spans="2:12" x14ac:dyDescent="0.2">
      <c r="B1821" s="62" t="s">
        <v>4133</v>
      </c>
      <c r="C1821" s="61" t="s">
        <v>1438</v>
      </c>
      <c r="D1821" s="60">
        <v>1.3349200000000001</v>
      </c>
      <c r="E1821" s="59">
        <v>4.6047200000000004</v>
      </c>
      <c r="F1821" s="59">
        <v>5.7906300000000002</v>
      </c>
      <c r="G1821" s="56">
        <v>424.57499999999999</v>
      </c>
      <c r="H1821" s="56">
        <v>318.053</v>
      </c>
      <c r="I1821" s="58">
        <v>0.39102399999999998</v>
      </c>
      <c r="J1821" s="57">
        <v>0.345744</v>
      </c>
      <c r="K1821" s="56"/>
      <c r="L1821" s="56" t="s">
        <v>488</v>
      </c>
    </row>
    <row r="1822" spans="2:12" x14ac:dyDescent="0.2">
      <c r="B1822" s="62" t="s">
        <v>4132</v>
      </c>
      <c r="C1822" s="61" t="s">
        <v>502</v>
      </c>
      <c r="D1822" s="60">
        <v>1.9367799999999999</v>
      </c>
      <c r="E1822" s="59">
        <v>3.1890399999999999</v>
      </c>
      <c r="F1822" s="59">
        <v>3.8428100000000001</v>
      </c>
      <c r="G1822" s="56">
        <v>0</v>
      </c>
      <c r="H1822" s="56">
        <v>0</v>
      </c>
      <c r="I1822" s="58">
        <v>0.182642</v>
      </c>
      <c r="J1822" s="57">
        <v>0.19908699999999999</v>
      </c>
      <c r="K1822" s="56"/>
      <c r="L1822" s="56" t="s">
        <v>488</v>
      </c>
    </row>
    <row r="1823" spans="2:12" x14ac:dyDescent="0.2">
      <c r="B1823" s="62" t="s">
        <v>4131</v>
      </c>
      <c r="C1823" s="61" t="s">
        <v>495</v>
      </c>
      <c r="D1823" s="60">
        <v>1.23139</v>
      </c>
      <c r="E1823" s="59">
        <v>3.07422</v>
      </c>
      <c r="F1823" s="59">
        <v>4.6645399999999997</v>
      </c>
      <c r="G1823" s="56">
        <v>0</v>
      </c>
      <c r="H1823" s="56">
        <v>0</v>
      </c>
      <c r="I1823" s="58">
        <v>0.35191</v>
      </c>
      <c r="J1823" s="57">
        <v>0.40114300000000003</v>
      </c>
      <c r="K1823" s="56"/>
      <c r="L1823" s="56" t="s">
        <v>488</v>
      </c>
    </row>
    <row r="1824" spans="2:12" x14ac:dyDescent="0.2">
      <c r="B1824" s="62" t="s">
        <v>4130</v>
      </c>
      <c r="C1824" s="61" t="s">
        <v>499</v>
      </c>
      <c r="D1824" s="60">
        <v>0.813948</v>
      </c>
      <c r="E1824" s="59">
        <v>9.9727200000000007</v>
      </c>
      <c r="F1824" s="59">
        <v>12.623900000000001</v>
      </c>
      <c r="G1824" s="56">
        <v>1491.74</v>
      </c>
      <c r="H1824" s="56">
        <v>1850.23</v>
      </c>
      <c r="I1824" s="58">
        <v>0.67616600000000004</v>
      </c>
      <c r="J1824" s="57">
        <v>0.84471200000000002</v>
      </c>
      <c r="K1824" s="56"/>
      <c r="L1824" s="56" t="s">
        <v>488</v>
      </c>
    </row>
    <row r="1825" spans="2:12" x14ac:dyDescent="0.2">
      <c r="B1825" s="62" t="s">
        <v>4129</v>
      </c>
      <c r="C1825" s="61" t="s">
        <v>499</v>
      </c>
      <c r="D1825" s="60">
        <v>0.80624399999999996</v>
      </c>
      <c r="E1825" s="59">
        <v>9.9316600000000008</v>
      </c>
      <c r="F1825" s="59">
        <v>12.550599999999999</v>
      </c>
      <c r="G1825" s="56">
        <v>1482.15</v>
      </c>
      <c r="H1825" s="56">
        <v>1820.94</v>
      </c>
      <c r="I1825" s="58">
        <v>0.67185899999999998</v>
      </c>
      <c r="J1825" s="57">
        <v>0.85409800000000002</v>
      </c>
      <c r="K1825" s="56"/>
      <c r="L1825" s="56" t="s">
        <v>488</v>
      </c>
    </row>
    <row r="1826" spans="2:12" x14ac:dyDescent="0.2">
      <c r="B1826" s="62" t="s">
        <v>4128</v>
      </c>
      <c r="C1826" s="61" t="s">
        <v>641</v>
      </c>
      <c r="D1826" s="60">
        <v>1.76091</v>
      </c>
      <c r="E1826" s="59">
        <v>4.3899699999999999</v>
      </c>
      <c r="F1826" s="59">
        <v>4.9791800000000004</v>
      </c>
      <c r="G1826" s="56">
        <v>672.88499999999999</v>
      </c>
      <c r="H1826" s="56">
        <v>382.125</v>
      </c>
      <c r="I1826" s="58">
        <v>0.31888699999999998</v>
      </c>
      <c r="J1826" s="57">
        <v>0.28072399999999997</v>
      </c>
      <c r="K1826" s="56" t="s">
        <v>4127</v>
      </c>
      <c r="L1826" s="56" t="s">
        <v>4126</v>
      </c>
    </row>
    <row r="1827" spans="2:12" x14ac:dyDescent="0.2">
      <c r="B1827" s="62" t="s">
        <v>4125</v>
      </c>
      <c r="C1827" s="61" t="s">
        <v>641</v>
      </c>
      <c r="D1827" s="60">
        <v>1.26187</v>
      </c>
      <c r="E1827" s="59">
        <v>4.2449000000000003</v>
      </c>
      <c r="F1827" s="59">
        <v>5.7959899999999998</v>
      </c>
      <c r="G1827" s="56">
        <v>1134.92</v>
      </c>
      <c r="H1827" s="56">
        <v>899.39300000000003</v>
      </c>
      <c r="I1827" s="58">
        <v>0.49487300000000001</v>
      </c>
      <c r="J1827" s="57">
        <v>0.46063700000000002</v>
      </c>
      <c r="K1827" s="56"/>
      <c r="L1827" s="56" t="s">
        <v>488</v>
      </c>
    </row>
    <row r="1828" spans="2:12" x14ac:dyDescent="0.2">
      <c r="B1828" s="62" t="s">
        <v>4124</v>
      </c>
      <c r="C1828" s="61" t="s">
        <v>641</v>
      </c>
      <c r="D1828" s="60">
        <v>1.57134</v>
      </c>
      <c r="E1828" s="59">
        <v>3.1960500000000001</v>
      </c>
      <c r="F1828" s="59">
        <v>4.9970600000000003</v>
      </c>
      <c r="G1828" s="56">
        <v>0</v>
      </c>
      <c r="H1828" s="56">
        <v>0</v>
      </c>
      <c r="I1828" s="58">
        <v>0.33296300000000001</v>
      </c>
      <c r="J1828" s="57">
        <v>0.30787199999999998</v>
      </c>
      <c r="K1828" s="56"/>
      <c r="L1828" s="56" t="s">
        <v>488</v>
      </c>
    </row>
    <row r="1829" spans="2:12" x14ac:dyDescent="0.2">
      <c r="B1829" s="62" t="s">
        <v>4123</v>
      </c>
      <c r="C1829" s="61" t="s">
        <v>502</v>
      </c>
      <c r="D1829" s="60">
        <v>1.07446</v>
      </c>
      <c r="E1829" s="59">
        <v>5.9816000000000003</v>
      </c>
      <c r="F1829" s="59">
        <v>6.4039599999999997</v>
      </c>
      <c r="G1829" s="56">
        <v>1200.43</v>
      </c>
      <c r="H1829" s="56">
        <v>1117.24</v>
      </c>
      <c r="I1829" s="58">
        <v>0.39657900000000001</v>
      </c>
      <c r="J1829" s="57">
        <v>0.49866199999999999</v>
      </c>
      <c r="K1829" s="56"/>
      <c r="L1829" s="56" t="s">
        <v>492</v>
      </c>
    </row>
    <row r="1830" spans="2:12" x14ac:dyDescent="0.2">
      <c r="B1830" s="62" t="s">
        <v>4122</v>
      </c>
      <c r="C1830" s="61" t="s">
        <v>1786</v>
      </c>
      <c r="D1830" s="60">
        <v>1.4912700000000001</v>
      </c>
      <c r="E1830" s="59">
        <v>3.2295400000000001</v>
      </c>
      <c r="F1830" s="59">
        <v>3.7839700000000001</v>
      </c>
      <c r="G1830" s="56">
        <v>0</v>
      </c>
      <c r="H1830" s="56">
        <v>0</v>
      </c>
      <c r="I1830" s="58">
        <v>0.18631300000000001</v>
      </c>
      <c r="J1830" s="57">
        <v>0.280949</v>
      </c>
      <c r="K1830" s="56"/>
      <c r="L1830" s="56" t="s">
        <v>488</v>
      </c>
    </row>
    <row r="1831" spans="2:12" x14ac:dyDescent="0.2">
      <c r="B1831" s="62" t="s">
        <v>4121</v>
      </c>
      <c r="C1831" s="61" t="s">
        <v>495</v>
      </c>
      <c r="D1831" s="60">
        <v>1.3833299999999999</v>
      </c>
      <c r="E1831" s="59">
        <v>3.2565</v>
      </c>
      <c r="F1831" s="59">
        <v>4.2179500000000001</v>
      </c>
      <c r="G1831" s="56">
        <v>0</v>
      </c>
      <c r="H1831" s="56">
        <v>0</v>
      </c>
      <c r="I1831" s="58">
        <v>0.22491700000000001</v>
      </c>
      <c r="J1831" s="57">
        <v>0.30833300000000002</v>
      </c>
      <c r="K1831" s="56"/>
      <c r="L1831" s="56" t="s">
        <v>488</v>
      </c>
    </row>
    <row r="1832" spans="2:12" x14ac:dyDescent="0.2">
      <c r="B1832" s="62" t="s">
        <v>4120</v>
      </c>
      <c r="C1832" s="61" t="s">
        <v>4119</v>
      </c>
      <c r="D1832" s="60">
        <v>2.2451400000000001</v>
      </c>
      <c r="E1832" s="59">
        <v>2.4561899999999999</v>
      </c>
      <c r="F1832" s="59">
        <v>2.74133</v>
      </c>
      <c r="G1832" s="56">
        <v>0</v>
      </c>
      <c r="H1832" s="56">
        <v>0</v>
      </c>
      <c r="I1832" s="58">
        <v>0.251253</v>
      </c>
      <c r="J1832" s="57">
        <v>0.143206</v>
      </c>
      <c r="K1832" s="56"/>
      <c r="L1832" s="56" t="s">
        <v>488</v>
      </c>
    </row>
    <row r="1833" spans="2:12" x14ac:dyDescent="0.2">
      <c r="B1833" s="62" t="s">
        <v>4118</v>
      </c>
      <c r="C1833" s="61" t="s">
        <v>1006</v>
      </c>
      <c r="D1833" s="60">
        <v>1.00037</v>
      </c>
      <c r="E1833" s="59">
        <v>7.2248799999999997</v>
      </c>
      <c r="F1833" s="59">
        <v>7.6815199999999999</v>
      </c>
      <c r="G1833" s="56">
        <v>1558.14</v>
      </c>
      <c r="H1833" s="56">
        <v>1558.64</v>
      </c>
      <c r="I1833" s="58">
        <v>0.646061</v>
      </c>
      <c r="J1833" s="57">
        <v>0.63095999999999997</v>
      </c>
      <c r="K1833" s="56"/>
      <c r="L1833" s="56" t="s">
        <v>488</v>
      </c>
    </row>
    <row r="1834" spans="2:12" x14ac:dyDescent="0.2">
      <c r="B1834" s="62" t="s">
        <v>4117</v>
      </c>
      <c r="C1834" s="61" t="s">
        <v>1006</v>
      </c>
      <c r="D1834" s="60">
        <v>0.99967499999999998</v>
      </c>
      <c r="E1834" s="59">
        <v>7.2053599999999998</v>
      </c>
      <c r="F1834" s="59">
        <v>7.6836799999999998</v>
      </c>
      <c r="G1834" s="56">
        <v>1518.33</v>
      </c>
      <c r="H1834" s="56">
        <v>1517.76</v>
      </c>
      <c r="I1834" s="58">
        <v>0.64367799999999997</v>
      </c>
      <c r="J1834" s="57">
        <v>0.63044500000000003</v>
      </c>
      <c r="K1834" s="56"/>
      <c r="L1834" s="56" t="s">
        <v>488</v>
      </c>
    </row>
    <row r="1835" spans="2:12" x14ac:dyDescent="0.2">
      <c r="B1835" s="62" t="s">
        <v>4116</v>
      </c>
      <c r="C1835" s="61" t="s">
        <v>502</v>
      </c>
      <c r="D1835" s="60">
        <v>1.1689000000000001</v>
      </c>
      <c r="E1835" s="59">
        <v>2.8284799999999999</v>
      </c>
      <c r="F1835" s="59">
        <v>8.9712300000000003</v>
      </c>
      <c r="G1835" s="56">
        <v>0</v>
      </c>
      <c r="H1835" s="56">
        <v>0</v>
      </c>
      <c r="I1835" s="58">
        <v>0.45272400000000002</v>
      </c>
      <c r="J1835" s="57">
        <v>0.49229200000000001</v>
      </c>
      <c r="K1835" s="56"/>
      <c r="L1835" s="56" t="s">
        <v>488</v>
      </c>
    </row>
    <row r="1836" spans="2:12" x14ac:dyDescent="0.2">
      <c r="B1836" s="62" t="s">
        <v>4115</v>
      </c>
      <c r="C1836" s="61" t="s">
        <v>502</v>
      </c>
      <c r="D1836" s="60">
        <v>1.27416</v>
      </c>
      <c r="E1836" s="59">
        <v>2.9764599999999999</v>
      </c>
      <c r="F1836" s="59">
        <v>4.4794</v>
      </c>
      <c r="G1836" s="56">
        <v>0</v>
      </c>
      <c r="H1836" s="56">
        <v>0</v>
      </c>
      <c r="I1836" s="58">
        <v>0.415383</v>
      </c>
      <c r="J1836" s="57">
        <v>0.40360499999999999</v>
      </c>
      <c r="K1836" s="56"/>
      <c r="L1836" s="56" t="s">
        <v>488</v>
      </c>
    </row>
    <row r="1837" spans="2:12" x14ac:dyDescent="0.2">
      <c r="B1837" s="62" t="s">
        <v>4114</v>
      </c>
      <c r="C1837" s="61" t="s">
        <v>502</v>
      </c>
      <c r="D1837" s="60">
        <v>1.0936900000000001</v>
      </c>
      <c r="E1837" s="59">
        <v>3.4944199999999999</v>
      </c>
      <c r="F1837" s="59">
        <v>4.4122500000000002</v>
      </c>
      <c r="G1837" s="56">
        <v>0</v>
      </c>
      <c r="H1837" s="56">
        <v>0</v>
      </c>
      <c r="I1837" s="58">
        <v>0.53877299999999995</v>
      </c>
      <c r="J1837" s="57">
        <v>0.53639400000000004</v>
      </c>
      <c r="K1837" s="56"/>
      <c r="L1837" s="56" t="s">
        <v>488</v>
      </c>
    </row>
    <row r="1838" spans="2:12" x14ac:dyDescent="0.2">
      <c r="B1838" s="62" t="s">
        <v>4113</v>
      </c>
      <c r="C1838" s="61" t="s">
        <v>499</v>
      </c>
      <c r="D1838" s="60">
        <v>0.92855900000000002</v>
      </c>
      <c r="E1838" s="59">
        <v>5.9348999999999998</v>
      </c>
      <c r="F1838" s="59">
        <v>7.2640799999999999</v>
      </c>
      <c r="G1838" s="56">
        <v>1508.7</v>
      </c>
      <c r="H1838" s="56">
        <v>1624.77</v>
      </c>
      <c r="I1838" s="58">
        <v>0.60061100000000001</v>
      </c>
      <c r="J1838" s="57">
        <v>0.67137000000000002</v>
      </c>
      <c r="K1838" s="56"/>
      <c r="L1838" s="56" t="s">
        <v>488</v>
      </c>
    </row>
    <row r="1839" spans="2:12" x14ac:dyDescent="0.2">
      <c r="B1839" s="62" t="s">
        <v>4112</v>
      </c>
      <c r="C1839" s="61" t="s">
        <v>690</v>
      </c>
      <c r="D1839" s="60">
        <v>1.8277000000000001</v>
      </c>
      <c r="E1839" s="59">
        <v>2.4275899999999999</v>
      </c>
      <c r="F1839" s="59">
        <v>5.27583</v>
      </c>
      <c r="G1839" s="56">
        <v>0</v>
      </c>
      <c r="H1839" s="56">
        <v>0</v>
      </c>
      <c r="I1839" s="58">
        <v>0.28561799999999998</v>
      </c>
      <c r="J1839" s="57">
        <v>0.248529</v>
      </c>
      <c r="K1839" s="56"/>
      <c r="L1839" s="56" t="s">
        <v>488</v>
      </c>
    </row>
    <row r="1840" spans="2:12" x14ac:dyDescent="0.2">
      <c r="B1840" s="62" t="s">
        <v>4111</v>
      </c>
      <c r="C1840" s="61" t="s">
        <v>690</v>
      </c>
      <c r="D1840" s="60">
        <v>1.81423</v>
      </c>
      <c r="E1840" s="59">
        <v>3.90361</v>
      </c>
      <c r="F1840" s="59">
        <v>5.5731900000000003</v>
      </c>
      <c r="G1840" s="56">
        <v>694.70899999999995</v>
      </c>
      <c r="H1840" s="56">
        <v>382.92200000000003</v>
      </c>
      <c r="I1840" s="58">
        <v>0.261376</v>
      </c>
      <c r="J1840" s="57">
        <v>0.25030999999999998</v>
      </c>
      <c r="K1840" s="56"/>
      <c r="L1840" s="56" t="s">
        <v>492</v>
      </c>
    </row>
    <row r="1841" spans="2:12" x14ac:dyDescent="0.2">
      <c r="B1841" s="62" t="s">
        <v>4110</v>
      </c>
      <c r="C1841" s="61" t="s">
        <v>798</v>
      </c>
      <c r="D1841" s="60">
        <v>0.74569099999999999</v>
      </c>
      <c r="E1841" s="59">
        <v>7.3234000000000004</v>
      </c>
      <c r="F1841" s="59">
        <v>9.6479599999999994</v>
      </c>
      <c r="G1841" s="56">
        <v>1738.98</v>
      </c>
      <c r="H1841" s="56">
        <v>2332.04</v>
      </c>
      <c r="I1841" s="58">
        <v>0.62774799999999997</v>
      </c>
      <c r="J1841" s="57">
        <v>0.89693199999999995</v>
      </c>
      <c r="K1841" s="56"/>
      <c r="L1841" s="56" t="s">
        <v>488</v>
      </c>
    </row>
    <row r="1842" spans="2:12" x14ac:dyDescent="0.2">
      <c r="B1842" s="62" t="s">
        <v>4109</v>
      </c>
      <c r="C1842" s="61" t="s">
        <v>495</v>
      </c>
      <c r="D1842" s="60">
        <v>1.0369999999999999</v>
      </c>
      <c r="E1842" s="59">
        <v>10.127940000000001</v>
      </c>
      <c r="F1842" s="59">
        <v>11.31643</v>
      </c>
      <c r="G1842" s="56">
        <v>1513.36</v>
      </c>
      <c r="H1842" s="56">
        <v>1459.36</v>
      </c>
      <c r="I1842" s="58">
        <v>0.67447400000000002</v>
      </c>
      <c r="J1842" s="57">
        <v>0.62690800000000002</v>
      </c>
      <c r="K1842" s="56"/>
      <c r="L1842" s="56" t="s">
        <v>488</v>
      </c>
    </row>
    <row r="1843" spans="2:12" x14ac:dyDescent="0.2">
      <c r="B1843" s="62" t="s">
        <v>4108</v>
      </c>
      <c r="C1843" s="61" t="s">
        <v>499</v>
      </c>
      <c r="D1843" s="60">
        <v>1.3493900000000001</v>
      </c>
      <c r="E1843" s="59">
        <v>5.7783499999999997</v>
      </c>
      <c r="F1843" s="59">
        <v>7.2446999999999999</v>
      </c>
      <c r="G1843" s="56">
        <v>449.47</v>
      </c>
      <c r="H1843" s="56">
        <v>337.666</v>
      </c>
      <c r="I1843" s="58">
        <v>0.18088699999999999</v>
      </c>
      <c r="J1843" s="57">
        <v>0.33041799999999999</v>
      </c>
      <c r="K1843" s="56"/>
      <c r="L1843" s="56" t="s">
        <v>488</v>
      </c>
    </row>
    <row r="1844" spans="2:12" x14ac:dyDescent="0.2">
      <c r="B1844" s="62" t="s">
        <v>4107</v>
      </c>
      <c r="C1844" s="61" t="s">
        <v>499</v>
      </c>
      <c r="D1844" s="60">
        <v>1.33111</v>
      </c>
      <c r="E1844" s="59">
        <v>5.7600199999999999</v>
      </c>
      <c r="F1844" s="59">
        <v>7.2725099999999996</v>
      </c>
      <c r="G1844" s="56">
        <v>469.83100000000002</v>
      </c>
      <c r="H1844" s="56">
        <v>354.90800000000002</v>
      </c>
      <c r="I1844" s="58">
        <v>0.187859</v>
      </c>
      <c r="J1844" s="57">
        <v>0.340368</v>
      </c>
      <c r="K1844" s="56"/>
      <c r="L1844" s="56" t="s">
        <v>488</v>
      </c>
    </row>
    <row r="1845" spans="2:12" x14ac:dyDescent="0.2">
      <c r="B1845" s="62" t="s">
        <v>4106</v>
      </c>
      <c r="C1845" s="61" t="s">
        <v>499</v>
      </c>
      <c r="D1845" s="60">
        <v>1.3238099999999999</v>
      </c>
      <c r="E1845" s="59">
        <v>5.75366</v>
      </c>
      <c r="F1845" s="59">
        <v>7.2899700000000003</v>
      </c>
      <c r="G1845" s="56">
        <v>457.44799999999998</v>
      </c>
      <c r="H1845" s="56">
        <v>347.83800000000002</v>
      </c>
      <c r="I1845" s="58">
        <v>0.19209200000000001</v>
      </c>
      <c r="J1845" s="57">
        <v>0.34670400000000001</v>
      </c>
      <c r="K1845" s="56"/>
      <c r="L1845" s="56" t="s">
        <v>488</v>
      </c>
    </row>
    <row r="1846" spans="2:12" x14ac:dyDescent="0.2">
      <c r="B1846" s="62" t="s">
        <v>4105</v>
      </c>
      <c r="C1846" s="61" t="s">
        <v>499</v>
      </c>
      <c r="D1846" s="60">
        <v>1.3151200000000001</v>
      </c>
      <c r="E1846" s="59">
        <v>5.7894699999999997</v>
      </c>
      <c r="F1846" s="59">
        <v>7.2966100000000003</v>
      </c>
      <c r="G1846" s="56">
        <v>449.78899999999999</v>
      </c>
      <c r="H1846" s="56">
        <v>333.327</v>
      </c>
      <c r="I1846" s="58">
        <v>0.19723599999999999</v>
      </c>
      <c r="J1846" s="57">
        <v>0.35456300000000002</v>
      </c>
      <c r="K1846" s="56"/>
      <c r="L1846" s="56" t="s">
        <v>488</v>
      </c>
    </row>
    <row r="1847" spans="2:12" x14ac:dyDescent="0.2">
      <c r="B1847" s="62" t="s">
        <v>4104</v>
      </c>
      <c r="C1847" s="61" t="s">
        <v>4103</v>
      </c>
      <c r="D1847" s="60">
        <v>5.1801700000000004</v>
      </c>
      <c r="E1847" s="59">
        <v>2.50502</v>
      </c>
      <c r="F1847" s="59">
        <v>3.7890000000000001</v>
      </c>
      <c r="G1847" s="56">
        <v>0</v>
      </c>
      <c r="H1847" s="56">
        <v>0</v>
      </c>
      <c r="I1847" s="58">
        <v>0.15033299999999999</v>
      </c>
      <c r="J1847" s="57">
        <v>7.2503700000000004E-2</v>
      </c>
      <c r="K1847" s="56"/>
      <c r="L1847" s="56" t="s">
        <v>488</v>
      </c>
    </row>
    <row r="1848" spans="2:12" x14ac:dyDescent="0.2">
      <c r="B1848" s="62" t="s">
        <v>4102</v>
      </c>
      <c r="C1848" s="61" t="s">
        <v>499</v>
      </c>
      <c r="D1848" s="60">
        <v>1.3488100000000001</v>
      </c>
      <c r="E1848" s="59">
        <v>8.1511700000000005</v>
      </c>
      <c r="F1848" s="59">
        <v>8.5041499999999992</v>
      </c>
      <c r="G1848" s="56">
        <v>574.41700000000003</v>
      </c>
      <c r="H1848" s="56">
        <v>425.86799999999999</v>
      </c>
      <c r="I1848" s="58">
        <v>0.28228999999999999</v>
      </c>
      <c r="J1848" s="57">
        <v>0.33262199999999997</v>
      </c>
      <c r="K1848" s="56"/>
      <c r="L1848" s="56" t="s">
        <v>488</v>
      </c>
    </row>
    <row r="1849" spans="2:12" x14ac:dyDescent="0.2">
      <c r="B1849" s="62" t="s">
        <v>4101</v>
      </c>
      <c r="C1849" s="61" t="s">
        <v>499</v>
      </c>
      <c r="D1849" s="60">
        <v>1.3489</v>
      </c>
      <c r="E1849" s="59">
        <v>8.1233699999999995</v>
      </c>
      <c r="F1849" s="59">
        <v>8.4486000000000008</v>
      </c>
      <c r="G1849" s="56">
        <v>600.20699999999999</v>
      </c>
      <c r="H1849" s="56">
        <v>444.96100000000001</v>
      </c>
      <c r="I1849" s="58">
        <v>0.28286699999999998</v>
      </c>
      <c r="J1849" s="57">
        <v>0.33252900000000002</v>
      </c>
      <c r="K1849" s="56"/>
      <c r="L1849" s="56" t="s">
        <v>488</v>
      </c>
    </row>
    <row r="1850" spans="2:12" x14ac:dyDescent="0.2">
      <c r="B1850" s="62" t="s">
        <v>4100</v>
      </c>
      <c r="C1850" s="61" t="s">
        <v>499</v>
      </c>
      <c r="D1850" s="60">
        <v>1.3230999999999999</v>
      </c>
      <c r="E1850" s="59">
        <v>7.9017299999999997</v>
      </c>
      <c r="F1850" s="59">
        <v>8.2300199999999997</v>
      </c>
      <c r="G1850" s="56">
        <v>618.22400000000005</v>
      </c>
      <c r="H1850" s="56">
        <v>467.25299999999999</v>
      </c>
      <c r="I1850" s="58">
        <v>0.26759300000000003</v>
      </c>
      <c r="J1850" s="57">
        <v>0.34259299999999998</v>
      </c>
      <c r="K1850" s="56"/>
      <c r="L1850" s="56" t="s">
        <v>488</v>
      </c>
    </row>
    <row r="1851" spans="2:12" x14ac:dyDescent="0.2">
      <c r="B1851" s="62" t="s">
        <v>4099</v>
      </c>
      <c r="C1851" s="61" t="s">
        <v>2488</v>
      </c>
      <c r="D1851" s="60">
        <v>1.5695300000000001</v>
      </c>
      <c r="E1851" s="59">
        <v>3.7740399999999998</v>
      </c>
      <c r="F1851" s="59">
        <v>5.6730400000000003</v>
      </c>
      <c r="G1851" s="56">
        <v>1312.01</v>
      </c>
      <c r="H1851" s="56">
        <v>835.92700000000002</v>
      </c>
      <c r="I1851" s="58">
        <v>0.50260800000000005</v>
      </c>
      <c r="J1851" s="57">
        <v>0.42146699999999998</v>
      </c>
      <c r="K1851" s="56"/>
      <c r="L1851" s="56" t="s">
        <v>488</v>
      </c>
    </row>
    <row r="1852" spans="2:12" x14ac:dyDescent="0.2">
      <c r="B1852" s="62" t="s">
        <v>4098</v>
      </c>
      <c r="C1852" s="61" t="s">
        <v>4097</v>
      </c>
      <c r="D1852" s="60">
        <v>1.58988</v>
      </c>
      <c r="E1852" s="59">
        <v>3.6173799999999998</v>
      </c>
      <c r="F1852" s="59">
        <v>4.2600100000000003</v>
      </c>
      <c r="G1852" s="56">
        <v>0</v>
      </c>
      <c r="H1852" s="56">
        <v>0</v>
      </c>
      <c r="I1852" s="58">
        <v>0.40285799999999999</v>
      </c>
      <c r="J1852" s="57">
        <v>0.355908</v>
      </c>
      <c r="K1852" s="56"/>
      <c r="L1852" s="56" t="s">
        <v>488</v>
      </c>
    </row>
    <row r="1853" spans="2:12" x14ac:dyDescent="0.2">
      <c r="B1853" s="62" t="s">
        <v>4096</v>
      </c>
      <c r="C1853" s="61" t="s">
        <v>2969</v>
      </c>
      <c r="D1853" s="60">
        <v>1.77234</v>
      </c>
      <c r="E1853" s="59">
        <v>2.8377599999999998</v>
      </c>
      <c r="F1853" s="59">
        <v>2.9789500000000002</v>
      </c>
      <c r="G1853" s="56">
        <v>0</v>
      </c>
      <c r="H1853" s="56">
        <v>0</v>
      </c>
      <c r="I1853" s="58">
        <v>0.118087</v>
      </c>
      <c r="J1853" s="57">
        <v>0.26095299999999999</v>
      </c>
      <c r="K1853" s="56"/>
      <c r="L1853" s="56" t="s">
        <v>492</v>
      </c>
    </row>
    <row r="1854" spans="2:12" x14ac:dyDescent="0.2">
      <c r="B1854" s="62" t="s">
        <v>4095</v>
      </c>
      <c r="C1854" s="61" t="s">
        <v>2969</v>
      </c>
      <c r="D1854" s="60">
        <v>1.8121799999999999</v>
      </c>
      <c r="E1854" s="59">
        <v>2.77901</v>
      </c>
      <c r="F1854" s="59">
        <v>3.34714</v>
      </c>
      <c r="G1854" s="56">
        <v>0</v>
      </c>
      <c r="H1854" s="56">
        <v>0</v>
      </c>
      <c r="I1854" s="58">
        <v>0.151893</v>
      </c>
      <c r="J1854" s="57">
        <v>0.24166699999999999</v>
      </c>
      <c r="K1854" s="56"/>
      <c r="L1854" s="56" t="s">
        <v>492</v>
      </c>
    </row>
    <row r="1855" spans="2:12" x14ac:dyDescent="0.2">
      <c r="B1855" s="62" t="s">
        <v>4094</v>
      </c>
      <c r="C1855" s="61" t="s">
        <v>535</v>
      </c>
      <c r="D1855" s="60">
        <v>1.3684400000000001</v>
      </c>
      <c r="E1855" s="59">
        <v>4.0974000000000004</v>
      </c>
      <c r="F1855" s="59">
        <v>5.5074800000000002</v>
      </c>
      <c r="G1855" s="56">
        <v>1269.26</v>
      </c>
      <c r="H1855" s="56">
        <v>927.52499999999998</v>
      </c>
      <c r="I1855" s="58">
        <v>0.53849499999999995</v>
      </c>
      <c r="J1855" s="57">
        <v>0.41380499999999998</v>
      </c>
      <c r="K1855" s="56"/>
      <c r="L1855" s="56" t="s">
        <v>488</v>
      </c>
    </row>
    <row r="1856" spans="2:12" x14ac:dyDescent="0.2">
      <c r="B1856" s="62" t="s">
        <v>4093</v>
      </c>
      <c r="C1856" s="61" t="s">
        <v>531</v>
      </c>
      <c r="D1856" s="60">
        <v>1.3414200000000001</v>
      </c>
      <c r="E1856" s="59">
        <v>4.0869</v>
      </c>
      <c r="F1856" s="59">
        <v>5.4587199999999996</v>
      </c>
      <c r="G1856" s="56">
        <v>1248.06</v>
      </c>
      <c r="H1856" s="56">
        <v>930.40300000000002</v>
      </c>
      <c r="I1856" s="58">
        <v>0.54147900000000004</v>
      </c>
      <c r="J1856" s="57">
        <v>0.42267500000000002</v>
      </c>
      <c r="K1856" s="56"/>
      <c r="L1856" s="56" t="s">
        <v>488</v>
      </c>
    </row>
    <row r="1857" spans="2:12" x14ac:dyDescent="0.2">
      <c r="B1857" s="62" t="s">
        <v>4092</v>
      </c>
      <c r="C1857" s="61" t="s">
        <v>3905</v>
      </c>
      <c r="D1857" s="60">
        <v>0.63243899999999997</v>
      </c>
      <c r="E1857" s="59">
        <v>12.968450000000001</v>
      </c>
      <c r="F1857" s="59">
        <v>16.248709999999999</v>
      </c>
      <c r="G1857" s="56">
        <v>2202.7800000000002</v>
      </c>
      <c r="H1857" s="56">
        <v>3482.99</v>
      </c>
      <c r="I1857" s="58">
        <v>0.76611399999999996</v>
      </c>
      <c r="J1857" s="57">
        <v>1.2047300000000001</v>
      </c>
      <c r="K1857" s="56"/>
      <c r="L1857" s="56" t="s">
        <v>488</v>
      </c>
    </row>
    <row r="1858" spans="2:12" ht="14" customHeight="1" x14ac:dyDescent="0.2">
      <c r="B1858" s="62" t="s">
        <v>4091</v>
      </c>
      <c r="C1858" s="61" t="s">
        <v>3905</v>
      </c>
      <c r="D1858" s="60">
        <v>1.0969500000000001</v>
      </c>
      <c r="E1858" s="59">
        <v>5.9052699999999998</v>
      </c>
      <c r="F1858" s="59">
        <v>8.0767600000000002</v>
      </c>
      <c r="G1858" s="56">
        <v>1108.3399999999999</v>
      </c>
      <c r="H1858" s="56">
        <v>1010.39</v>
      </c>
      <c r="I1858" s="58">
        <v>0.55647000000000002</v>
      </c>
      <c r="J1858" s="57">
        <v>0.54617899999999997</v>
      </c>
      <c r="K1858" s="56"/>
      <c r="L1858" s="56" t="s">
        <v>488</v>
      </c>
    </row>
    <row r="1859" spans="2:12" x14ac:dyDescent="0.2">
      <c r="B1859" s="62" t="s">
        <v>4090</v>
      </c>
      <c r="C1859" s="61" t="s">
        <v>510</v>
      </c>
      <c r="D1859" s="60">
        <v>1.52271</v>
      </c>
      <c r="E1859" s="59">
        <v>3.2915399999999999</v>
      </c>
      <c r="F1859" s="59">
        <v>4.3819800000000004</v>
      </c>
      <c r="G1859" s="56">
        <v>0</v>
      </c>
      <c r="H1859" s="56">
        <v>0</v>
      </c>
      <c r="I1859" s="58">
        <v>0.42692200000000002</v>
      </c>
      <c r="J1859" s="57">
        <v>0.31592500000000001</v>
      </c>
      <c r="K1859" s="56"/>
      <c r="L1859" s="56" t="s">
        <v>488</v>
      </c>
    </row>
    <row r="1860" spans="2:12" x14ac:dyDescent="0.2">
      <c r="B1860" s="62" t="s">
        <v>4089</v>
      </c>
      <c r="C1860" s="61" t="s">
        <v>510</v>
      </c>
      <c r="D1860" s="60">
        <v>1.5200199999999999</v>
      </c>
      <c r="E1860" s="59">
        <v>3.27623</v>
      </c>
      <c r="F1860" s="59">
        <v>4.36233</v>
      </c>
      <c r="G1860" s="56">
        <v>0</v>
      </c>
      <c r="H1860" s="56">
        <v>0</v>
      </c>
      <c r="I1860" s="58">
        <v>0.42716399999999999</v>
      </c>
      <c r="J1860" s="57">
        <v>0.31755100000000003</v>
      </c>
      <c r="K1860" s="56"/>
      <c r="L1860" s="56" t="s">
        <v>488</v>
      </c>
    </row>
    <row r="1861" spans="2:12" x14ac:dyDescent="0.2">
      <c r="B1861" s="62" t="s">
        <v>4088</v>
      </c>
      <c r="C1861" s="61" t="s">
        <v>510</v>
      </c>
      <c r="D1861" s="60">
        <v>1.5365500000000001</v>
      </c>
      <c r="E1861" s="59">
        <v>3.2929300000000001</v>
      </c>
      <c r="F1861" s="59">
        <v>4.3842800000000004</v>
      </c>
      <c r="G1861" s="56">
        <v>0</v>
      </c>
      <c r="H1861" s="56">
        <v>0</v>
      </c>
      <c r="I1861" s="58">
        <v>0.42709000000000003</v>
      </c>
      <c r="J1861" s="57">
        <v>0.31189800000000001</v>
      </c>
      <c r="K1861" s="56"/>
      <c r="L1861" s="56" t="s">
        <v>488</v>
      </c>
    </row>
    <row r="1862" spans="2:12" x14ac:dyDescent="0.2">
      <c r="B1862" s="62" t="s">
        <v>4087</v>
      </c>
      <c r="C1862" s="61" t="s">
        <v>499</v>
      </c>
      <c r="D1862" s="60">
        <v>1.2266300000000001</v>
      </c>
      <c r="E1862" s="59">
        <v>2.56229</v>
      </c>
      <c r="F1862" s="59">
        <v>12.172969999999999</v>
      </c>
      <c r="G1862" s="56">
        <v>0</v>
      </c>
      <c r="H1862" s="56">
        <v>0</v>
      </c>
      <c r="I1862" s="58">
        <v>0.64982300000000004</v>
      </c>
      <c r="J1862" s="57">
        <v>0.52427000000000001</v>
      </c>
      <c r="K1862" s="56"/>
      <c r="L1862" s="56" t="s">
        <v>488</v>
      </c>
    </row>
    <row r="1863" spans="2:12" x14ac:dyDescent="0.2">
      <c r="B1863" s="62" t="s">
        <v>4086</v>
      </c>
      <c r="C1863" s="61" t="s">
        <v>4085</v>
      </c>
      <c r="D1863" s="60">
        <v>2.0681099999999999</v>
      </c>
      <c r="E1863" s="59">
        <v>2.5640299999999998</v>
      </c>
      <c r="F1863" s="59">
        <v>4.71706</v>
      </c>
      <c r="G1863" s="56">
        <v>0</v>
      </c>
      <c r="H1863" s="56">
        <v>0</v>
      </c>
      <c r="I1863" s="58">
        <v>0.24096200000000001</v>
      </c>
      <c r="J1863" s="57">
        <v>0.214139</v>
      </c>
      <c r="K1863" s="56"/>
      <c r="L1863" s="56" t="s">
        <v>488</v>
      </c>
    </row>
    <row r="1864" spans="2:12" x14ac:dyDescent="0.2">
      <c r="B1864" s="62" t="s">
        <v>4084</v>
      </c>
      <c r="C1864" s="61" t="s">
        <v>499</v>
      </c>
      <c r="D1864" s="60">
        <v>1.4157599999999999</v>
      </c>
      <c r="E1864" s="59">
        <v>3.0088200000000001</v>
      </c>
      <c r="F1864" s="59">
        <v>4.1536900000000001</v>
      </c>
      <c r="G1864" s="56">
        <v>0</v>
      </c>
      <c r="H1864" s="56">
        <v>0</v>
      </c>
      <c r="I1864" s="58">
        <v>0.223638</v>
      </c>
      <c r="J1864" s="57">
        <v>0.321579</v>
      </c>
      <c r="K1864" s="56"/>
      <c r="L1864" s="56" t="s">
        <v>488</v>
      </c>
    </row>
    <row r="1865" spans="2:12" x14ac:dyDescent="0.2">
      <c r="B1865" s="62" t="s">
        <v>4083</v>
      </c>
      <c r="C1865" s="61" t="s">
        <v>499</v>
      </c>
      <c r="D1865" s="60">
        <v>1.41537</v>
      </c>
      <c r="E1865" s="59">
        <v>2.8848199999999999</v>
      </c>
      <c r="F1865" s="59">
        <v>4.0012699999999999</v>
      </c>
      <c r="G1865" s="56">
        <v>0</v>
      </c>
      <c r="H1865" s="56">
        <v>0</v>
      </c>
      <c r="I1865" s="58">
        <v>0.23388800000000001</v>
      </c>
      <c r="J1865" s="57">
        <v>0.32210499999999997</v>
      </c>
      <c r="K1865" s="56"/>
      <c r="L1865" s="56" t="s">
        <v>488</v>
      </c>
    </row>
    <row r="1866" spans="2:12" x14ac:dyDescent="0.2">
      <c r="B1866" s="62" t="s">
        <v>4082</v>
      </c>
      <c r="C1866" s="61" t="s">
        <v>859</v>
      </c>
      <c r="D1866" s="60">
        <v>1.21698</v>
      </c>
      <c r="E1866" s="59">
        <v>3.8078599999999998</v>
      </c>
      <c r="F1866" s="59">
        <v>5.9828000000000001</v>
      </c>
      <c r="G1866" s="56">
        <v>882.79600000000005</v>
      </c>
      <c r="H1866" s="56">
        <v>725.39700000000005</v>
      </c>
      <c r="I1866" s="58">
        <v>0.44365100000000002</v>
      </c>
      <c r="J1866" s="57">
        <v>0.43439800000000001</v>
      </c>
      <c r="K1866" s="56"/>
      <c r="L1866" s="56" t="s">
        <v>488</v>
      </c>
    </row>
    <row r="1867" spans="2:12" x14ac:dyDescent="0.2">
      <c r="B1867" s="62" t="s">
        <v>4081</v>
      </c>
      <c r="C1867" s="61" t="s">
        <v>859</v>
      </c>
      <c r="D1867" s="60">
        <v>1.21698</v>
      </c>
      <c r="E1867" s="59">
        <v>4.0516699999999997</v>
      </c>
      <c r="F1867" s="59">
        <v>5.8028700000000004</v>
      </c>
      <c r="G1867" s="56">
        <v>849.78700000000003</v>
      </c>
      <c r="H1867" s="56">
        <v>698.274</v>
      </c>
      <c r="I1867" s="58">
        <v>0.456235</v>
      </c>
      <c r="J1867" s="57">
        <v>0.43640800000000002</v>
      </c>
      <c r="K1867" s="56"/>
      <c r="L1867" s="56" t="s">
        <v>488</v>
      </c>
    </row>
    <row r="1868" spans="2:12" x14ac:dyDescent="0.2">
      <c r="B1868" s="62" t="s">
        <v>4080</v>
      </c>
      <c r="C1868" s="61" t="s">
        <v>1386</v>
      </c>
      <c r="D1868" s="60">
        <v>1.63283</v>
      </c>
      <c r="E1868" s="59">
        <v>2.91751</v>
      </c>
      <c r="F1868" s="59">
        <v>4.87181</v>
      </c>
      <c r="G1868" s="56">
        <v>0</v>
      </c>
      <c r="H1868" s="56">
        <v>0</v>
      </c>
      <c r="I1868" s="58">
        <v>0.40846199999999999</v>
      </c>
      <c r="J1868" s="57">
        <v>0.31006600000000001</v>
      </c>
      <c r="K1868" s="56"/>
      <c r="L1868" s="56" t="s">
        <v>488</v>
      </c>
    </row>
    <row r="1869" spans="2:12" x14ac:dyDescent="0.2">
      <c r="B1869" s="62" t="s">
        <v>4079</v>
      </c>
      <c r="C1869" s="61" t="s">
        <v>1386</v>
      </c>
      <c r="D1869" s="60">
        <v>1.63283</v>
      </c>
      <c r="E1869" s="59">
        <v>2.9173</v>
      </c>
      <c r="F1869" s="59">
        <v>4.8691500000000003</v>
      </c>
      <c r="G1869" s="56">
        <v>0</v>
      </c>
      <c r="H1869" s="56">
        <v>0</v>
      </c>
      <c r="I1869" s="58">
        <v>0.409715</v>
      </c>
      <c r="J1869" s="57">
        <v>0.31073000000000001</v>
      </c>
      <c r="K1869" s="56"/>
      <c r="L1869" s="56" t="s">
        <v>488</v>
      </c>
    </row>
    <row r="1870" spans="2:12" x14ac:dyDescent="0.2">
      <c r="B1870" s="62" t="s">
        <v>4078</v>
      </c>
      <c r="C1870" s="61" t="s">
        <v>859</v>
      </c>
      <c r="D1870" s="60">
        <v>1.5914699999999999</v>
      </c>
      <c r="E1870" s="59">
        <v>3.3574999999999999</v>
      </c>
      <c r="F1870" s="59">
        <v>4.3743400000000001</v>
      </c>
      <c r="G1870" s="56">
        <v>0</v>
      </c>
      <c r="H1870" s="56">
        <v>0</v>
      </c>
      <c r="I1870" s="58">
        <v>0.31423299999999998</v>
      </c>
      <c r="J1870" s="57">
        <v>0.27258300000000002</v>
      </c>
      <c r="K1870" s="56"/>
      <c r="L1870" s="56" t="s">
        <v>488</v>
      </c>
    </row>
    <row r="1871" spans="2:12" x14ac:dyDescent="0.2">
      <c r="B1871" s="62" t="s">
        <v>4077</v>
      </c>
      <c r="C1871" s="61" t="s">
        <v>1386</v>
      </c>
      <c r="D1871" s="60">
        <v>1.0194000000000001</v>
      </c>
      <c r="E1871" s="59">
        <v>5.8804999999999996</v>
      </c>
      <c r="F1871" s="59">
        <v>6.3097599999999998</v>
      </c>
      <c r="G1871" s="56">
        <v>1678.84</v>
      </c>
      <c r="H1871" s="56">
        <v>1646.9</v>
      </c>
      <c r="I1871" s="58">
        <v>0.61082800000000004</v>
      </c>
      <c r="J1871" s="57">
        <v>0.63262499999999999</v>
      </c>
      <c r="K1871" s="56"/>
      <c r="L1871" s="56" t="s">
        <v>488</v>
      </c>
    </row>
    <row r="1872" spans="2:12" x14ac:dyDescent="0.2">
      <c r="B1872" s="62" t="s">
        <v>4076</v>
      </c>
      <c r="C1872" s="61" t="s">
        <v>625</v>
      </c>
      <c r="D1872" s="60">
        <v>1.64534</v>
      </c>
      <c r="E1872" s="59">
        <v>2.57734</v>
      </c>
      <c r="F1872" s="59">
        <v>6.0015499999999999</v>
      </c>
      <c r="G1872" s="56">
        <v>0</v>
      </c>
      <c r="H1872" s="56">
        <v>0</v>
      </c>
      <c r="I1872" s="58">
        <v>0.411582</v>
      </c>
      <c r="J1872" s="57">
        <v>0.30483199999999999</v>
      </c>
      <c r="K1872" s="56"/>
      <c r="L1872" s="56" t="s">
        <v>488</v>
      </c>
    </row>
    <row r="1873" spans="2:12" x14ac:dyDescent="0.2">
      <c r="B1873" s="62" t="s">
        <v>4075</v>
      </c>
      <c r="C1873" s="61" t="s">
        <v>499</v>
      </c>
      <c r="D1873" s="60">
        <v>1.47624</v>
      </c>
      <c r="E1873" s="59">
        <v>2.8580000000000001</v>
      </c>
      <c r="F1873" s="59">
        <v>5.05755</v>
      </c>
      <c r="G1873" s="56">
        <v>0</v>
      </c>
      <c r="H1873" s="56">
        <v>0</v>
      </c>
      <c r="I1873" s="58">
        <v>0.24396999999999999</v>
      </c>
      <c r="J1873" s="57">
        <v>0.31403599999999998</v>
      </c>
      <c r="K1873" s="56"/>
      <c r="L1873" s="56" t="s">
        <v>488</v>
      </c>
    </row>
    <row r="1874" spans="2:12" x14ac:dyDescent="0.2">
      <c r="B1874" s="62" t="s">
        <v>4074</v>
      </c>
      <c r="C1874" s="61" t="s">
        <v>4073</v>
      </c>
      <c r="D1874" s="60">
        <v>2.4831599999999998</v>
      </c>
      <c r="E1874" s="59">
        <v>2.8770500000000001</v>
      </c>
      <c r="F1874" s="59">
        <v>3.8663099999999999</v>
      </c>
      <c r="G1874" s="56">
        <v>0</v>
      </c>
      <c r="H1874" s="56">
        <v>0</v>
      </c>
      <c r="I1874" s="58">
        <v>0.18761800000000001</v>
      </c>
      <c r="J1874" s="57">
        <v>9.6652500000000002E-2</v>
      </c>
      <c r="K1874" s="56"/>
      <c r="L1874" s="56" t="s">
        <v>624</v>
      </c>
    </row>
    <row r="1875" spans="2:12" x14ac:dyDescent="0.2">
      <c r="B1875" s="62" t="s">
        <v>4072</v>
      </c>
      <c r="C1875" s="61" t="s">
        <v>625</v>
      </c>
      <c r="D1875" s="60">
        <v>1.5595699999999999</v>
      </c>
      <c r="E1875" s="59">
        <v>3.1037300000000001</v>
      </c>
      <c r="F1875" s="59">
        <v>4.0847600000000002</v>
      </c>
      <c r="G1875" s="56">
        <v>0</v>
      </c>
      <c r="H1875" s="56">
        <v>0</v>
      </c>
      <c r="I1875" s="58">
        <v>0.11017200000000001</v>
      </c>
      <c r="J1875" s="57">
        <v>0.24457200000000001</v>
      </c>
      <c r="K1875" s="56"/>
      <c r="L1875" s="56" t="s">
        <v>492</v>
      </c>
    </row>
    <row r="1876" spans="2:12" x14ac:dyDescent="0.2">
      <c r="B1876" s="62" t="s">
        <v>4071</v>
      </c>
      <c r="C1876" s="61" t="s">
        <v>495</v>
      </c>
      <c r="D1876" s="60">
        <v>1.61514</v>
      </c>
      <c r="E1876" s="59">
        <v>3.9441199999999998</v>
      </c>
      <c r="F1876" s="59">
        <v>4.9461199999999996</v>
      </c>
      <c r="G1876" s="56">
        <v>615.072</v>
      </c>
      <c r="H1876" s="56">
        <v>380.81599999999997</v>
      </c>
      <c r="I1876" s="58">
        <v>0.28123799999999999</v>
      </c>
      <c r="J1876" s="57">
        <v>0.293985</v>
      </c>
      <c r="K1876" s="56"/>
      <c r="L1876" s="56" t="s">
        <v>488</v>
      </c>
    </row>
    <row r="1877" spans="2:12" x14ac:dyDescent="0.2">
      <c r="B1877" s="62" t="s">
        <v>4070</v>
      </c>
      <c r="C1877" s="61" t="s">
        <v>495</v>
      </c>
      <c r="D1877" s="60">
        <v>1.6182000000000001</v>
      </c>
      <c r="E1877" s="59">
        <v>3.9633099999999999</v>
      </c>
      <c r="F1877" s="59">
        <v>4.9427700000000003</v>
      </c>
      <c r="G1877" s="56">
        <v>604.01199999999994</v>
      </c>
      <c r="H1877" s="56">
        <v>373.26</v>
      </c>
      <c r="I1877" s="58">
        <v>0.279696</v>
      </c>
      <c r="J1877" s="57">
        <v>0.29174099999999997</v>
      </c>
      <c r="K1877" s="56"/>
      <c r="L1877" s="56" t="s">
        <v>488</v>
      </c>
    </row>
    <row r="1878" spans="2:12" x14ac:dyDescent="0.2">
      <c r="B1878" s="62" t="s">
        <v>4069</v>
      </c>
      <c r="C1878" s="61" t="s">
        <v>495</v>
      </c>
      <c r="D1878" s="60">
        <v>1.6230100000000001</v>
      </c>
      <c r="E1878" s="59">
        <v>3.9230999999999998</v>
      </c>
      <c r="F1878" s="59">
        <v>4.91242</v>
      </c>
      <c r="G1878" s="56">
        <v>592.78</v>
      </c>
      <c r="H1878" s="56">
        <v>365.23500000000001</v>
      </c>
      <c r="I1878" s="58">
        <v>0.27640599999999999</v>
      </c>
      <c r="J1878" s="57">
        <v>0.28986400000000001</v>
      </c>
      <c r="K1878" s="56"/>
      <c r="L1878" s="56" t="s">
        <v>488</v>
      </c>
    </row>
    <row r="1879" spans="2:12" x14ac:dyDescent="0.2">
      <c r="B1879" s="62" t="s">
        <v>4068</v>
      </c>
      <c r="C1879" s="61" t="s">
        <v>495</v>
      </c>
      <c r="D1879" s="60">
        <v>1.61564</v>
      </c>
      <c r="E1879" s="59">
        <v>3.9405399999999999</v>
      </c>
      <c r="F1879" s="59">
        <v>4.9422499999999996</v>
      </c>
      <c r="G1879" s="56">
        <v>609.84900000000005</v>
      </c>
      <c r="H1879" s="56">
        <v>377.46600000000001</v>
      </c>
      <c r="I1879" s="58">
        <v>0.280941</v>
      </c>
      <c r="J1879" s="57">
        <v>0.29245100000000002</v>
      </c>
      <c r="K1879" s="56"/>
      <c r="L1879" s="56" t="s">
        <v>488</v>
      </c>
    </row>
    <row r="1880" spans="2:12" x14ac:dyDescent="0.2">
      <c r="B1880" s="62" t="s">
        <v>4067</v>
      </c>
      <c r="C1880" s="61" t="s">
        <v>531</v>
      </c>
      <c r="D1880" s="60">
        <v>1.6186700000000001</v>
      </c>
      <c r="E1880" s="59">
        <v>3.5667800000000001</v>
      </c>
      <c r="F1880" s="59">
        <v>4.5912199999999999</v>
      </c>
      <c r="G1880" s="56">
        <v>0</v>
      </c>
      <c r="H1880" s="56">
        <v>0</v>
      </c>
      <c r="I1880" s="58">
        <v>0.14518300000000001</v>
      </c>
      <c r="J1880" s="57">
        <v>0.24828700000000001</v>
      </c>
      <c r="K1880" s="56"/>
      <c r="L1880" s="56" t="s">
        <v>488</v>
      </c>
    </row>
    <row r="1881" spans="2:12" x14ac:dyDescent="0.2">
      <c r="B1881" s="62" t="s">
        <v>4066</v>
      </c>
      <c r="C1881" s="61" t="s">
        <v>502</v>
      </c>
      <c r="D1881" s="60">
        <v>1.29691</v>
      </c>
      <c r="E1881" s="59">
        <v>3.89845</v>
      </c>
      <c r="F1881" s="59">
        <v>4.9088500000000002</v>
      </c>
      <c r="G1881" s="56">
        <v>1246.75</v>
      </c>
      <c r="H1881" s="56">
        <v>968.77800000000002</v>
      </c>
      <c r="I1881" s="58">
        <v>0.50610200000000005</v>
      </c>
      <c r="J1881" s="57">
        <v>0.47878700000000002</v>
      </c>
      <c r="K1881" s="56"/>
      <c r="L1881" s="56" t="s">
        <v>488</v>
      </c>
    </row>
    <row r="1882" spans="2:12" x14ac:dyDescent="0.2">
      <c r="B1882" s="62" t="s">
        <v>4065</v>
      </c>
      <c r="C1882" s="61" t="s">
        <v>502</v>
      </c>
      <c r="D1882" s="60">
        <v>1.2869299999999999</v>
      </c>
      <c r="E1882" s="59">
        <v>3.88747</v>
      </c>
      <c r="F1882" s="59">
        <v>4.8786199999999997</v>
      </c>
      <c r="G1882" s="56">
        <v>1198.6600000000001</v>
      </c>
      <c r="H1882" s="56">
        <v>924.24699999999996</v>
      </c>
      <c r="I1882" s="58">
        <v>0.50924100000000005</v>
      </c>
      <c r="J1882" s="57">
        <v>0.48439399999999999</v>
      </c>
      <c r="K1882" s="56"/>
      <c r="L1882" s="56" t="s">
        <v>488</v>
      </c>
    </row>
    <row r="1883" spans="2:12" x14ac:dyDescent="0.2">
      <c r="B1883" s="62" t="s">
        <v>4064</v>
      </c>
      <c r="C1883" s="61" t="s">
        <v>541</v>
      </c>
      <c r="D1883" s="60">
        <v>1.55077</v>
      </c>
      <c r="E1883" s="59">
        <v>4.335</v>
      </c>
      <c r="F1883" s="59">
        <v>5.6059299999999999</v>
      </c>
      <c r="G1883" s="56">
        <v>1343.39</v>
      </c>
      <c r="H1883" s="56">
        <v>866.27099999999996</v>
      </c>
      <c r="I1883" s="58">
        <v>0.487313</v>
      </c>
      <c r="J1883" s="57">
        <v>0.35836400000000002</v>
      </c>
      <c r="K1883" s="56"/>
      <c r="L1883" s="56" t="s">
        <v>488</v>
      </c>
    </row>
    <row r="1884" spans="2:12" x14ac:dyDescent="0.2">
      <c r="B1884" s="62" t="s">
        <v>4063</v>
      </c>
      <c r="C1884" s="61" t="s">
        <v>582</v>
      </c>
      <c r="D1884" s="60">
        <v>1.6157300000000001</v>
      </c>
      <c r="E1884" s="59">
        <v>4.2637900000000002</v>
      </c>
      <c r="F1884" s="59">
        <v>5.5137999999999998</v>
      </c>
      <c r="G1884" s="56">
        <v>1306.1500000000001</v>
      </c>
      <c r="H1884" s="56">
        <v>808.39499999999998</v>
      </c>
      <c r="I1884" s="58">
        <v>0.48300399999999999</v>
      </c>
      <c r="J1884" s="57">
        <v>0.33941199999999999</v>
      </c>
      <c r="K1884" s="56"/>
      <c r="L1884" s="56" t="s">
        <v>488</v>
      </c>
    </row>
    <row r="1885" spans="2:12" x14ac:dyDescent="0.2">
      <c r="B1885" s="62" t="s">
        <v>4062</v>
      </c>
      <c r="C1885" s="61" t="s">
        <v>531</v>
      </c>
      <c r="D1885" s="60">
        <v>1.6313500000000001</v>
      </c>
      <c r="E1885" s="59">
        <v>4.2407199999999996</v>
      </c>
      <c r="F1885" s="59">
        <v>5.4866099999999998</v>
      </c>
      <c r="G1885" s="56">
        <v>1293.49</v>
      </c>
      <c r="H1885" s="56">
        <v>792.89200000000005</v>
      </c>
      <c r="I1885" s="58">
        <v>0.48161100000000001</v>
      </c>
      <c r="J1885" s="57">
        <v>0.33523799999999998</v>
      </c>
      <c r="K1885" s="56"/>
      <c r="L1885" s="56" t="s">
        <v>488</v>
      </c>
    </row>
    <row r="1886" spans="2:12" x14ac:dyDescent="0.2">
      <c r="B1886" s="62" t="s">
        <v>4061</v>
      </c>
      <c r="C1886" s="61" t="s">
        <v>502</v>
      </c>
      <c r="D1886" s="60">
        <v>0.87959500000000002</v>
      </c>
      <c r="E1886" s="59">
        <v>6.4143999999999997</v>
      </c>
      <c r="F1886" s="59">
        <v>13.200010000000001</v>
      </c>
      <c r="G1886" s="56">
        <v>1927.73</v>
      </c>
      <c r="H1886" s="56">
        <v>2191.61</v>
      </c>
      <c r="I1886" s="58">
        <v>0.74816099999999996</v>
      </c>
      <c r="J1886" s="57">
        <v>0.81550199999999995</v>
      </c>
      <c r="K1886" s="56" t="s">
        <v>1816</v>
      </c>
      <c r="L1886" s="56" t="s">
        <v>563</v>
      </c>
    </row>
    <row r="1887" spans="2:12" x14ac:dyDescent="0.2">
      <c r="B1887" s="62" t="s">
        <v>4060</v>
      </c>
      <c r="C1887" s="61" t="s">
        <v>533</v>
      </c>
      <c r="D1887" s="60">
        <v>1.6618599999999999</v>
      </c>
      <c r="E1887" s="59">
        <v>4.2331099999999999</v>
      </c>
      <c r="F1887" s="59">
        <v>5.4717500000000001</v>
      </c>
      <c r="G1887" s="56">
        <v>1294.79</v>
      </c>
      <c r="H1887" s="56">
        <v>779.12199999999996</v>
      </c>
      <c r="I1887" s="58">
        <v>0.48026999999999997</v>
      </c>
      <c r="J1887" s="57">
        <v>0.32825700000000002</v>
      </c>
      <c r="K1887" s="56"/>
      <c r="L1887" s="56" t="s">
        <v>488</v>
      </c>
    </row>
    <row r="1888" spans="2:12" x14ac:dyDescent="0.2">
      <c r="B1888" s="62" t="s">
        <v>4059</v>
      </c>
      <c r="C1888" s="61" t="s">
        <v>535</v>
      </c>
      <c r="D1888" s="60">
        <v>1.6788799999999999</v>
      </c>
      <c r="E1888" s="59">
        <v>4.2079399999999998</v>
      </c>
      <c r="F1888" s="59">
        <v>5.4466200000000002</v>
      </c>
      <c r="G1888" s="56">
        <v>1302.99</v>
      </c>
      <c r="H1888" s="56">
        <v>776.10900000000004</v>
      </c>
      <c r="I1888" s="58">
        <v>0.48058600000000001</v>
      </c>
      <c r="J1888" s="57">
        <v>0.32401999999999997</v>
      </c>
      <c r="K1888" s="56"/>
      <c r="L1888" s="56" t="s">
        <v>488</v>
      </c>
    </row>
    <row r="1889" spans="2:12" x14ac:dyDescent="0.2">
      <c r="B1889" s="62" t="s">
        <v>4058</v>
      </c>
      <c r="C1889" s="61" t="s">
        <v>537</v>
      </c>
      <c r="D1889" s="60">
        <v>1.7130399999999999</v>
      </c>
      <c r="E1889" s="59">
        <v>4.1927099999999999</v>
      </c>
      <c r="F1889" s="59">
        <v>5.4068399999999999</v>
      </c>
      <c r="G1889" s="56">
        <v>1275.28</v>
      </c>
      <c r="H1889" s="56">
        <v>744.45299999999997</v>
      </c>
      <c r="I1889" s="58">
        <v>0.47522300000000001</v>
      </c>
      <c r="J1889" s="57">
        <v>0.31570799999999999</v>
      </c>
      <c r="K1889" s="56"/>
      <c r="L1889" s="56" t="s">
        <v>488</v>
      </c>
    </row>
    <row r="1890" spans="2:12" x14ac:dyDescent="0.2">
      <c r="B1890" s="62" t="s">
        <v>4057</v>
      </c>
      <c r="C1890" s="61" t="s">
        <v>502</v>
      </c>
      <c r="D1890" s="60">
        <v>1.04558</v>
      </c>
      <c r="E1890" s="59">
        <v>4.1578499999999998</v>
      </c>
      <c r="F1890" s="59">
        <v>5.1874700000000002</v>
      </c>
      <c r="G1890" s="56">
        <v>439.42700000000002</v>
      </c>
      <c r="H1890" s="56">
        <v>420.27</v>
      </c>
      <c r="I1890" s="58">
        <v>0.40815299999999999</v>
      </c>
      <c r="J1890" s="57">
        <v>0.51426300000000003</v>
      </c>
      <c r="K1890" s="56"/>
      <c r="L1890" s="56" t="s">
        <v>488</v>
      </c>
    </row>
    <row r="1891" spans="2:12" x14ac:dyDescent="0.2">
      <c r="B1891" s="62" t="s">
        <v>4056</v>
      </c>
      <c r="C1891" s="61" t="s">
        <v>502</v>
      </c>
      <c r="D1891" s="60">
        <v>1.1201099999999999</v>
      </c>
      <c r="E1891" s="59">
        <v>3.55335</v>
      </c>
      <c r="F1891" s="59">
        <v>4.0791899999999996</v>
      </c>
      <c r="G1891" s="56">
        <v>0</v>
      </c>
      <c r="H1891" s="56">
        <v>0</v>
      </c>
      <c r="I1891" s="58">
        <v>0.34535900000000003</v>
      </c>
      <c r="J1891" s="57">
        <v>0.45430199999999998</v>
      </c>
      <c r="K1891" s="56"/>
      <c r="L1891" s="56" t="s">
        <v>492</v>
      </c>
    </row>
    <row r="1892" spans="2:12" x14ac:dyDescent="0.2">
      <c r="B1892" s="62" t="s">
        <v>4055</v>
      </c>
      <c r="C1892" s="61" t="s">
        <v>550</v>
      </c>
      <c r="D1892" s="60">
        <v>1.4903999999999999</v>
      </c>
      <c r="E1892" s="59">
        <v>3.5176500000000002</v>
      </c>
      <c r="F1892" s="59">
        <v>4.6306099999999999</v>
      </c>
      <c r="G1892" s="56">
        <v>0</v>
      </c>
      <c r="H1892" s="56">
        <v>0</v>
      </c>
      <c r="I1892" s="58">
        <v>0.127049</v>
      </c>
      <c r="J1892" s="57">
        <v>0.25812099999999999</v>
      </c>
      <c r="K1892" s="56"/>
      <c r="L1892" s="56" t="s">
        <v>492</v>
      </c>
    </row>
    <row r="1893" spans="2:12" x14ac:dyDescent="0.2">
      <c r="B1893" s="62" t="s">
        <v>4054</v>
      </c>
      <c r="C1893" s="61" t="s">
        <v>641</v>
      </c>
      <c r="D1893" s="60">
        <v>1.7785</v>
      </c>
      <c r="E1893" s="59">
        <v>4.3609299999999998</v>
      </c>
      <c r="F1893" s="59">
        <v>5.5137900000000002</v>
      </c>
      <c r="G1893" s="56">
        <v>616.85</v>
      </c>
      <c r="H1893" s="56">
        <v>346.83800000000002</v>
      </c>
      <c r="I1893" s="58">
        <v>0.30695600000000001</v>
      </c>
      <c r="J1893" s="57">
        <v>0.24685699999999999</v>
      </c>
      <c r="K1893" s="56"/>
      <c r="L1893" s="56" t="s">
        <v>488</v>
      </c>
    </row>
    <row r="1894" spans="2:12" x14ac:dyDescent="0.2">
      <c r="B1894" s="62" t="s">
        <v>4053</v>
      </c>
      <c r="C1894" s="61" t="s">
        <v>507</v>
      </c>
      <c r="D1894" s="60">
        <v>1.80799</v>
      </c>
      <c r="E1894" s="59">
        <v>4.3083499999999999</v>
      </c>
      <c r="F1894" s="59">
        <v>5.4683900000000003</v>
      </c>
      <c r="G1894" s="56">
        <v>627.69799999999998</v>
      </c>
      <c r="H1894" s="56">
        <v>347.17899999999997</v>
      </c>
      <c r="I1894" s="58">
        <v>0.30618099999999998</v>
      </c>
      <c r="J1894" s="57">
        <v>0.24007500000000001</v>
      </c>
      <c r="K1894" s="56"/>
      <c r="L1894" s="56" t="s">
        <v>488</v>
      </c>
    </row>
    <row r="1895" spans="2:12" x14ac:dyDescent="0.2">
      <c r="B1895" s="62" t="s">
        <v>4052</v>
      </c>
      <c r="C1895" s="61" t="s">
        <v>579</v>
      </c>
      <c r="D1895" s="60">
        <v>1.8431</v>
      </c>
      <c r="E1895" s="59">
        <v>4.2178300000000002</v>
      </c>
      <c r="F1895" s="59">
        <v>5.3998400000000002</v>
      </c>
      <c r="G1895" s="56">
        <v>591.06100000000004</v>
      </c>
      <c r="H1895" s="56">
        <v>320.68799999999999</v>
      </c>
      <c r="I1895" s="58">
        <v>0.30171900000000001</v>
      </c>
      <c r="J1895" s="57">
        <v>0.23233200000000001</v>
      </c>
      <c r="K1895" s="56"/>
      <c r="L1895" s="56" t="s">
        <v>488</v>
      </c>
    </row>
    <row r="1896" spans="2:12" x14ac:dyDescent="0.2">
      <c r="B1896" s="62" t="s">
        <v>4051</v>
      </c>
      <c r="C1896" s="61" t="s">
        <v>541</v>
      </c>
      <c r="D1896" s="60">
        <v>1.85928</v>
      </c>
      <c r="E1896" s="59">
        <v>4.2233700000000001</v>
      </c>
      <c r="F1896" s="59">
        <v>5.4046599999999998</v>
      </c>
      <c r="G1896" s="56">
        <v>605.96199999999999</v>
      </c>
      <c r="H1896" s="56">
        <v>325.91199999999998</v>
      </c>
      <c r="I1896" s="58">
        <v>0.30320799999999998</v>
      </c>
      <c r="J1896" s="57">
        <v>0.22980100000000001</v>
      </c>
      <c r="K1896" s="56"/>
      <c r="L1896" s="56" t="s">
        <v>488</v>
      </c>
    </row>
    <row r="1897" spans="2:12" x14ac:dyDescent="0.2">
      <c r="B1897" s="62" t="s">
        <v>4050</v>
      </c>
      <c r="C1897" s="61" t="s">
        <v>510</v>
      </c>
      <c r="D1897" s="60">
        <v>0.49196000000000001</v>
      </c>
      <c r="E1897" s="59">
        <v>9.8491300000000006</v>
      </c>
      <c r="F1897" s="59">
        <v>12.63372</v>
      </c>
      <c r="G1897" s="56">
        <v>2046.98</v>
      </c>
      <c r="H1897" s="56">
        <v>4160.88</v>
      </c>
      <c r="I1897" s="58">
        <v>0.82256700000000005</v>
      </c>
      <c r="J1897" s="57">
        <v>1.5981300000000001</v>
      </c>
      <c r="K1897" s="56" t="s">
        <v>3968</v>
      </c>
      <c r="L1897" s="56" t="s">
        <v>563</v>
      </c>
    </row>
    <row r="1898" spans="2:12" x14ac:dyDescent="0.2">
      <c r="B1898" s="62" t="s">
        <v>4049</v>
      </c>
      <c r="C1898" s="61" t="s">
        <v>499</v>
      </c>
      <c r="D1898" s="60">
        <v>1.3886000000000001</v>
      </c>
      <c r="E1898" s="59">
        <v>3.1056699999999999</v>
      </c>
      <c r="F1898" s="59">
        <v>4.0681099999999999</v>
      </c>
      <c r="G1898" s="56">
        <v>0</v>
      </c>
      <c r="H1898" s="56">
        <v>0</v>
      </c>
      <c r="I1898" s="58">
        <v>0.17837700000000001</v>
      </c>
      <c r="J1898" s="57">
        <v>0.29935200000000001</v>
      </c>
      <c r="K1898" s="56"/>
      <c r="L1898" s="56" t="s">
        <v>488</v>
      </c>
    </row>
    <row r="1899" spans="2:12" x14ac:dyDescent="0.2">
      <c r="B1899" s="62" t="s">
        <v>4048</v>
      </c>
      <c r="C1899" s="61" t="s">
        <v>502</v>
      </c>
      <c r="D1899" s="60">
        <v>1.27844</v>
      </c>
      <c r="E1899" s="59">
        <v>4.84213</v>
      </c>
      <c r="F1899" s="59">
        <v>6.13171</v>
      </c>
      <c r="G1899" s="56">
        <v>696.58299999999997</v>
      </c>
      <c r="H1899" s="56">
        <v>544.86900000000003</v>
      </c>
      <c r="I1899" s="58">
        <v>0.31611699999999998</v>
      </c>
      <c r="J1899" s="57">
        <v>0.36095699999999997</v>
      </c>
      <c r="K1899" s="56"/>
      <c r="L1899" s="56" t="s">
        <v>488</v>
      </c>
    </row>
    <row r="1900" spans="2:12" x14ac:dyDescent="0.2">
      <c r="B1900" s="62" t="s">
        <v>4047</v>
      </c>
      <c r="C1900" s="61" t="s">
        <v>510</v>
      </c>
      <c r="D1900" s="60">
        <v>1.4300900000000001</v>
      </c>
      <c r="E1900" s="59">
        <v>3.1755900000000001</v>
      </c>
      <c r="F1900" s="59">
        <v>4.1250799999999996</v>
      </c>
      <c r="G1900" s="56">
        <v>0</v>
      </c>
      <c r="H1900" s="56">
        <v>0</v>
      </c>
      <c r="I1900" s="58">
        <v>0.14815999999999999</v>
      </c>
      <c r="J1900" s="57">
        <v>0.27416600000000002</v>
      </c>
      <c r="K1900" s="56"/>
      <c r="L1900" s="56" t="s">
        <v>488</v>
      </c>
    </row>
    <row r="1901" spans="2:12" x14ac:dyDescent="0.2">
      <c r="B1901" s="62" t="s">
        <v>4046</v>
      </c>
      <c r="C1901" s="61" t="s">
        <v>550</v>
      </c>
      <c r="D1901" s="60">
        <v>1.2993399999999999</v>
      </c>
      <c r="E1901" s="59">
        <v>2.5952899999999999</v>
      </c>
      <c r="F1901" s="59">
        <v>4.7754099999999999</v>
      </c>
      <c r="G1901" s="56">
        <v>0</v>
      </c>
      <c r="H1901" s="56">
        <v>0</v>
      </c>
      <c r="I1901" s="58">
        <v>0.26156600000000002</v>
      </c>
      <c r="J1901" s="57">
        <v>0.36968400000000001</v>
      </c>
      <c r="K1901" s="56"/>
      <c r="L1901" s="56" t="s">
        <v>492</v>
      </c>
    </row>
    <row r="1902" spans="2:12" x14ac:dyDescent="0.2">
      <c r="B1902" s="62" t="s">
        <v>4045</v>
      </c>
      <c r="C1902" s="61" t="s">
        <v>1879</v>
      </c>
      <c r="D1902" s="60">
        <v>1.56986</v>
      </c>
      <c r="E1902" s="59">
        <v>3.0921799999999999</v>
      </c>
      <c r="F1902" s="59">
        <v>7.0977699999999997</v>
      </c>
      <c r="G1902" s="56">
        <v>0</v>
      </c>
      <c r="H1902" s="56">
        <v>0</v>
      </c>
      <c r="I1902" s="58">
        <v>0.308064</v>
      </c>
      <c r="J1902" s="57">
        <v>0.30711699999999997</v>
      </c>
      <c r="K1902" s="56"/>
      <c r="L1902" s="56" t="s">
        <v>488</v>
      </c>
    </row>
    <row r="1903" spans="2:12" x14ac:dyDescent="0.2">
      <c r="B1903" s="62" t="s">
        <v>4044</v>
      </c>
      <c r="C1903" s="61" t="s">
        <v>794</v>
      </c>
      <c r="D1903" s="60">
        <v>1.59676</v>
      </c>
      <c r="E1903" s="59">
        <v>3.0658599999999998</v>
      </c>
      <c r="F1903" s="59">
        <v>7.1062399999999997</v>
      </c>
      <c r="G1903" s="56">
        <v>0</v>
      </c>
      <c r="H1903" s="56">
        <v>0</v>
      </c>
      <c r="I1903" s="58">
        <v>0.31171100000000002</v>
      </c>
      <c r="J1903" s="57">
        <v>0.30216599999999999</v>
      </c>
      <c r="K1903" s="56"/>
      <c r="L1903" s="56" t="s">
        <v>488</v>
      </c>
    </row>
    <row r="1904" spans="2:12" x14ac:dyDescent="0.2">
      <c r="B1904" s="62" t="s">
        <v>4043</v>
      </c>
      <c r="C1904" s="61" t="s">
        <v>796</v>
      </c>
      <c r="D1904" s="60">
        <v>1.56508</v>
      </c>
      <c r="E1904" s="59">
        <v>3.0814900000000001</v>
      </c>
      <c r="F1904" s="59">
        <v>7.1413599999999997</v>
      </c>
      <c r="G1904" s="56">
        <v>0</v>
      </c>
      <c r="H1904" s="56">
        <v>0</v>
      </c>
      <c r="I1904" s="58">
        <v>0.31199399999999999</v>
      </c>
      <c r="J1904" s="57">
        <v>0.30988399999999999</v>
      </c>
      <c r="K1904" s="56"/>
      <c r="L1904" s="56" t="s">
        <v>488</v>
      </c>
    </row>
    <row r="1905" spans="2:12" x14ac:dyDescent="0.2">
      <c r="B1905" s="62" t="s">
        <v>4042</v>
      </c>
      <c r="C1905" s="61" t="s">
        <v>792</v>
      </c>
      <c r="D1905" s="60">
        <v>1.64866</v>
      </c>
      <c r="E1905" s="59">
        <v>2.9379200000000001</v>
      </c>
      <c r="F1905" s="59">
        <v>7.0314500000000004</v>
      </c>
      <c r="G1905" s="56">
        <v>0</v>
      </c>
      <c r="H1905" s="56">
        <v>0</v>
      </c>
      <c r="I1905" s="58">
        <v>0.31066100000000002</v>
      </c>
      <c r="J1905" s="57">
        <v>0.28859899999999999</v>
      </c>
      <c r="K1905" s="56"/>
      <c r="L1905" s="56" t="s">
        <v>488</v>
      </c>
    </row>
    <row r="1906" spans="2:12" x14ac:dyDescent="0.2">
      <c r="B1906" s="62" t="s">
        <v>4041</v>
      </c>
      <c r="C1906" s="61" t="s">
        <v>4040</v>
      </c>
      <c r="D1906" s="60">
        <v>1.58406</v>
      </c>
      <c r="E1906" s="59">
        <v>3.0706799999999999</v>
      </c>
      <c r="F1906" s="59">
        <v>7.1540999999999997</v>
      </c>
      <c r="G1906" s="56">
        <v>0</v>
      </c>
      <c r="H1906" s="56">
        <v>0</v>
      </c>
      <c r="I1906" s="58">
        <v>0.31369599999999997</v>
      </c>
      <c r="J1906" s="57">
        <v>0.30696400000000001</v>
      </c>
      <c r="K1906" s="56"/>
      <c r="L1906" s="56" t="s">
        <v>488</v>
      </c>
    </row>
    <row r="1907" spans="2:12" x14ac:dyDescent="0.2">
      <c r="B1907" s="62" t="s">
        <v>4039</v>
      </c>
      <c r="C1907" s="61" t="s">
        <v>4038</v>
      </c>
      <c r="D1907" s="60">
        <v>1.58432</v>
      </c>
      <c r="E1907" s="59">
        <v>3.0598900000000002</v>
      </c>
      <c r="F1907" s="59">
        <v>7.1425599999999996</v>
      </c>
      <c r="G1907" s="56">
        <v>0</v>
      </c>
      <c r="H1907" s="56">
        <v>0</v>
      </c>
      <c r="I1907" s="58">
        <v>0.31784299999999999</v>
      </c>
      <c r="J1907" s="57">
        <v>0.30651400000000001</v>
      </c>
      <c r="K1907" s="56"/>
      <c r="L1907" s="56" t="s">
        <v>488</v>
      </c>
    </row>
    <row r="1908" spans="2:12" x14ac:dyDescent="0.2">
      <c r="B1908" s="62" t="s">
        <v>4037</v>
      </c>
      <c r="C1908" s="61" t="s">
        <v>4036</v>
      </c>
      <c r="D1908" s="60">
        <v>1.53277</v>
      </c>
      <c r="E1908" s="59">
        <v>3.09029</v>
      </c>
      <c r="F1908" s="59">
        <v>7.0968999999999998</v>
      </c>
      <c r="G1908" s="56">
        <v>0</v>
      </c>
      <c r="H1908" s="56">
        <v>0</v>
      </c>
      <c r="I1908" s="58">
        <v>0.30968699999999999</v>
      </c>
      <c r="J1908" s="57">
        <v>0.31630200000000003</v>
      </c>
      <c r="K1908" s="56"/>
      <c r="L1908" s="56" t="s">
        <v>488</v>
      </c>
    </row>
    <row r="1909" spans="2:12" x14ac:dyDescent="0.2">
      <c r="B1909" s="62" t="s">
        <v>4035</v>
      </c>
      <c r="C1909" s="61" t="s">
        <v>575</v>
      </c>
      <c r="D1909" s="60">
        <v>1.51847</v>
      </c>
      <c r="E1909" s="59">
        <v>3.2107299999999999</v>
      </c>
      <c r="F1909" s="59">
        <v>7.1134399999999998</v>
      </c>
      <c r="G1909" s="56">
        <v>0</v>
      </c>
      <c r="H1909" s="56">
        <v>0</v>
      </c>
      <c r="I1909" s="58">
        <v>0.31076399999999998</v>
      </c>
      <c r="J1909" s="57">
        <v>0.32177</v>
      </c>
      <c r="K1909" s="56"/>
      <c r="L1909" s="56" t="s">
        <v>488</v>
      </c>
    </row>
    <row r="1910" spans="2:12" x14ac:dyDescent="0.2">
      <c r="B1910" s="62" t="s">
        <v>4034</v>
      </c>
      <c r="C1910" s="61" t="s">
        <v>4033</v>
      </c>
      <c r="D1910" s="60">
        <v>1.4942899999999999</v>
      </c>
      <c r="E1910" s="59">
        <v>3.1995800000000001</v>
      </c>
      <c r="F1910" s="59">
        <v>7.1432200000000003</v>
      </c>
      <c r="G1910" s="56">
        <v>0</v>
      </c>
      <c r="H1910" s="56">
        <v>0</v>
      </c>
      <c r="I1910" s="58">
        <v>0.31068899999999999</v>
      </c>
      <c r="J1910" s="57">
        <v>0.328621</v>
      </c>
      <c r="K1910" s="56"/>
      <c r="L1910" s="56" t="s">
        <v>488</v>
      </c>
    </row>
    <row r="1911" spans="2:12" x14ac:dyDescent="0.2">
      <c r="B1911" s="62" t="s">
        <v>4032</v>
      </c>
      <c r="C1911" s="61" t="s">
        <v>577</v>
      </c>
      <c r="D1911" s="60">
        <v>1.5653699999999999</v>
      </c>
      <c r="E1911" s="59">
        <v>3.1312199999999999</v>
      </c>
      <c r="F1911" s="59">
        <v>7.0937700000000001</v>
      </c>
      <c r="G1911" s="56">
        <v>0</v>
      </c>
      <c r="H1911" s="56">
        <v>0</v>
      </c>
      <c r="I1911" s="58">
        <v>0.310025</v>
      </c>
      <c r="J1911" s="57">
        <v>0.307977</v>
      </c>
      <c r="K1911" s="56"/>
      <c r="L1911" s="56" t="s">
        <v>488</v>
      </c>
    </row>
    <row r="1912" spans="2:12" x14ac:dyDescent="0.2">
      <c r="B1912" s="62" t="s">
        <v>4031</v>
      </c>
      <c r="C1912" s="61" t="s">
        <v>4030</v>
      </c>
      <c r="D1912" s="60">
        <v>1.5252699999999999</v>
      </c>
      <c r="E1912" s="59">
        <v>3.1537799999999998</v>
      </c>
      <c r="F1912" s="59">
        <v>7.1607099999999999</v>
      </c>
      <c r="G1912" s="56">
        <v>0</v>
      </c>
      <c r="H1912" s="56">
        <v>0</v>
      </c>
      <c r="I1912" s="58">
        <v>0.314245</v>
      </c>
      <c r="J1912" s="57">
        <v>0.32021100000000002</v>
      </c>
      <c r="K1912" s="56"/>
      <c r="L1912" s="56" t="s">
        <v>488</v>
      </c>
    </row>
    <row r="1913" spans="2:12" x14ac:dyDescent="0.2">
      <c r="B1913" s="62" t="s">
        <v>4029</v>
      </c>
      <c r="C1913" s="61" t="s">
        <v>499</v>
      </c>
      <c r="D1913" s="60">
        <v>1.4215199999999999</v>
      </c>
      <c r="E1913" s="59">
        <v>3.4980099999999998</v>
      </c>
      <c r="F1913" s="59">
        <v>4.7952399999999997</v>
      </c>
      <c r="G1913" s="56">
        <v>0</v>
      </c>
      <c r="H1913" s="56">
        <v>0</v>
      </c>
      <c r="I1913" s="58">
        <v>0.22648399999999999</v>
      </c>
      <c r="J1913" s="57">
        <v>0.32456800000000002</v>
      </c>
      <c r="K1913" s="56"/>
      <c r="L1913" s="56" t="s">
        <v>488</v>
      </c>
    </row>
    <row r="1914" spans="2:12" x14ac:dyDescent="0.2">
      <c r="B1914" s="62" t="s">
        <v>4028</v>
      </c>
      <c r="C1914" s="61" t="s">
        <v>499</v>
      </c>
      <c r="D1914" s="60">
        <v>1.5403800000000001</v>
      </c>
      <c r="E1914" s="59">
        <v>2.4380600000000001</v>
      </c>
      <c r="F1914" s="59">
        <v>4.3709300000000004</v>
      </c>
      <c r="G1914" s="56">
        <v>0</v>
      </c>
      <c r="H1914" s="56">
        <v>0</v>
      </c>
      <c r="I1914" s="58">
        <v>9.7927700000000006E-2</v>
      </c>
      <c r="J1914" s="57">
        <v>0.29535699999999998</v>
      </c>
      <c r="K1914" s="56"/>
      <c r="L1914" s="56" t="s">
        <v>488</v>
      </c>
    </row>
    <row r="1915" spans="2:12" x14ac:dyDescent="0.2">
      <c r="B1915" s="62" t="s">
        <v>4027</v>
      </c>
      <c r="C1915" s="61" t="s">
        <v>499</v>
      </c>
      <c r="D1915" s="60">
        <v>1.5617700000000001</v>
      </c>
      <c r="E1915" s="59">
        <v>2.4211399999999998</v>
      </c>
      <c r="F1915" s="59">
        <v>4.2953200000000002</v>
      </c>
      <c r="G1915" s="56">
        <v>0</v>
      </c>
      <c r="H1915" s="56">
        <v>0</v>
      </c>
      <c r="I1915" s="58">
        <v>9.45907E-2</v>
      </c>
      <c r="J1915" s="57">
        <v>0.28672500000000001</v>
      </c>
      <c r="K1915" s="56"/>
      <c r="L1915" s="56" t="s">
        <v>488</v>
      </c>
    </row>
    <row r="1916" spans="2:12" x14ac:dyDescent="0.2">
      <c r="B1916" s="62" t="s">
        <v>4026</v>
      </c>
      <c r="C1916" s="61" t="s">
        <v>499</v>
      </c>
      <c r="D1916" s="60">
        <v>1.60945</v>
      </c>
      <c r="E1916" s="59">
        <v>2.4398399999999998</v>
      </c>
      <c r="F1916" s="59">
        <v>4.2424099999999996</v>
      </c>
      <c r="G1916" s="56">
        <v>0</v>
      </c>
      <c r="H1916" s="56">
        <v>0</v>
      </c>
      <c r="I1916" s="58">
        <v>9.6130300000000002E-2</v>
      </c>
      <c r="J1916" s="57">
        <v>0.267706</v>
      </c>
      <c r="K1916" s="56"/>
      <c r="L1916" s="56" t="s">
        <v>488</v>
      </c>
    </row>
    <row r="1917" spans="2:12" x14ac:dyDescent="0.2">
      <c r="B1917" s="62" t="s">
        <v>4025</v>
      </c>
      <c r="C1917" s="61" t="s">
        <v>499</v>
      </c>
      <c r="D1917" s="60">
        <v>1.54237</v>
      </c>
      <c r="E1917" s="59">
        <v>2.41317</v>
      </c>
      <c r="F1917" s="59">
        <v>4.3372099999999998</v>
      </c>
      <c r="G1917" s="56">
        <v>0</v>
      </c>
      <c r="H1917" s="56">
        <v>0</v>
      </c>
      <c r="I1917" s="58">
        <v>9.6577099999999999E-2</v>
      </c>
      <c r="J1917" s="57">
        <v>0.29250199999999998</v>
      </c>
      <c r="K1917" s="56"/>
      <c r="L1917" s="56" t="s">
        <v>488</v>
      </c>
    </row>
    <row r="1918" spans="2:12" x14ac:dyDescent="0.2">
      <c r="B1918" s="62" t="s">
        <v>4024</v>
      </c>
      <c r="C1918" s="61" t="s">
        <v>499</v>
      </c>
      <c r="D1918" s="60">
        <v>0.83399000000000001</v>
      </c>
      <c r="E1918" s="59">
        <v>3.3057799999999999</v>
      </c>
      <c r="F1918" s="59">
        <v>11.74145</v>
      </c>
      <c r="G1918" s="56">
        <v>0</v>
      </c>
      <c r="H1918" s="56">
        <v>0</v>
      </c>
      <c r="I1918" s="58">
        <v>0.61127500000000001</v>
      </c>
      <c r="J1918" s="57">
        <v>0.84598399999999996</v>
      </c>
      <c r="K1918" s="56"/>
      <c r="L1918" s="56" t="s">
        <v>488</v>
      </c>
    </row>
    <row r="1919" spans="2:12" x14ac:dyDescent="0.2">
      <c r="B1919" s="62" t="s">
        <v>4023</v>
      </c>
      <c r="C1919" s="61" t="s">
        <v>502</v>
      </c>
      <c r="D1919" s="60">
        <v>1.63717</v>
      </c>
      <c r="E1919" s="59">
        <v>3.95608</v>
      </c>
      <c r="F1919" s="59">
        <v>5.4016200000000003</v>
      </c>
      <c r="G1919" s="56">
        <v>705.59500000000003</v>
      </c>
      <c r="H1919" s="56">
        <v>430.98500000000001</v>
      </c>
      <c r="I1919" s="58">
        <v>0.38233299999999998</v>
      </c>
      <c r="J1919" s="57">
        <v>0.32690599999999997</v>
      </c>
      <c r="K1919" s="56"/>
      <c r="L1919" s="56" t="s">
        <v>488</v>
      </c>
    </row>
    <row r="1920" spans="2:12" x14ac:dyDescent="0.2">
      <c r="B1920" s="62" t="s">
        <v>4022</v>
      </c>
      <c r="C1920" s="61" t="s">
        <v>502</v>
      </c>
      <c r="D1920" s="60">
        <v>1.9217299999999999</v>
      </c>
      <c r="E1920" s="59">
        <v>3.8875999999999999</v>
      </c>
      <c r="F1920" s="59">
        <v>5.27982</v>
      </c>
      <c r="G1920" s="56">
        <v>595.98699999999997</v>
      </c>
      <c r="H1920" s="56">
        <v>310.13</v>
      </c>
      <c r="I1920" s="58">
        <v>0.367039</v>
      </c>
      <c r="J1920" s="57">
        <v>0.27043</v>
      </c>
      <c r="K1920" s="56"/>
      <c r="L1920" s="56" t="s">
        <v>488</v>
      </c>
    </row>
    <row r="1921" spans="2:12" x14ac:dyDescent="0.2">
      <c r="B1921" s="62" t="s">
        <v>4021</v>
      </c>
      <c r="C1921" s="61" t="s">
        <v>502</v>
      </c>
      <c r="D1921" s="60">
        <v>0.80737199999999998</v>
      </c>
      <c r="E1921" s="59">
        <v>5.5614299999999997</v>
      </c>
      <c r="F1921" s="59">
        <v>7.0992600000000001</v>
      </c>
      <c r="G1921" s="56">
        <v>2303.56</v>
      </c>
      <c r="H1921" s="56">
        <v>2853.16</v>
      </c>
      <c r="I1921" s="58">
        <v>0.70449799999999996</v>
      </c>
      <c r="J1921" s="57">
        <v>0.88785999999999998</v>
      </c>
      <c r="K1921" s="56"/>
      <c r="L1921" s="56" t="s">
        <v>488</v>
      </c>
    </row>
    <row r="1922" spans="2:12" x14ac:dyDescent="0.2">
      <c r="B1922" s="62" t="s">
        <v>4020</v>
      </c>
      <c r="C1922" s="61" t="s">
        <v>502</v>
      </c>
      <c r="D1922" s="60">
        <v>1.3965700000000001</v>
      </c>
      <c r="E1922" s="59">
        <v>2.6315400000000002</v>
      </c>
      <c r="F1922" s="59">
        <v>4.4814499999999997</v>
      </c>
      <c r="G1922" s="56">
        <v>0</v>
      </c>
      <c r="H1922" s="56">
        <v>0</v>
      </c>
      <c r="I1922" s="58">
        <v>0.27415</v>
      </c>
      <c r="J1922" s="57">
        <v>0.36349700000000001</v>
      </c>
      <c r="K1922" s="56"/>
      <c r="L1922" s="56" t="s">
        <v>488</v>
      </c>
    </row>
    <row r="1923" spans="2:12" x14ac:dyDescent="0.2">
      <c r="B1923" s="62" t="s">
        <v>4019</v>
      </c>
      <c r="C1923" s="61" t="s">
        <v>526</v>
      </c>
      <c r="D1923" s="60">
        <v>1.06349</v>
      </c>
      <c r="E1923" s="59">
        <v>5.98942</v>
      </c>
      <c r="F1923" s="59">
        <v>8.4107500000000002</v>
      </c>
      <c r="G1923" s="56">
        <v>1955.11</v>
      </c>
      <c r="H1923" s="56">
        <v>1838.39</v>
      </c>
      <c r="I1923" s="58">
        <v>0.77851700000000001</v>
      </c>
      <c r="J1923" s="57">
        <v>0.64090499999999995</v>
      </c>
      <c r="K1923" s="56"/>
      <c r="L1923" s="56" t="s">
        <v>624</v>
      </c>
    </row>
    <row r="1924" spans="2:12" x14ac:dyDescent="0.2">
      <c r="B1924" s="62" t="s">
        <v>4018</v>
      </c>
      <c r="C1924" s="61" t="s">
        <v>526</v>
      </c>
      <c r="D1924" s="60">
        <v>1.1765699999999999</v>
      </c>
      <c r="E1924" s="59">
        <v>4.6735300000000004</v>
      </c>
      <c r="F1924" s="59">
        <v>7.8603300000000003</v>
      </c>
      <c r="G1924" s="56">
        <v>1437.37</v>
      </c>
      <c r="H1924" s="56">
        <v>1221.67</v>
      </c>
      <c r="I1924" s="58">
        <v>0.64296799999999998</v>
      </c>
      <c r="J1924" s="57">
        <v>0.52788999999999997</v>
      </c>
      <c r="K1924" s="56"/>
      <c r="L1924" s="56" t="s">
        <v>492</v>
      </c>
    </row>
    <row r="1925" spans="2:12" x14ac:dyDescent="0.2">
      <c r="B1925" s="62" t="s">
        <v>4017</v>
      </c>
      <c r="C1925" s="61" t="s">
        <v>510</v>
      </c>
      <c r="D1925" s="60">
        <v>1.2447299999999999</v>
      </c>
      <c r="E1925" s="59">
        <v>3.6533000000000002</v>
      </c>
      <c r="F1925" s="59">
        <v>5.6569700000000003</v>
      </c>
      <c r="G1925" s="56">
        <v>0</v>
      </c>
      <c r="H1925" s="56">
        <v>0</v>
      </c>
      <c r="I1925" s="58">
        <v>0.17710100000000001</v>
      </c>
      <c r="J1925" s="57">
        <v>0.342526</v>
      </c>
      <c r="K1925" s="56"/>
      <c r="L1925" s="56" t="s">
        <v>488</v>
      </c>
    </row>
    <row r="1926" spans="2:12" x14ac:dyDescent="0.2">
      <c r="B1926" s="62" t="s">
        <v>4016</v>
      </c>
      <c r="C1926" s="61" t="s">
        <v>708</v>
      </c>
      <c r="D1926" s="60">
        <v>1.2892699999999999</v>
      </c>
      <c r="E1926" s="59">
        <v>2.4298899999999999</v>
      </c>
      <c r="F1926" s="59">
        <v>5.39276</v>
      </c>
      <c r="G1926" s="56">
        <v>0</v>
      </c>
      <c r="H1926" s="56">
        <v>0</v>
      </c>
      <c r="I1926" s="58">
        <v>0.23500799999999999</v>
      </c>
      <c r="J1926" s="57">
        <v>0.35528300000000002</v>
      </c>
      <c r="K1926" s="56"/>
      <c r="L1926" s="56" t="s">
        <v>492</v>
      </c>
    </row>
    <row r="1927" spans="2:12" x14ac:dyDescent="0.2">
      <c r="B1927" s="62" t="s">
        <v>4015</v>
      </c>
      <c r="C1927" s="61" t="s">
        <v>708</v>
      </c>
      <c r="D1927" s="60">
        <v>1.47296</v>
      </c>
      <c r="E1927" s="59">
        <v>2.63435</v>
      </c>
      <c r="F1927" s="59">
        <v>4.15862</v>
      </c>
      <c r="G1927" s="56">
        <v>0</v>
      </c>
      <c r="H1927" s="56">
        <v>0</v>
      </c>
      <c r="I1927" s="58">
        <v>0.138432</v>
      </c>
      <c r="J1927" s="57">
        <v>0.28223700000000002</v>
      </c>
      <c r="K1927" s="56"/>
      <c r="L1927" s="56" t="s">
        <v>488</v>
      </c>
    </row>
    <row r="1928" spans="2:12" x14ac:dyDescent="0.2">
      <c r="B1928" s="62" t="s">
        <v>4014</v>
      </c>
      <c r="C1928" s="61" t="s">
        <v>2665</v>
      </c>
      <c r="D1928" s="60">
        <v>1.16326</v>
      </c>
      <c r="E1928" s="59">
        <v>4.5305999999999997</v>
      </c>
      <c r="F1928" s="59">
        <v>6.2915000000000001</v>
      </c>
      <c r="G1928" s="56">
        <v>758.72</v>
      </c>
      <c r="H1928" s="56">
        <v>652.23500000000001</v>
      </c>
      <c r="I1928" s="58">
        <v>0.29703000000000002</v>
      </c>
      <c r="J1928" s="57">
        <v>0.44798700000000002</v>
      </c>
      <c r="K1928" s="56"/>
      <c r="L1928" s="56" t="s">
        <v>488</v>
      </c>
    </row>
    <row r="1929" spans="2:12" x14ac:dyDescent="0.2">
      <c r="B1929" s="62" t="s">
        <v>4013</v>
      </c>
      <c r="C1929" s="61" t="s">
        <v>4011</v>
      </c>
      <c r="D1929" s="60">
        <v>1.1500699999999999</v>
      </c>
      <c r="E1929" s="59">
        <v>4.3890900000000004</v>
      </c>
      <c r="F1929" s="59">
        <v>6.2057700000000002</v>
      </c>
      <c r="G1929" s="56">
        <v>704.93299999999999</v>
      </c>
      <c r="H1929" s="56">
        <v>590.00400000000002</v>
      </c>
      <c r="I1929" s="58">
        <v>0.31719599999999998</v>
      </c>
      <c r="J1929" s="57">
        <v>0.461198</v>
      </c>
      <c r="K1929" s="56"/>
      <c r="L1929" s="56" t="s">
        <v>488</v>
      </c>
    </row>
    <row r="1930" spans="2:12" x14ac:dyDescent="0.2">
      <c r="B1930" s="62" t="s">
        <v>4012</v>
      </c>
      <c r="C1930" s="61" t="s">
        <v>4011</v>
      </c>
      <c r="D1930" s="60">
        <v>1.19479</v>
      </c>
      <c r="E1930" s="59">
        <v>4.7803100000000001</v>
      </c>
      <c r="F1930" s="59">
        <v>6.4233500000000001</v>
      </c>
      <c r="G1930" s="56">
        <v>835.93600000000004</v>
      </c>
      <c r="H1930" s="56">
        <v>726.85599999999999</v>
      </c>
      <c r="I1930" s="58">
        <v>0.290298</v>
      </c>
      <c r="J1930" s="57">
        <v>0.42812</v>
      </c>
      <c r="K1930" s="56"/>
      <c r="L1930" s="56" t="s">
        <v>488</v>
      </c>
    </row>
    <row r="1931" spans="2:12" x14ac:dyDescent="0.2">
      <c r="B1931" s="62" t="s">
        <v>4010</v>
      </c>
      <c r="C1931" s="61" t="s">
        <v>533</v>
      </c>
      <c r="D1931" s="60">
        <v>1.1112</v>
      </c>
      <c r="E1931" s="59">
        <v>4.8665599999999998</v>
      </c>
      <c r="F1931" s="59">
        <v>6.5915999999999997</v>
      </c>
      <c r="G1931" s="56">
        <v>2080.5100000000002</v>
      </c>
      <c r="H1931" s="56">
        <v>1872.31</v>
      </c>
      <c r="I1931" s="58">
        <v>0.66608599999999996</v>
      </c>
      <c r="J1931" s="57">
        <v>0.57758299999999996</v>
      </c>
      <c r="K1931" s="56"/>
      <c r="L1931" s="56" t="s">
        <v>488</v>
      </c>
    </row>
    <row r="1932" spans="2:12" x14ac:dyDescent="0.2">
      <c r="B1932" s="62" t="s">
        <v>4009</v>
      </c>
      <c r="C1932" s="61" t="s">
        <v>502</v>
      </c>
      <c r="D1932" s="60">
        <v>1.2750900000000001</v>
      </c>
      <c r="E1932" s="59">
        <v>3.0979899999999998</v>
      </c>
      <c r="F1932" s="59">
        <v>5.0776899999999996</v>
      </c>
      <c r="G1932" s="56">
        <v>0</v>
      </c>
      <c r="H1932" s="56">
        <v>0</v>
      </c>
      <c r="I1932" s="58">
        <v>0.25704300000000002</v>
      </c>
      <c r="J1932" s="57">
        <v>0.37825399999999998</v>
      </c>
      <c r="K1932" s="56"/>
      <c r="L1932" s="56" t="s">
        <v>488</v>
      </c>
    </row>
    <row r="1933" spans="2:12" x14ac:dyDescent="0.2">
      <c r="B1933" s="62" t="s">
        <v>4008</v>
      </c>
      <c r="C1933" s="61" t="s">
        <v>502</v>
      </c>
      <c r="D1933" s="60">
        <v>1.44695</v>
      </c>
      <c r="E1933" s="59">
        <v>3.4796800000000001</v>
      </c>
      <c r="F1933" s="59">
        <v>5.4446300000000001</v>
      </c>
      <c r="G1933" s="56">
        <v>0</v>
      </c>
      <c r="H1933" s="56">
        <v>0</v>
      </c>
      <c r="I1933" s="58">
        <v>0.357848</v>
      </c>
      <c r="J1933" s="57">
        <v>0.31391400000000003</v>
      </c>
      <c r="K1933" s="56"/>
      <c r="L1933" s="56" t="s">
        <v>492</v>
      </c>
    </row>
    <row r="1934" spans="2:12" x14ac:dyDescent="0.2">
      <c r="B1934" s="62" t="s">
        <v>4007</v>
      </c>
      <c r="C1934" s="61" t="s">
        <v>502</v>
      </c>
      <c r="D1934" s="60">
        <v>1.44604</v>
      </c>
      <c r="E1934" s="59">
        <v>3.2285900000000001</v>
      </c>
      <c r="F1934" s="59">
        <v>5.2988600000000003</v>
      </c>
      <c r="G1934" s="56">
        <v>0</v>
      </c>
      <c r="H1934" s="56">
        <v>0</v>
      </c>
      <c r="I1934" s="58">
        <v>0.34767799999999999</v>
      </c>
      <c r="J1934" s="57">
        <v>0.31345400000000001</v>
      </c>
      <c r="K1934" s="56"/>
      <c r="L1934" s="56" t="s">
        <v>492</v>
      </c>
    </row>
    <row r="1935" spans="2:12" x14ac:dyDescent="0.2">
      <c r="B1935" s="62" t="s">
        <v>4006</v>
      </c>
      <c r="C1935" s="61" t="s">
        <v>625</v>
      </c>
      <c r="D1935" s="60">
        <v>1.5676000000000001</v>
      </c>
      <c r="E1935" s="59">
        <v>3.85894</v>
      </c>
      <c r="F1935" s="59">
        <v>5.17469</v>
      </c>
      <c r="G1935" s="56">
        <v>748.83100000000002</v>
      </c>
      <c r="H1935" s="56">
        <v>477.69200000000001</v>
      </c>
      <c r="I1935" s="58">
        <v>0.39695999999999998</v>
      </c>
      <c r="J1935" s="57">
        <v>0.33706399999999997</v>
      </c>
      <c r="K1935" s="56"/>
      <c r="L1935" s="56" t="s">
        <v>488</v>
      </c>
    </row>
    <row r="1936" spans="2:12" x14ac:dyDescent="0.2">
      <c r="B1936" s="62" t="s">
        <v>4005</v>
      </c>
      <c r="C1936" s="61" t="s">
        <v>625</v>
      </c>
      <c r="D1936" s="60">
        <v>1.44306</v>
      </c>
      <c r="E1936" s="59">
        <v>5.9020799999999998</v>
      </c>
      <c r="F1936" s="59">
        <v>7.0720299999999998</v>
      </c>
      <c r="G1936" s="56">
        <v>1351.7</v>
      </c>
      <c r="H1936" s="56">
        <v>936.68899999999996</v>
      </c>
      <c r="I1936" s="58">
        <v>0.51196799999999998</v>
      </c>
      <c r="J1936" s="57">
        <v>0.41655399999999998</v>
      </c>
      <c r="K1936" s="56"/>
      <c r="L1936" s="56" t="s">
        <v>488</v>
      </c>
    </row>
    <row r="1937" spans="2:12" x14ac:dyDescent="0.2">
      <c r="B1937" s="62" t="s">
        <v>4004</v>
      </c>
      <c r="C1937" s="61" t="s">
        <v>859</v>
      </c>
      <c r="D1937" s="60">
        <v>1.73559</v>
      </c>
      <c r="E1937" s="59">
        <v>4.2104900000000001</v>
      </c>
      <c r="F1937" s="59">
        <v>5.5852899999999996</v>
      </c>
      <c r="G1937" s="56">
        <v>819.82399999999996</v>
      </c>
      <c r="H1937" s="56">
        <v>472.36</v>
      </c>
      <c r="I1937" s="58">
        <v>0.44452900000000001</v>
      </c>
      <c r="J1937" s="57">
        <v>0.31889600000000001</v>
      </c>
      <c r="K1937" s="56"/>
      <c r="L1937" s="56" t="s">
        <v>488</v>
      </c>
    </row>
    <row r="1938" spans="2:12" x14ac:dyDescent="0.2">
      <c r="B1938" s="62" t="s">
        <v>4003</v>
      </c>
      <c r="C1938" s="61" t="s">
        <v>502</v>
      </c>
      <c r="D1938" s="60">
        <v>1.7357400000000001</v>
      </c>
      <c r="E1938" s="59">
        <v>2.8370199999999999</v>
      </c>
      <c r="F1938" s="59">
        <v>4.1655600000000002</v>
      </c>
      <c r="G1938" s="56">
        <v>0</v>
      </c>
      <c r="H1938" s="56">
        <v>0</v>
      </c>
      <c r="I1938" s="58">
        <v>0.18067800000000001</v>
      </c>
      <c r="J1938" s="57">
        <v>0.27036399999999999</v>
      </c>
      <c r="K1938" s="56"/>
      <c r="L1938" s="56" t="s">
        <v>488</v>
      </c>
    </row>
    <row r="1939" spans="2:12" x14ac:dyDescent="0.2">
      <c r="B1939" s="62" t="s">
        <v>4002</v>
      </c>
      <c r="C1939" s="61" t="s">
        <v>495</v>
      </c>
      <c r="D1939" s="60">
        <v>1.5881000000000001</v>
      </c>
      <c r="E1939" s="59">
        <v>4.0134100000000004</v>
      </c>
      <c r="F1939" s="59">
        <v>5.1697600000000001</v>
      </c>
      <c r="G1939" s="56">
        <v>673.33500000000004</v>
      </c>
      <c r="H1939" s="56">
        <v>423.98599999999999</v>
      </c>
      <c r="I1939" s="58">
        <v>0.29725699999999999</v>
      </c>
      <c r="J1939" s="57">
        <v>0.30374400000000001</v>
      </c>
      <c r="K1939" s="56"/>
      <c r="L1939" s="56" t="s">
        <v>488</v>
      </c>
    </row>
    <row r="1940" spans="2:12" x14ac:dyDescent="0.2">
      <c r="B1940" s="62" t="s">
        <v>4001</v>
      </c>
      <c r="C1940" s="61" t="s">
        <v>510</v>
      </c>
      <c r="D1940" s="60">
        <v>1.1644099999999999</v>
      </c>
      <c r="E1940" s="59">
        <v>3.0674299999999999</v>
      </c>
      <c r="F1940" s="59">
        <v>5.3133999999999997</v>
      </c>
      <c r="G1940" s="56">
        <v>0</v>
      </c>
      <c r="H1940" s="56">
        <v>0</v>
      </c>
      <c r="I1940" s="58">
        <v>0.29754999999999998</v>
      </c>
      <c r="J1940" s="57">
        <v>0.40866999999999998</v>
      </c>
      <c r="K1940" s="56"/>
      <c r="L1940" s="56" t="s">
        <v>488</v>
      </c>
    </row>
    <row r="1941" spans="2:12" x14ac:dyDescent="0.2">
      <c r="B1941" s="62" t="s">
        <v>4000</v>
      </c>
      <c r="C1941" s="61" t="s">
        <v>495</v>
      </c>
      <c r="D1941" s="60">
        <v>1.52427</v>
      </c>
      <c r="E1941" s="59">
        <v>3.3678699999999999</v>
      </c>
      <c r="F1941" s="59">
        <v>5.6859299999999999</v>
      </c>
      <c r="G1941" s="56">
        <v>0</v>
      </c>
      <c r="H1941" s="56">
        <v>0</v>
      </c>
      <c r="I1941" s="58">
        <v>0.26278899999999999</v>
      </c>
      <c r="J1941" s="57">
        <v>0.27027099999999998</v>
      </c>
      <c r="K1941" s="56"/>
      <c r="L1941" s="56" t="s">
        <v>488</v>
      </c>
    </row>
    <row r="1942" spans="2:12" x14ac:dyDescent="0.2">
      <c r="B1942" s="62" t="s">
        <v>3999</v>
      </c>
      <c r="C1942" s="61" t="s">
        <v>510</v>
      </c>
      <c r="D1942" s="60">
        <v>1.2222500000000001</v>
      </c>
      <c r="E1942" s="59">
        <v>2.5124300000000002</v>
      </c>
      <c r="F1942" s="59">
        <v>5.1173500000000001</v>
      </c>
      <c r="G1942" s="56">
        <v>0</v>
      </c>
      <c r="H1942" s="56">
        <v>0</v>
      </c>
      <c r="I1942" s="58">
        <v>0.35123199999999999</v>
      </c>
      <c r="J1942" s="57">
        <v>0.43197099999999999</v>
      </c>
      <c r="K1942" s="56"/>
      <c r="L1942" s="56" t="s">
        <v>488</v>
      </c>
    </row>
    <row r="1943" spans="2:12" x14ac:dyDescent="0.2">
      <c r="B1943" s="62" t="s">
        <v>3998</v>
      </c>
      <c r="C1943" s="61" t="s">
        <v>3996</v>
      </c>
      <c r="D1943" s="60">
        <v>1.72662</v>
      </c>
      <c r="E1943" s="59">
        <v>2.5235799999999999</v>
      </c>
      <c r="F1943" s="59">
        <v>2.8331900000000001</v>
      </c>
      <c r="G1943" s="56">
        <v>0</v>
      </c>
      <c r="H1943" s="56">
        <v>0</v>
      </c>
      <c r="I1943" s="58">
        <v>0.24490300000000001</v>
      </c>
      <c r="J1943" s="57">
        <v>0.18996499999999999</v>
      </c>
      <c r="K1943" s="56"/>
      <c r="L1943" s="56" t="s">
        <v>488</v>
      </c>
    </row>
    <row r="1944" spans="2:12" x14ac:dyDescent="0.2">
      <c r="B1944" s="62" t="s">
        <v>3997</v>
      </c>
      <c r="C1944" s="61" t="s">
        <v>3996</v>
      </c>
      <c r="D1944" s="60">
        <v>1.7197199999999999</v>
      </c>
      <c r="E1944" s="59">
        <v>2.5184700000000002</v>
      </c>
      <c r="F1944" s="59">
        <v>2.8279800000000002</v>
      </c>
      <c r="G1944" s="56">
        <v>0</v>
      </c>
      <c r="H1944" s="56">
        <v>0</v>
      </c>
      <c r="I1944" s="58">
        <v>0.25102400000000002</v>
      </c>
      <c r="J1944" s="57">
        <v>0.192714</v>
      </c>
      <c r="K1944" s="56"/>
      <c r="L1944" s="56" t="s">
        <v>488</v>
      </c>
    </row>
    <row r="1945" spans="2:12" x14ac:dyDescent="0.2">
      <c r="B1945" s="62" t="s">
        <v>3995</v>
      </c>
      <c r="C1945" s="61" t="s">
        <v>625</v>
      </c>
      <c r="D1945" s="60">
        <v>1.7859499999999999</v>
      </c>
      <c r="E1945" s="59">
        <v>4.24064</v>
      </c>
      <c r="F1945" s="59">
        <v>4.7511400000000004</v>
      </c>
      <c r="G1945" s="56">
        <v>508.93200000000002</v>
      </c>
      <c r="H1945" s="56">
        <v>284.96499999999997</v>
      </c>
      <c r="I1945" s="58">
        <v>0.263378</v>
      </c>
      <c r="J1945" s="57">
        <v>0.24043</v>
      </c>
      <c r="K1945" s="56"/>
      <c r="L1945" s="56" t="s">
        <v>492</v>
      </c>
    </row>
    <row r="1946" spans="2:12" x14ac:dyDescent="0.2">
      <c r="B1946" s="62" t="s">
        <v>3994</v>
      </c>
      <c r="C1946" s="61" t="s">
        <v>1006</v>
      </c>
      <c r="D1946" s="60">
        <v>1.9540200000000001</v>
      </c>
      <c r="E1946" s="59">
        <v>3.4192</v>
      </c>
      <c r="F1946" s="59">
        <v>4.5180199999999999</v>
      </c>
      <c r="G1946" s="56">
        <v>0</v>
      </c>
      <c r="H1946" s="56">
        <v>0</v>
      </c>
      <c r="I1946" s="58">
        <v>0.202399</v>
      </c>
      <c r="J1946" s="57">
        <v>0.20502600000000001</v>
      </c>
      <c r="K1946" s="56"/>
      <c r="L1946" s="56" t="s">
        <v>492</v>
      </c>
    </row>
    <row r="1947" spans="2:12" x14ac:dyDescent="0.2">
      <c r="B1947" s="62" t="s">
        <v>3993</v>
      </c>
      <c r="C1947" s="61" t="s">
        <v>1681</v>
      </c>
      <c r="D1947" s="60">
        <v>2.1226699999999998</v>
      </c>
      <c r="E1947" s="59">
        <v>3.3978600000000001</v>
      </c>
      <c r="F1947" s="59">
        <v>3.5870700000000002</v>
      </c>
      <c r="G1947" s="56">
        <v>0</v>
      </c>
      <c r="H1947" s="56">
        <v>0</v>
      </c>
      <c r="I1947" s="58">
        <v>0.40915499999999999</v>
      </c>
      <c r="J1947" s="57">
        <v>0.24494299999999999</v>
      </c>
      <c r="K1947" s="56"/>
      <c r="L1947" s="56" t="s">
        <v>492</v>
      </c>
    </row>
    <row r="1948" spans="2:12" x14ac:dyDescent="0.2">
      <c r="B1948" s="62" t="s">
        <v>3992</v>
      </c>
      <c r="C1948" s="61" t="s">
        <v>550</v>
      </c>
      <c r="D1948" s="60">
        <v>1.7593700000000001</v>
      </c>
      <c r="E1948" s="59">
        <v>3.32925</v>
      </c>
      <c r="F1948" s="59">
        <v>4.4821099999999996</v>
      </c>
      <c r="G1948" s="56">
        <v>0</v>
      </c>
      <c r="H1948" s="56">
        <v>0</v>
      </c>
      <c r="I1948" s="58">
        <v>0.284383</v>
      </c>
      <c r="J1948" s="57">
        <v>0.228549</v>
      </c>
      <c r="K1948" s="56"/>
      <c r="L1948" s="56" t="s">
        <v>488</v>
      </c>
    </row>
    <row r="1949" spans="2:12" x14ac:dyDescent="0.2">
      <c r="B1949" s="62" t="s">
        <v>3991</v>
      </c>
      <c r="C1949" s="61" t="s">
        <v>502</v>
      </c>
      <c r="D1949" s="60">
        <v>1.52346</v>
      </c>
      <c r="E1949" s="59">
        <v>2.6132</v>
      </c>
      <c r="F1949" s="59">
        <v>4.7560000000000002</v>
      </c>
      <c r="G1949" s="56">
        <v>0</v>
      </c>
      <c r="H1949" s="56">
        <v>0</v>
      </c>
      <c r="I1949" s="58">
        <v>0.22081700000000001</v>
      </c>
      <c r="J1949" s="57">
        <v>0.30490099999999998</v>
      </c>
      <c r="K1949" s="56"/>
      <c r="L1949" s="56" t="s">
        <v>492</v>
      </c>
    </row>
    <row r="1950" spans="2:12" x14ac:dyDescent="0.2">
      <c r="B1950" s="62" t="s">
        <v>3990</v>
      </c>
      <c r="C1950" s="61" t="s">
        <v>3989</v>
      </c>
      <c r="D1950" s="60">
        <v>1.3044899999999999</v>
      </c>
      <c r="E1950" s="59">
        <v>4.2427799999999998</v>
      </c>
      <c r="F1950" s="59">
        <v>5.9795400000000001</v>
      </c>
      <c r="G1950" s="56">
        <v>907.63900000000001</v>
      </c>
      <c r="H1950" s="56">
        <v>695.78300000000002</v>
      </c>
      <c r="I1950" s="58">
        <v>0.41812500000000002</v>
      </c>
      <c r="J1950" s="57">
        <v>0.381471</v>
      </c>
      <c r="K1950" s="56"/>
      <c r="L1950" s="56" t="s">
        <v>488</v>
      </c>
    </row>
    <row r="1951" spans="2:12" x14ac:dyDescent="0.2">
      <c r="B1951" s="62" t="s">
        <v>3988</v>
      </c>
      <c r="C1951" s="61" t="s">
        <v>555</v>
      </c>
      <c r="D1951" s="60">
        <v>1.74786</v>
      </c>
      <c r="E1951" s="59">
        <v>4.2679299999999998</v>
      </c>
      <c r="F1951" s="59">
        <v>4.92293</v>
      </c>
      <c r="G1951" s="56">
        <v>540.21299999999997</v>
      </c>
      <c r="H1951" s="56">
        <v>309.07100000000003</v>
      </c>
      <c r="I1951" s="58">
        <v>0.25329200000000002</v>
      </c>
      <c r="J1951" s="57">
        <v>0.18940499999999999</v>
      </c>
      <c r="K1951" s="56"/>
      <c r="L1951" s="56" t="s">
        <v>488</v>
      </c>
    </row>
    <row r="1952" spans="2:12" x14ac:dyDescent="0.2">
      <c r="B1952" s="62" t="s">
        <v>3987</v>
      </c>
      <c r="C1952" s="61" t="s">
        <v>510</v>
      </c>
      <c r="D1952" s="60">
        <v>1.3498399999999999</v>
      </c>
      <c r="E1952" s="59">
        <v>2.4384700000000001</v>
      </c>
      <c r="F1952" s="59">
        <v>3.9963099999999998</v>
      </c>
      <c r="G1952" s="56">
        <v>0</v>
      </c>
      <c r="H1952" s="56">
        <v>0</v>
      </c>
      <c r="I1952" s="58">
        <v>0.27074799999999999</v>
      </c>
      <c r="J1952" s="57">
        <v>0.36139700000000002</v>
      </c>
      <c r="K1952" s="56"/>
      <c r="L1952" s="56" t="s">
        <v>488</v>
      </c>
    </row>
    <row r="1953" spans="2:12" x14ac:dyDescent="0.2">
      <c r="B1953" s="62" t="s">
        <v>3986</v>
      </c>
      <c r="C1953" s="61" t="s">
        <v>510</v>
      </c>
      <c r="D1953" s="60">
        <v>1.40245</v>
      </c>
      <c r="E1953" s="59">
        <v>2.5388099999999998</v>
      </c>
      <c r="F1953" s="59">
        <v>3.03607</v>
      </c>
      <c r="G1953" s="56">
        <v>0</v>
      </c>
      <c r="H1953" s="56">
        <v>0</v>
      </c>
      <c r="I1953" s="58">
        <v>6.0013700000000003E-2</v>
      </c>
      <c r="J1953" s="57">
        <v>0.27663500000000002</v>
      </c>
      <c r="K1953" s="56"/>
      <c r="L1953" s="56" t="s">
        <v>488</v>
      </c>
    </row>
    <row r="1954" spans="2:12" x14ac:dyDescent="0.2">
      <c r="B1954" s="62" t="s">
        <v>3985</v>
      </c>
      <c r="C1954" s="61" t="s">
        <v>499</v>
      </c>
      <c r="D1954" s="60">
        <v>1.43344</v>
      </c>
      <c r="E1954" s="59">
        <v>2.4682400000000002</v>
      </c>
      <c r="F1954" s="59">
        <v>3.0070700000000001</v>
      </c>
      <c r="G1954" s="56">
        <v>0</v>
      </c>
      <c r="H1954" s="56">
        <v>0</v>
      </c>
      <c r="I1954" s="58">
        <v>4.72659E-2</v>
      </c>
      <c r="J1954" s="57">
        <v>0.27507900000000002</v>
      </c>
      <c r="K1954" s="56"/>
      <c r="L1954" s="56" t="s">
        <v>488</v>
      </c>
    </row>
    <row r="1955" spans="2:12" x14ac:dyDescent="0.2">
      <c r="B1955" s="62" t="s">
        <v>3984</v>
      </c>
      <c r="C1955" s="61" t="s">
        <v>499</v>
      </c>
      <c r="D1955" s="60">
        <v>0.84726000000000001</v>
      </c>
      <c r="E1955" s="59">
        <v>6.2916299999999996</v>
      </c>
      <c r="F1955" s="59">
        <v>8.5522399999999994</v>
      </c>
      <c r="G1955" s="56">
        <v>1705.2</v>
      </c>
      <c r="H1955" s="56">
        <v>2012.61</v>
      </c>
      <c r="I1955" s="58">
        <v>0.65439000000000003</v>
      </c>
      <c r="J1955" s="57">
        <v>0.77612300000000001</v>
      </c>
      <c r="K1955" s="56"/>
      <c r="L1955" s="56" t="s">
        <v>488</v>
      </c>
    </row>
    <row r="1956" spans="2:12" x14ac:dyDescent="0.2">
      <c r="B1956" s="62" t="s">
        <v>3983</v>
      </c>
      <c r="C1956" s="61" t="s">
        <v>526</v>
      </c>
      <c r="D1956" s="60">
        <v>0.98878299999999997</v>
      </c>
      <c r="E1956" s="59">
        <v>4.1772099999999996</v>
      </c>
      <c r="F1956" s="59">
        <v>5.9607599999999996</v>
      </c>
      <c r="G1956" s="56">
        <v>1553.33</v>
      </c>
      <c r="H1956" s="56">
        <v>1570.95</v>
      </c>
      <c r="I1956" s="58">
        <v>0.58291300000000001</v>
      </c>
      <c r="J1956" s="57">
        <v>0.615703</v>
      </c>
      <c r="K1956" s="56"/>
      <c r="L1956" s="56" t="s">
        <v>488</v>
      </c>
    </row>
    <row r="1957" spans="2:12" x14ac:dyDescent="0.2">
      <c r="B1957" s="62" t="s">
        <v>3982</v>
      </c>
      <c r="C1957" s="61" t="s">
        <v>612</v>
      </c>
      <c r="D1957" s="60">
        <v>1.06793</v>
      </c>
      <c r="E1957" s="59">
        <v>3.8720300000000001</v>
      </c>
      <c r="F1957" s="59">
        <v>5.6387200000000002</v>
      </c>
      <c r="G1957" s="56">
        <v>927.33</v>
      </c>
      <c r="H1957" s="56">
        <v>868.34699999999998</v>
      </c>
      <c r="I1957" s="58">
        <v>0.53036499999999998</v>
      </c>
      <c r="J1957" s="57">
        <v>0.52994399999999997</v>
      </c>
      <c r="K1957" s="56"/>
      <c r="L1957" s="56" t="s">
        <v>488</v>
      </c>
    </row>
    <row r="1958" spans="2:12" x14ac:dyDescent="0.2">
      <c r="B1958" s="62" t="s">
        <v>3981</v>
      </c>
      <c r="C1958" s="61" t="s">
        <v>533</v>
      </c>
      <c r="D1958" s="60">
        <v>2.1859799999999998</v>
      </c>
      <c r="E1958" s="59">
        <v>2.8918599999999999</v>
      </c>
      <c r="F1958" s="59">
        <v>6.0457099999999997</v>
      </c>
      <c r="G1958" s="56">
        <v>0</v>
      </c>
      <c r="H1958" s="56">
        <v>0</v>
      </c>
      <c r="I1958" s="58">
        <v>0.236208</v>
      </c>
      <c r="J1958" s="57">
        <v>0.18961700000000001</v>
      </c>
      <c r="K1958" s="56"/>
      <c r="L1958" s="56" t="s">
        <v>488</v>
      </c>
    </row>
    <row r="1959" spans="2:12" x14ac:dyDescent="0.2">
      <c r="B1959" s="62" t="s">
        <v>3980</v>
      </c>
      <c r="C1959" s="61" t="s">
        <v>531</v>
      </c>
      <c r="D1959" s="60">
        <v>2.13035</v>
      </c>
      <c r="E1959" s="59">
        <v>2.94156</v>
      </c>
      <c r="F1959" s="59">
        <v>6.0411000000000001</v>
      </c>
      <c r="G1959" s="56">
        <v>0</v>
      </c>
      <c r="H1959" s="56">
        <v>0</v>
      </c>
      <c r="I1959" s="58">
        <v>0.23708699999999999</v>
      </c>
      <c r="J1959" s="57">
        <v>0.19616700000000001</v>
      </c>
      <c r="K1959" s="56"/>
      <c r="L1959" s="56" t="s">
        <v>488</v>
      </c>
    </row>
    <row r="1960" spans="2:12" x14ac:dyDescent="0.2">
      <c r="B1960" s="62" t="s">
        <v>3979</v>
      </c>
      <c r="C1960" s="61" t="s">
        <v>537</v>
      </c>
      <c r="D1960" s="60">
        <v>2.2557800000000001</v>
      </c>
      <c r="E1960" s="59">
        <v>2.5129800000000002</v>
      </c>
      <c r="F1960" s="59">
        <v>3.2487499999999998</v>
      </c>
      <c r="G1960" s="56">
        <v>0</v>
      </c>
      <c r="H1960" s="56">
        <v>0</v>
      </c>
      <c r="I1960" s="58">
        <v>0.124047</v>
      </c>
      <c r="J1960" s="57">
        <v>0.17099700000000001</v>
      </c>
      <c r="K1960" s="56"/>
      <c r="L1960" s="56" t="s">
        <v>488</v>
      </c>
    </row>
    <row r="1961" spans="2:12" x14ac:dyDescent="0.2">
      <c r="B1961" s="62" t="s">
        <v>3978</v>
      </c>
      <c r="C1961" s="61" t="s">
        <v>531</v>
      </c>
      <c r="D1961" s="60">
        <v>1.77433</v>
      </c>
      <c r="E1961" s="59">
        <v>4.1318799999999998</v>
      </c>
      <c r="F1961" s="59">
        <v>4.6745700000000001</v>
      </c>
      <c r="G1961" s="56">
        <v>183.38900000000001</v>
      </c>
      <c r="H1961" s="56">
        <v>103.357</v>
      </c>
      <c r="I1961" s="58">
        <v>0.14607000000000001</v>
      </c>
      <c r="J1961" s="57">
        <v>0.228073</v>
      </c>
      <c r="K1961" s="56"/>
      <c r="L1961" s="56" t="s">
        <v>488</v>
      </c>
    </row>
    <row r="1962" spans="2:12" x14ac:dyDescent="0.2">
      <c r="B1962" s="62" t="s">
        <v>3977</v>
      </c>
      <c r="C1962" s="61" t="s">
        <v>612</v>
      </c>
      <c r="D1962" s="60">
        <v>1.5625500000000001</v>
      </c>
      <c r="E1962" s="59">
        <v>2.5903800000000001</v>
      </c>
      <c r="F1962" s="59">
        <v>3.5804399999999998</v>
      </c>
      <c r="G1962" s="56">
        <v>0</v>
      </c>
      <c r="H1962" s="56">
        <v>0</v>
      </c>
      <c r="I1962" s="58">
        <v>0.262264</v>
      </c>
      <c r="J1962" s="57">
        <v>0.29824800000000001</v>
      </c>
      <c r="K1962" s="56"/>
      <c r="L1962" s="56" t="s">
        <v>488</v>
      </c>
    </row>
    <row r="1963" spans="2:12" x14ac:dyDescent="0.2">
      <c r="B1963" s="62" t="s">
        <v>3976</v>
      </c>
      <c r="C1963" s="61" t="s">
        <v>550</v>
      </c>
      <c r="D1963" s="60">
        <v>2.4859200000000001</v>
      </c>
      <c r="E1963" s="59">
        <v>2.8532000000000002</v>
      </c>
      <c r="F1963" s="59">
        <v>4.6132400000000002</v>
      </c>
      <c r="G1963" s="56">
        <v>0</v>
      </c>
      <c r="H1963" s="56">
        <v>0</v>
      </c>
      <c r="I1963" s="58">
        <v>0.228431</v>
      </c>
      <c r="J1963" s="57">
        <v>0.16975999999999999</v>
      </c>
      <c r="K1963" s="56"/>
      <c r="L1963" s="56" t="s">
        <v>488</v>
      </c>
    </row>
    <row r="1964" spans="2:12" x14ac:dyDescent="0.2">
      <c r="B1964" s="62" t="s">
        <v>3975</v>
      </c>
      <c r="C1964" s="61" t="s">
        <v>550</v>
      </c>
      <c r="D1964" s="60">
        <v>2.4260000000000002</v>
      </c>
      <c r="E1964" s="59">
        <v>3.48306</v>
      </c>
      <c r="F1964" s="59">
        <v>4.5103799999999996</v>
      </c>
      <c r="G1964" s="56">
        <v>0</v>
      </c>
      <c r="H1964" s="56">
        <v>0</v>
      </c>
      <c r="I1964" s="58">
        <v>0.28923100000000002</v>
      </c>
      <c r="J1964" s="57">
        <v>0.17621899999999999</v>
      </c>
      <c r="K1964" s="56"/>
      <c r="L1964" s="56" t="s">
        <v>488</v>
      </c>
    </row>
    <row r="1965" spans="2:12" x14ac:dyDescent="0.2">
      <c r="B1965" s="62" t="s">
        <v>3974</v>
      </c>
      <c r="C1965" s="61" t="s">
        <v>550</v>
      </c>
      <c r="D1965" s="60">
        <v>1.21722</v>
      </c>
      <c r="E1965" s="59">
        <v>4.2232099999999999</v>
      </c>
      <c r="F1965" s="59">
        <v>5.1531200000000004</v>
      </c>
      <c r="G1965" s="56">
        <v>544.07299999999998</v>
      </c>
      <c r="H1965" s="56">
        <v>446.97899999999998</v>
      </c>
      <c r="I1965" s="58">
        <v>0.37131799999999998</v>
      </c>
      <c r="J1965" s="57">
        <v>0.39285100000000001</v>
      </c>
      <c r="K1965" s="56"/>
      <c r="L1965" s="56" t="s">
        <v>492</v>
      </c>
    </row>
    <row r="1966" spans="2:12" x14ac:dyDescent="0.2">
      <c r="B1966" s="62" t="s">
        <v>3973</v>
      </c>
      <c r="C1966" s="61" t="s">
        <v>550</v>
      </c>
      <c r="D1966" s="60">
        <v>1.2163999999999999</v>
      </c>
      <c r="E1966" s="59">
        <v>4.2287800000000004</v>
      </c>
      <c r="F1966" s="59">
        <v>5.1720100000000002</v>
      </c>
      <c r="G1966" s="56">
        <v>551.86199999999997</v>
      </c>
      <c r="H1966" s="56">
        <v>453.68700000000001</v>
      </c>
      <c r="I1966" s="58">
        <v>0.374361</v>
      </c>
      <c r="J1966" s="57">
        <v>0.39300800000000002</v>
      </c>
      <c r="K1966" s="56"/>
      <c r="L1966" s="56" t="s">
        <v>492</v>
      </c>
    </row>
    <row r="1967" spans="2:12" x14ac:dyDescent="0.2">
      <c r="B1967" s="62" t="s">
        <v>3972</v>
      </c>
      <c r="C1967" s="61" t="s">
        <v>550</v>
      </c>
      <c r="D1967" s="60">
        <v>1.2142500000000001</v>
      </c>
      <c r="E1967" s="59">
        <v>4.2361500000000003</v>
      </c>
      <c r="F1967" s="59">
        <v>5.19102</v>
      </c>
      <c r="G1967" s="56">
        <v>538.827</v>
      </c>
      <c r="H1967" s="56">
        <v>443.75200000000001</v>
      </c>
      <c r="I1967" s="58">
        <v>0.37728400000000001</v>
      </c>
      <c r="J1967" s="57">
        <v>0.39501500000000001</v>
      </c>
      <c r="K1967" s="56"/>
      <c r="L1967" s="56" t="s">
        <v>492</v>
      </c>
    </row>
    <row r="1968" spans="2:12" x14ac:dyDescent="0.2">
      <c r="B1968" s="62" t="s">
        <v>3971</v>
      </c>
      <c r="C1968" s="61" t="s">
        <v>550</v>
      </c>
      <c r="D1968" s="60">
        <v>1.2765</v>
      </c>
      <c r="E1968" s="59">
        <v>2.9866199999999998</v>
      </c>
      <c r="F1968" s="59">
        <v>3.9840100000000001</v>
      </c>
      <c r="G1968" s="56">
        <v>0</v>
      </c>
      <c r="H1968" s="56">
        <v>0</v>
      </c>
      <c r="I1968" s="58">
        <v>0.207673</v>
      </c>
      <c r="J1968" s="57">
        <v>0.355298</v>
      </c>
      <c r="K1968" s="56"/>
      <c r="L1968" s="56" t="s">
        <v>488</v>
      </c>
    </row>
    <row r="1969" spans="2:12" x14ac:dyDescent="0.2">
      <c r="B1969" s="62" t="s">
        <v>3970</v>
      </c>
      <c r="C1969" s="61" t="s">
        <v>502</v>
      </c>
      <c r="D1969" s="60">
        <v>1.3580099999999999</v>
      </c>
      <c r="E1969" s="59">
        <v>4.7738899999999997</v>
      </c>
      <c r="F1969" s="59">
        <v>5.2265100000000002</v>
      </c>
      <c r="G1969" s="56">
        <v>666.73099999999999</v>
      </c>
      <c r="H1969" s="56">
        <v>490.96199999999999</v>
      </c>
      <c r="I1969" s="58">
        <v>0.31362600000000002</v>
      </c>
      <c r="J1969" s="57">
        <v>0.33861599999999997</v>
      </c>
      <c r="K1969" s="56"/>
      <c r="L1969" s="56" t="s">
        <v>488</v>
      </c>
    </row>
    <row r="1970" spans="2:12" x14ac:dyDescent="0.2">
      <c r="B1970" s="62" t="s">
        <v>3969</v>
      </c>
      <c r="C1970" s="61" t="s">
        <v>502</v>
      </c>
      <c r="D1970" s="60">
        <v>0.85796099999999997</v>
      </c>
      <c r="E1970" s="59">
        <v>6.6474599999999997</v>
      </c>
      <c r="F1970" s="59">
        <v>8.0888200000000001</v>
      </c>
      <c r="G1970" s="56">
        <v>1677.54</v>
      </c>
      <c r="H1970" s="56">
        <v>1955.26</v>
      </c>
      <c r="I1970" s="58">
        <v>0.64529800000000004</v>
      </c>
      <c r="J1970" s="57">
        <v>0.76314199999999999</v>
      </c>
      <c r="K1970" s="56" t="s">
        <v>3968</v>
      </c>
      <c r="L1970" s="56" t="s">
        <v>563</v>
      </c>
    </row>
    <row r="1971" spans="2:12" x14ac:dyDescent="0.2">
      <c r="B1971" s="62" t="s">
        <v>3967</v>
      </c>
      <c r="C1971" s="61" t="s">
        <v>502</v>
      </c>
      <c r="D1971" s="60">
        <v>0.68171700000000002</v>
      </c>
      <c r="E1971" s="59">
        <v>7.1563800000000004</v>
      </c>
      <c r="F1971" s="59">
        <v>10.10291</v>
      </c>
      <c r="G1971" s="56">
        <v>1646.37</v>
      </c>
      <c r="H1971" s="56">
        <v>2415.0300000000002</v>
      </c>
      <c r="I1971" s="58">
        <v>0.68005199999999999</v>
      </c>
      <c r="J1971" s="57">
        <v>0.99469700000000005</v>
      </c>
      <c r="K1971" s="56"/>
      <c r="L1971" s="56" t="s">
        <v>488</v>
      </c>
    </row>
    <row r="1972" spans="2:12" x14ac:dyDescent="0.2">
      <c r="B1972" s="62" t="s">
        <v>3966</v>
      </c>
      <c r="C1972" s="61" t="s">
        <v>510</v>
      </c>
      <c r="D1972" s="60">
        <v>1.8609800000000001</v>
      </c>
      <c r="E1972" s="59">
        <v>4.4982899999999999</v>
      </c>
      <c r="F1972" s="59">
        <v>4.6866000000000003</v>
      </c>
      <c r="G1972" s="56">
        <v>365.61500000000001</v>
      </c>
      <c r="H1972" s="56">
        <v>195.727</v>
      </c>
      <c r="I1972" s="58">
        <v>0.37196499999999999</v>
      </c>
      <c r="J1972" s="57">
        <v>0.22096099999999999</v>
      </c>
      <c r="K1972" s="56"/>
      <c r="L1972" s="56" t="s">
        <v>488</v>
      </c>
    </row>
    <row r="1973" spans="2:12" x14ac:dyDescent="0.2">
      <c r="B1973" s="62" t="s">
        <v>3965</v>
      </c>
      <c r="C1973" s="61" t="s">
        <v>510</v>
      </c>
      <c r="D1973" s="60">
        <v>1.86798</v>
      </c>
      <c r="E1973" s="59">
        <v>4.51959</v>
      </c>
      <c r="F1973" s="59">
        <v>4.6926800000000002</v>
      </c>
      <c r="G1973" s="56">
        <v>366.19400000000002</v>
      </c>
      <c r="H1973" s="56">
        <v>196.77600000000001</v>
      </c>
      <c r="I1973" s="58">
        <v>0.37128499999999998</v>
      </c>
      <c r="J1973" s="57">
        <v>0.21922</v>
      </c>
      <c r="K1973" s="56"/>
      <c r="L1973" s="56" t="s">
        <v>488</v>
      </c>
    </row>
    <row r="1974" spans="2:12" x14ac:dyDescent="0.2">
      <c r="B1974" s="62" t="s">
        <v>3964</v>
      </c>
      <c r="C1974" s="61" t="s">
        <v>510</v>
      </c>
      <c r="D1974" s="60">
        <v>1.86497</v>
      </c>
      <c r="E1974" s="59">
        <v>4.6138500000000002</v>
      </c>
      <c r="F1974" s="59">
        <v>4.79521</v>
      </c>
      <c r="G1974" s="56">
        <v>374.36200000000002</v>
      </c>
      <c r="H1974" s="56">
        <v>200.73400000000001</v>
      </c>
      <c r="I1974" s="58">
        <v>0.37493500000000002</v>
      </c>
      <c r="J1974" s="57">
        <v>0.21995100000000001</v>
      </c>
      <c r="K1974" s="56"/>
      <c r="L1974" s="56" t="s">
        <v>488</v>
      </c>
    </row>
    <row r="1975" spans="2:12" x14ac:dyDescent="0.2">
      <c r="B1975" s="62" t="s">
        <v>3963</v>
      </c>
      <c r="C1975" s="61" t="s">
        <v>495</v>
      </c>
      <c r="D1975" s="60">
        <v>1.70177</v>
      </c>
      <c r="E1975" s="59">
        <v>2.5110899999999998</v>
      </c>
      <c r="F1975" s="59">
        <v>3.2004800000000002</v>
      </c>
      <c r="G1975" s="56">
        <v>0</v>
      </c>
      <c r="H1975" s="56">
        <v>0</v>
      </c>
      <c r="I1975" s="58">
        <v>7.7968200000000001E-2</v>
      </c>
      <c r="J1975" s="57">
        <v>0.17638100000000001</v>
      </c>
      <c r="K1975" s="56"/>
      <c r="L1975" s="56" t="s">
        <v>488</v>
      </c>
    </row>
    <row r="1976" spans="2:12" x14ac:dyDescent="0.2">
      <c r="B1976" s="62" t="s">
        <v>3962</v>
      </c>
      <c r="C1976" s="61" t="s">
        <v>502</v>
      </c>
      <c r="D1976" s="60">
        <v>1.0040899999999999</v>
      </c>
      <c r="E1976" s="59">
        <v>4.6307900000000002</v>
      </c>
      <c r="F1976" s="59">
        <v>6.0908100000000003</v>
      </c>
      <c r="G1976" s="56">
        <v>1450.65</v>
      </c>
      <c r="H1976" s="56">
        <v>1444.74</v>
      </c>
      <c r="I1976" s="58">
        <v>0.64832500000000004</v>
      </c>
      <c r="J1976" s="57">
        <v>0.61563500000000004</v>
      </c>
      <c r="K1976" s="56"/>
      <c r="L1976" s="56" t="s">
        <v>488</v>
      </c>
    </row>
    <row r="1977" spans="2:12" x14ac:dyDescent="0.2">
      <c r="B1977" s="62" t="s">
        <v>3961</v>
      </c>
      <c r="C1977" s="61" t="s">
        <v>502</v>
      </c>
      <c r="D1977" s="60">
        <v>0.78064500000000003</v>
      </c>
      <c r="E1977" s="59">
        <v>5.9549000000000003</v>
      </c>
      <c r="F1977" s="59">
        <v>6.3552299999999997</v>
      </c>
      <c r="G1977" s="56">
        <v>2315.7199999999998</v>
      </c>
      <c r="H1977" s="56">
        <v>2966.41</v>
      </c>
      <c r="I1977" s="58">
        <v>0.722441</v>
      </c>
      <c r="J1977" s="57">
        <v>0.89599200000000001</v>
      </c>
      <c r="K1977" s="56"/>
      <c r="L1977" s="56" t="s">
        <v>488</v>
      </c>
    </row>
    <row r="1978" spans="2:12" x14ac:dyDescent="0.2">
      <c r="B1978" s="62" t="s">
        <v>3960</v>
      </c>
      <c r="C1978" s="61" t="s">
        <v>641</v>
      </c>
      <c r="D1978" s="60">
        <v>1.12636</v>
      </c>
      <c r="E1978" s="59">
        <v>3.5106099999999998</v>
      </c>
      <c r="F1978" s="59">
        <v>7.0957400000000002</v>
      </c>
      <c r="G1978" s="56">
        <v>0</v>
      </c>
      <c r="H1978" s="56">
        <v>0</v>
      </c>
      <c r="I1978" s="58">
        <v>0.50334199999999996</v>
      </c>
      <c r="J1978" s="57">
        <v>0.49271500000000001</v>
      </c>
      <c r="K1978" s="56"/>
      <c r="L1978" s="56" t="s">
        <v>492</v>
      </c>
    </row>
    <row r="1979" spans="2:12" x14ac:dyDescent="0.2">
      <c r="B1979" s="62" t="s">
        <v>3959</v>
      </c>
      <c r="C1979" s="61" t="s">
        <v>1226</v>
      </c>
      <c r="D1979" s="60">
        <v>0.93968799999999997</v>
      </c>
      <c r="E1979" s="59">
        <v>6.7553900000000002</v>
      </c>
      <c r="F1979" s="59">
        <v>8.83948</v>
      </c>
      <c r="G1979" s="56">
        <v>1610.51</v>
      </c>
      <c r="H1979" s="56">
        <v>1713.88</v>
      </c>
      <c r="I1979" s="58">
        <v>0.62352099999999999</v>
      </c>
      <c r="J1979" s="57">
        <v>0.67161099999999996</v>
      </c>
      <c r="K1979" s="56"/>
      <c r="L1979" s="56" t="s">
        <v>492</v>
      </c>
    </row>
    <row r="1980" spans="2:12" x14ac:dyDescent="0.2">
      <c r="B1980" s="62" t="s">
        <v>3958</v>
      </c>
      <c r="C1980" s="61" t="s">
        <v>531</v>
      </c>
      <c r="D1980" s="60">
        <v>1.2463200000000001</v>
      </c>
      <c r="E1980" s="59">
        <v>4.1772400000000003</v>
      </c>
      <c r="F1980" s="59">
        <v>7.1376999999999997</v>
      </c>
      <c r="G1980" s="56">
        <v>931.89400000000001</v>
      </c>
      <c r="H1980" s="56">
        <v>747.71600000000001</v>
      </c>
      <c r="I1980" s="58">
        <v>0.37992300000000001</v>
      </c>
      <c r="J1980" s="57">
        <v>0.418215</v>
      </c>
      <c r="K1980" s="56"/>
      <c r="L1980" s="56" t="s">
        <v>492</v>
      </c>
    </row>
    <row r="1981" spans="2:12" x14ac:dyDescent="0.2">
      <c r="B1981" s="62" t="s">
        <v>3957</v>
      </c>
      <c r="C1981" s="61" t="s">
        <v>550</v>
      </c>
      <c r="D1981" s="60">
        <v>1.9307099999999999</v>
      </c>
      <c r="E1981" s="59">
        <v>3.0061200000000001</v>
      </c>
      <c r="F1981" s="59">
        <v>4.4613100000000001</v>
      </c>
      <c r="G1981" s="56">
        <v>0</v>
      </c>
      <c r="H1981" s="56">
        <v>0</v>
      </c>
      <c r="I1981" s="58">
        <v>0.21566199999999999</v>
      </c>
      <c r="J1981" s="57">
        <v>0.197661</v>
      </c>
      <c r="K1981" s="56"/>
      <c r="L1981" s="56" t="s">
        <v>488</v>
      </c>
    </row>
    <row r="1982" spans="2:12" x14ac:dyDescent="0.2">
      <c r="B1982" s="62" t="s">
        <v>3956</v>
      </c>
      <c r="C1982" s="61" t="s">
        <v>502</v>
      </c>
      <c r="D1982" s="60">
        <v>1.67395</v>
      </c>
      <c r="E1982" s="59">
        <v>4.4179399999999998</v>
      </c>
      <c r="F1982" s="59">
        <v>5.70852</v>
      </c>
      <c r="G1982" s="56">
        <v>983.69799999999998</v>
      </c>
      <c r="H1982" s="56">
        <v>587.65</v>
      </c>
      <c r="I1982" s="58">
        <v>0.48471500000000001</v>
      </c>
      <c r="J1982" s="57">
        <v>0.31569999999999998</v>
      </c>
      <c r="K1982" s="56"/>
      <c r="L1982" s="56" t="s">
        <v>488</v>
      </c>
    </row>
    <row r="1983" spans="2:12" x14ac:dyDescent="0.2">
      <c r="B1983" s="62" t="s">
        <v>3955</v>
      </c>
      <c r="C1983" s="61" t="s">
        <v>502</v>
      </c>
      <c r="D1983" s="60">
        <v>1.9334199999999999</v>
      </c>
      <c r="E1983" s="59">
        <v>4.3343800000000003</v>
      </c>
      <c r="F1983" s="59">
        <v>5.5698999999999996</v>
      </c>
      <c r="G1983" s="56">
        <v>900.31600000000003</v>
      </c>
      <c r="H1983" s="56">
        <v>465.65899999999999</v>
      </c>
      <c r="I1983" s="58">
        <v>0.45948600000000001</v>
      </c>
      <c r="J1983" s="57">
        <v>0.26646700000000001</v>
      </c>
      <c r="K1983" s="56"/>
      <c r="L1983" s="56" t="s">
        <v>488</v>
      </c>
    </row>
    <row r="1984" spans="2:12" x14ac:dyDescent="0.2">
      <c r="B1984" s="62" t="s">
        <v>3954</v>
      </c>
      <c r="C1984" s="61" t="s">
        <v>1006</v>
      </c>
      <c r="D1984" s="60">
        <v>1.0118100000000001</v>
      </c>
      <c r="E1984" s="59">
        <v>6.4870400000000004</v>
      </c>
      <c r="F1984" s="59">
        <v>6.9457700000000004</v>
      </c>
      <c r="G1984" s="56">
        <v>1551.39</v>
      </c>
      <c r="H1984" s="56">
        <v>1533.29</v>
      </c>
      <c r="I1984" s="58">
        <v>0.64007800000000004</v>
      </c>
      <c r="J1984" s="57">
        <v>0.620166</v>
      </c>
      <c r="K1984" s="56"/>
      <c r="L1984" s="56" t="s">
        <v>488</v>
      </c>
    </row>
    <row r="1985" spans="2:12" x14ac:dyDescent="0.2">
      <c r="B1985" s="62" t="s">
        <v>3953</v>
      </c>
      <c r="C1985" s="61" t="s">
        <v>1006</v>
      </c>
      <c r="D1985" s="60">
        <v>1.01031</v>
      </c>
      <c r="E1985" s="59">
        <v>6.7428299999999997</v>
      </c>
      <c r="F1985" s="59">
        <v>7.25204</v>
      </c>
      <c r="G1985" s="56">
        <v>1522.01</v>
      </c>
      <c r="H1985" s="56">
        <v>1506.48</v>
      </c>
      <c r="I1985" s="58">
        <v>0.64053300000000002</v>
      </c>
      <c r="J1985" s="57">
        <v>0.62203200000000003</v>
      </c>
      <c r="K1985" s="56"/>
      <c r="L1985" s="56" t="s">
        <v>488</v>
      </c>
    </row>
    <row r="1986" spans="2:12" x14ac:dyDescent="0.2">
      <c r="B1986" s="62" t="s">
        <v>3952</v>
      </c>
      <c r="C1986" s="61" t="s">
        <v>1006</v>
      </c>
      <c r="D1986" s="60">
        <v>1.0271699999999999</v>
      </c>
      <c r="E1986" s="59">
        <v>6.6722000000000001</v>
      </c>
      <c r="F1986" s="59">
        <v>7.0862299999999996</v>
      </c>
      <c r="G1986" s="56">
        <v>1457.77</v>
      </c>
      <c r="H1986" s="56">
        <v>1419.21</v>
      </c>
      <c r="I1986" s="58">
        <v>0.61789700000000003</v>
      </c>
      <c r="J1986" s="57">
        <v>0.60516300000000001</v>
      </c>
      <c r="K1986" s="56"/>
      <c r="L1986" s="56" t="s">
        <v>488</v>
      </c>
    </row>
    <row r="1987" spans="2:12" x14ac:dyDescent="0.2">
      <c r="B1987" s="62" t="s">
        <v>3951</v>
      </c>
      <c r="C1987" s="61" t="s">
        <v>1006</v>
      </c>
      <c r="D1987" s="60">
        <v>1.0155700000000001</v>
      </c>
      <c r="E1987" s="59">
        <v>6.6739800000000002</v>
      </c>
      <c r="F1987" s="59">
        <v>7.1405099999999999</v>
      </c>
      <c r="G1987" s="56">
        <v>1476.14</v>
      </c>
      <c r="H1987" s="56">
        <v>1453.52</v>
      </c>
      <c r="I1987" s="58">
        <v>0.63098900000000002</v>
      </c>
      <c r="J1987" s="57">
        <v>0.61654699999999996</v>
      </c>
      <c r="K1987" s="56"/>
      <c r="L1987" s="56" t="s">
        <v>488</v>
      </c>
    </row>
    <row r="1988" spans="2:12" x14ac:dyDescent="0.2">
      <c r="B1988" s="62" t="s">
        <v>3950</v>
      </c>
      <c r="C1988" s="61" t="s">
        <v>1006</v>
      </c>
      <c r="D1988" s="60">
        <v>1.02216</v>
      </c>
      <c r="E1988" s="59">
        <v>6.1048099999999996</v>
      </c>
      <c r="F1988" s="59">
        <v>6.5857299999999999</v>
      </c>
      <c r="G1988" s="56">
        <v>1551.13</v>
      </c>
      <c r="H1988" s="56">
        <v>1517.5</v>
      </c>
      <c r="I1988" s="58">
        <v>0.62646400000000002</v>
      </c>
      <c r="J1988" s="57">
        <v>0.60926899999999995</v>
      </c>
      <c r="K1988" s="56"/>
      <c r="L1988" s="56" t="s">
        <v>488</v>
      </c>
    </row>
    <row r="1989" spans="2:12" x14ac:dyDescent="0.2">
      <c r="B1989" s="62" t="s">
        <v>3949</v>
      </c>
      <c r="C1989" s="61" t="s">
        <v>1006</v>
      </c>
      <c r="D1989" s="60">
        <v>1.00152</v>
      </c>
      <c r="E1989" s="59">
        <v>6.4117600000000001</v>
      </c>
      <c r="F1989" s="59">
        <v>6.8707099999999999</v>
      </c>
      <c r="G1989" s="56">
        <v>1565.57</v>
      </c>
      <c r="H1989" s="56">
        <v>1563.29</v>
      </c>
      <c r="I1989" s="58">
        <v>0.63937200000000005</v>
      </c>
      <c r="J1989" s="57">
        <v>0.629606</v>
      </c>
      <c r="K1989" s="56"/>
      <c r="L1989" s="56" t="s">
        <v>488</v>
      </c>
    </row>
    <row r="1990" spans="2:12" x14ac:dyDescent="0.2">
      <c r="B1990" s="62" t="s">
        <v>3948</v>
      </c>
      <c r="C1990" s="61" t="s">
        <v>1006</v>
      </c>
      <c r="D1990" s="60">
        <v>1.00146</v>
      </c>
      <c r="E1990" s="59">
        <v>6.6128</v>
      </c>
      <c r="F1990" s="59">
        <v>7.0850799999999996</v>
      </c>
      <c r="G1990" s="56">
        <v>1556.87</v>
      </c>
      <c r="H1990" s="56">
        <v>1554.51</v>
      </c>
      <c r="I1990" s="58">
        <v>0.63546199999999997</v>
      </c>
      <c r="J1990" s="57">
        <v>0.62785000000000002</v>
      </c>
      <c r="K1990" s="56"/>
      <c r="L1990" s="56" t="s">
        <v>488</v>
      </c>
    </row>
    <row r="1991" spans="2:12" x14ac:dyDescent="0.2">
      <c r="B1991" s="62" t="s">
        <v>3947</v>
      </c>
      <c r="C1991" s="61" t="s">
        <v>1604</v>
      </c>
      <c r="D1991" s="60">
        <v>2.03817</v>
      </c>
      <c r="E1991" s="59">
        <v>2.8241000000000001</v>
      </c>
      <c r="F1991" s="59">
        <v>4.0610799999999996</v>
      </c>
      <c r="G1991" s="56">
        <v>0</v>
      </c>
      <c r="H1991" s="56">
        <v>0</v>
      </c>
      <c r="I1991" s="58">
        <v>0.20224300000000001</v>
      </c>
      <c r="J1991" s="57">
        <v>0.20083899999999999</v>
      </c>
      <c r="K1991" s="56"/>
      <c r="L1991" s="56" t="s">
        <v>488</v>
      </c>
    </row>
    <row r="1992" spans="2:12" x14ac:dyDescent="0.2">
      <c r="B1992" s="62" t="s">
        <v>3946</v>
      </c>
      <c r="C1992" s="61" t="s">
        <v>499</v>
      </c>
      <c r="D1992" s="60">
        <v>1.0896999999999999</v>
      </c>
      <c r="E1992" s="59">
        <v>3.88626</v>
      </c>
      <c r="F1992" s="59">
        <v>6.1703799999999998</v>
      </c>
      <c r="G1992" s="56">
        <v>791.85400000000004</v>
      </c>
      <c r="H1992" s="56">
        <v>726.67</v>
      </c>
      <c r="I1992" s="58">
        <v>0.45079999999999998</v>
      </c>
      <c r="J1992" s="57">
        <v>0.50957300000000005</v>
      </c>
      <c r="K1992" s="56"/>
      <c r="L1992" s="56" t="s">
        <v>488</v>
      </c>
    </row>
    <row r="1993" spans="2:12" x14ac:dyDescent="0.2">
      <c r="B1993" s="62" t="s">
        <v>3945</v>
      </c>
      <c r="C1993" s="61" t="s">
        <v>499</v>
      </c>
      <c r="D1993" s="60">
        <v>1.23753</v>
      </c>
      <c r="E1993" s="59">
        <v>3.9268999999999998</v>
      </c>
      <c r="F1993" s="59">
        <v>4.7092799999999997</v>
      </c>
      <c r="G1993" s="56">
        <v>234.393</v>
      </c>
      <c r="H1993" s="56">
        <v>189.404</v>
      </c>
      <c r="I1993" s="58">
        <v>0.33811200000000002</v>
      </c>
      <c r="J1993" s="57">
        <v>0.39506200000000002</v>
      </c>
      <c r="K1993" s="56"/>
      <c r="L1993" s="56" t="s">
        <v>488</v>
      </c>
    </row>
    <row r="1994" spans="2:12" x14ac:dyDescent="0.2">
      <c r="B1994" s="62" t="s">
        <v>3944</v>
      </c>
      <c r="C1994" s="61" t="s">
        <v>499</v>
      </c>
      <c r="D1994" s="60">
        <v>1.1693899999999999</v>
      </c>
      <c r="E1994" s="59">
        <v>3.77257</v>
      </c>
      <c r="F1994" s="59">
        <v>5.4913100000000004</v>
      </c>
      <c r="G1994" s="56">
        <v>545.12400000000002</v>
      </c>
      <c r="H1994" s="56">
        <v>466.161</v>
      </c>
      <c r="I1994" s="58">
        <v>0.48011999999999999</v>
      </c>
      <c r="J1994" s="57">
        <v>0.47004499999999999</v>
      </c>
      <c r="K1994" s="56"/>
      <c r="L1994" s="56" t="s">
        <v>488</v>
      </c>
    </row>
    <row r="1995" spans="2:12" x14ac:dyDescent="0.2">
      <c r="B1995" s="62" t="s">
        <v>3943</v>
      </c>
      <c r="C1995" s="61" t="s">
        <v>499</v>
      </c>
      <c r="D1995" s="60">
        <v>1.15055</v>
      </c>
      <c r="E1995" s="59">
        <v>4.1752599999999997</v>
      </c>
      <c r="F1995" s="59">
        <v>5.4241400000000004</v>
      </c>
      <c r="G1995" s="56">
        <v>1189.92</v>
      </c>
      <c r="H1995" s="56">
        <v>1034.22</v>
      </c>
      <c r="I1995" s="58">
        <v>0.51677200000000001</v>
      </c>
      <c r="J1995" s="57">
        <v>0.48473899999999998</v>
      </c>
      <c r="K1995" s="56"/>
      <c r="L1995" s="56" t="s">
        <v>488</v>
      </c>
    </row>
    <row r="1996" spans="2:12" x14ac:dyDescent="0.2">
      <c r="B1996" s="62" t="s">
        <v>3942</v>
      </c>
      <c r="C1996" s="61" t="s">
        <v>510</v>
      </c>
      <c r="D1996" s="60">
        <v>0.92525900000000005</v>
      </c>
      <c r="E1996" s="59">
        <v>5.1402700000000001</v>
      </c>
      <c r="F1996" s="59">
        <v>7.4772100000000004</v>
      </c>
      <c r="G1996" s="56">
        <v>1322.85</v>
      </c>
      <c r="H1996" s="56">
        <v>1429.71</v>
      </c>
      <c r="I1996" s="58">
        <v>0.56428299999999998</v>
      </c>
      <c r="J1996" s="57">
        <v>0.632185</v>
      </c>
      <c r="K1996" s="56"/>
      <c r="L1996" s="56" t="s">
        <v>488</v>
      </c>
    </row>
    <row r="1997" spans="2:12" x14ac:dyDescent="0.2">
      <c r="B1997" s="62" t="s">
        <v>3941</v>
      </c>
      <c r="C1997" s="61" t="s">
        <v>510</v>
      </c>
      <c r="D1997" s="60">
        <v>1.0758300000000001</v>
      </c>
      <c r="E1997" s="59">
        <v>3.20621</v>
      </c>
      <c r="F1997" s="59">
        <v>6.5952999999999999</v>
      </c>
      <c r="G1997" s="56">
        <v>0</v>
      </c>
      <c r="H1997" s="56">
        <v>0</v>
      </c>
      <c r="I1997" s="58">
        <v>0.46269700000000002</v>
      </c>
      <c r="J1997" s="57">
        <v>0.48894300000000002</v>
      </c>
      <c r="K1997" s="56"/>
      <c r="L1997" s="56" t="s">
        <v>488</v>
      </c>
    </row>
    <row r="1998" spans="2:12" x14ac:dyDescent="0.2">
      <c r="B1998" s="62" t="s">
        <v>3940</v>
      </c>
      <c r="C1998" s="61" t="s">
        <v>1184</v>
      </c>
      <c r="D1998" s="60">
        <v>1.02061</v>
      </c>
      <c r="E1998" s="59">
        <v>5.2438000000000002</v>
      </c>
      <c r="F1998" s="59">
        <v>7.4889799999999997</v>
      </c>
      <c r="G1998" s="56">
        <v>749.08699999999999</v>
      </c>
      <c r="H1998" s="56">
        <v>733.96</v>
      </c>
      <c r="I1998" s="58">
        <v>0.63324400000000003</v>
      </c>
      <c r="J1998" s="57">
        <v>0.60651299999999997</v>
      </c>
      <c r="K1998" s="56"/>
      <c r="L1998" s="56" t="s">
        <v>488</v>
      </c>
    </row>
    <row r="1999" spans="2:12" x14ac:dyDescent="0.2">
      <c r="B1999" s="62" t="s">
        <v>3939</v>
      </c>
      <c r="C1999" s="61" t="s">
        <v>625</v>
      </c>
      <c r="D1999" s="60">
        <v>2.16371</v>
      </c>
      <c r="E1999" s="59">
        <v>3.1752500000000001</v>
      </c>
      <c r="F1999" s="59">
        <v>3.4191199999999999</v>
      </c>
      <c r="G1999" s="56">
        <v>0</v>
      </c>
      <c r="H1999" s="56">
        <v>0</v>
      </c>
      <c r="I1999" s="58">
        <v>7.3371500000000006E-2</v>
      </c>
      <c r="J1999" s="57">
        <v>0.15961700000000001</v>
      </c>
      <c r="K1999" s="56"/>
      <c r="L1999" s="56" t="s">
        <v>488</v>
      </c>
    </row>
    <row r="2000" spans="2:12" x14ac:dyDescent="0.2">
      <c r="B2000" s="62" t="s">
        <v>3938</v>
      </c>
      <c r="C2000" s="61" t="s">
        <v>499</v>
      </c>
      <c r="D2000" s="60">
        <v>0.63325399999999998</v>
      </c>
      <c r="E2000" s="59">
        <v>10.801360000000001</v>
      </c>
      <c r="F2000" s="59">
        <v>12.02422</v>
      </c>
      <c r="G2000" s="56">
        <v>1886.95</v>
      </c>
      <c r="H2000" s="56">
        <v>2974.18</v>
      </c>
      <c r="I2000" s="58">
        <v>0.77467799999999998</v>
      </c>
      <c r="J2000" s="57">
        <v>1.1914899999999999</v>
      </c>
      <c r="K2000" s="56"/>
      <c r="L2000" s="56" t="s">
        <v>730</v>
      </c>
    </row>
    <row r="2001" spans="2:12" x14ac:dyDescent="0.2">
      <c r="B2001" s="62" t="s">
        <v>3937</v>
      </c>
      <c r="C2001" s="61" t="s">
        <v>1637</v>
      </c>
      <c r="D2001" s="60">
        <v>1.5948199999999999</v>
      </c>
      <c r="E2001" s="59">
        <v>4.8652600000000001</v>
      </c>
      <c r="F2001" s="59">
        <v>7.4295900000000001</v>
      </c>
      <c r="G2001" s="56">
        <v>879.32600000000002</v>
      </c>
      <c r="H2001" s="56">
        <v>551.36199999999997</v>
      </c>
      <c r="I2001" s="58">
        <v>0.32400200000000001</v>
      </c>
      <c r="J2001" s="57">
        <v>0.327349</v>
      </c>
      <c r="K2001" s="56"/>
      <c r="L2001" s="56" t="s">
        <v>488</v>
      </c>
    </row>
    <row r="2002" spans="2:12" x14ac:dyDescent="0.2">
      <c r="B2002" s="62" t="s">
        <v>3936</v>
      </c>
      <c r="C2002" s="61" t="s">
        <v>499</v>
      </c>
      <c r="D2002" s="60">
        <v>0.95415899999999998</v>
      </c>
      <c r="E2002" s="59">
        <v>6.5382600000000002</v>
      </c>
      <c r="F2002" s="59">
        <v>8.4495400000000007</v>
      </c>
      <c r="G2002" s="56">
        <v>1616.87</v>
      </c>
      <c r="H2002" s="56">
        <v>1694.55</v>
      </c>
      <c r="I2002" s="58">
        <v>0.57774599999999998</v>
      </c>
      <c r="J2002" s="57">
        <v>0.66862900000000003</v>
      </c>
      <c r="K2002" s="56"/>
      <c r="L2002" s="56" t="s">
        <v>488</v>
      </c>
    </row>
    <row r="2003" spans="2:12" x14ac:dyDescent="0.2">
      <c r="B2003" s="62" t="s">
        <v>3935</v>
      </c>
      <c r="C2003" s="61" t="s">
        <v>499</v>
      </c>
      <c r="D2003" s="60">
        <v>0.40506799999999998</v>
      </c>
      <c r="E2003" s="59">
        <v>7.7475399999999999</v>
      </c>
      <c r="F2003" s="59">
        <v>20.516680000000001</v>
      </c>
      <c r="G2003" s="56">
        <v>1887.91</v>
      </c>
      <c r="H2003" s="56">
        <v>4660.72</v>
      </c>
      <c r="I2003" s="58">
        <v>0.86038599999999998</v>
      </c>
      <c r="J2003" s="57">
        <v>2.0352800000000002</v>
      </c>
      <c r="K2003" s="56" t="s">
        <v>1816</v>
      </c>
      <c r="L2003" s="56" t="s">
        <v>563</v>
      </c>
    </row>
    <row r="2004" spans="2:12" x14ac:dyDescent="0.2">
      <c r="B2004" s="62" t="s">
        <v>3934</v>
      </c>
      <c r="C2004" s="61" t="s">
        <v>526</v>
      </c>
      <c r="D2004" s="60">
        <v>1.3610500000000001</v>
      </c>
      <c r="E2004" s="59">
        <v>2.4399099999999998</v>
      </c>
      <c r="F2004" s="59">
        <v>5.1038100000000002</v>
      </c>
      <c r="G2004" s="56">
        <v>0</v>
      </c>
      <c r="H2004" s="56">
        <v>0</v>
      </c>
      <c r="I2004" s="58">
        <v>0.21681</v>
      </c>
      <c r="J2004" s="57">
        <v>0.34953200000000001</v>
      </c>
      <c r="K2004" s="56"/>
      <c r="L2004" s="56" t="s">
        <v>624</v>
      </c>
    </row>
    <row r="2005" spans="2:12" x14ac:dyDescent="0.2">
      <c r="B2005" s="62" t="s">
        <v>3933</v>
      </c>
      <c r="C2005" s="61" t="s">
        <v>526</v>
      </c>
      <c r="D2005" s="60">
        <v>0.89401900000000001</v>
      </c>
      <c r="E2005" s="59">
        <v>7.0156200000000002</v>
      </c>
      <c r="F2005" s="59">
        <v>9.1569000000000003</v>
      </c>
      <c r="G2005" s="56">
        <v>1794.56</v>
      </c>
      <c r="H2005" s="56">
        <v>2007.29</v>
      </c>
      <c r="I2005" s="58">
        <v>0.65363000000000004</v>
      </c>
      <c r="J2005" s="57">
        <v>0.75454900000000003</v>
      </c>
      <c r="K2005" s="56"/>
      <c r="L2005" s="56" t="s">
        <v>624</v>
      </c>
    </row>
    <row r="2006" spans="2:12" x14ac:dyDescent="0.2">
      <c r="B2006" s="62" t="s">
        <v>3932</v>
      </c>
      <c r="C2006" s="61" t="s">
        <v>526</v>
      </c>
      <c r="D2006" s="60">
        <v>1.3970100000000001</v>
      </c>
      <c r="E2006" s="59">
        <v>4.2651199999999996</v>
      </c>
      <c r="F2006" s="59">
        <v>6.2335900000000004</v>
      </c>
      <c r="G2006" s="56">
        <v>899.30200000000002</v>
      </c>
      <c r="H2006" s="56">
        <v>643.73500000000001</v>
      </c>
      <c r="I2006" s="58">
        <v>0.40816400000000003</v>
      </c>
      <c r="J2006" s="57">
        <v>0.36789699999999997</v>
      </c>
      <c r="K2006" s="56"/>
      <c r="L2006" s="56" t="s">
        <v>488</v>
      </c>
    </row>
    <row r="2007" spans="2:12" x14ac:dyDescent="0.2">
      <c r="B2007" s="62" t="s">
        <v>3931</v>
      </c>
      <c r="C2007" s="61" t="s">
        <v>1174</v>
      </c>
      <c r="D2007" s="60">
        <v>0.63740300000000005</v>
      </c>
      <c r="E2007" s="59">
        <v>4.7535400000000001</v>
      </c>
      <c r="F2007" s="59">
        <v>14.227359999999999</v>
      </c>
      <c r="G2007" s="56">
        <v>1136.18</v>
      </c>
      <c r="H2007" s="56">
        <v>1782.51</v>
      </c>
      <c r="I2007" s="58">
        <v>0.63398200000000005</v>
      </c>
      <c r="J2007" s="57">
        <v>1.0610200000000001</v>
      </c>
      <c r="K2007" s="56"/>
      <c r="L2007" s="56" t="s">
        <v>488</v>
      </c>
    </row>
    <row r="2008" spans="2:12" x14ac:dyDescent="0.2">
      <c r="B2008" s="62" t="s">
        <v>3930</v>
      </c>
      <c r="C2008" s="61" t="s">
        <v>3929</v>
      </c>
      <c r="D2008" s="60">
        <v>1.72919</v>
      </c>
      <c r="E2008" s="59">
        <v>2.6097299999999999</v>
      </c>
      <c r="F2008" s="59">
        <v>3.1915100000000001</v>
      </c>
      <c r="G2008" s="56">
        <v>0</v>
      </c>
      <c r="H2008" s="56">
        <v>0</v>
      </c>
      <c r="I2008" s="58">
        <v>7.9612699999999995E-2</v>
      </c>
      <c r="J2008" s="57">
        <v>0.22340499999999999</v>
      </c>
      <c r="K2008" s="56"/>
      <c r="L2008" s="56" t="s">
        <v>488</v>
      </c>
    </row>
    <row r="2009" spans="2:12" x14ac:dyDescent="0.2">
      <c r="B2009" s="62" t="s">
        <v>3928</v>
      </c>
      <c r="C2009" s="61" t="s">
        <v>1629</v>
      </c>
      <c r="D2009" s="60">
        <v>1.7075400000000001</v>
      </c>
      <c r="E2009" s="59">
        <v>2.6127199999999999</v>
      </c>
      <c r="F2009" s="59">
        <v>3.24891</v>
      </c>
      <c r="G2009" s="56">
        <v>0</v>
      </c>
      <c r="H2009" s="56">
        <v>0</v>
      </c>
      <c r="I2009" s="58">
        <v>8.2026600000000005E-2</v>
      </c>
      <c r="J2009" s="57">
        <v>0.22709599999999999</v>
      </c>
      <c r="K2009" s="56"/>
      <c r="L2009" s="56" t="s">
        <v>488</v>
      </c>
    </row>
    <row r="2010" spans="2:12" x14ac:dyDescent="0.2">
      <c r="B2010" s="62" t="s">
        <v>3927</v>
      </c>
      <c r="C2010" s="61" t="s">
        <v>535</v>
      </c>
      <c r="D2010" s="60">
        <v>1.1063400000000001</v>
      </c>
      <c r="E2010" s="59">
        <v>4.4278199999999996</v>
      </c>
      <c r="F2010" s="59">
        <v>6.5182399999999996</v>
      </c>
      <c r="G2010" s="56">
        <v>2078.91</v>
      </c>
      <c r="H2010" s="56">
        <v>1879.09</v>
      </c>
      <c r="I2010" s="58">
        <v>0.66750600000000004</v>
      </c>
      <c r="J2010" s="57">
        <v>0.57591599999999998</v>
      </c>
      <c r="K2010" s="56"/>
      <c r="L2010" s="56" t="s">
        <v>488</v>
      </c>
    </row>
    <row r="2011" spans="2:12" x14ac:dyDescent="0.2">
      <c r="B2011" s="62" t="s">
        <v>3926</v>
      </c>
      <c r="C2011" s="61" t="s">
        <v>550</v>
      </c>
      <c r="D2011" s="60">
        <v>1.8393600000000001</v>
      </c>
      <c r="E2011" s="59">
        <v>3.5929700000000002</v>
      </c>
      <c r="F2011" s="59">
        <v>3.9737</v>
      </c>
      <c r="G2011" s="56">
        <v>0</v>
      </c>
      <c r="H2011" s="56">
        <v>0</v>
      </c>
      <c r="I2011" s="58">
        <v>0.19503400000000001</v>
      </c>
      <c r="J2011" s="57">
        <v>0.22246299999999999</v>
      </c>
      <c r="K2011" s="56"/>
      <c r="L2011" s="56" t="s">
        <v>488</v>
      </c>
    </row>
    <row r="2012" spans="2:12" x14ac:dyDescent="0.2">
      <c r="B2012" s="62" t="s">
        <v>3925</v>
      </c>
      <c r="C2012" s="61" t="s">
        <v>550</v>
      </c>
      <c r="D2012" s="60">
        <v>1.0689200000000001</v>
      </c>
      <c r="E2012" s="59">
        <v>4.5457099999999997</v>
      </c>
      <c r="F2012" s="59">
        <v>9.41174</v>
      </c>
      <c r="G2012" s="56">
        <v>997.23599999999999</v>
      </c>
      <c r="H2012" s="56">
        <v>932.93499999999995</v>
      </c>
      <c r="I2012" s="58">
        <v>0.49074299999999998</v>
      </c>
      <c r="J2012" s="57">
        <v>0.52072399999999996</v>
      </c>
      <c r="K2012" s="56"/>
      <c r="L2012" s="56" t="s">
        <v>492</v>
      </c>
    </row>
    <row r="2013" spans="2:12" x14ac:dyDescent="0.2">
      <c r="B2013" s="62" t="s">
        <v>3924</v>
      </c>
      <c r="C2013" s="61" t="s">
        <v>550</v>
      </c>
      <c r="D2013" s="60">
        <v>2.09667</v>
      </c>
      <c r="E2013" s="59">
        <v>3.1482700000000001</v>
      </c>
      <c r="F2013" s="59">
        <v>4.4569999999999999</v>
      </c>
      <c r="G2013" s="56">
        <v>0</v>
      </c>
      <c r="H2013" s="56">
        <v>0</v>
      </c>
      <c r="I2013" s="58">
        <v>0.31852000000000003</v>
      </c>
      <c r="J2013" s="57">
        <v>0.22306699999999999</v>
      </c>
      <c r="K2013" s="56"/>
      <c r="L2013" s="56" t="s">
        <v>488</v>
      </c>
    </row>
    <row r="2014" spans="2:12" x14ac:dyDescent="0.2">
      <c r="B2014" s="62" t="s">
        <v>3923</v>
      </c>
      <c r="C2014" s="61" t="s">
        <v>523</v>
      </c>
      <c r="D2014" s="60">
        <v>0.57064899999999996</v>
      </c>
      <c r="E2014" s="59">
        <v>7.5354299999999999</v>
      </c>
      <c r="F2014" s="59">
        <v>24.100390000000001</v>
      </c>
      <c r="G2014" s="56">
        <v>1848.38</v>
      </c>
      <c r="H2014" s="56">
        <v>3239.08</v>
      </c>
      <c r="I2014" s="58">
        <v>0.80139499999999997</v>
      </c>
      <c r="J2014" s="57">
        <v>1.3797200000000001</v>
      </c>
      <c r="K2014" s="56"/>
      <c r="L2014" s="56" t="s">
        <v>488</v>
      </c>
    </row>
    <row r="2015" spans="2:12" x14ac:dyDescent="0.2">
      <c r="B2015" s="62" t="s">
        <v>3922</v>
      </c>
      <c r="C2015" s="61" t="s">
        <v>523</v>
      </c>
      <c r="D2015" s="60">
        <v>0.54542000000000002</v>
      </c>
      <c r="E2015" s="59">
        <v>6.7525899999999996</v>
      </c>
      <c r="F2015" s="59">
        <v>23.874389999999998</v>
      </c>
      <c r="G2015" s="56">
        <v>1641.93</v>
      </c>
      <c r="H2015" s="56">
        <v>3010.4</v>
      </c>
      <c r="I2015" s="58">
        <v>0.80632700000000002</v>
      </c>
      <c r="J2015" s="57">
        <v>1.4590399999999999</v>
      </c>
      <c r="K2015" s="56"/>
      <c r="L2015" s="56" t="s">
        <v>488</v>
      </c>
    </row>
    <row r="2016" spans="2:12" x14ac:dyDescent="0.2">
      <c r="B2016" s="62" t="s">
        <v>3921</v>
      </c>
      <c r="C2016" s="61" t="s">
        <v>1986</v>
      </c>
      <c r="D2016" s="60">
        <v>1.00603</v>
      </c>
      <c r="E2016" s="59">
        <v>10.513210000000001</v>
      </c>
      <c r="F2016" s="59">
        <v>18.94727</v>
      </c>
      <c r="G2016" s="56">
        <v>1777.19</v>
      </c>
      <c r="H2016" s="56">
        <v>1766.54</v>
      </c>
      <c r="I2016" s="58">
        <v>0.77594200000000002</v>
      </c>
      <c r="J2016" s="57">
        <v>0.78932500000000005</v>
      </c>
      <c r="K2016" s="56"/>
      <c r="L2016" s="56" t="s">
        <v>488</v>
      </c>
    </row>
    <row r="2017" spans="2:12" x14ac:dyDescent="0.2">
      <c r="B2017" s="62" t="s">
        <v>3920</v>
      </c>
      <c r="C2017" s="61" t="s">
        <v>1986</v>
      </c>
      <c r="D2017" s="60">
        <v>1.42425</v>
      </c>
      <c r="E2017" s="59">
        <v>7.7214299999999998</v>
      </c>
      <c r="F2017" s="59">
        <v>9.7262299999999993</v>
      </c>
      <c r="G2017" s="56">
        <v>2081.84</v>
      </c>
      <c r="H2017" s="56">
        <v>1461.72</v>
      </c>
      <c r="I2017" s="58">
        <v>0.703349</v>
      </c>
      <c r="J2017" s="57">
        <v>0.50501200000000002</v>
      </c>
      <c r="K2017" s="56"/>
      <c r="L2017" s="56" t="s">
        <v>488</v>
      </c>
    </row>
    <row r="2018" spans="2:12" x14ac:dyDescent="0.2">
      <c r="B2018" s="62" t="s">
        <v>3919</v>
      </c>
      <c r="C2018" s="61" t="s">
        <v>502</v>
      </c>
      <c r="D2018" s="60">
        <v>1.2943100000000001</v>
      </c>
      <c r="E2018" s="59">
        <v>4.6414900000000001</v>
      </c>
      <c r="F2018" s="59">
        <v>5.5790199999999999</v>
      </c>
      <c r="G2018" s="56">
        <v>1004.24</v>
      </c>
      <c r="H2018" s="56">
        <v>775.88400000000001</v>
      </c>
      <c r="I2018" s="58">
        <v>0.38207200000000002</v>
      </c>
      <c r="J2018" s="57">
        <v>0.416246</v>
      </c>
      <c r="K2018" s="56"/>
      <c r="L2018" s="56" t="s">
        <v>488</v>
      </c>
    </row>
    <row r="2019" spans="2:12" x14ac:dyDescent="0.2">
      <c r="B2019" s="62" t="s">
        <v>3918</v>
      </c>
      <c r="C2019" s="61" t="s">
        <v>550</v>
      </c>
      <c r="D2019" s="60">
        <v>2.5021200000000001</v>
      </c>
      <c r="E2019" s="59">
        <v>3.2896899999999998</v>
      </c>
      <c r="F2019" s="59">
        <v>6.0127100000000002</v>
      </c>
      <c r="G2019" s="56">
        <v>0</v>
      </c>
      <c r="H2019" s="56">
        <v>0</v>
      </c>
      <c r="I2019" s="58">
        <v>0.231299</v>
      </c>
      <c r="J2019" s="57">
        <v>0.12907399999999999</v>
      </c>
      <c r="K2019" s="56"/>
      <c r="L2019" s="56" t="s">
        <v>492</v>
      </c>
    </row>
    <row r="2020" spans="2:12" x14ac:dyDescent="0.2">
      <c r="B2020" s="62" t="s">
        <v>3917</v>
      </c>
      <c r="C2020" s="61" t="s">
        <v>1380</v>
      </c>
      <c r="D2020" s="60">
        <v>1.7146300000000001</v>
      </c>
      <c r="E2020" s="59">
        <v>2.6615700000000002</v>
      </c>
      <c r="F2020" s="59">
        <v>3.4986000000000002</v>
      </c>
      <c r="G2020" s="56">
        <v>0</v>
      </c>
      <c r="H2020" s="56">
        <v>0</v>
      </c>
      <c r="I2020" s="58">
        <v>5.5940999999999998E-2</v>
      </c>
      <c r="J2020" s="57">
        <v>0.19395299999999999</v>
      </c>
      <c r="K2020" s="56"/>
      <c r="L2020" s="56" t="s">
        <v>488</v>
      </c>
    </row>
    <row r="2021" spans="2:12" x14ac:dyDescent="0.2">
      <c r="B2021" s="62" t="s">
        <v>3916</v>
      </c>
      <c r="C2021" s="61" t="s">
        <v>533</v>
      </c>
      <c r="D2021" s="60">
        <v>1.33561</v>
      </c>
      <c r="E2021" s="59">
        <v>3.2531300000000001</v>
      </c>
      <c r="F2021" s="59">
        <v>7.7206599999999996</v>
      </c>
      <c r="G2021" s="56">
        <v>0</v>
      </c>
      <c r="H2021" s="56">
        <v>0</v>
      </c>
      <c r="I2021" s="58">
        <v>0.52108699999999997</v>
      </c>
      <c r="J2021" s="57">
        <v>0.430149</v>
      </c>
      <c r="K2021" s="56"/>
      <c r="L2021" s="56" t="s">
        <v>488</v>
      </c>
    </row>
    <row r="2022" spans="2:12" x14ac:dyDescent="0.2">
      <c r="B2022" s="62" t="s">
        <v>3915</v>
      </c>
      <c r="C2022" s="61" t="s">
        <v>499</v>
      </c>
      <c r="D2022" s="60">
        <v>1.2487999999999999</v>
      </c>
      <c r="E2022" s="59">
        <v>3.98828</v>
      </c>
      <c r="F2022" s="59">
        <v>4.7837399999999999</v>
      </c>
      <c r="G2022" s="56">
        <v>699.19100000000003</v>
      </c>
      <c r="H2022" s="56">
        <v>559.88900000000001</v>
      </c>
      <c r="I2022" s="58">
        <v>0.40754800000000002</v>
      </c>
      <c r="J2022" s="57">
        <v>0.41573500000000002</v>
      </c>
      <c r="K2022" s="56"/>
      <c r="L2022" s="56" t="s">
        <v>488</v>
      </c>
    </row>
    <row r="2023" spans="2:12" x14ac:dyDescent="0.2">
      <c r="B2023" s="62" t="s">
        <v>3914</v>
      </c>
      <c r="C2023" s="61" t="s">
        <v>499</v>
      </c>
      <c r="D2023" s="60">
        <v>1.4956700000000001</v>
      </c>
      <c r="E2023" s="59">
        <v>2.7237200000000001</v>
      </c>
      <c r="F2023" s="59">
        <v>3.2555700000000001</v>
      </c>
      <c r="G2023" s="56">
        <v>0</v>
      </c>
      <c r="H2023" s="56">
        <v>0</v>
      </c>
      <c r="I2023" s="58">
        <v>0.16195200000000001</v>
      </c>
      <c r="J2023" s="57">
        <v>0.266069</v>
      </c>
      <c r="K2023" s="56"/>
      <c r="L2023" s="56" t="s">
        <v>488</v>
      </c>
    </row>
    <row r="2024" spans="2:12" x14ac:dyDescent="0.2">
      <c r="B2024" s="62" t="s">
        <v>3913</v>
      </c>
      <c r="C2024" s="61" t="s">
        <v>502</v>
      </c>
      <c r="D2024" s="60">
        <v>0.93953399999999998</v>
      </c>
      <c r="E2024" s="59">
        <v>4.9727499999999996</v>
      </c>
      <c r="F2024" s="59">
        <v>7.2798600000000002</v>
      </c>
      <c r="G2024" s="56">
        <v>1849.35</v>
      </c>
      <c r="H2024" s="56">
        <v>1968.36</v>
      </c>
      <c r="I2024" s="58">
        <v>0.65490199999999998</v>
      </c>
      <c r="J2024" s="57">
        <v>0.70499500000000004</v>
      </c>
      <c r="K2024" s="56"/>
      <c r="L2024" s="56" t="s">
        <v>488</v>
      </c>
    </row>
    <row r="2025" spans="2:12" x14ac:dyDescent="0.2">
      <c r="B2025" s="62" t="s">
        <v>3912</v>
      </c>
      <c r="C2025" s="61" t="s">
        <v>548</v>
      </c>
      <c r="D2025" s="60">
        <v>2.0201799999999999</v>
      </c>
      <c r="E2025" s="59">
        <v>3.93445</v>
      </c>
      <c r="F2025" s="59">
        <v>5.0777700000000001</v>
      </c>
      <c r="G2025" s="56">
        <v>444.89800000000002</v>
      </c>
      <c r="H2025" s="56">
        <v>220.22800000000001</v>
      </c>
      <c r="I2025" s="58">
        <v>0.45402799999999999</v>
      </c>
      <c r="J2025" s="57">
        <v>0.20635300000000001</v>
      </c>
      <c r="K2025" s="56"/>
      <c r="L2025" s="56" t="s">
        <v>488</v>
      </c>
    </row>
    <row r="2026" spans="2:12" x14ac:dyDescent="0.2">
      <c r="B2026" s="62" t="s">
        <v>3911</v>
      </c>
      <c r="C2026" s="61" t="s">
        <v>625</v>
      </c>
      <c r="D2026" s="60">
        <v>1.1140000000000001</v>
      </c>
      <c r="E2026" s="59">
        <v>3.8926400000000001</v>
      </c>
      <c r="F2026" s="59">
        <v>5.4801399999999996</v>
      </c>
      <c r="G2026" s="56">
        <v>992.29</v>
      </c>
      <c r="H2026" s="56">
        <v>890.74199999999996</v>
      </c>
      <c r="I2026" s="58">
        <v>0.48353400000000002</v>
      </c>
      <c r="J2026" s="57">
        <v>0.52824400000000005</v>
      </c>
      <c r="K2026" s="56"/>
      <c r="L2026" s="56" t="s">
        <v>488</v>
      </c>
    </row>
    <row r="2027" spans="2:12" x14ac:dyDescent="0.2">
      <c r="B2027" s="62" t="s">
        <v>3910</v>
      </c>
      <c r="C2027" s="61" t="s">
        <v>878</v>
      </c>
      <c r="D2027" s="60">
        <v>1.8936200000000001</v>
      </c>
      <c r="E2027" s="59">
        <v>5.0493600000000001</v>
      </c>
      <c r="F2027" s="59">
        <v>7.2043299999999997</v>
      </c>
      <c r="G2027" s="56">
        <v>696.73500000000001</v>
      </c>
      <c r="H2027" s="56">
        <v>367.93799999999999</v>
      </c>
      <c r="I2027" s="58">
        <v>0.31919599999999998</v>
      </c>
      <c r="J2027" s="57">
        <v>0.230078</v>
      </c>
      <c r="K2027" s="56"/>
      <c r="L2027" s="56" t="s">
        <v>488</v>
      </c>
    </row>
    <row r="2028" spans="2:12" x14ac:dyDescent="0.2">
      <c r="B2028" s="62" t="s">
        <v>3909</v>
      </c>
      <c r="C2028" s="61" t="s">
        <v>526</v>
      </c>
      <c r="D2028" s="60">
        <v>2.7376499999999999</v>
      </c>
      <c r="E2028" s="59">
        <v>3.0373700000000001</v>
      </c>
      <c r="F2028" s="59">
        <v>4.2236500000000001</v>
      </c>
      <c r="G2028" s="56">
        <v>0</v>
      </c>
      <c r="H2028" s="56">
        <v>0</v>
      </c>
      <c r="I2028" s="58">
        <v>0.20963499999999999</v>
      </c>
      <c r="J2028" s="57">
        <v>0.133163</v>
      </c>
      <c r="K2028" s="56"/>
      <c r="L2028" s="56" t="s">
        <v>488</v>
      </c>
    </row>
    <row r="2029" spans="2:12" x14ac:dyDescent="0.2">
      <c r="B2029" s="62" t="s">
        <v>3908</v>
      </c>
      <c r="C2029" s="61" t="s">
        <v>3907</v>
      </c>
      <c r="D2029" s="60">
        <v>1.66961</v>
      </c>
      <c r="E2029" s="59">
        <v>4.1490600000000004</v>
      </c>
      <c r="F2029" s="59">
        <v>5.0551000000000004</v>
      </c>
      <c r="G2029" s="56">
        <v>1131.95</v>
      </c>
      <c r="H2029" s="56">
        <v>677.97299999999996</v>
      </c>
      <c r="I2029" s="58">
        <v>0.49101</v>
      </c>
      <c r="J2029" s="57">
        <v>0.27346300000000001</v>
      </c>
      <c r="K2029" s="56"/>
      <c r="L2029" s="56" t="s">
        <v>488</v>
      </c>
    </row>
    <row r="2030" spans="2:12" x14ac:dyDescent="0.2">
      <c r="B2030" s="62" t="s">
        <v>3906</v>
      </c>
      <c r="C2030" s="61" t="s">
        <v>3905</v>
      </c>
      <c r="D2030" s="60">
        <v>0.80593800000000004</v>
      </c>
      <c r="E2030" s="59">
        <v>6.9293800000000001</v>
      </c>
      <c r="F2030" s="59">
        <v>11.82785</v>
      </c>
      <c r="G2030" s="56">
        <v>1455.98</v>
      </c>
      <c r="H2030" s="56">
        <v>1806.57</v>
      </c>
      <c r="I2030" s="58">
        <v>0.55845299999999998</v>
      </c>
      <c r="J2030" s="57">
        <v>0.81930599999999998</v>
      </c>
      <c r="K2030" s="56"/>
      <c r="L2030" s="56" t="s">
        <v>488</v>
      </c>
    </row>
    <row r="2031" spans="2:12" x14ac:dyDescent="0.2">
      <c r="B2031" s="62" t="s">
        <v>3904</v>
      </c>
      <c r="C2031" s="61" t="s">
        <v>510</v>
      </c>
      <c r="D2031" s="60">
        <v>1.4257299999999999</v>
      </c>
      <c r="E2031" s="59">
        <v>2.8003200000000001</v>
      </c>
      <c r="F2031" s="59">
        <v>5.0932000000000004</v>
      </c>
      <c r="G2031" s="56">
        <v>0</v>
      </c>
      <c r="H2031" s="56">
        <v>0</v>
      </c>
      <c r="I2031" s="58">
        <v>0.34416600000000003</v>
      </c>
      <c r="J2031" s="57">
        <v>0.32156000000000001</v>
      </c>
      <c r="K2031" s="56"/>
      <c r="L2031" s="56" t="s">
        <v>488</v>
      </c>
    </row>
    <row r="2032" spans="2:12" x14ac:dyDescent="0.2">
      <c r="B2032" s="62" t="s">
        <v>3903</v>
      </c>
      <c r="C2032" s="61" t="s">
        <v>499</v>
      </c>
      <c r="D2032" s="60">
        <v>0.54434700000000003</v>
      </c>
      <c r="E2032" s="59">
        <v>8.5893300000000004</v>
      </c>
      <c r="F2032" s="59">
        <v>11.266769999999999</v>
      </c>
      <c r="G2032" s="56">
        <v>2202.5500000000002</v>
      </c>
      <c r="H2032" s="56">
        <v>4046.22</v>
      </c>
      <c r="I2032" s="58">
        <v>0.83590900000000001</v>
      </c>
      <c r="J2032" s="57">
        <v>1.4624699999999999</v>
      </c>
      <c r="K2032" s="56"/>
      <c r="L2032" s="56" t="s">
        <v>488</v>
      </c>
    </row>
    <row r="2033" spans="2:12" x14ac:dyDescent="0.2">
      <c r="B2033" s="62" t="s">
        <v>3902</v>
      </c>
      <c r="C2033" s="61" t="s">
        <v>510</v>
      </c>
      <c r="D2033" s="60">
        <v>0.85316499999999995</v>
      </c>
      <c r="E2033" s="59">
        <v>4.9692999999999996</v>
      </c>
      <c r="F2033" s="59">
        <v>7.5605599999999997</v>
      </c>
      <c r="G2033" s="56">
        <v>1839.15</v>
      </c>
      <c r="H2033" s="56">
        <v>2155.6799999999998</v>
      </c>
      <c r="I2033" s="58">
        <v>0.64073000000000002</v>
      </c>
      <c r="J2033" s="57">
        <v>0.74967499999999998</v>
      </c>
      <c r="K2033" s="56"/>
      <c r="L2033" s="56" t="s">
        <v>488</v>
      </c>
    </row>
    <row r="2034" spans="2:12" x14ac:dyDescent="0.2">
      <c r="B2034" s="62" t="s">
        <v>3901</v>
      </c>
      <c r="C2034" s="61" t="s">
        <v>541</v>
      </c>
      <c r="D2034" s="60">
        <v>0.64744299999999999</v>
      </c>
      <c r="E2034" s="59">
        <v>7.5113700000000003</v>
      </c>
      <c r="F2034" s="59">
        <v>9.8149300000000004</v>
      </c>
      <c r="G2034" s="56">
        <v>2126.7600000000002</v>
      </c>
      <c r="H2034" s="56">
        <v>3284.86</v>
      </c>
      <c r="I2034" s="58">
        <v>0.79671000000000003</v>
      </c>
      <c r="J2034" s="57">
        <v>1.1690499999999999</v>
      </c>
      <c r="K2034" s="56"/>
      <c r="L2034" s="56" t="s">
        <v>488</v>
      </c>
    </row>
    <row r="2035" spans="2:12" x14ac:dyDescent="0.2">
      <c r="B2035" s="62" t="s">
        <v>3900</v>
      </c>
      <c r="C2035" s="61" t="s">
        <v>708</v>
      </c>
      <c r="D2035" s="60">
        <v>1.4495800000000001</v>
      </c>
      <c r="E2035" s="59">
        <v>3.1717200000000001</v>
      </c>
      <c r="F2035" s="59">
        <v>5.0632999999999999</v>
      </c>
      <c r="G2035" s="56">
        <v>0</v>
      </c>
      <c r="H2035" s="56">
        <v>0</v>
      </c>
      <c r="I2035" s="58">
        <v>0.357705</v>
      </c>
      <c r="J2035" s="57">
        <v>0.315944</v>
      </c>
      <c r="K2035" s="56"/>
      <c r="L2035" s="56" t="s">
        <v>488</v>
      </c>
    </row>
    <row r="2036" spans="2:12" x14ac:dyDescent="0.2">
      <c r="B2036" s="62" t="s">
        <v>3899</v>
      </c>
      <c r="C2036" s="61" t="s">
        <v>541</v>
      </c>
      <c r="D2036" s="60">
        <v>1.7504999999999999</v>
      </c>
      <c r="E2036" s="59">
        <v>2.6065700000000001</v>
      </c>
      <c r="F2036" s="59">
        <v>3.3319999999999999</v>
      </c>
      <c r="G2036" s="56">
        <v>0</v>
      </c>
      <c r="H2036" s="56">
        <v>0</v>
      </c>
      <c r="I2036" s="58">
        <v>6.3814700000000002E-2</v>
      </c>
      <c r="J2036" s="57">
        <v>0.204092</v>
      </c>
      <c r="K2036" s="56"/>
      <c r="L2036" s="56" t="s">
        <v>488</v>
      </c>
    </row>
    <row r="2037" spans="2:12" x14ac:dyDescent="0.2">
      <c r="B2037" s="62" t="s">
        <v>3898</v>
      </c>
      <c r="C2037" s="61" t="s">
        <v>499</v>
      </c>
      <c r="D2037" s="60">
        <v>0.70398799999999995</v>
      </c>
      <c r="E2037" s="59">
        <v>11.084149999999999</v>
      </c>
      <c r="F2037" s="59">
        <v>12.85134</v>
      </c>
      <c r="G2037" s="56">
        <v>1359.72</v>
      </c>
      <c r="H2037" s="56">
        <v>1931.45</v>
      </c>
      <c r="I2037" s="58">
        <v>0.67367699999999997</v>
      </c>
      <c r="J2037" s="57">
        <v>0.98405500000000001</v>
      </c>
      <c r="K2037" s="56"/>
      <c r="L2037" s="56" t="s">
        <v>488</v>
      </c>
    </row>
    <row r="2038" spans="2:12" x14ac:dyDescent="0.2">
      <c r="B2038" s="62" t="s">
        <v>3897</v>
      </c>
      <c r="C2038" s="61" t="s">
        <v>499</v>
      </c>
      <c r="D2038" s="60">
        <v>1.01105</v>
      </c>
      <c r="E2038" s="59">
        <v>7.4858399999999996</v>
      </c>
      <c r="F2038" s="59">
        <v>9.9205900000000007</v>
      </c>
      <c r="G2038" s="56">
        <v>1103.44</v>
      </c>
      <c r="H2038" s="56">
        <v>1091.3800000000001</v>
      </c>
      <c r="I2038" s="58">
        <v>0.50458000000000003</v>
      </c>
      <c r="J2038" s="57">
        <v>0.56412300000000004</v>
      </c>
      <c r="K2038" s="56"/>
      <c r="L2038" s="56" t="s">
        <v>488</v>
      </c>
    </row>
    <row r="2039" spans="2:12" x14ac:dyDescent="0.2">
      <c r="B2039" s="62" t="s">
        <v>3896</v>
      </c>
      <c r="C2039" s="61" t="s">
        <v>3895</v>
      </c>
      <c r="D2039" s="60">
        <v>1.51285</v>
      </c>
      <c r="E2039" s="59">
        <v>2.4066800000000002</v>
      </c>
      <c r="F2039" s="59">
        <v>4.9437199999999999</v>
      </c>
      <c r="G2039" s="56">
        <v>0</v>
      </c>
      <c r="H2039" s="56">
        <v>0</v>
      </c>
      <c r="I2039" s="58">
        <v>0.279696</v>
      </c>
      <c r="J2039" s="57">
        <v>0.35136099999999998</v>
      </c>
      <c r="K2039" s="56"/>
      <c r="L2039" s="56" t="s">
        <v>488</v>
      </c>
    </row>
    <row r="2040" spans="2:12" x14ac:dyDescent="0.2">
      <c r="B2040" s="62" t="s">
        <v>3894</v>
      </c>
      <c r="C2040" s="61" t="s">
        <v>798</v>
      </c>
      <c r="D2040" s="60">
        <v>0.75180499999999995</v>
      </c>
      <c r="E2040" s="59">
        <v>6.0357399999999997</v>
      </c>
      <c r="F2040" s="59">
        <v>6.92889</v>
      </c>
      <c r="G2040" s="56">
        <v>1682.92</v>
      </c>
      <c r="H2040" s="56">
        <v>2238.5</v>
      </c>
      <c r="I2040" s="58">
        <v>0.65353899999999998</v>
      </c>
      <c r="J2040" s="57">
        <v>0.87002199999999996</v>
      </c>
      <c r="K2040" s="56"/>
      <c r="L2040" s="56" t="s">
        <v>488</v>
      </c>
    </row>
    <row r="2041" spans="2:12" x14ac:dyDescent="0.2">
      <c r="B2041" s="62" t="s">
        <v>3893</v>
      </c>
      <c r="C2041" s="61" t="s">
        <v>502</v>
      </c>
      <c r="D2041" s="60">
        <v>1.1147199999999999</v>
      </c>
      <c r="E2041" s="59">
        <v>4.08202</v>
      </c>
      <c r="F2041" s="59">
        <v>6.5225200000000001</v>
      </c>
      <c r="G2041" s="56">
        <v>694.18100000000004</v>
      </c>
      <c r="H2041" s="56">
        <v>622.74199999999996</v>
      </c>
      <c r="I2041" s="58">
        <v>0.26618599999999998</v>
      </c>
      <c r="J2041" s="57">
        <v>0.49596600000000002</v>
      </c>
      <c r="K2041" s="56"/>
      <c r="L2041" s="56" t="s">
        <v>488</v>
      </c>
    </row>
    <row r="2042" spans="2:12" x14ac:dyDescent="0.2">
      <c r="B2042" s="62" t="s">
        <v>3892</v>
      </c>
      <c r="C2042" s="61" t="s">
        <v>495</v>
      </c>
      <c r="D2042" s="60">
        <v>0.75863599999999998</v>
      </c>
      <c r="E2042" s="59">
        <v>6.3884999999999996</v>
      </c>
      <c r="F2042" s="59">
        <v>15.973839999999999</v>
      </c>
      <c r="G2042" s="56">
        <v>1333.01</v>
      </c>
      <c r="H2042" s="56">
        <v>1757.11</v>
      </c>
      <c r="I2042" s="58">
        <v>0.706839</v>
      </c>
      <c r="J2042" s="57">
        <v>0.94864599999999999</v>
      </c>
      <c r="K2042" s="56"/>
      <c r="L2042" s="56" t="s">
        <v>492</v>
      </c>
    </row>
    <row r="2043" spans="2:12" x14ac:dyDescent="0.2">
      <c r="B2043" s="62" t="s">
        <v>3891</v>
      </c>
      <c r="C2043" s="61" t="s">
        <v>541</v>
      </c>
      <c r="D2043" s="60">
        <v>2.7828300000000001</v>
      </c>
      <c r="E2043" s="59">
        <v>2.97255</v>
      </c>
      <c r="F2043" s="59">
        <v>4.3891799999999996</v>
      </c>
      <c r="G2043" s="56">
        <v>0</v>
      </c>
      <c r="H2043" s="56">
        <v>0</v>
      </c>
      <c r="I2043" s="58">
        <v>0.18872800000000001</v>
      </c>
      <c r="J2043" s="57">
        <v>0.13364400000000001</v>
      </c>
      <c r="K2043" s="56"/>
      <c r="L2043" s="56" t="s">
        <v>488</v>
      </c>
    </row>
    <row r="2044" spans="2:12" x14ac:dyDescent="0.2">
      <c r="B2044" s="62" t="s">
        <v>3890</v>
      </c>
      <c r="C2044" s="61" t="s">
        <v>502</v>
      </c>
      <c r="D2044" s="60">
        <v>1.57483</v>
      </c>
      <c r="E2044" s="59">
        <v>4.05314</v>
      </c>
      <c r="F2044" s="59">
        <v>4.5050699999999999</v>
      </c>
      <c r="G2044" s="56">
        <v>317.17599999999999</v>
      </c>
      <c r="H2044" s="56">
        <v>201.40299999999999</v>
      </c>
      <c r="I2044" s="58">
        <v>0.21123800000000001</v>
      </c>
      <c r="J2044" s="57">
        <v>0.27229700000000001</v>
      </c>
      <c r="K2044" s="56"/>
      <c r="L2044" s="56" t="s">
        <v>488</v>
      </c>
    </row>
    <row r="2045" spans="2:12" x14ac:dyDescent="0.2">
      <c r="B2045" s="62" t="s">
        <v>3889</v>
      </c>
      <c r="C2045" s="61" t="s">
        <v>3888</v>
      </c>
      <c r="D2045" s="60">
        <v>1.6787399999999999</v>
      </c>
      <c r="E2045" s="59">
        <v>3.3113199999999998</v>
      </c>
      <c r="F2045" s="59">
        <v>4.60365</v>
      </c>
      <c r="G2045" s="56">
        <v>0</v>
      </c>
      <c r="H2045" s="56">
        <v>0</v>
      </c>
      <c r="I2045" s="58">
        <v>0.37042700000000001</v>
      </c>
      <c r="J2045" s="57">
        <v>0.32523800000000003</v>
      </c>
      <c r="K2045" s="56"/>
      <c r="L2045" s="56" t="s">
        <v>488</v>
      </c>
    </row>
    <row r="2046" spans="2:12" x14ac:dyDescent="0.2">
      <c r="B2046" s="62" t="s">
        <v>3887</v>
      </c>
      <c r="C2046" s="61" t="s">
        <v>531</v>
      </c>
      <c r="D2046" s="60">
        <v>0.86253400000000002</v>
      </c>
      <c r="E2046" s="59">
        <v>6.4952199999999998</v>
      </c>
      <c r="F2046" s="59">
        <v>8.2330199999999998</v>
      </c>
      <c r="G2046" s="56">
        <v>2243.34</v>
      </c>
      <c r="H2046" s="56">
        <v>2600.87</v>
      </c>
      <c r="I2046" s="58">
        <v>0.71337799999999996</v>
      </c>
      <c r="J2046" s="57">
        <v>0.81405400000000006</v>
      </c>
      <c r="K2046" s="56"/>
      <c r="L2046" s="56" t="s">
        <v>488</v>
      </c>
    </row>
    <row r="2047" spans="2:12" x14ac:dyDescent="0.2">
      <c r="B2047" s="62" t="s">
        <v>3886</v>
      </c>
      <c r="C2047" s="61" t="s">
        <v>499</v>
      </c>
      <c r="D2047" s="60">
        <v>1.4351700000000001</v>
      </c>
      <c r="E2047" s="59">
        <v>4.8446800000000003</v>
      </c>
      <c r="F2047" s="59">
        <v>5.8735499999999998</v>
      </c>
      <c r="G2047" s="56">
        <v>819.74</v>
      </c>
      <c r="H2047" s="56">
        <v>571.17899999999997</v>
      </c>
      <c r="I2047" s="58">
        <v>0.36148799999999998</v>
      </c>
      <c r="J2047" s="57">
        <v>0.34272599999999998</v>
      </c>
      <c r="K2047" s="56"/>
      <c r="L2047" s="56" t="s">
        <v>488</v>
      </c>
    </row>
    <row r="2048" spans="2:12" x14ac:dyDescent="0.2">
      <c r="B2048" s="62" t="s">
        <v>3885</v>
      </c>
      <c r="C2048" s="61" t="s">
        <v>499</v>
      </c>
      <c r="D2048" s="60">
        <v>1.14554</v>
      </c>
      <c r="E2048" s="59">
        <v>5.2719800000000001</v>
      </c>
      <c r="F2048" s="59">
        <v>6.2294</v>
      </c>
      <c r="G2048" s="56">
        <v>1414.91</v>
      </c>
      <c r="H2048" s="56">
        <v>1235.1400000000001</v>
      </c>
      <c r="I2048" s="58">
        <v>0.57963699999999996</v>
      </c>
      <c r="J2048" s="57">
        <v>0.55285300000000004</v>
      </c>
      <c r="K2048" s="56"/>
      <c r="L2048" s="56" t="s">
        <v>488</v>
      </c>
    </row>
    <row r="2049" spans="2:12" x14ac:dyDescent="0.2">
      <c r="B2049" s="62" t="s">
        <v>3884</v>
      </c>
      <c r="C2049" s="61" t="s">
        <v>567</v>
      </c>
      <c r="D2049" s="60">
        <v>0.99923399999999996</v>
      </c>
      <c r="E2049" s="59">
        <v>3.7930299999999999</v>
      </c>
      <c r="F2049" s="59">
        <v>5.8613400000000002</v>
      </c>
      <c r="G2049" s="56">
        <v>626.13300000000004</v>
      </c>
      <c r="H2049" s="56">
        <v>626.61300000000006</v>
      </c>
      <c r="I2049" s="58">
        <v>0.31695800000000002</v>
      </c>
      <c r="J2049" s="57">
        <v>0.44263999999999998</v>
      </c>
      <c r="K2049" s="56"/>
      <c r="L2049" s="56" t="s">
        <v>488</v>
      </c>
    </row>
    <row r="2050" spans="2:12" x14ac:dyDescent="0.2">
      <c r="B2050" s="62" t="s">
        <v>3883</v>
      </c>
      <c r="C2050" s="61" t="s">
        <v>1769</v>
      </c>
      <c r="D2050" s="60">
        <v>1.43838</v>
      </c>
      <c r="E2050" s="59">
        <v>3.3996900000000001</v>
      </c>
      <c r="F2050" s="59">
        <v>5.7628399999999997</v>
      </c>
      <c r="G2050" s="56">
        <v>0</v>
      </c>
      <c r="H2050" s="56">
        <v>0</v>
      </c>
      <c r="I2050" s="58">
        <v>0.30632599999999999</v>
      </c>
      <c r="J2050" s="57">
        <v>0.32677600000000001</v>
      </c>
      <c r="K2050" s="56"/>
      <c r="L2050" s="56" t="s">
        <v>488</v>
      </c>
    </row>
    <row r="2051" spans="2:12" x14ac:dyDescent="0.2">
      <c r="B2051" s="62" t="s">
        <v>3882</v>
      </c>
      <c r="C2051" s="61" t="s">
        <v>495</v>
      </c>
      <c r="D2051" s="60">
        <v>1.6319600000000001</v>
      </c>
      <c r="E2051" s="59">
        <v>3.9195899999999999</v>
      </c>
      <c r="F2051" s="59">
        <v>4.9145799999999999</v>
      </c>
      <c r="G2051" s="56">
        <v>563.84299999999996</v>
      </c>
      <c r="H2051" s="56">
        <v>343.96499999999997</v>
      </c>
      <c r="I2051" s="58">
        <v>0.27463900000000002</v>
      </c>
      <c r="J2051" s="57">
        <v>0.28506100000000001</v>
      </c>
      <c r="K2051" s="56"/>
      <c r="L2051" s="56" t="s">
        <v>488</v>
      </c>
    </row>
    <row r="2052" spans="2:12" x14ac:dyDescent="0.2">
      <c r="B2052" s="62" t="s">
        <v>3881</v>
      </c>
      <c r="C2052" s="61" t="s">
        <v>495</v>
      </c>
      <c r="D2052" s="60">
        <v>1.6392500000000001</v>
      </c>
      <c r="E2052" s="59">
        <v>3.9690099999999999</v>
      </c>
      <c r="F2052" s="59">
        <v>4.9428000000000001</v>
      </c>
      <c r="G2052" s="56">
        <v>575.16</v>
      </c>
      <c r="H2052" s="56">
        <v>352.43400000000003</v>
      </c>
      <c r="I2052" s="58">
        <v>0.270646</v>
      </c>
      <c r="J2052" s="57">
        <v>0.28264499999999998</v>
      </c>
      <c r="K2052" s="56"/>
      <c r="L2052" s="56" t="s">
        <v>488</v>
      </c>
    </row>
    <row r="2053" spans="2:12" x14ac:dyDescent="0.2">
      <c r="B2053" s="62" t="s">
        <v>3880</v>
      </c>
      <c r="C2053" s="61" t="s">
        <v>3879</v>
      </c>
      <c r="D2053" s="60">
        <v>2.7549600000000001</v>
      </c>
      <c r="E2053" s="59">
        <v>5.3900499999999996</v>
      </c>
      <c r="F2053" s="59">
        <v>6.5966899999999997</v>
      </c>
      <c r="G2053" s="56">
        <v>1009.44</v>
      </c>
      <c r="H2053" s="56">
        <v>366.41</v>
      </c>
      <c r="I2053" s="58">
        <v>0.37233699999999997</v>
      </c>
      <c r="J2053" s="57">
        <v>0.17080100000000001</v>
      </c>
      <c r="K2053" s="56"/>
      <c r="L2053" s="56" t="s">
        <v>488</v>
      </c>
    </row>
    <row r="2054" spans="2:12" x14ac:dyDescent="0.2">
      <c r="B2054" s="62" t="s">
        <v>3878</v>
      </c>
      <c r="C2054" s="61" t="s">
        <v>502</v>
      </c>
      <c r="D2054" s="60">
        <v>1.7746900000000001</v>
      </c>
      <c r="E2054" s="59">
        <v>2.5887199999999999</v>
      </c>
      <c r="F2054" s="59">
        <v>3.51546</v>
      </c>
      <c r="G2054" s="56">
        <v>0</v>
      </c>
      <c r="H2054" s="56">
        <v>0</v>
      </c>
      <c r="I2054" s="58">
        <v>5.7175299999999998E-2</v>
      </c>
      <c r="J2054" s="57">
        <v>0.218806</v>
      </c>
      <c r="K2054" s="56"/>
      <c r="L2054" s="56" t="s">
        <v>488</v>
      </c>
    </row>
    <row r="2055" spans="2:12" x14ac:dyDescent="0.2">
      <c r="B2055" s="62" t="s">
        <v>3877</v>
      </c>
      <c r="C2055" s="61" t="s">
        <v>1516</v>
      </c>
      <c r="D2055" s="60">
        <v>2.1634199999999999</v>
      </c>
      <c r="E2055" s="59">
        <v>2.8482799999999999</v>
      </c>
      <c r="F2055" s="59">
        <v>4.1432700000000002</v>
      </c>
      <c r="G2055" s="56">
        <v>0</v>
      </c>
      <c r="H2055" s="56">
        <v>0</v>
      </c>
      <c r="I2055" s="58">
        <v>0.22284000000000001</v>
      </c>
      <c r="J2055" s="57">
        <v>0.220107</v>
      </c>
      <c r="K2055" s="56"/>
      <c r="L2055" s="56" t="s">
        <v>488</v>
      </c>
    </row>
    <row r="2056" spans="2:12" x14ac:dyDescent="0.2">
      <c r="B2056" s="62" t="s">
        <v>3876</v>
      </c>
      <c r="C2056" s="61" t="s">
        <v>502</v>
      </c>
      <c r="D2056" s="60">
        <v>2.0886800000000001</v>
      </c>
      <c r="E2056" s="59">
        <v>2.7030599999999998</v>
      </c>
      <c r="F2056" s="59">
        <v>4.99322</v>
      </c>
      <c r="G2056" s="56">
        <v>0</v>
      </c>
      <c r="H2056" s="56">
        <v>0</v>
      </c>
      <c r="I2056" s="58">
        <v>0.15817500000000001</v>
      </c>
      <c r="J2056" s="57">
        <v>0.20010800000000001</v>
      </c>
      <c r="K2056" s="56"/>
      <c r="L2056" s="56" t="s">
        <v>488</v>
      </c>
    </row>
    <row r="2057" spans="2:12" x14ac:dyDescent="0.2">
      <c r="B2057" s="62" t="s">
        <v>3875</v>
      </c>
      <c r="C2057" s="61" t="s">
        <v>632</v>
      </c>
      <c r="D2057" s="60">
        <v>1.5476099999999999</v>
      </c>
      <c r="E2057" s="59">
        <v>4.7415200000000004</v>
      </c>
      <c r="F2057" s="59">
        <v>5.9345299999999996</v>
      </c>
      <c r="G2057" s="56">
        <v>939.52599999999995</v>
      </c>
      <c r="H2057" s="56">
        <v>607.08199999999999</v>
      </c>
      <c r="I2057" s="58">
        <v>0.49685299999999999</v>
      </c>
      <c r="J2057" s="57">
        <v>0.33886899999999998</v>
      </c>
      <c r="K2057" s="56"/>
      <c r="L2057" s="56" t="s">
        <v>492</v>
      </c>
    </row>
    <row r="2058" spans="2:12" x14ac:dyDescent="0.2">
      <c r="B2058" s="62" t="s">
        <v>3874</v>
      </c>
      <c r="C2058" s="61" t="s">
        <v>561</v>
      </c>
      <c r="D2058" s="60">
        <v>1.29813</v>
      </c>
      <c r="E2058" s="59">
        <v>6.3958000000000004</v>
      </c>
      <c r="F2058" s="59">
        <v>6.8012199999999998</v>
      </c>
      <c r="G2058" s="56">
        <v>1385.63</v>
      </c>
      <c r="H2058" s="56">
        <v>1067.4000000000001</v>
      </c>
      <c r="I2058" s="58">
        <v>0.60702500000000004</v>
      </c>
      <c r="J2058" s="57">
        <v>0.43495899999999998</v>
      </c>
      <c r="K2058" s="56" t="s">
        <v>3873</v>
      </c>
      <c r="L2058" s="56" t="s">
        <v>563</v>
      </c>
    </row>
    <row r="2059" spans="2:12" x14ac:dyDescent="0.2">
      <c r="B2059" s="62" t="s">
        <v>3872</v>
      </c>
      <c r="C2059" s="61" t="s">
        <v>745</v>
      </c>
      <c r="D2059" s="60">
        <v>2.1041400000000001</v>
      </c>
      <c r="E2059" s="59">
        <v>2.8721100000000002</v>
      </c>
      <c r="F2059" s="59">
        <v>3.6843599999999999</v>
      </c>
      <c r="G2059" s="56">
        <v>0</v>
      </c>
      <c r="H2059" s="56">
        <v>0</v>
      </c>
      <c r="I2059" s="58">
        <v>0.180564</v>
      </c>
      <c r="J2059" s="57">
        <v>0.19602800000000001</v>
      </c>
      <c r="K2059" s="56"/>
      <c r="L2059" s="56" t="s">
        <v>488</v>
      </c>
    </row>
    <row r="2060" spans="2:12" x14ac:dyDescent="0.2">
      <c r="B2060" s="62" t="s">
        <v>3871</v>
      </c>
      <c r="C2060" s="61" t="s">
        <v>745</v>
      </c>
      <c r="D2060" s="60">
        <v>2.1984499999999998</v>
      </c>
      <c r="E2060" s="59">
        <v>2.47173</v>
      </c>
      <c r="F2060" s="59">
        <v>3.1964999999999999</v>
      </c>
      <c r="G2060" s="56">
        <v>0</v>
      </c>
      <c r="H2060" s="56">
        <v>0</v>
      </c>
      <c r="I2060" s="58">
        <v>0.11118599999999999</v>
      </c>
      <c r="J2060" s="57">
        <v>0.180343</v>
      </c>
      <c r="K2060" s="56"/>
      <c r="L2060" s="56" t="s">
        <v>488</v>
      </c>
    </row>
    <row r="2061" spans="2:12" x14ac:dyDescent="0.2">
      <c r="B2061" s="62" t="s">
        <v>3870</v>
      </c>
      <c r="C2061" s="61" t="s">
        <v>641</v>
      </c>
      <c r="D2061" s="60">
        <v>1.4936799999999999</v>
      </c>
      <c r="E2061" s="59">
        <v>3.48794</v>
      </c>
      <c r="F2061" s="59">
        <v>4.3439100000000002</v>
      </c>
      <c r="G2061" s="56">
        <v>0</v>
      </c>
      <c r="H2061" s="56">
        <v>0</v>
      </c>
      <c r="I2061" s="58">
        <v>0.32387899999999997</v>
      </c>
      <c r="J2061" s="57">
        <v>0.33506000000000002</v>
      </c>
      <c r="K2061" s="56"/>
      <c r="L2061" s="56" t="s">
        <v>488</v>
      </c>
    </row>
    <row r="2062" spans="2:12" x14ac:dyDescent="0.2">
      <c r="B2062" s="62" t="s">
        <v>3869</v>
      </c>
      <c r="C2062" s="61" t="s">
        <v>641</v>
      </c>
      <c r="D2062" s="60">
        <v>1.4863900000000001</v>
      </c>
      <c r="E2062" s="59">
        <v>3.47722</v>
      </c>
      <c r="F2062" s="59">
        <v>4.3183100000000003</v>
      </c>
      <c r="G2062" s="56">
        <v>0</v>
      </c>
      <c r="H2062" s="56">
        <v>0</v>
      </c>
      <c r="I2062" s="58">
        <v>0.32820700000000003</v>
      </c>
      <c r="J2062" s="57">
        <v>0.33870099999999997</v>
      </c>
      <c r="K2062" s="56"/>
      <c r="L2062" s="56" t="s">
        <v>488</v>
      </c>
    </row>
    <row r="2063" spans="2:12" x14ac:dyDescent="0.2">
      <c r="B2063" s="62" t="s">
        <v>3868</v>
      </c>
      <c r="C2063" s="61" t="s">
        <v>507</v>
      </c>
      <c r="D2063" s="60">
        <v>1.86328</v>
      </c>
      <c r="E2063" s="59">
        <v>3.19787</v>
      </c>
      <c r="F2063" s="59">
        <v>4.04514</v>
      </c>
      <c r="G2063" s="56">
        <v>0</v>
      </c>
      <c r="H2063" s="56">
        <v>0</v>
      </c>
      <c r="I2063" s="58">
        <v>0.20355000000000001</v>
      </c>
      <c r="J2063" s="57">
        <v>0.25911400000000001</v>
      </c>
      <c r="K2063" s="56"/>
      <c r="L2063" s="56" t="s">
        <v>488</v>
      </c>
    </row>
    <row r="2064" spans="2:12" x14ac:dyDescent="0.2">
      <c r="B2064" s="62" t="s">
        <v>3867</v>
      </c>
      <c r="C2064" s="61" t="s">
        <v>607</v>
      </c>
      <c r="D2064" s="60">
        <v>2.5808499999999999</v>
      </c>
      <c r="E2064" s="59">
        <v>6.2592499999999998</v>
      </c>
      <c r="F2064" s="59">
        <v>7.0675800000000004</v>
      </c>
      <c r="G2064" s="56">
        <v>1253.0999999999999</v>
      </c>
      <c r="H2064" s="56">
        <v>485.53899999999999</v>
      </c>
      <c r="I2064" s="58">
        <v>0.43749199999999999</v>
      </c>
      <c r="J2064" s="57">
        <v>0.228938</v>
      </c>
      <c r="K2064" s="56"/>
      <c r="L2064" s="56" t="s">
        <v>488</v>
      </c>
    </row>
    <row r="2065" spans="2:12" x14ac:dyDescent="0.2">
      <c r="B2065" s="62" t="s">
        <v>3866</v>
      </c>
      <c r="C2065" s="61" t="s">
        <v>625</v>
      </c>
      <c r="D2065" s="60">
        <v>1.7619800000000001</v>
      </c>
      <c r="E2065" s="59">
        <v>2.80565</v>
      </c>
      <c r="F2065" s="59">
        <v>4.0846799999999996</v>
      </c>
      <c r="G2065" s="56">
        <v>0</v>
      </c>
      <c r="H2065" s="56">
        <v>0</v>
      </c>
      <c r="I2065" s="58">
        <v>0.21784700000000001</v>
      </c>
      <c r="J2065" s="57">
        <v>0.258654</v>
      </c>
      <c r="K2065" s="56"/>
      <c r="L2065" s="56" t="s">
        <v>492</v>
      </c>
    </row>
    <row r="2066" spans="2:12" x14ac:dyDescent="0.2">
      <c r="B2066" s="62" t="s">
        <v>3865</v>
      </c>
      <c r="C2066" s="61" t="s">
        <v>550</v>
      </c>
      <c r="D2066" s="60">
        <v>1.05599</v>
      </c>
      <c r="E2066" s="59">
        <v>5.60724</v>
      </c>
      <c r="F2066" s="59">
        <v>6.9316300000000002</v>
      </c>
      <c r="G2066" s="56">
        <v>2372.0500000000002</v>
      </c>
      <c r="H2066" s="56">
        <v>2246.2800000000002</v>
      </c>
      <c r="I2066" s="58">
        <v>0.65040100000000001</v>
      </c>
      <c r="J2066" s="57">
        <v>0.69767900000000005</v>
      </c>
      <c r="K2066" s="56"/>
      <c r="L2066" s="56" t="s">
        <v>488</v>
      </c>
    </row>
    <row r="2067" spans="2:12" x14ac:dyDescent="0.2">
      <c r="B2067" s="62" t="s">
        <v>3864</v>
      </c>
      <c r="C2067" s="61" t="s">
        <v>582</v>
      </c>
      <c r="D2067" s="60">
        <v>1.18279</v>
      </c>
      <c r="E2067" s="59">
        <v>4.9696100000000003</v>
      </c>
      <c r="F2067" s="59">
        <v>5.5261899999999997</v>
      </c>
      <c r="G2067" s="56">
        <v>1686.08</v>
      </c>
      <c r="H2067" s="56">
        <v>1425.51</v>
      </c>
      <c r="I2067" s="58">
        <v>0.5927</v>
      </c>
      <c r="J2067" s="57">
        <v>0.52912000000000003</v>
      </c>
      <c r="K2067" s="56"/>
      <c r="L2067" s="56" t="s">
        <v>488</v>
      </c>
    </row>
    <row r="2068" spans="2:12" x14ac:dyDescent="0.2">
      <c r="B2068" s="62" t="s">
        <v>3863</v>
      </c>
      <c r="C2068" s="61" t="s">
        <v>579</v>
      </c>
      <c r="D2068" s="60">
        <v>1.141</v>
      </c>
      <c r="E2068" s="59">
        <v>4.9455999999999998</v>
      </c>
      <c r="F2068" s="59">
        <v>5.6202800000000002</v>
      </c>
      <c r="G2068" s="56">
        <v>1710.81</v>
      </c>
      <c r="H2068" s="56">
        <v>1499.4</v>
      </c>
      <c r="I2068" s="58">
        <v>0.59191499999999997</v>
      </c>
      <c r="J2068" s="57">
        <v>0.55019200000000001</v>
      </c>
      <c r="K2068" s="56"/>
      <c r="L2068" s="56" t="s">
        <v>488</v>
      </c>
    </row>
    <row r="2069" spans="2:12" x14ac:dyDescent="0.2">
      <c r="B2069" s="62" t="s">
        <v>3862</v>
      </c>
      <c r="C2069" s="61" t="s">
        <v>531</v>
      </c>
      <c r="D2069" s="60">
        <v>1.19591</v>
      </c>
      <c r="E2069" s="59">
        <v>4.9499399999999998</v>
      </c>
      <c r="F2069" s="59">
        <v>5.5069999999999997</v>
      </c>
      <c r="G2069" s="56">
        <v>1666.72</v>
      </c>
      <c r="H2069" s="56">
        <v>1393.69</v>
      </c>
      <c r="I2069" s="58">
        <v>0.58985900000000002</v>
      </c>
      <c r="J2069" s="57">
        <v>0.52018900000000001</v>
      </c>
      <c r="K2069" s="56"/>
      <c r="L2069" s="56" t="s">
        <v>488</v>
      </c>
    </row>
    <row r="2070" spans="2:12" x14ac:dyDescent="0.2">
      <c r="B2070" s="62" t="s">
        <v>3861</v>
      </c>
      <c r="C2070" s="61" t="s">
        <v>526</v>
      </c>
      <c r="D2070" s="60">
        <v>0.780304</v>
      </c>
      <c r="E2070" s="59">
        <v>5.5490899999999996</v>
      </c>
      <c r="F2070" s="59">
        <v>9.8050599999999992</v>
      </c>
      <c r="G2070" s="56">
        <v>2528.41</v>
      </c>
      <c r="H2070" s="56">
        <v>3240.29</v>
      </c>
      <c r="I2070" s="58">
        <v>0.81331500000000001</v>
      </c>
      <c r="J2070" s="57">
        <v>0.93643100000000001</v>
      </c>
      <c r="K2070" s="56"/>
      <c r="L2070" s="56" t="s">
        <v>488</v>
      </c>
    </row>
    <row r="2071" spans="2:12" x14ac:dyDescent="0.2">
      <c r="B2071" s="62" t="s">
        <v>3860</v>
      </c>
      <c r="C2071" s="61" t="s">
        <v>526</v>
      </c>
      <c r="D2071" s="60">
        <v>0.80450699999999997</v>
      </c>
      <c r="E2071" s="59">
        <v>5.39384</v>
      </c>
      <c r="F2071" s="59">
        <v>8.9571799999999993</v>
      </c>
      <c r="G2071" s="56">
        <v>2492.92</v>
      </c>
      <c r="H2071" s="56">
        <v>3098.69</v>
      </c>
      <c r="I2071" s="58">
        <v>0.79123900000000003</v>
      </c>
      <c r="J2071" s="57">
        <v>0.89568700000000001</v>
      </c>
      <c r="K2071" s="56"/>
      <c r="L2071" s="56" t="s">
        <v>488</v>
      </c>
    </row>
    <row r="2072" spans="2:12" x14ac:dyDescent="0.2">
      <c r="B2072" s="62" t="s">
        <v>3859</v>
      </c>
      <c r="C2072" s="61" t="s">
        <v>499</v>
      </c>
      <c r="D2072" s="60">
        <v>1.5185599999999999</v>
      </c>
      <c r="E2072" s="59">
        <v>3.1195200000000001</v>
      </c>
      <c r="F2072" s="59">
        <v>5.1848900000000002</v>
      </c>
      <c r="G2072" s="56">
        <v>0</v>
      </c>
      <c r="H2072" s="56">
        <v>0</v>
      </c>
      <c r="I2072" s="58">
        <v>0.27926000000000001</v>
      </c>
      <c r="J2072" s="57">
        <v>0.30455700000000002</v>
      </c>
      <c r="K2072" s="56"/>
      <c r="L2072" s="56" t="s">
        <v>488</v>
      </c>
    </row>
    <row r="2073" spans="2:12" x14ac:dyDescent="0.2">
      <c r="B2073" s="62" t="s">
        <v>3858</v>
      </c>
      <c r="C2073" s="61" t="s">
        <v>499</v>
      </c>
      <c r="D2073" s="60">
        <v>1.63276</v>
      </c>
      <c r="E2073" s="59">
        <v>2.8080599999999998</v>
      </c>
      <c r="F2073" s="59">
        <v>3.6899199999999999</v>
      </c>
      <c r="G2073" s="56">
        <v>0</v>
      </c>
      <c r="H2073" s="56">
        <v>0</v>
      </c>
      <c r="I2073" s="58">
        <v>0.24437</v>
      </c>
      <c r="J2073" s="57">
        <v>0.27722999999999998</v>
      </c>
      <c r="K2073" s="56"/>
      <c r="L2073" s="56" t="s">
        <v>488</v>
      </c>
    </row>
    <row r="2074" spans="2:12" x14ac:dyDescent="0.2">
      <c r="B2074" s="62" t="s">
        <v>3857</v>
      </c>
      <c r="C2074" s="61" t="s">
        <v>502</v>
      </c>
      <c r="D2074" s="60">
        <v>1.03617</v>
      </c>
      <c r="E2074" s="59">
        <v>5.9246800000000004</v>
      </c>
      <c r="F2074" s="59">
        <v>10.066689999999999</v>
      </c>
      <c r="G2074" s="56">
        <v>1810.32</v>
      </c>
      <c r="H2074" s="56">
        <v>1747.13</v>
      </c>
      <c r="I2074" s="58">
        <v>0.66330599999999995</v>
      </c>
      <c r="J2074" s="57">
        <v>0.65794799999999998</v>
      </c>
      <c r="K2074" s="56"/>
      <c r="L2074" s="56" t="s">
        <v>492</v>
      </c>
    </row>
    <row r="2075" spans="2:12" x14ac:dyDescent="0.2">
      <c r="B2075" s="62" t="s">
        <v>3856</v>
      </c>
      <c r="C2075" s="61" t="s">
        <v>502</v>
      </c>
      <c r="D2075" s="60">
        <v>1.0851900000000001</v>
      </c>
      <c r="E2075" s="59">
        <v>5.4066299999999998</v>
      </c>
      <c r="F2075" s="59">
        <v>6.6727100000000004</v>
      </c>
      <c r="G2075" s="56">
        <v>2305.37</v>
      </c>
      <c r="H2075" s="56">
        <v>2124.39</v>
      </c>
      <c r="I2075" s="58">
        <v>0.56162400000000001</v>
      </c>
      <c r="J2075" s="57">
        <v>0.68203899999999995</v>
      </c>
      <c r="K2075" s="56"/>
      <c r="L2075" s="56" t="s">
        <v>488</v>
      </c>
    </row>
    <row r="2076" spans="2:12" x14ac:dyDescent="0.2">
      <c r="B2076" s="62" t="s">
        <v>3855</v>
      </c>
      <c r="C2076" s="61" t="s">
        <v>708</v>
      </c>
      <c r="D2076" s="60">
        <v>0.94856099999999999</v>
      </c>
      <c r="E2076" s="59">
        <v>4.5301</v>
      </c>
      <c r="F2076" s="59">
        <v>6.2858999999999998</v>
      </c>
      <c r="G2076" s="56">
        <v>1277.3</v>
      </c>
      <c r="H2076" s="56">
        <v>1346.56</v>
      </c>
      <c r="I2076" s="58">
        <v>0.58398399999999995</v>
      </c>
      <c r="J2076" s="57">
        <v>0.628776</v>
      </c>
      <c r="K2076" s="56"/>
      <c r="L2076" s="56" t="s">
        <v>488</v>
      </c>
    </row>
    <row r="2077" spans="2:12" x14ac:dyDescent="0.2">
      <c r="B2077" s="62" t="s">
        <v>3854</v>
      </c>
      <c r="C2077" s="61" t="s">
        <v>708</v>
      </c>
      <c r="D2077" s="60">
        <v>0.94279000000000002</v>
      </c>
      <c r="E2077" s="59">
        <v>4.80891</v>
      </c>
      <c r="F2077" s="59">
        <v>6.46523</v>
      </c>
      <c r="G2077" s="56">
        <v>1360.61</v>
      </c>
      <c r="H2077" s="56">
        <v>1443.18</v>
      </c>
      <c r="I2077" s="58">
        <v>0.606514</v>
      </c>
      <c r="J2077" s="57">
        <v>0.635934</v>
      </c>
      <c r="K2077" s="56"/>
      <c r="L2077" s="56" t="s">
        <v>488</v>
      </c>
    </row>
    <row r="2078" spans="2:12" x14ac:dyDescent="0.2">
      <c r="B2078" s="62" t="s">
        <v>3853</v>
      </c>
      <c r="C2078" s="61" t="s">
        <v>708</v>
      </c>
      <c r="D2078" s="60">
        <v>0.93781099999999995</v>
      </c>
      <c r="E2078" s="59">
        <v>4.7881799999999997</v>
      </c>
      <c r="F2078" s="59">
        <v>6.3347100000000003</v>
      </c>
      <c r="G2078" s="56">
        <v>1371.6</v>
      </c>
      <c r="H2078" s="56">
        <v>1462.55</v>
      </c>
      <c r="I2078" s="58">
        <v>0.60834299999999997</v>
      </c>
      <c r="J2078" s="57">
        <v>0.64015999999999995</v>
      </c>
      <c r="K2078" s="56"/>
      <c r="L2078" s="56" t="s">
        <v>488</v>
      </c>
    </row>
    <row r="2079" spans="2:12" x14ac:dyDescent="0.2">
      <c r="B2079" s="62" t="s">
        <v>3852</v>
      </c>
      <c r="C2079" s="61" t="s">
        <v>708</v>
      </c>
      <c r="D2079" s="60">
        <v>0.93033299999999997</v>
      </c>
      <c r="E2079" s="59">
        <v>4.6241500000000002</v>
      </c>
      <c r="F2079" s="59">
        <v>6.4628500000000004</v>
      </c>
      <c r="G2079" s="56">
        <v>1342.48</v>
      </c>
      <c r="H2079" s="56">
        <v>1443.01</v>
      </c>
      <c r="I2079" s="58">
        <v>0.59501400000000004</v>
      </c>
      <c r="J2079" s="57">
        <v>0.64525299999999997</v>
      </c>
      <c r="K2079" s="56"/>
      <c r="L2079" s="56" t="s">
        <v>488</v>
      </c>
    </row>
    <row r="2080" spans="2:12" x14ac:dyDescent="0.2">
      <c r="B2080" s="62" t="s">
        <v>3851</v>
      </c>
      <c r="C2080" s="61" t="s">
        <v>499</v>
      </c>
      <c r="D2080" s="60">
        <v>0.90312599999999998</v>
      </c>
      <c r="E2080" s="59">
        <v>3.7517999999999998</v>
      </c>
      <c r="F2080" s="59">
        <v>11.31874</v>
      </c>
      <c r="G2080" s="56">
        <v>1242.18</v>
      </c>
      <c r="H2080" s="56">
        <v>1375.42</v>
      </c>
      <c r="I2080" s="58">
        <v>0.49010399999999998</v>
      </c>
      <c r="J2080" s="57">
        <v>0.70202299999999995</v>
      </c>
      <c r="K2080" s="56" t="s">
        <v>1816</v>
      </c>
      <c r="L2080" s="56" t="s">
        <v>563</v>
      </c>
    </row>
    <row r="2081" spans="2:12" x14ac:dyDescent="0.2">
      <c r="B2081" s="62" t="s">
        <v>3850</v>
      </c>
      <c r="C2081" s="61" t="s">
        <v>499</v>
      </c>
      <c r="D2081" s="60">
        <v>1.1872</v>
      </c>
      <c r="E2081" s="59">
        <v>4.0221299999999998</v>
      </c>
      <c r="F2081" s="59">
        <v>4.6774199999999997</v>
      </c>
      <c r="G2081" s="56">
        <v>590.93600000000004</v>
      </c>
      <c r="H2081" s="56">
        <v>497.75799999999998</v>
      </c>
      <c r="I2081" s="58">
        <v>0.42710900000000002</v>
      </c>
      <c r="J2081" s="57">
        <v>0.43811699999999998</v>
      </c>
      <c r="K2081" s="56"/>
      <c r="L2081" s="56" t="s">
        <v>488</v>
      </c>
    </row>
    <row r="2082" spans="2:12" x14ac:dyDescent="0.2">
      <c r="B2082" s="62" t="s">
        <v>3849</v>
      </c>
      <c r="C2082" s="61" t="s">
        <v>499</v>
      </c>
      <c r="D2082" s="60">
        <v>1.3638999999999999</v>
      </c>
      <c r="E2082" s="59">
        <v>3.3039800000000001</v>
      </c>
      <c r="F2082" s="59">
        <v>4.8929299999999998</v>
      </c>
      <c r="G2082" s="56">
        <v>0</v>
      </c>
      <c r="H2082" s="56">
        <v>0</v>
      </c>
      <c r="I2082" s="58">
        <v>0.31297900000000001</v>
      </c>
      <c r="J2082" s="57">
        <v>0.33727600000000002</v>
      </c>
      <c r="K2082" s="56"/>
      <c r="L2082" s="56" t="s">
        <v>488</v>
      </c>
    </row>
    <row r="2083" spans="2:12" x14ac:dyDescent="0.2">
      <c r="B2083" s="62" t="s">
        <v>3848</v>
      </c>
      <c r="C2083" s="61" t="s">
        <v>499</v>
      </c>
      <c r="D2083" s="60">
        <v>1.1671499999999999</v>
      </c>
      <c r="E2083" s="59">
        <v>4.1803499999999998</v>
      </c>
      <c r="F2083" s="59">
        <v>6.3481399999999999</v>
      </c>
      <c r="G2083" s="56">
        <v>810.74099999999999</v>
      </c>
      <c r="H2083" s="56">
        <v>694.63099999999997</v>
      </c>
      <c r="I2083" s="58">
        <v>0.48090300000000002</v>
      </c>
      <c r="J2083" s="57">
        <v>0.46221600000000002</v>
      </c>
      <c r="K2083" s="56"/>
      <c r="L2083" s="56" t="s">
        <v>488</v>
      </c>
    </row>
    <row r="2084" spans="2:12" x14ac:dyDescent="0.2">
      <c r="B2084" s="62" t="s">
        <v>3847</v>
      </c>
      <c r="C2084" s="61" t="s">
        <v>502</v>
      </c>
      <c r="D2084" s="60">
        <v>1.08328</v>
      </c>
      <c r="E2084" s="59">
        <v>3.9512700000000001</v>
      </c>
      <c r="F2084" s="59">
        <v>9.7714800000000004</v>
      </c>
      <c r="G2084" s="56">
        <v>1248.53</v>
      </c>
      <c r="H2084" s="56">
        <v>1152.54</v>
      </c>
      <c r="I2084" s="58">
        <v>0.61768000000000001</v>
      </c>
      <c r="J2084" s="57">
        <v>0.58892900000000004</v>
      </c>
      <c r="K2084" s="56"/>
      <c r="L2084" s="56" t="s">
        <v>488</v>
      </c>
    </row>
    <row r="2085" spans="2:12" x14ac:dyDescent="0.2">
      <c r="B2085" s="62" t="s">
        <v>3846</v>
      </c>
      <c r="C2085" s="61" t="s">
        <v>641</v>
      </c>
      <c r="D2085" s="60">
        <v>1.87985</v>
      </c>
      <c r="E2085" s="59">
        <v>2.5154200000000002</v>
      </c>
      <c r="F2085" s="59">
        <v>3.4941499999999999</v>
      </c>
      <c r="G2085" s="56">
        <v>0</v>
      </c>
      <c r="H2085" s="56">
        <v>0</v>
      </c>
      <c r="I2085" s="58">
        <v>0.16355700000000001</v>
      </c>
      <c r="J2085" s="57">
        <v>0.24632000000000001</v>
      </c>
      <c r="K2085" s="56"/>
      <c r="L2085" s="56" t="s">
        <v>488</v>
      </c>
    </row>
    <row r="2086" spans="2:12" x14ac:dyDescent="0.2">
      <c r="B2086" s="62" t="s">
        <v>3845</v>
      </c>
      <c r="C2086" s="61" t="s">
        <v>507</v>
      </c>
      <c r="D2086" s="60">
        <v>1.90381</v>
      </c>
      <c r="E2086" s="59">
        <v>2.4849399999999999</v>
      </c>
      <c r="F2086" s="59">
        <v>3.4807399999999999</v>
      </c>
      <c r="G2086" s="56">
        <v>0</v>
      </c>
      <c r="H2086" s="56">
        <v>0</v>
      </c>
      <c r="I2086" s="58">
        <v>0.16107299999999999</v>
      </c>
      <c r="J2086" s="57">
        <v>0.24217900000000001</v>
      </c>
      <c r="K2086" s="56"/>
      <c r="L2086" s="56" t="s">
        <v>488</v>
      </c>
    </row>
    <row r="2087" spans="2:12" x14ac:dyDescent="0.2">
      <c r="B2087" s="62" t="s">
        <v>3844</v>
      </c>
      <c r="C2087" s="61" t="s">
        <v>3714</v>
      </c>
      <c r="D2087" s="60">
        <v>1.3503000000000001</v>
      </c>
      <c r="E2087" s="59">
        <v>2.5037099999999999</v>
      </c>
      <c r="F2087" s="59">
        <v>3.6533000000000002</v>
      </c>
      <c r="G2087" s="56">
        <v>0</v>
      </c>
      <c r="H2087" s="56">
        <v>0</v>
      </c>
      <c r="I2087" s="58">
        <v>0.42448200000000003</v>
      </c>
      <c r="J2087" s="57">
        <v>0.26685700000000001</v>
      </c>
      <c r="K2087" s="56"/>
      <c r="L2087" s="56" t="s">
        <v>624</v>
      </c>
    </row>
    <row r="2088" spans="2:12" x14ac:dyDescent="0.2">
      <c r="B2088" s="62" t="s">
        <v>3843</v>
      </c>
      <c r="C2088" s="61" t="s">
        <v>708</v>
      </c>
      <c r="D2088" s="60">
        <v>1.05688</v>
      </c>
      <c r="E2088" s="59">
        <v>4.3091100000000004</v>
      </c>
      <c r="F2088" s="59">
        <v>7.9975500000000004</v>
      </c>
      <c r="G2088" s="56">
        <v>915.81100000000004</v>
      </c>
      <c r="H2088" s="56">
        <v>866.52200000000005</v>
      </c>
      <c r="I2088" s="58">
        <v>0.584951</v>
      </c>
      <c r="J2088" s="57">
        <v>0.56976199999999999</v>
      </c>
      <c r="K2088" s="56"/>
      <c r="L2088" s="56" t="s">
        <v>488</v>
      </c>
    </row>
    <row r="2089" spans="2:12" x14ac:dyDescent="0.2">
      <c r="B2089" s="62" t="s">
        <v>3842</v>
      </c>
      <c r="C2089" s="61" t="s">
        <v>708</v>
      </c>
      <c r="D2089" s="60">
        <v>0.73926499999999995</v>
      </c>
      <c r="E2089" s="59">
        <v>6.7875100000000002</v>
      </c>
      <c r="F2089" s="59">
        <v>10.033860000000001</v>
      </c>
      <c r="G2089" s="56">
        <v>1939.61</v>
      </c>
      <c r="H2089" s="56">
        <v>2623.71</v>
      </c>
      <c r="I2089" s="58">
        <v>0.72017699999999996</v>
      </c>
      <c r="J2089" s="57">
        <v>0.94786499999999996</v>
      </c>
      <c r="K2089" s="56"/>
      <c r="L2089" s="56" t="s">
        <v>488</v>
      </c>
    </row>
    <row r="2090" spans="2:12" x14ac:dyDescent="0.2">
      <c r="B2090" s="62" t="s">
        <v>3841</v>
      </c>
      <c r="C2090" s="61" t="s">
        <v>708</v>
      </c>
      <c r="D2090" s="60">
        <v>0.63700699999999999</v>
      </c>
      <c r="E2090" s="59">
        <v>7.4934000000000003</v>
      </c>
      <c r="F2090" s="59">
        <v>12.53415</v>
      </c>
      <c r="G2090" s="56">
        <v>1961.25</v>
      </c>
      <c r="H2090" s="56">
        <v>3078.85</v>
      </c>
      <c r="I2090" s="58">
        <v>0.76935500000000001</v>
      </c>
      <c r="J2090" s="57">
        <v>1.1534800000000001</v>
      </c>
      <c r="K2090" s="56"/>
      <c r="L2090" s="56" t="s">
        <v>488</v>
      </c>
    </row>
    <row r="2091" spans="2:12" x14ac:dyDescent="0.2">
      <c r="B2091" s="62" t="s">
        <v>3840</v>
      </c>
      <c r="C2091" s="61" t="s">
        <v>708</v>
      </c>
      <c r="D2091" s="60">
        <v>0.59462400000000004</v>
      </c>
      <c r="E2091" s="59">
        <v>7.8680899999999996</v>
      </c>
      <c r="F2091" s="59">
        <v>11.64063</v>
      </c>
      <c r="G2091" s="56">
        <v>2061.17</v>
      </c>
      <c r="H2091" s="56">
        <v>3466.34</v>
      </c>
      <c r="I2091" s="58">
        <v>0.80229600000000001</v>
      </c>
      <c r="J2091" s="57">
        <v>1.2626599999999999</v>
      </c>
      <c r="K2091" s="56"/>
      <c r="L2091" s="56" t="s">
        <v>488</v>
      </c>
    </row>
    <row r="2092" spans="2:12" x14ac:dyDescent="0.2">
      <c r="B2092" s="62" t="s">
        <v>3839</v>
      </c>
      <c r="C2092" s="61" t="s">
        <v>708</v>
      </c>
      <c r="D2092" s="60">
        <v>0.45978200000000002</v>
      </c>
      <c r="E2092" s="59">
        <v>10.481719999999999</v>
      </c>
      <c r="F2092" s="59">
        <v>15.53234</v>
      </c>
      <c r="G2092" s="56">
        <v>1856.03</v>
      </c>
      <c r="H2092" s="56">
        <v>4036.75</v>
      </c>
      <c r="I2092" s="58">
        <v>0.84308499999999997</v>
      </c>
      <c r="J2092" s="57">
        <v>1.73891</v>
      </c>
      <c r="K2092" s="56"/>
      <c r="L2092" s="56" t="s">
        <v>488</v>
      </c>
    </row>
    <row r="2093" spans="2:12" x14ac:dyDescent="0.2">
      <c r="B2093" s="62" t="s">
        <v>3838</v>
      </c>
      <c r="C2093" s="61" t="s">
        <v>502</v>
      </c>
      <c r="D2093" s="60">
        <v>1.6659600000000001</v>
      </c>
      <c r="E2093" s="59">
        <v>2.9286099999999999</v>
      </c>
      <c r="F2093" s="59">
        <v>4.03993</v>
      </c>
      <c r="G2093" s="56">
        <v>0</v>
      </c>
      <c r="H2093" s="56">
        <v>0</v>
      </c>
      <c r="I2093" s="58">
        <v>0.19300899999999999</v>
      </c>
      <c r="J2093" s="57">
        <v>0.24843100000000001</v>
      </c>
      <c r="K2093" s="56"/>
      <c r="L2093" s="56" t="s">
        <v>488</v>
      </c>
    </row>
    <row r="2094" spans="2:12" x14ac:dyDescent="0.2">
      <c r="B2094" s="62" t="s">
        <v>3837</v>
      </c>
      <c r="C2094" s="61" t="s">
        <v>550</v>
      </c>
      <c r="D2094" s="60">
        <v>0.98643700000000001</v>
      </c>
      <c r="E2094" s="59">
        <v>4.1409099999999999</v>
      </c>
      <c r="F2094" s="59">
        <v>6.01546</v>
      </c>
      <c r="G2094" s="56">
        <v>1880.88</v>
      </c>
      <c r="H2094" s="56">
        <v>1906.75</v>
      </c>
      <c r="I2094" s="58">
        <v>0.66623600000000005</v>
      </c>
      <c r="J2094" s="57">
        <v>0.66574299999999997</v>
      </c>
      <c r="K2094" s="56"/>
      <c r="L2094" s="56" t="s">
        <v>488</v>
      </c>
    </row>
    <row r="2095" spans="2:12" x14ac:dyDescent="0.2">
      <c r="B2095" s="62" t="s">
        <v>3836</v>
      </c>
      <c r="C2095" s="61" t="s">
        <v>550</v>
      </c>
      <c r="D2095" s="60">
        <v>1.40557</v>
      </c>
      <c r="E2095" s="59">
        <v>6.06717</v>
      </c>
      <c r="F2095" s="59">
        <v>6.2540300000000002</v>
      </c>
      <c r="G2095" s="56">
        <v>302.00599999999997</v>
      </c>
      <c r="H2095" s="56">
        <v>214.863</v>
      </c>
      <c r="I2095" s="58">
        <v>0.15084600000000001</v>
      </c>
      <c r="J2095" s="57">
        <v>0.30713099999999999</v>
      </c>
      <c r="K2095" s="56"/>
      <c r="L2095" s="56" t="s">
        <v>488</v>
      </c>
    </row>
    <row r="2096" spans="2:12" x14ac:dyDescent="0.2">
      <c r="B2096" s="62" t="s">
        <v>3835</v>
      </c>
      <c r="C2096" s="61" t="s">
        <v>510</v>
      </c>
      <c r="D2096" s="60">
        <v>1.15534</v>
      </c>
      <c r="E2096" s="59">
        <v>4.9153700000000002</v>
      </c>
      <c r="F2096" s="59">
        <v>5.2625200000000003</v>
      </c>
      <c r="G2096" s="56">
        <v>1206.8800000000001</v>
      </c>
      <c r="H2096" s="56">
        <v>1044.6099999999999</v>
      </c>
      <c r="I2096" s="58">
        <v>0.47418700000000003</v>
      </c>
      <c r="J2096" s="57">
        <v>0.459843</v>
      </c>
      <c r="K2096" s="56"/>
      <c r="L2096" s="56" t="s">
        <v>488</v>
      </c>
    </row>
    <row r="2097" spans="2:12" x14ac:dyDescent="0.2">
      <c r="B2097" s="62" t="s">
        <v>3834</v>
      </c>
      <c r="C2097" s="61" t="s">
        <v>579</v>
      </c>
      <c r="D2097" s="60">
        <v>1.0747</v>
      </c>
      <c r="E2097" s="59">
        <v>4.5951899999999997</v>
      </c>
      <c r="F2097" s="59">
        <v>6.8482200000000004</v>
      </c>
      <c r="G2097" s="56">
        <v>1659.99</v>
      </c>
      <c r="H2097" s="56">
        <v>1544.6</v>
      </c>
      <c r="I2097" s="58">
        <v>0.53107499999999996</v>
      </c>
      <c r="J2097" s="57">
        <v>0.58244700000000005</v>
      </c>
      <c r="K2097" s="56"/>
      <c r="L2097" s="56" t="s">
        <v>492</v>
      </c>
    </row>
    <row r="2098" spans="2:12" x14ac:dyDescent="0.2">
      <c r="B2098" s="62" t="s">
        <v>3833</v>
      </c>
      <c r="C2098" s="61" t="s">
        <v>541</v>
      </c>
      <c r="D2098" s="60">
        <v>1.03139</v>
      </c>
      <c r="E2098" s="59">
        <v>6.4647500000000004</v>
      </c>
      <c r="F2098" s="59">
        <v>9.5284300000000002</v>
      </c>
      <c r="G2098" s="56">
        <v>1806.35</v>
      </c>
      <c r="H2098" s="56">
        <v>1751.38</v>
      </c>
      <c r="I2098" s="58">
        <v>0.61748800000000004</v>
      </c>
      <c r="J2098" s="57">
        <v>0.629884</v>
      </c>
      <c r="K2098" s="56"/>
      <c r="L2098" s="56" t="s">
        <v>488</v>
      </c>
    </row>
    <row r="2099" spans="2:12" x14ac:dyDescent="0.2">
      <c r="B2099" s="62" t="s">
        <v>3832</v>
      </c>
      <c r="C2099" s="61" t="s">
        <v>537</v>
      </c>
      <c r="D2099" s="60">
        <v>2.5731000000000002</v>
      </c>
      <c r="E2099" s="59">
        <v>3.4738000000000002</v>
      </c>
      <c r="F2099" s="59">
        <v>5.0207100000000002</v>
      </c>
      <c r="G2099" s="56">
        <v>0</v>
      </c>
      <c r="H2099" s="56">
        <v>0</v>
      </c>
      <c r="I2099" s="58">
        <v>0.25092300000000001</v>
      </c>
      <c r="J2099" s="57">
        <v>0.15396699999999999</v>
      </c>
      <c r="K2099" s="56"/>
      <c r="L2099" s="56" t="s">
        <v>488</v>
      </c>
    </row>
    <row r="2100" spans="2:12" x14ac:dyDescent="0.2">
      <c r="B2100" s="62" t="s">
        <v>3831</v>
      </c>
      <c r="C2100" s="61" t="s">
        <v>708</v>
      </c>
      <c r="D2100" s="60">
        <v>1.3574600000000001</v>
      </c>
      <c r="E2100" s="59">
        <v>2.4160400000000002</v>
      </c>
      <c r="F2100" s="59">
        <v>3.8053599999999999</v>
      </c>
      <c r="G2100" s="56">
        <v>0</v>
      </c>
      <c r="H2100" s="56">
        <v>0</v>
      </c>
      <c r="I2100" s="58">
        <v>0.14768400000000001</v>
      </c>
      <c r="J2100" s="57">
        <v>0.30259599999999998</v>
      </c>
      <c r="K2100" s="56"/>
      <c r="L2100" s="56" t="s">
        <v>488</v>
      </c>
    </row>
    <row r="2101" spans="2:12" x14ac:dyDescent="0.2">
      <c r="B2101" s="62" t="s">
        <v>3830</v>
      </c>
      <c r="C2101" s="61" t="s">
        <v>510</v>
      </c>
      <c r="D2101" s="60">
        <v>1.8214900000000001</v>
      </c>
      <c r="E2101" s="59">
        <v>2.8379599999999998</v>
      </c>
      <c r="F2101" s="59">
        <v>5.5403900000000004</v>
      </c>
      <c r="G2101" s="56">
        <v>0</v>
      </c>
      <c r="H2101" s="56">
        <v>0</v>
      </c>
      <c r="I2101" s="58">
        <v>0.25719900000000001</v>
      </c>
      <c r="J2101" s="57">
        <v>0.244009</v>
      </c>
      <c r="K2101" s="56"/>
      <c r="L2101" s="56" t="s">
        <v>488</v>
      </c>
    </row>
    <row r="2102" spans="2:12" x14ac:dyDescent="0.2">
      <c r="B2102" s="62" t="s">
        <v>3829</v>
      </c>
      <c r="C2102" s="61" t="s">
        <v>798</v>
      </c>
      <c r="D2102" s="60">
        <v>1.3913599999999999</v>
      </c>
      <c r="E2102" s="59">
        <v>2.9714</v>
      </c>
      <c r="F2102" s="59">
        <v>5.59809</v>
      </c>
      <c r="G2102" s="56">
        <v>0</v>
      </c>
      <c r="H2102" s="56">
        <v>0</v>
      </c>
      <c r="I2102" s="58">
        <v>0.27216000000000001</v>
      </c>
      <c r="J2102" s="57">
        <v>0.329735</v>
      </c>
      <c r="K2102" s="56"/>
      <c r="L2102" s="56" t="s">
        <v>488</v>
      </c>
    </row>
    <row r="2103" spans="2:12" x14ac:dyDescent="0.2">
      <c r="B2103" s="62" t="s">
        <v>3828</v>
      </c>
      <c r="C2103" s="61" t="s">
        <v>499</v>
      </c>
      <c r="D2103" s="60">
        <v>1.8963000000000001</v>
      </c>
      <c r="E2103" s="59">
        <v>2.8713600000000001</v>
      </c>
      <c r="F2103" s="59">
        <v>5.5663600000000004</v>
      </c>
      <c r="G2103" s="56">
        <v>0</v>
      </c>
      <c r="H2103" s="56">
        <v>0</v>
      </c>
      <c r="I2103" s="58">
        <v>0.26700299999999999</v>
      </c>
      <c r="J2103" s="57">
        <v>0.244587</v>
      </c>
      <c r="K2103" s="56"/>
      <c r="L2103" s="56" t="s">
        <v>488</v>
      </c>
    </row>
    <row r="2104" spans="2:12" x14ac:dyDescent="0.2">
      <c r="B2104" s="62" t="s">
        <v>3827</v>
      </c>
      <c r="C2104" s="61" t="s">
        <v>502</v>
      </c>
      <c r="D2104" s="60">
        <v>2.0701000000000001</v>
      </c>
      <c r="E2104" s="59">
        <v>4.0898500000000002</v>
      </c>
      <c r="F2104" s="59">
        <v>5.2296199999999997</v>
      </c>
      <c r="G2104" s="56">
        <v>514.19600000000003</v>
      </c>
      <c r="H2104" s="56">
        <v>248.392</v>
      </c>
      <c r="I2104" s="58">
        <v>0.22533500000000001</v>
      </c>
      <c r="J2104" s="57">
        <v>0.20150599999999999</v>
      </c>
      <c r="K2104" s="56"/>
      <c r="L2104" s="56" t="s">
        <v>488</v>
      </c>
    </row>
    <row r="2105" spans="2:12" x14ac:dyDescent="0.2">
      <c r="B2105" s="62" t="s">
        <v>3826</v>
      </c>
      <c r="C2105" s="61" t="s">
        <v>495</v>
      </c>
      <c r="D2105" s="60">
        <v>1.0841799999999999</v>
      </c>
      <c r="E2105" s="59">
        <v>6.3880699999999999</v>
      </c>
      <c r="F2105" s="59">
        <v>7.6213600000000001</v>
      </c>
      <c r="G2105" s="56">
        <v>1363.23</v>
      </c>
      <c r="H2105" s="56">
        <v>1257.3800000000001</v>
      </c>
      <c r="I2105" s="58">
        <v>0.53441799999999995</v>
      </c>
      <c r="J2105" s="57">
        <v>0.53273300000000001</v>
      </c>
      <c r="K2105" s="56"/>
      <c r="L2105" s="56" t="s">
        <v>488</v>
      </c>
    </row>
    <row r="2106" spans="2:12" x14ac:dyDescent="0.2">
      <c r="B2106" s="62" t="s">
        <v>3825</v>
      </c>
      <c r="C2106" s="61" t="s">
        <v>555</v>
      </c>
      <c r="D2106" s="60">
        <v>1.5522400000000001</v>
      </c>
      <c r="E2106" s="59">
        <v>3.7681900000000002</v>
      </c>
      <c r="F2106" s="59">
        <v>5.1257900000000003</v>
      </c>
      <c r="G2106" s="56">
        <v>304.20100000000002</v>
      </c>
      <c r="H2106" s="56">
        <v>195.976</v>
      </c>
      <c r="I2106" s="58">
        <v>0.26973999999999998</v>
      </c>
      <c r="J2106" s="57">
        <v>0.22334000000000001</v>
      </c>
      <c r="K2106" s="56"/>
      <c r="L2106" s="56" t="s">
        <v>488</v>
      </c>
    </row>
    <row r="2107" spans="2:12" x14ac:dyDescent="0.2">
      <c r="B2107" s="62" t="s">
        <v>3824</v>
      </c>
      <c r="C2107" s="61" t="s">
        <v>555</v>
      </c>
      <c r="D2107" s="60">
        <v>1.5536300000000001</v>
      </c>
      <c r="E2107" s="59">
        <v>3.6607500000000002</v>
      </c>
      <c r="F2107" s="59">
        <v>4.9919200000000004</v>
      </c>
      <c r="G2107" s="56">
        <v>0</v>
      </c>
      <c r="H2107" s="56">
        <v>0</v>
      </c>
      <c r="I2107" s="58">
        <v>0.23507400000000001</v>
      </c>
      <c r="J2107" s="57">
        <v>0.22370100000000001</v>
      </c>
      <c r="K2107" s="56"/>
      <c r="L2107" s="56" t="s">
        <v>488</v>
      </c>
    </row>
    <row r="2108" spans="2:12" x14ac:dyDescent="0.2">
      <c r="B2108" s="62" t="s">
        <v>3823</v>
      </c>
      <c r="C2108" s="61" t="s">
        <v>555</v>
      </c>
      <c r="D2108" s="60">
        <v>1.5677000000000001</v>
      </c>
      <c r="E2108" s="59">
        <v>4.04434</v>
      </c>
      <c r="F2108" s="59">
        <v>4.5051199999999998</v>
      </c>
      <c r="G2108" s="56">
        <v>229.65</v>
      </c>
      <c r="H2108" s="56">
        <v>147.815</v>
      </c>
      <c r="I2108" s="58">
        <v>0.26220300000000002</v>
      </c>
      <c r="J2108" s="57">
        <v>0.21854199999999999</v>
      </c>
      <c r="K2108" s="56"/>
      <c r="L2108" s="56" t="s">
        <v>488</v>
      </c>
    </row>
    <row r="2109" spans="2:12" x14ac:dyDescent="0.2">
      <c r="B2109" s="62" t="s">
        <v>3822</v>
      </c>
      <c r="C2109" s="61" t="s">
        <v>550</v>
      </c>
      <c r="D2109" s="60">
        <v>1.60849</v>
      </c>
      <c r="E2109" s="59">
        <v>2.5915599999999999</v>
      </c>
      <c r="F2109" s="59">
        <v>4.5136900000000004</v>
      </c>
      <c r="G2109" s="56">
        <v>0</v>
      </c>
      <c r="H2109" s="56">
        <v>0</v>
      </c>
      <c r="I2109" s="58">
        <v>9.8480300000000007E-2</v>
      </c>
      <c r="J2109" s="57">
        <v>0.22231699999999999</v>
      </c>
      <c r="K2109" s="56"/>
      <c r="L2109" s="56" t="s">
        <v>488</v>
      </c>
    </row>
    <row r="2110" spans="2:12" x14ac:dyDescent="0.2">
      <c r="B2110" s="62" t="s">
        <v>3821</v>
      </c>
      <c r="C2110" s="61" t="s">
        <v>555</v>
      </c>
      <c r="D2110" s="60">
        <v>1.2143900000000001</v>
      </c>
      <c r="E2110" s="59">
        <v>5.4903899999999997</v>
      </c>
      <c r="F2110" s="59">
        <v>5.6946000000000003</v>
      </c>
      <c r="G2110" s="56">
        <v>1081.1500000000001</v>
      </c>
      <c r="H2110" s="56">
        <v>890.28700000000003</v>
      </c>
      <c r="I2110" s="58">
        <v>0.57743100000000003</v>
      </c>
      <c r="J2110" s="57">
        <v>0.41379899999999997</v>
      </c>
      <c r="K2110" s="56"/>
      <c r="L2110" s="56" t="s">
        <v>488</v>
      </c>
    </row>
    <row r="2111" spans="2:12" x14ac:dyDescent="0.2">
      <c r="B2111" s="62" t="s">
        <v>3820</v>
      </c>
      <c r="C2111" s="61" t="s">
        <v>555</v>
      </c>
      <c r="D2111" s="60">
        <v>1.1941200000000001</v>
      </c>
      <c r="E2111" s="59">
        <v>5.2358200000000004</v>
      </c>
      <c r="F2111" s="59">
        <v>5.49315</v>
      </c>
      <c r="G2111" s="56">
        <v>1105.3699999999999</v>
      </c>
      <c r="H2111" s="56">
        <v>925.67499999999995</v>
      </c>
      <c r="I2111" s="58">
        <v>0.56357100000000004</v>
      </c>
      <c r="J2111" s="57">
        <v>0.42879</v>
      </c>
      <c r="K2111" s="56"/>
      <c r="L2111" s="56" t="s">
        <v>488</v>
      </c>
    </row>
    <row r="2112" spans="2:12" x14ac:dyDescent="0.2">
      <c r="B2112" s="62" t="s">
        <v>3819</v>
      </c>
      <c r="C2112" s="61" t="s">
        <v>555</v>
      </c>
      <c r="D2112" s="60">
        <v>0.97710200000000003</v>
      </c>
      <c r="E2112" s="59">
        <v>4.8582299999999998</v>
      </c>
      <c r="F2112" s="59">
        <v>5.9238099999999996</v>
      </c>
      <c r="G2112" s="56">
        <v>1644.76</v>
      </c>
      <c r="H2112" s="56">
        <v>1683.3</v>
      </c>
      <c r="I2112" s="58">
        <v>0.63672099999999998</v>
      </c>
      <c r="J2112" s="57">
        <v>0.60807299999999997</v>
      </c>
      <c r="K2112" s="56"/>
      <c r="L2112" s="56" t="s">
        <v>488</v>
      </c>
    </row>
    <row r="2113" spans="2:12" x14ac:dyDescent="0.2">
      <c r="B2113" s="62" t="s">
        <v>3818</v>
      </c>
      <c r="C2113" s="61" t="s">
        <v>510</v>
      </c>
      <c r="D2113" s="60">
        <v>1.1523099999999999</v>
      </c>
      <c r="E2113" s="59">
        <v>5.5712200000000003</v>
      </c>
      <c r="F2113" s="59">
        <v>6.7256299999999998</v>
      </c>
      <c r="G2113" s="56">
        <v>767.41300000000001</v>
      </c>
      <c r="H2113" s="56">
        <v>665.97500000000002</v>
      </c>
      <c r="I2113" s="58">
        <v>0.39585999999999999</v>
      </c>
      <c r="J2113" s="57">
        <v>0.43086099999999999</v>
      </c>
      <c r="K2113" s="56"/>
      <c r="L2113" s="56" t="s">
        <v>492</v>
      </c>
    </row>
    <row r="2114" spans="2:12" x14ac:dyDescent="0.2">
      <c r="B2114" s="62" t="s">
        <v>3817</v>
      </c>
      <c r="C2114" s="61" t="s">
        <v>550</v>
      </c>
      <c r="D2114" s="60">
        <v>1.0451299999999999</v>
      </c>
      <c r="E2114" s="59">
        <v>5.4148399999999999</v>
      </c>
      <c r="F2114" s="59">
        <v>6.4960199999999997</v>
      </c>
      <c r="G2114" s="56">
        <v>2455.91</v>
      </c>
      <c r="H2114" s="56">
        <v>2349.86</v>
      </c>
      <c r="I2114" s="58">
        <v>0.65021899999999999</v>
      </c>
      <c r="J2114" s="57">
        <v>0.72745199999999999</v>
      </c>
      <c r="K2114" s="56"/>
      <c r="L2114" s="56" t="s">
        <v>488</v>
      </c>
    </row>
    <row r="2115" spans="2:12" x14ac:dyDescent="0.2">
      <c r="B2115" s="62" t="s">
        <v>3816</v>
      </c>
      <c r="C2115" s="61" t="s">
        <v>3815</v>
      </c>
      <c r="D2115" s="60">
        <v>1.22543</v>
      </c>
      <c r="E2115" s="59">
        <v>3.5805899999999999</v>
      </c>
      <c r="F2115" s="59">
        <v>4.8457800000000004</v>
      </c>
      <c r="G2115" s="56">
        <v>0</v>
      </c>
      <c r="H2115" s="56">
        <v>0</v>
      </c>
      <c r="I2115" s="58">
        <v>0.32097799999999999</v>
      </c>
      <c r="J2115" s="57">
        <v>0.399088</v>
      </c>
      <c r="K2115" s="56"/>
      <c r="L2115" s="56" t="s">
        <v>492</v>
      </c>
    </row>
    <row r="2116" spans="2:12" x14ac:dyDescent="0.2">
      <c r="B2116" s="62" t="s">
        <v>3814</v>
      </c>
      <c r="C2116" s="61" t="s">
        <v>499</v>
      </c>
      <c r="D2116" s="60">
        <v>1.24227</v>
      </c>
      <c r="E2116" s="59">
        <v>4.6978099999999996</v>
      </c>
      <c r="F2116" s="59">
        <v>6.4708399999999999</v>
      </c>
      <c r="G2116" s="56">
        <v>685.63300000000004</v>
      </c>
      <c r="H2116" s="56">
        <v>551.91899999999998</v>
      </c>
      <c r="I2116" s="58">
        <v>0.36540499999999998</v>
      </c>
      <c r="J2116" s="57">
        <v>0.390459</v>
      </c>
      <c r="K2116" s="56"/>
      <c r="L2116" s="56" t="s">
        <v>488</v>
      </c>
    </row>
    <row r="2117" spans="2:12" x14ac:dyDescent="0.2">
      <c r="B2117" s="62" t="s">
        <v>3813</v>
      </c>
      <c r="C2117" s="61" t="s">
        <v>499</v>
      </c>
      <c r="D2117" s="60">
        <v>0.70611900000000005</v>
      </c>
      <c r="E2117" s="59">
        <v>7.03728</v>
      </c>
      <c r="F2117" s="59">
        <v>11.082319999999999</v>
      </c>
      <c r="G2117" s="56">
        <v>2180.31</v>
      </c>
      <c r="H2117" s="56">
        <v>3087.74</v>
      </c>
      <c r="I2117" s="58">
        <v>0.81743299999999997</v>
      </c>
      <c r="J2117" s="57">
        <v>1.0699799999999999</v>
      </c>
      <c r="K2117" s="56"/>
      <c r="L2117" s="56" t="s">
        <v>488</v>
      </c>
    </row>
    <row r="2118" spans="2:12" x14ac:dyDescent="0.2">
      <c r="B2118" s="62" t="s">
        <v>3812</v>
      </c>
      <c r="C2118" s="61" t="s">
        <v>499</v>
      </c>
      <c r="D2118" s="60">
        <v>0.75648300000000002</v>
      </c>
      <c r="E2118" s="59">
        <v>5.6932099999999997</v>
      </c>
      <c r="F2118" s="59">
        <v>11.605510000000001</v>
      </c>
      <c r="G2118" s="56">
        <v>2301.9899999999998</v>
      </c>
      <c r="H2118" s="56">
        <v>3043.01</v>
      </c>
      <c r="I2118" s="58">
        <v>0.79508199999999996</v>
      </c>
      <c r="J2118" s="57">
        <v>0.97239500000000001</v>
      </c>
      <c r="K2118" s="56"/>
      <c r="L2118" s="56" t="s">
        <v>488</v>
      </c>
    </row>
    <row r="2119" spans="2:12" x14ac:dyDescent="0.2">
      <c r="B2119" s="62" t="s">
        <v>3811</v>
      </c>
      <c r="C2119" s="61" t="s">
        <v>499</v>
      </c>
      <c r="D2119" s="60">
        <v>0.72084000000000004</v>
      </c>
      <c r="E2119" s="59">
        <v>8.0548800000000007</v>
      </c>
      <c r="F2119" s="59">
        <v>11.98728</v>
      </c>
      <c r="G2119" s="56">
        <v>2183.14</v>
      </c>
      <c r="H2119" s="56">
        <v>3028.61</v>
      </c>
      <c r="I2119" s="58">
        <v>0.80498199999999998</v>
      </c>
      <c r="J2119" s="57">
        <v>1.0407999999999999</v>
      </c>
      <c r="K2119" s="56"/>
      <c r="L2119" s="56" t="s">
        <v>488</v>
      </c>
    </row>
    <row r="2120" spans="2:12" x14ac:dyDescent="0.2">
      <c r="B2120" s="62" t="s">
        <v>3810</v>
      </c>
      <c r="C2120" s="61" t="s">
        <v>510</v>
      </c>
      <c r="D2120" s="60">
        <v>1.18787</v>
      </c>
      <c r="E2120" s="59">
        <v>4.17239</v>
      </c>
      <c r="F2120" s="59">
        <v>5.6703099999999997</v>
      </c>
      <c r="G2120" s="56">
        <v>1279.55</v>
      </c>
      <c r="H2120" s="56">
        <v>1077.18</v>
      </c>
      <c r="I2120" s="58">
        <v>0.48057899999999998</v>
      </c>
      <c r="J2120" s="57">
        <v>0.45489400000000002</v>
      </c>
      <c r="K2120" s="56"/>
      <c r="L2120" s="56" t="s">
        <v>492</v>
      </c>
    </row>
    <row r="2121" spans="2:12" x14ac:dyDescent="0.2">
      <c r="B2121" s="62" t="s">
        <v>3809</v>
      </c>
      <c r="C2121" s="61" t="s">
        <v>890</v>
      </c>
      <c r="D2121" s="60">
        <v>1.78935</v>
      </c>
      <c r="E2121" s="59">
        <v>3.70567</v>
      </c>
      <c r="F2121" s="59">
        <v>5.1885000000000003</v>
      </c>
      <c r="G2121" s="56">
        <v>0</v>
      </c>
      <c r="H2121" s="56">
        <v>0</v>
      </c>
      <c r="I2121" s="58">
        <v>0.33403899999999997</v>
      </c>
      <c r="J2121" s="57">
        <v>0.26641399999999998</v>
      </c>
      <c r="K2121" s="56"/>
      <c r="L2121" s="56" t="s">
        <v>488</v>
      </c>
    </row>
    <row r="2122" spans="2:12" x14ac:dyDescent="0.2">
      <c r="B2122" s="62" t="s">
        <v>3808</v>
      </c>
      <c r="C2122" s="61" t="s">
        <v>625</v>
      </c>
      <c r="D2122" s="60">
        <v>2.49857</v>
      </c>
      <c r="E2122" s="59">
        <v>3.78362</v>
      </c>
      <c r="F2122" s="59">
        <v>4.0539699999999996</v>
      </c>
      <c r="G2122" s="56">
        <v>165.708</v>
      </c>
      <c r="H2122" s="56">
        <v>66.321299999999994</v>
      </c>
      <c r="I2122" s="58">
        <v>0.20658799999999999</v>
      </c>
      <c r="J2122" s="57">
        <v>0.14160400000000001</v>
      </c>
      <c r="K2122" s="56"/>
      <c r="L2122" s="56" t="s">
        <v>488</v>
      </c>
    </row>
    <row r="2123" spans="2:12" x14ac:dyDescent="0.2">
      <c r="B2123" s="62" t="s">
        <v>3807</v>
      </c>
      <c r="C2123" s="61" t="s">
        <v>550</v>
      </c>
      <c r="D2123" s="60">
        <v>0.98588299999999995</v>
      </c>
      <c r="E2123" s="59">
        <v>6.8178000000000001</v>
      </c>
      <c r="F2123" s="59">
        <v>8.4188299999999998</v>
      </c>
      <c r="G2123" s="56">
        <v>1325.18</v>
      </c>
      <c r="H2123" s="56">
        <v>1344.15</v>
      </c>
      <c r="I2123" s="58">
        <v>0.55869599999999997</v>
      </c>
      <c r="J2123" s="57">
        <v>0.62512699999999999</v>
      </c>
      <c r="K2123" s="56"/>
      <c r="L2123" s="56" t="s">
        <v>492</v>
      </c>
    </row>
    <row r="2124" spans="2:12" x14ac:dyDescent="0.2">
      <c r="B2124" s="62" t="s">
        <v>3806</v>
      </c>
      <c r="C2124" s="61" t="s">
        <v>550</v>
      </c>
      <c r="D2124" s="60">
        <v>1.5991</v>
      </c>
      <c r="E2124" s="59">
        <v>2.8487399999999998</v>
      </c>
      <c r="F2124" s="59">
        <v>3.6073400000000002</v>
      </c>
      <c r="G2124" s="56">
        <v>0</v>
      </c>
      <c r="H2124" s="56">
        <v>0</v>
      </c>
      <c r="I2124" s="58">
        <v>0.16090199999999999</v>
      </c>
      <c r="J2124" s="57">
        <v>0.27328999999999998</v>
      </c>
      <c r="K2124" s="56" t="s">
        <v>3805</v>
      </c>
      <c r="L2124" s="56" t="s">
        <v>563</v>
      </c>
    </row>
    <row r="2125" spans="2:12" x14ac:dyDescent="0.2">
      <c r="B2125" s="62" t="s">
        <v>3804</v>
      </c>
      <c r="C2125" s="61" t="s">
        <v>550</v>
      </c>
      <c r="D2125" s="60">
        <v>1.30921</v>
      </c>
      <c r="E2125" s="59">
        <v>3.9346999999999999</v>
      </c>
      <c r="F2125" s="59">
        <v>5.1787099999999997</v>
      </c>
      <c r="G2125" s="56">
        <v>680.11199999999997</v>
      </c>
      <c r="H2125" s="56">
        <v>519.48500000000001</v>
      </c>
      <c r="I2125" s="58">
        <v>0.454571</v>
      </c>
      <c r="J2125" s="57">
        <v>0.40631</v>
      </c>
      <c r="K2125" s="56"/>
      <c r="L2125" s="56" t="s">
        <v>730</v>
      </c>
    </row>
    <row r="2126" spans="2:12" x14ac:dyDescent="0.2">
      <c r="B2126" s="62" t="s">
        <v>3803</v>
      </c>
      <c r="C2126" s="61" t="s">
        <v>550</v>
      </c>
      <c r="D2126" s="60">
        <v>1.2987299999999999</v>
      </c>
      <c r="E2126" s="59">
        <v>3.9851800000000002</v>
      </c>
      <c r="F2126" s="59">
        <v>5.2875399999999999</v>
      </c>
      <c r="G2126" s="56">
        <v>694.23699999999997</v>
      </c>
      <c r="H2126" s="56">
        <v>534.55100000000004</v>
      </c>
      <c r="I2126" s="58">
        <v>0.46317000000000003</v>
      </c>
      <c r="J2126" s="57">
        <v>0.41525299999999998</v>
      </c>
      <c r="K2126" s="56"/>
      <c r="L2126" s="56" t="s">
        <v>730</v>
      </c>
    </row>
    <row r="2127" spans="2:12" x14ac:dyDescent="0.2">
      <c r="B2127" s="62" t="s">
        <v>3802</v>
      </c>
      <c r="C2127" s="61" t="s">
        <v>548</v>
      </c>
      <c r="D2127" s="60">
        <v>0.97340599999999999</v>
      </c>
      <c r="E2127" s="59">
        <v>2.5741800000000001</v>
      </c>
      <c r="F2127" s="59">
        <v>10.46852</v>
      </c>
      <c r="G2127" s="56">
        <v>0</v>
      </c>
      <c r="H2127" s="56">
        <v>0</v>
      </c>
      <c r="I2127" s="58">
        <v>0.73598799999999998</v>
      </c>
      <c r="J2127" s="57">
        <v>0.70305700000000004</v>
      </c>
      <c r="K2127" s="56"/>
      <c r="L2127" s="56" t="s">
        <v>488</v>
      </c>
    </row>
    <row r="2128" spans="2:12" x14ac:dyDescent="0.2">
      <c r="B2128" s="62" t="s">
        <v>3801</v>
      </c>
      <c r="C2128" s="61" t="s">
        <v>499</v>
      </c>
      <c r="D2128" s="60">
        <v>1.18024</v>
      </c>
      <c r="E2128" s="59">
        <v>3.65645</v>
      </c>
      <c r="F2128" s="59">
        <v>6.2045399999999997</v>
      </c>
      <c r="G2128" s="56">
        <v>0</v>
      </c>
      <c r="H2128" s="56">
        <v>0</v>
      </c>
      <c r="I2128" s="58">
        <v>0.34728199999999998</v>
      </c>
      <c r="J2128" s="57">
        <v>0.44031900000000002</v>
      </c>
      <c r="K2128" s="56"/>
      <c r="L2128" s="56" t="s">
        <v>488</v>
      </c>
    </row>
    <row r="2129" spans="2:12" x14ac:dyDescent="0.2">
      <c r="B2129" s="62" t="s">
        <v>3800</v>
      </c>
      <c r="C2129" s="61" t="s">
        <v>499</v>
      </c>
      <c r="D2129" s="60">
        <v>0.54340200000000005</v>
      </c>
      <c r="E2129" s="59">
        <v>6.4990100000000002</v>
      </c>
      <c r="F2129" s="59">
        <v>13.610799999999999</v>
      </c>
      <c r="G2129" s="56">
        <v>2241.02</v>
      </c>
      <c r="H2129" s="56">
        <v>4124.0600000000004</v>
      </c>
      <c r="I2129" s="58">
        <v>0.83884899999999996</v>
      </c>
      <c r="J2129" s="57">
        <v>1.4473199999999999</v>
      </c>
      <c r="K2129" s="56"/>
      <c r="L2129" s="56" t="s">
        <v>488</v>
      </c>
    </row>
    <row r="2130" spans="2:12" x14ac:dyDescent="0.2">
      <c r="B2130" s="62" t="s">
        <v>3799</v>
      </c>
      <c r="C2130" s="61" t="s">
        <v>495</v>
      </c>
      <c r="D2130" s="60">
        <v>1.32582</v>
      </c>
      <c r="E2130" s="59">
        <v>3.1100099999999999</v>
      </c>
      <c r="F2130" s="59">
        <v>4.8268500000000003</v>
      </c>
      <c r="G2130" s="56">
        <v>0</v>
      </c>
      <c r="H2130" s="56">
        <v>0</v>
      </c>
      <c r="I2130" s="58">
        <v>0.204732</v>
      </c>
      <c r="J2130" s="57">
        <v>0.31855499999999998</v>
      </c>
      <c r="K2130" s="56"/>
      <c r="L2130" s="56" t="s">
        <v>488</v>
      </c>
    </row>
    <row r="2131" spans="2:12" x14ac:dyDescent="0.2">
      <c r="B2131" s="62" t="s">
        <v>3798</v>
      </c>
      <c r="C2131" s="61" t="s">
        <v>3796</v>
      </c>
      <c r="D2131" s="60">
        <v>1.1397200000000001</v>
      </c>
      <c r="E2131" s="59">
        <v>4.2077900000000001</v>
      </c>
      <c r="F2131" s="59">
        <v>5.9966100000000004</v>
      </c>
      <c r="G2131" s="56">
        <v>1264.33</v>
      </c>
      <c r="H2131" s="56">
        <v>1153.42</v>
      </c>
      <c r="I2131" s="58">
        <v>0.477912</v>
      </c>
      <c r="J2131" s="57">
        <v>0.47980200000000001</v>
      </c>
      <c r="K2131" s="56"/>
      <c r="L2131" s="56" t="s">
        <v>492</v>
      </c>
    </row>
    <row r="2132" spans="2:12" x14ac:dyDescent="0.2">
      <c r="B2132" s="62" t="s">
        <v>3797</v>
      </c>
      <c r="C2132" s="61" t="s">
        <v>3796</v>
      </c>
      <c r="D2132" s="60">
        <v>1.09616</v>
      </c>
      <c r="E2132" s="59">
        <v>4.0078100000000001</v>
      </c>
      <c r="F2132" s="59">
        <v>5.7505699999999997</v>
      </c>
      <c r="G2132" s="56">
        <v>1124.5999999999999</v>
      </c>
      <c r="H2132" s="56">
        <v>986.73800000000006</v>
      </c>
      <c r="I2132" s="58">
        <v>0.49200700000000003</v>
      </c>
      <c r="J2132" s="57">
        <v>0.51456500000000005</v>
      </c>
      <c r="K2132" s="56"/>
      <c r="L2132" s="56" t="s">
        <v>624</v>
      </c>
    </row>
    <row r="2133" spans="2:12" x14ac:dyDescent="0.2">
      <c r="B2133" s="62" t="s">
        <v>3795</v>
      </c>
      <c r="C2133" s="61" t="s">
        <v>495</v>
      </c>
      <c r="D2133" s="60">
        <v>1.1268899999999999</v>
      </c>
      <c r="E2133" s="59">
        <v>5.1159499999999998</v>
      </c>
      <c r="F2133" s="59">
        <v>5.6219400000000004</v>
      </c>
      <c r="G2133" s="56">
        <v>914.98299999999995</v>
      </c>
      <c r="H2133" s="56">
        <v>811.95299999999997</v>
      </c>
      <c r="I2133" s="58">
        <v>0.39539000000000002</v>
      </c>
      <c r="J2133" s="57">
        <v>0.46276699999999998</v>
      </c>
      <c r="K2133" s="56"/>
      <c r="L2133" s="56" t="s">
        <v>488</v>
      </c>
    </row>
    <row r="2134" spans="2:12" x14ac:dyDescent="0.2">
      <c r="B2134" s="62" t="s">
        <v>3794</v>
      </c>
      <c r="C2134" s="61" t="s">
        <v>579</v>
      </c>
      <c r="D2134" s="60">
        <v>1.7881400000000001</v>
      </c>
      <c r="E2134" s="59">
        <v>3.8854199999999999</v>
      </c>
      <c r="F2134" s="59">
        <v>4.7141500000000001</v>
      </c>
      <c r="G2134" s="56">
        <v>619.61199999999997</v>
      </c>
      <c r="H2134" s="56">
        <v>346.51100000000002</v>
      </c>
      <c r="I2134" s="58">
        <v>0.32166499999999998</v>
      </c>
      <c r="J2134" s="57">
        <v>0.26801999999999998</v>
      </c>
      <c r="K2134" s="56"/>
      <c r="L2134" s="56" t="s">
        <v>488</v>
      </c>
    </row>
    <row r="2135" spans="2:12" x14ac:dyDescent="0.2">
      <c r="B2135" s="62" t="s">
        <v>3793</v>
      </c>
      <c r="C2135" s="61" t="s">
        <v>550</v>
      </c>
      <c r="D2135" s="60">
        <v>1.4819500000000001</v>
      </c>
      <c r="E2135" s="59">
        <v>3.5860300000000001</v>
      </c>
      <c r="F2135" s="59">
        <v>5.2876000000000003</v>
      </c>
      <c r="G2135" s="56">
        <v>0</v>
      </c>
      <c r="H2135" s="56">
        <v>0</v>
      </c>
      <c r="I2135" s="58">
        <v>0.405472</v>
      </c>
      <c r="J2135" s="57">
        <v>0.333262</v>
      </c>
      <c r="K2135" s="56"/>
      <c r="L2135" s="56" t="s">
        <v>488</v>
      </c>
    </row>
    <row r="2136" spans="2:12" x14ac:dyDescent="0.2">
      <c r="B2136" s="62" t="s">
        <v>3792</v>
      </c>
      <c r="C2136" s="61" t="s">
        <v>537</v>
      </c>
      <c r="D2136" s="60">
        <v>2.05802</v>
      </c>
      <c r="E2136" s="59">
        <v>3.2718699999999998</v>
      </c>
      <c r="F2136" s="59">
        <v>4.1694500000000003</v>
      </c>
      <c r="G2136" s="56">
        <v>0</v>
      </c>
      <c r="H2136" s="56">
        <v>0</v>
      </c>
      <c r="I2136" s="58">
        <v>0.220278</v>
      </c>
      <c r="J2136" s="57">
        <v>0.20227100000000001</v>
      </c>
      <c r="K2136" s="56"/>
      <c r="L2136" s="56" t="s">
        <v>488</v>
      </c>
    </row>
    <row r="2137" spans="2:12" x14ac:dyDescent="0.2">
      <c r="B2137" s="62" t="s">
        <v>3791</v>
      </c>
      <c r="C2137" s="61" t="s">
        <v>510</v>
      </c>
      <c r="D2137" s="60">
        <v>1.16086</v>
      </c>
      <c r="E2137" s="59">
        <v>5.8236400000000001</v>
      </c>
      <c r="F2137" s="59">
        <v>6.5004299999999997</v>
      </c>
      <c r="G2137" s="56">
        <v>852.37699999999995</v>
      </c>
      <c r="H2137" s="56">
        <v>734.26400000000001</v>
      </c>
      <c r="I2137" s="58">
        <v>0.37075599999999997</v>
      </c>
      <c r="J2137" s="57">
        <v>0.44859100000000002</v>
      </c>
      <c r="K2137" s="56"/>
      <c r="L2137" s="56" t="s">
        <v>488</v>
      </c>
    </row>
    <row r="2138" spans="2:12" x14ac:dyDescent="0.2">
      <c r="B2138" s="62" t="s">
        <v>3790</v>
      </c>
      <c r="C2138" s="61" t="s">
        <v>641</v>
      </c>
      <c r="D2138" s="60">
        <v>1.04193</v>
      </c>
      <c r="E2138" s="59">
        <v>4.2020499999999998</v>
      </c>
      <c r="F2138" s="59">
        <v>9.5272299999999994</v>
      </c>
      <c r="G2138" s="56">
        <v>1797.09</v>
      </c>
      <c r="H2138" s="56">
        <v>1724.77</v>
      </c>
      <c r="I2138" s="58">
        <v>0.65338399999999996</v>
      </c>
      <c r="J2138" s="57">
        <v>0.67131700000000005</v>
      </c>
      <c r="K2138" s="56"/>
      <c r="L2138" s="56" t="s">
        <v>488</v>
      </c>
    </row>
    <row r="2139" spans="2:12" x14ac:dyDescent="0.2">
      <c r="B2139" s="62" t="s">
        <v>3789</v>
      </c>
      <c r="C2139" s="61" t="s">
        <v>499</v>
      </c>
      <c r="D2139" s="60">
        <v>0.84157599999999999</v>
      </c>
      <c r="E2139" s="59">
        <v>4.7736299999999998</v>
      </c>
      <c r="F2139" s="59">
        <v>8.2615999999999996</v>
      </c>
      <c r="G2139" s="56">
        <v>1817.17</v>
      </c>
      <c r="H2139" s="56">
        <v>2159.2399999999998</v>
      </c>
      <c r="I2139" s="58">
        <v>0.672373</v>
      </c>
      <c r="J2139" s="57">
        <v>0.78134000000000003</v>
      </c>
      <c r="K2139" s="56"/>
      <c r="L2139" s="56" t="s">
        <v>488</v>
      </c>
    </row>
    <row r="2140" spans="2:12" x14ac:dyDescent="0.2">
      <c r="B2140" s="62" t="s">
        <v>3788</v>
      </c>
      <c r="C2140" s="61" t="s">
        <v>489</v>
      </c>
      <c r="D2140" s="60">
        <v>0.91334599999999999</v>
      </c>
      <c r="E2140" s="59">
        <v>3.9660899999999999</v>
      </c>
      <c r="F2140" s="59">
        <v>4.63469</v>
      </c>
      <c r="G2140" s="56">
        <v>1440.87</v>
      </c>
      <c r="H2140" s="56">
        <v>1577.58</v>
      </c>
      <c r="I2140" s="58">
        <v>0.51369900000000002</v>
      </c>
      <c r="J2140" s="57">
        <v>0.65968599999999999</v>
      </c>
      <c r="K2140" s="56"/>
      <c r="L2140" s="56" t="s">
        <v>488</v>
      </c>
    </row>
    <row r="2141" spans="2:12" x14ac:dyDescent="0.2">
      <c r="B2141" s="62" t="s">
        <v>3787</v>
      </c>
      <c r="C2141" s="61" t="s">
        <v>499</v>
      </c>
      <c r="D2141" s="60">
        <v>1.4833099999999999</v>
      </c>
      <c r="E2141" s="59">
        <v>3.26763</v>
      </c>
      <c r="F2141" s="59">
        <v>4.0917700000000004</v>
      </c>
      <c r="G2141" s="56">
        <v>0</v>
      </c>
      <c r="H2141" s="56">
        <v>0</v>
      </c>
      <c r="I2141" s="58">
        <v>0.283474</v>
      </c>
      <c r="J2141" s="57">
        <v>0.31240899999999999</v>
      </c>
      <c r="K2141" s="56"/>
      <c r="L2141" s="56" t="s">
        <v>488</v>
      </c>
    </row>
    <row r="2142" spans="2:12" x14ac:dyDescent="0.2">
      <c r="B2142" s="62" t="s">
        <v>3786</v>
      </c>
      <c r="C2142" s="61" t="s">
        <v>499</v>
      </c>
      <c r="D2142" s="60">
        <v>1.24139</v>
      </c>
      <c r="E2142" s="59">
        <v>2.79989</v>
      </c>
      <c r="F2142" s="59">
        <v>4.7233799999999997</v>
      </c>
      <c r="G2142" s="56">
        <v>0</v>
      </c>
      <c r="H2142" s="56">
        <v>0</v>
      </c>
      <c r="I2142" s="58">
        <v>0.33946900000000002</v>
      </c>
      <c r="J2142" s="57">
        <v>0.42158200000000001</v>
      </c>
      <c r="K2142" s="56"/>
      <c r="L2142" s="56" t="s">
        <v>488</v>
      </c>
    </row>
    <row r="2143" spans="2:12" x14ac:dyDescent="0.2">
      <c r="B2143" s="62" t="s">
        <v>3785</v>
      </c>
      <c r="C2143" s="61" t="s">
        <v>499</v>
      </c>
      <c r="D2143" s="60">
        <v>1.33962</v>
      </c>
      <c r="E2143" s="59">
        <v>2.7408999999999999</v>
      </c>
      <c r="F2143" s="59">
        <v>4.0606400000000002</v>
      </c>
      <c r="G2143" s="56">
        <v>0</v>
      </c>
      <c r="H2143" s="56">
        <v>0</v>
      </c>
      <c r="I2143" s="58">
        <v>0.28975600000000001</v>
      </c>
      <c r="J2143" s="57">
        <v>0.36878100000000003</v>
      </c>
      <c r="K2143" s="56"/>
      <c r="L2143" s="56" t="s">
        <v>488</v>
      </c>
    </row>
    <row r="2144" spans="2:12" x14ac:dyDescent="0.2">
      <c r="B2144" s="62" t="s">
        <v>3784</v>
      </c>
      <c r="C2144" s="61" t="s">
        <v>708</v>
      </c>
      <c r="D2144" s="60">
        <v>1.19601</v>
      </c>
      <c r="E2144" s="59">
        <v>4.3069800000000003</v>
      </c>
      <c r="F2144" s="59">
        <v>6.5233299999999996</v>
      </c>
      <c r="G2144" s="56">
        <v>990.529</v>
      </c>
      <c r="H2144" s="56">
        <v>828.19500000000005</v>
      </c>
      <c r="I2144" s="58">
        <v>0.48216500000000001</v>
      </c>
      <c r="J2144" s="57">
        <v>0.46534399999999998</v>
      </c>
      <c r="K2144" s="56"/>
      <c r="L2144" s="56" t="s">
        <v>488</v>
      </c>
    </row>
    <row r="2145" spans="2:12" x14ac:dyDescent="0.2">
      <c r="B2145" s="62" t="s">
        <v>3783</v>
      </c>
      <c r="C2145" s="61" t="s">
        <v>502</v>
      </c>
      <c r="D2145" s="60">
        <v>1.63232</v>
      </c>
      <c r="E2145" s="59">
        <v>4.83331</v>
      </c>
      <c r="F2145" s="59">
        <v>5.3269200000000003</v>
      </c>
      <c r="G2145" s="56">
        <v>341.95699999999999</v>
      </c>
      <c r="H2145" s="56">
        <v>208.2</v>
      </c>
      <c r="I2145" s="58">
        <v>0.165657</v>
      </c>
      <c r="J2145" s="57">
        <v>0.24565799999999999</v>
      </c>
      <c r="K2145" s="56"/>
      <c r="L2145" s="56" t="s">
        <v>488</v>
      </c>
    </row>
    <row r="2146" spans="2:12" x14ac:dyDescent="0.2">
      <c r="B2146" s="62" t="s">
        <v>3782</v>
      </c>
      <c r="C2146" s="61" t="s">
        <v>502</v>
      </c>
      <c r="D2146" s="60">
        <v>1.64245</v>
      </c>
      <c r="E2146" s="59">
        <v>4.8930100000000003</v>
      </c>
      <c r="F2146" s="59">
        <v>5.3969699999999996</v>
      </c>
      <c r="G2146" s="56">
        <v>346.67</v>
      </c>
      <c r="H2146" s="56">
        <v>212.37799999999999</v>
      </c>
      <c r="I2146" s="58">
        <v>0.16010199999999999</v>
      </c>
      <c r="J2146" s="57">
        <v>0.24201300000000001</v>
      </c>
      <c r="K2146" s="56"/>
      <c r="L2146" s="56" t="s">
        <v>488</v>
      </c>
    </row>
    <row r="2147" spans="2:12" x14ac:dyDescent="0.2">
      <c r="B2147" s="62" t="s">
        <v>3781</v>
      </c>
      <c r="C2147" s="61" t="s">
        <v>3780</v>
      </c>
      <c r="D2147" s="60">
        <v>2.7318199999999999</v>
      </c>
      <c r="E2147" s="59">
        <v>4.1597900000000001</v>
      </c>
      <c r="F2147" s="59">
        <v>4.9883800000000003</v>
      </c>
      <c r="G2147" s="56">
        <v>1625.43</v>
      </c>
      <c r="H2147" s="56">
        <v>595.00099999999998</v>
      </c>
      <c r="I2147" s="58">
        <v>0.53067799999999998</v>
      </c>
      <c r="J2147" s="57">
        <v>0.22944800000000001</v>
      </c>
      <c r="K2147" s="56"/>
      <c r="L2147" s="56" t="s">
        <v>488</v>
      </c>
    </row>
    <row r="2148" spans="2:12" x14ac:dyDescent="0.2">
      <c r="B2148" s="62" t="s">
        <v>3779</v>
      </c>
      <c r="C2148" s="61" t="s">
        <v>531</v>
      </c>
      <c r="D2148" s="60">
        <v>2.00589</v>
      </c>
      <c r="E2148" s="59">
        <v>3.92279</v>
      </c>
      <c r="F2148" s="59">
        <v>4.3190499999999998</v>
      </c>
      <c r="G2148" s="56">
        <v>427.90199999999999</v>
      </c>
      <c r="H2148" s="56">
        <v>213.32300000000001</v>
      </c>
      <c r="I2148" s="58">
        <v>0.34732800000000003</v>
      </c>
      <c r="J2148" s="57">
        <v>0.242952</v>
      </c>
      <c r="K2148" s="56"/>
      <c r="L2148" s="56" t="s">
        <v>488</v>
      </c>
    </row>
    <row r="2149" spans="2:12" x14ac:dyDescent="0.2">
      <c r="B2149" s="62" t="s">
        <v>3778</v>
      </c>
      <c r="C2149" s="61" t="s">
        <v>535</v>
      </c>
      <c r="D2149" s="60">
        <v>2.0743200000000002</v>
      </c>
      <c r="E2149" s="59">
        <v>3.8851200000000001</v>
      </c>
      <c r="F2149" s="59">
        <v>4.3090900000000003</v>
      </c>
      <c r="G2149" s="56">
        <v>392.471</v>
      </c>
      <c r="H2149" s="56">
        <v>189.20500000000001</v>
      </c>
      <c r="I2149" s="58">
        <v>0.34306999999999999</v>
      </c>
      <c r="J2149" s="57">
        <v>0.23284199999999999</v>
      </c>
      <c r="K2149" s="56"/>
      <c r="L2149" s="56" t="s">
        <v>488</v>
      </c>
    </row>
    <row r="2150" spans="2:12" x14ac:dyDescent="0.2">
      <c r="B2150" s="62" t="s">
        <v>3777</v>
      </c>
      <c r="C2150" s="61" t="s">
        <v>625</v>
      </c>
      <c r="D2150" s="60">
        <v>1.3056700000000001</v>
      </c>
      <c r="E2150" s="59">
        <v>3.2940700000000001</v>
      </c>
      <c r="F2150" s="59">
        <v>5.1073899999999997</v>
      </c>
      <c r="G2150" s="56">
        <v>0</v>
      </c>
      <c r="H2150" s="56">
        <v>0</v>
      </c>
      <c r="I2150" s="58">
        <v>0.36462099999999997</v>
      </c>
      <c r="J2150" s="57">
        <v>0.389654</v>
      </c>
      <c r="K2150" s="56"/>
      <c r="L2150" s="56" t="s">
        <v>492</v>
      </c>
    </row>
    <row r="2151" spans="2:12" x14ac:dyDescent="0.2">
      <c r="B2151" s="62" t="s">
        <v>3776</v>
      </c>
      <c r="C2151" s="61" t="s">
        <v>625</v>
      </c>
      <c r="D2151" s="60">
        <v>1.33077</v>
      </c>
      <c r="E2151" s="59">
        <v>3.1101000000000001</v>
      </c>
      <c r="F2151" s="59">
        <v>4.7467899999999998</v>
      </c>
      <c r="G2151" s="56">
        <v>0</v>
      </c>
      <c r="H2151" s="56">
        <v>0</v>
      </c>
      <c r="I2151" s="58">
        <v>0.393457</v>
      </c>
      <c r="J2151" s="57">
        <v>0.39058900000000002</v>
      </c>
      <c r="K2151" s="56"/>
      <c r="L2151" s="56" t="s">
        <v>492</v>
      </c>
    </row>
    <row r="2152" spans="2:12" x14ac:dyDescent="0.2">
      <c r="B2152" s="62" t="s">
        <v>3775</v>
      </c>
      <c r="C2152" s="61" t="s">
        <v>3774</v>
      </c>
      <c r="D2152" s="60">
        <v>3.5849099999999998</v>
      </c>
      <c r="E2152" s="59">
        <v>4.5733300000000003</v>
      </c>
      <c r="F2152" s="59">
        <v>5.1626799999999999</v>
      </c>
      <c r="G2152" s="56">
        <v>259.61399999999998</v>
      </c>
      <c r="H2152" s="56">
        <v>72.418599999999998</v>
      </c>
      <c r="I2152" s="58">
        <v>0.15027399999999999</v>
      </c>
      <c r="J2152" s="57">
        <v>0.10625</v>
      </c>
      <c r="K2152" s="56"/>
      <c r="L2152" s="56" t="s">
        <v>488</v>
      </c>
    </row>
    <row r="2153" spans="2:12" x14ac:dyDescent="0.2">
      <c r="B2153" s="62" t="s">
        <v>3773</v>
      </c>
      <c r="C2153" s="61" t="s">
        <v>1463</v>
      </c>
      <c r="D2153" s="60">
        <v>3.5004900000000001</v>
      </c>
      <c r="E2153" s="59">
        <v>4.5103400000000002</v>
      </c>
      <c r="F2153" s="59">
        <v>5.1932099999999997</v>
      </c>
      <c r="G2153" s="56">
        <v>258.94400000000002</v>
      </c>
      <c r="H2153" s="56">
        <v>73.973699999999994</v>
      </c>
      <c r="I2153" s="58">
        <v>0.15166099999999999</v>
      </c>
      <c r="J2153" s="57">
        <v>0.111614</v>
      </c>
      <c r="K2153" s="56"/>
      <c r="L2153" s="56" t="s">
        <v>488</v>
      </c>
    </row>
    <row r="2154" spans="2:12" x14ac:dyDescent="0.2">
      <c r="B2154" s="62" t="s">
        <v>3772</v>
      </c>
      <c r="C2154" s="61" t="s">
        <v>550</v>
      </c>
      <c r="D2154" s="60">
        <v>1.4629300000000001</v>
      </c>
      <c r="E2154" s="59">
        <v>3.5423499999999999</v>
      </c>
      <c r="F2154" s="59">
        <v>5.2649800000000004</v>
      </c>
      <c r="G2154" s="56">
        <v>0</v>
      </c>
      <c r="H2154" s="56">
        <v>0</v>
      </c>
      <c r="I2154" s="58">
        <v>0.451264</v>
      </c>
      <c r="J2154" s="57">
        <v>0.37046699999999999</v>
      </c>
      <c r="K2154" s="56"/>
      <c r="L2154" s="56" t="s">
        <v>488</v>
      </c>
    </row>
    <row r="2155" spans="2:12" x14ac:dyDescent="0.2">
      <c r="B2155" s="62" t="s">
        <v>3771</v>
      </c>
      <c r="C2155" s="61" t="s">
        <v>499</v>
      </c>
      <c r="D2155" s="60">
        <v>1.3447899999999999</v>
      </c>
      <c r="E2155" s="59">
        <v>3.5262799999999999</v>
      </c>
      <c r="F2155" s="59">
        <v>5.1988000000000003</v>
      </c>
      <c r="G2155" s="56">
        <v>0</v>
      </c>
      <c r="H2155" s="56">
        <v>0</v>
      </c>
      <c r="I2155" s="58">
        <v>0.45332600000000001</v>
      </c>
      <c r="J2155" s="57">
        <v>0.389795</v>
      </c>
      <c r="K2155" s="56"/>
      <c r="L2155" s="56" t="s">
        <v>488</v>
      </c>
    </row>
    <row r="2156" spans="2:12" x14ac:dyDescent="0.2">
      <c r="B2156" s="62" t="s">
        <v>3770</v>
      </c>
      <c r="C2156" s="61" t="s">
        <v>641</v>
      </c>
      <c r="D2156" s="60">
        <v>1.5940099999999999</v>
      </c>
      <c r="E2156" s="59">
        <v>4.2793799999999997</v>
      </c>
      <c r="F2156" s="59">
        <v>6.06928</v>
      </c>
      <c r="G2156" s="56">
        <v>1134.43</v>
      </c>
      <c r="H2156" s="56">
        <v>711.68399999999997</v>
      </c>
      <c r="I2156" s="58">
        <v>0.45599600000000001</v>
      </c>
      <c r="J2156" s="57">
        <v>0.366786</v>
      </c>
      <c r="K2156" s="56"/>
      <c r="L2156" s="56" t="s">
        <v>488</v>
      </c>
    </row>
    <row r="2157" spans="2:12" x14ac:dyDescent="0.2">
      <c r="B2157" s="62" t="s">
        <v>3769</v>
      </c>
      <c r="C2157" s="61" t="s">
        <v>1622</v>
      </c>
      <c r="D2157" s="60">
        <v>1.28128</v>
      </c>
      <c r="E2157" s="59">
        <v>3.58209</v>
      </c>
      <c r="F2157" s="59">
        <v>4.8014999999999999</v>
      </c>
      <c r="G2157" s="56">
        <v>0</v>
      </c>
      <c r="H2157" s="56">
        <v>0</v>
      </c>
      <c r="I2157" s="58">
        <v>0.25150800000000001</v>
      </c>
      <c r="J2157" s="57">
        <v>0.38956400000000002</v>
      </c>
      <c r="K2157" s="56"/>
      <c r="L2157" s="56" t="s">
        <v>492</v>
      </c>
    </row>
    <row r="2158" spans="2:12" x14ac:dyDescent="0.2">
      <c r="B2158" s="62" t="s">
        <v>3768</v>
      </c>
      <c r="C2158" s="61" t="s">
        <v>798</v>
      </c>
      <c r="D2158" s="60">
        <v>0.82152599999999998</v>
      </c>
      <c r="E2158" s="59">
        <v>4.6630900000000004</v>
      </c>
      <c r="F2158" s="59">
        <v>5.8603300000000003</v>
      </c>
      <c r="G2158" s="56">
        <v>2180.35</v>
      </c>
      <c r="H2158" s="56">
        <v>2654.03</v>
      </c>
      <c r="I2158" s="58">
        <v>0.59308499999999997</v>
      </c>
      <c r="J2158" s="57">
        <v>0.78259699999999999</v>
      </c>
      <c r="K2158" s="56"/>
      <c r="L2158" s="56" t="s">
        <v>488</v>
      </c>
    </row>
    <row r="2159" spans="2:12" x14ac:dyDescent="0.2">
      <c r="B2159" s="62" t="s">
        <v>3767</v>
      </c>
      <c r="C2159" s="61" t="s">
        <v>798</v>
      </c>
      <c r="D2159" s="60">
        <v>1.22885</v>
      </c>
      <c r="E2159" s="59">
        <v>3.0485899999999999</v>
      </c>
      <c r="F2159" s="59">
        <v>4.3205600000000004</v>
      </c>
      <c r="G2159" s="56">
        <v>0</v>
      </c>
      <c r="H2159" s="56">
        <v>0</v>
      </c>
      <c r="I2159" s="58">
        <v>0.37093999999999999</v>
      </c>
      <c r="J2159" s="57">
        <v>0.38714700000000002</v>
      </c>
      <c r="K2159" s="56"/>
      <c r="L2159" s="56" t="s">
        <v>488</v>
      </c>
    </row>
    <row r="2160" spans="2:12" x14ac:dyDescent="0.2">
      <c r="B2160" s="62" t="s">
        <v>3766</v>
      </c>
      <c r="C2160" s="61" t="s">
        <v>798</v>
      </c>
      <c r="D2160" s="60">
        <v>0.93329300000000004</v>
      </c>
      <c r="E2160" s="59">
        <v>4.4241200000000003</v>
      </c>
      <c r="F2160" s="59">
        <v>5.1005900000000004</v>
      </c>
      <c r="G2160" s="56">
        <v>985.54600000000005</v>
      </c>
      <c r="H2160" s="56">
        <v>1055.99</v>
      </c>
      <c r="I2160" s="58">
        <v>0.55017400000000005</v>
      </c>
      <c r="J2160" s="57">
        <v>0.60993699999999995</v>
      </c>
      <c r="K2160" s="56"/>
      <c r="L2160" s="56" t="s">
        <v>488</v>
      </c>
    </row>
    <row r="2161" spans="2:12" x14ac:dyDescent="0.2">
      <c r="B2161" s="62" t="s">
        <v>3765</v>
      </c>
      <c r="C2161" s="61" t="s">
        <v>510</v>
      </c>
      <c r="D2161" s="60">
        <v>1.38567</v>
      </c>
      <c r="E2161" s="59">
        <v>3.5387300000000002</v>
      </c>
      <c r="F2161" s="59">
        <v>5.20547</v>
      </c>
      <c r="G2161" s="56">
        <v>0</v>
      </c>
      <c r="H2161" s="56">
        <v>0</v>
      </c>
      <c r="I2161" s="58">
        <v>0.149705</v>
      </c>
      <c r="J2161" s="57">
        <v>0.29950100000000002</v>
      </c>
      <c r="K2161" s="56"/>
      <c r="L2161" s="56" t="s">
        <v>488</v>
      </c>
    </row>
    <row r="2162" spans="2:12" x14ac:dyDescent="0.2">
      <c r="B2162" s="62" t="s">
        <v>3764</v>
      </c>
      <c r="C2162" s="61" t="s">
        <v>708</v>
      </c>
      <c r="D2162" s="60">
        <v>1.1793100000000001</v>
      </c>
      <c r="E2162" s="59">
        <v>3.0270199999999998</v>
      </c>
      <c r="F2162" s="59">
        <v>4.9761499999999996</v>
      </c>
      <c r="G2162" s="56">
        <v>0</v>
      </c>
      <c r="H2162" s="56">
        <v>0</v>
      </c>
      <c r="I2162" s="58">
        <v>0.3</v>
      </c>
      <c r="J2162" s="57">
        <v>0.410804</v>
      </c>
      <c r="K2162" s="56"/>
      <c r="L2162" s="56" t="s">
        <v>488</v>
      </c>
    </row>
    <row r="2163" spans="2:12" x14ac:dyDescent="0.2">
      <c r="B2163" s="62" t="s">
        <v>3763</v>
      </c>
      <c r="C2163" s="61" t="s">
        <v>499</v>
      </c>
      <c r="D2163" s="60">
        <v>0.99079499999999998</v>
      </c>
      <c r="E2163" s="59">
        <v>10.27787</v>
      </c>
      <c r="F2163" s="59">
        <v>10.39364</v>
      </c>
      <c r="G2163" s="56">
        <v>1223.44</v>
      </c>
      <c r="H2163" s="56">
        <v>1234.8</v>
      </c>
      <c r="I2163" s="58">
        <v>0.52445399999999998</v>
      </c>
      <c r="J2163" s="57">
        <v>0.61660899999999996</v>
      </c>
      <c r="K2163" s="56"/>
      <c r="L2163" s="56" t="s">
        <v>488</v>
      </c>
    </row>
    <row r="2164" spans="2:12" x14ac:dyDescent="0.2">
      <c r="B2164" s="62" t="s">
        <v>3762</v>
      </c>
      <c r="C2164" s="61" t="s">
        <v>541</v>
      </c>
      <c r="D2164" s="60">
        <v>1.85521</v>
      </c>
      <c r="E2164" s="59">
        <v>2.7248600000000001</v>
      </c>
      <c r="F2164" s="59">
        <v>3.4212699999999998</v>
      </c>
      <c r="G2164" s="56">
        <v>0</v>
      </c>
      <c r="H2164" s="56">
        <v>0</v>
      </c>
      <c r="I2164" s="58">
        <v>0.112262</v>
      </c>
      <c r="J2164" s="57">
        <v>0.196356</v>
      </c>
      <c r="K2164" s="56"/>
      <c r="L2164" s="56" t="s">
        <v>488</v>
      </c>
    </row>
    <row r="2165" spans="2:12" x14ac:dyDescent="0.2">
      <c r="B2165" s="62" t="s">
        <v>3761</v>
      </c>
      <c r="C2165" s="61" t="s">
        <v>502</v>
      </c>
      <c r="D2165" s="60">
        <v>0.69791400000000003</v>
      </c>
      <c r="E2165" s="59">
        <v>7.1073399999999998</v>
      </c>
      <c r="F2165" s="59">
        <v>12.141920000000001</v>
      </c>
      <c r="G2165" s="56">
        <v>2242.46</v>
      </c>
      <c r="H2165" s="56">
        <v>3213.09</v>
      </c>
      <c r="I2165" s="58">
        <v>0.77581</v>
      </c>
      <c r="J2165" s="57">
        <v>1.02325</v>
      </c>
      <c r="K2165" s="56"/>
      <c r="L2165" s="56" t="s">
        <v>488</v>
      </c>
    </row>
    <row r="2166" spans="2:12" x14ac:dyDescent="0.2">
      <c r="B2166" s="62" t="s">
        <v>3760</v>
      </c>
      <c r="C2166" s="61" t="s">
        <v>625</v>
      </c>
      <c r="D2166" s="60">
        <v>2.7912400000000002</v>
      </c>
      <c r="E2166" s="59">
        <v>2.5243699999999998</v>
      </c>
      <c r="F2166" s="59">
        <v>3.0090599999999998</v>
      </c>
      <c r="G2166" s="56">
        <v>0</v>
      </c>
      <c r="H2166" s="56">
        <v>0</v>
      </c>
      <c r="I2166" s="58">
        <v>0.16561000000000001</v>
      </c>
      <c r="J2166" s="57">
        <v>0.13289599999999999</v>
      </c>
      <c r="K2166" s="56"/>
      <c r="L2166" s="56" t="s">
        <v>488</v>
      </c>
    </row>
    <row r="2167" spans="2:12" x14ac:dyDescent="0.2">
      <c r="B2167" s="62" t="s">
        <v>3759</v>
      </c>
      <c r="C2167" s="61" t="s">
        <v>550</v>
      </c>
      <c r="D2167" s="60">
        <v>1.13676</v>
      </c>
      <c r="E2167" s="59">
        <v>3.2707700000000002</v>
      </c>
      <c r="F2167" s="59">
        <v>5.0700799999999999</v>
      </c>
      <c r="G2167" s="56">
        <v>0</v>
      </c>
      <c r="H2167" s="56">
        <v>0</v>
      </c>
      <c r="I2167" s="58">
        <v>0.24033099999999999</v>
      </c>
      <c r="J2167" s="57">
        <v>0.46049499999999999</v>
      </c>
      <c r="K2167" s="56"/>
      <c r="L2167" s="56" t="s">
        <v>488</v>
      </c>
    </row>
    <row r="2168" spans="2:12" x14ac:dyDescent="0.2">
      <c r="B2168" s="62" t="s">
        <v>3758</v>
      </c>
      <c r="C2168" s="61" t="s">
        <v>531</v>
      </c>
      <c r="D2168" s="60">
        <v>1.05179</v>
      </c>
      <c r="E2168" s="59">
        <v>5.06027</v>
      </c>
      <c r="F2168" s="59">
        <v>6.9724399999999997</v>
      </c>
      <c r="G2168" s="56">
        <v>1316.11</v>
      </c>
      <c r="H2168" s="56">
        <v>1251.3</v>
      </c>
      <c r="I2168" s="58">
        <v>0.46979599999999999</v>
      </c>
      <c r="J2168" s="57">
        <v>0.52908900000000003</v>
      </c>
      <c r="K2168" s="56"/>
      <c r="L2168" s="56" t="s">
        <v>488</v>
      </c>
    </row>
    <row r="2169" spans="2:12" x14ac:dyDescent="0.2">
      <c r="B2169" s="62" t="s">
        <v>3757</v>
      </c>
      <c r="C2169" s="61" t="s">
        <v>1896</v>
      </c>
      <c r="D2169" s="60">
        <v>1.2990600000000001</v>
      </c>
      <c r="E2169" s="59">
        <v>3.53409</v>
      </c>
      <c r="F2169" s="59">
        <v>4.5987499999999999</v>
      </c>
      <c r="G2169" s="56">
        <v>0</v>
      </c>
      <c r="H2169" s="56">
        <v>0</v>
      </c>
      <c r="I2169" s="58">
        <v>0.26392100000000002</v>
      </c>
      <c r="J2169" s="57">
        <v>0.38217899999999999</v>
      </c>
      <c r="K2169" s="56"/>
      <c r="L2169" s="56" t="s">
        <v>488</v>
      </c>
    </row>
    <row r="2170" spans="2:12" x14ac:dyDescent="0.2">
      <c r="B2170" s="62" t="s">
        <v>3756</v>
      </c>
      <c r="C2170" s="61" t="s">
        <v>502</v>
      </c>
      <c r="D2170" s="60">
        <v>1.95946</v>
      </c>
      <c r="E2170" s="59">
        <v>3.1848700000000001</v>
      </c>
      <c r="F2170" s="59">
        <v>3.8471000000000002</v>
      </c>
      <c r="G2170" s="56">
        <v>0</v>
      </c>
      <c r="H2170" s="56">
        <v>0</v>
      </c>
      <c r="I2170" s="58">
        <v>0.17954899999999999</v>
      </c>
      <c r="J2170" s="57">
        <v>0.19358300000000001</v>
      </c>
      <c r="K2170" s="56"/>
      <c r="L2170" s="56" t="s">
        <v>488</v>
      </c>
    </row>
    <row r="2171" spans="2:12" x14ac:dyDescent="0.2">
      <c r="B2171" s="62" t="s">
        <v>3755</v>
      </c>
      <c r="C2171" s="61" t="s">
        <v>859</v>
      </c>
      <c r="D2171" s="60">
        <v>1.5914699999999999</v>
      </c>
      <c r="E2171" s="59">
        <v>3.36633</v>
      </c>
      <c r="F2171" s="59">
        <v>4.3763699999999996</v>
      </c>
      <c r="G2171" s="56">
        <v>0</v>
      </c>
      <c r="H2171" s="56">
        <v>0</v>
      </c>
      <c r="I2171" s="58">
        <v>0.31367800000000001</v>
      </c>
      <c r="J2171" s="57">
        <v>0.27249600000000002</v>
      </c>
      <c r="K2171" s="56"/>
      <c r="L2171" s="56" t="s">
        <v>488</v>
      </c>
    </row>
    <row r="2172" spans="2:12" x14ac:dyDescent="0.2">
      <c r="B2172" s="62" t="s">
        <v>3754</v>
      </c>
      <c r="C2172" s="61" t="s">
        <v>1386</v>
      </c>
      <c r="D2172" s="60">
        <v>1.0194000000000001</v>
      </c>
      <c r="E2172" s="59">
        <v>5.9817499999999999</v>
      </c>
      <c r="F2172" s="59">
        <v>6.2524600000000001</v>
      </c>
      <c r="G2172" s="56">
        <v>1652.77</v>
      </c>
      <c r="H2172" s="56">
        <v>1621.33</v>
      </c>
      <c r="I2172" s="58">
        <v>0.60663699999999998</v>
      </c>
      <c r="J2172" s="57">
        <v>0.63295199999999996</v>
      </c>
      <c r="K2172" s="56"/>
      <c r="L2172" s="56" t="s">
        <v>488</v>
      </c>
    </row>
    <row r="2173" spans="2:12" x14ac:dyDescent="0.2">
      <c r="B2173" s="62" t="s">
        <v>3753</v>
      </c>
      <c r="C2173" s="61" t="s">
        <v>1386</v>
      </c>
      <c r="D2173" s="60">
        <v>1.3531</v>
      </c>
      <c r="E2173" s="59">
        <v>5.5980699999999999</v>
      </c>
      <c r="F2173" s="59">
        <v>7.6173000000000002</v>
      </c>
      <c r="G2173" s="56">
        <v>1438.64</v>
      </c>
      <c r="H2173" s="56">
        <v>1063.21</v>
      </c>
      <c r="I2173" s="58">
        <v>0.62509400000000004</v>
      </c>
      <c r="J2173" s="57">
        <v>0.44663000000000003</v>
      </c>
      <c r="K2173" s="56"/>
      <c r="L2173" s="56" t="s">
        <v>488</v>
      </c>
    </row>
    <row r="2174" spans="2:12" x14ac:dyDescent="0.2">
      <c r="B2174" s="62" t="s">
        <v>3752</v>
      </c>
      <c r="C2174" s="61" t="s">
        <v>1386</v>
      </c>
      <c r="D2174" s="60">
        <v>1.46024</v>
      </c>
      <c r="E2174" s="59">
        <v>5.3671699999999998</v>
      </c>
      <c r="F2174" s="59">
        <v>7.7552500000000002</v>
      </c>
      <c r="G2174" s="56">
        <v>1300.98</v>
      </c>
      <c r="H2174" s="56">
        <v>890.94</v>
      </c>
      <c r="I2174" s="58">
        <v>0.57812200000000002</v>
      </c>
      <c r="J2174" s="57">
        <v>0.39371899999999999</v>
      </c>
      <c r="K2174" s="56"/>
      <c r="L2174" s="56" t="s">
        <v>488</v>
      </c>
    </row>
    <row r="2175" spans="2:12" x14ac:dyDescent="0.2">
      <c r="B2175" s="62" t="s">
        <v>3751</v>
      </c>
      <c r="C2175" s="61" t="s">
        <v>499</v>
      </c>
      <c r="D2175" s="60">
        <v>1.30097</v>
      </c>
      <c r="E2175" s="59">
        <v>3.7652899999999998</v>
      </c>
      <c r="F2175" s="59">
        <v>4.5433700000000004</v>
      </c>
      <c r="G2175" s="56">
        <v>389.84399999999999</v>
      </c>
      <c r="H2175" s="56">
        <v>299.65600000000001</v>
      </c>
      <c r="I2175" s="58">
        <v>0.27884900000000001</v>
      </c>
      <c r="J2175" s="57">
        <v>0.33893499999999999</v>
      </c>
      <c r="K2175" s="56"/>
      <c r="L2175" s="56" t="s">
        <v>488</v>
      </c>
    </row>
    <row r="2176" spans="2:12" x14ac:dyDescent="0.2">
      <c r="B2176" s="62" t="s">
        <v>3750</v>
      </c>
      <c r="C2176" s="61" t="s">
        <v>550</v>
      </c>
      <c r="D2176" s="60">
        <v>1.2932300000000001</v>
      </c>
      <c r="E2176" s="59">
        <v>3.7517</v>
      </c>
      <c r="F2176" s="59">
        <v>4.5762799999999997</v>
      </c>
      <c r="G2176" s="56">
        <v>306.21899999999999</v>
      </c>
      <c r="H2176" s="56">
        <v>236.786</v>
      </c>
      <c r="I2176" s="58">
        <v>0.20718500000000001</v>
      </c>
      <c r="J2176" s="57">
        <v>0.33909600000000001</v>
      </c>
      <c r="K2176" s="56"/>
      <c r="L2176" s="56" t="s">
        <v>488</v>
      </c>
    </row>
    <row r="2177" spans="2:12" x14ac:dyDescent="0.2">
      <c r="B2177" s="62" t="s">
        <v>3749</v>
      </c>
      <c r="C2177" s="61" t="s">
        <v>499</v>
      </c>
      <c r="D2177" s="60">
        <v>1.2101599999999999</v>
      </c>
      <c r="E2177" s="59">
        <v>3.7438799999999999</v>
      </c>
      <c r="F2177" s="59">
        <v>4.49986</v>
      </c>
      <c r="G2177" s="56">
        <v>229.70599999999999</v>
      </c>
      <c r="H2177" s="56">
        <v>189.81399999999999</v>
      </c>
      <c r="I2177" s="58">
        <v>0.18970799999999999</v>
      </c>
      <c r="J2177" s="57">
        <v>0.36782500000000001</v>
      </c>
      <c r="K2177" s="56"/>
      <c r="L2177" s="56" t="s">
        <v>488</v>
      </c>
    </row>
    <row r="2178" spans="2:12" x14ac:dyDescent="0.2">
      <c r="B2178" s="62" t="s">
        <v>3748</v>
      </c>
      <c r="C2178" s="61" t="s">
        <v>510</v>
      </c>
      <c r="D2178" s="60">
        <v>1.4258500000000001</v>
      </c>
      <c r="E2178" s="59">
        <v>2.51891</v>
      </c>
      <c r="F2178" s="59">
        <v>3.2811900000000001</v>
      </c>
      <c r="G2178" s="56">
        <v>0</v>
      </c>
      <c r="H2178" s="56">
        <v>0</v>
      </c>
      <c r="I2178" s="58">
        <v>8.6712300000000006E-2</v>
      </c>
      <c r="J2178" s="57">
        <v>0.26789299999999999</v>
      </c>
      <c r="K2178" s="56"/>
      <c r="L2178" s="56" t="s">
        <v>488</v>
      </c>
    </row>
    <row r="2179" spans="2:12" x14ac:dyDescent="0.2">
      <c r="B2179" s="62" t="s">
        <v>3747</v>
      </c>
      <c r="C2179" s="61" t="s">
        <v>502</v>
      </c>
      <c r="D2179" s="60">
        <v>1.36317</v>
      </c>
      <c r="E2179" s="59">
        <v>3.2133600000000002</v>
      </c>
      <c r="F2179" s="59">
        <v>4.90604</v>
      </c>
      <c r="G2179" s="56">
        <v>0</v>
      </c>
      <c r="H2179" s="56">
        <v>0</v>
      </c>
      <c r="I2179" s="58">
        <v>0.212171</v>
      </c>
      <c r="J2179" s="57">
        <v>0.29732700000000001</v>
      </c>
      <c r="K2179" s="56"/>
      <c r="L2179" s="56" t="s">
        <v>492</v>
      </c>
    </row>
    <row r="2180" spans="2:12" x14ac:dyDescent="0.2">
      <c r="B2180" s="62" t="s">
        <v>3746</v>
      </c>
      <c r="C2180" s="61" t="s">
        <v>510</v>
      </c>
      <c r="D2180" s="60">
        <v>1.1309199999999999</v>
      </c>
      <c r="E2180" s="59">
        <v>4.1627099999999997</v>
      </c>
      <c r="F2180" s="59">
        <v>5.0514700000000001</v>
      </c>
      <c r="G2180" s="56">
        <v>375.44200000000001</v>
      </c>
      <c r="H2180" s="56">
        <v>331.97899999999998</v>
      </c>
      <c r="I2180" s="58">
        <v>0.26360499999999998</v>
      </c>
      <c r="J2180" s="57">
        <v>0.42066100000000001</v>
      </c>
      <c r="K2180" s="56"/>
      <c r="L2180" s="56" t="s">
        <v>488</v>
      </c>
    </row>
    <row r="2181" spans="2:12" x14ac:dyDescent="0.2">
      <c r="B2181" s="62" t="s">
        <v>3745</v>
      </c>
      <c r="C2181" s="61" t="s">
        <v>708</v>
      </c>
      <c r="D2181" s="60">
        <v>1.1252200000000001</v>
      </c>
      <c r="E2181" s="59">
        <v>4.0870100000000003</v>
      </c>
      <c r="F2181" s="59">
        <v>5.0830000000000002</v>
      </c>
      <c r="G2181" s="56">
        <v>358.95600000000002</v>
      </c>
      <c r="H2181" s="56">
        <v>319.01100000000002</v>
      </c>
      <c r="I2181" s="58">
        <v>0.25763999999999998</v>
      </c>
      <c r="J2181" s="57">
        <v>0.42891600000000002</v>
      </c>
      <c r="K2181" s="56"/>
      <c r="L2181" s="56" t="s">
        <v>488</v>
      </c>
    </row>
    <row r="2182" spans="2:12" x14ac:dyDescent="0.2">
      <c r="B2182" s="62" t="s">
        <v>3744</v>
      </c>
      <c r="C2182" s="61" t="s">
        <v>507</v>
      </c>
      <c r="D2182" s="60">
        <v>1.6505099999999999</v>
      </c>
      <c r="E2182" s="59">
        <v>5.5083299999999999</v>
      </c>
      <c r="F2182" s="59">
        <v>6.98996</v>
      </c>
      <c r="G2182" s="56">
        <v>923.899</v>
      </c>
      <c r="H2182" s="56">
        <v>559.76499999999999</v>
      </c>
      <c r="I2182" s="58">
        <v>0.33858899999999997</v>
      </c>
      <c r="J2182" s="57">
        <v>0.27665099999999998</v>
      </c>
      <c r="K2182" s="56"/>
      <c r="L2182" s="56" t="s">
        <v>488</v>
      </c>
    </row>
    <row r="2183" spans="2:12" x14ac:dyDescent="0.2">
      <c r="B2183" s="62" t="s">
        <v>3743</v>
      </c>
      <c r="C2183" s="61" t="s">
        <v>541</v>
      </c>
      <c r="D2183" s="60">
        <v>1.6447499999999999</v>
      </c>
      <c r="E2183" s="59">
        <v>5.5370499999999998</v>
      </c>
      <c r="F2183" s="59">
        <v>7.2231199999999998</v>
      </c>
      <c r="G2183" s="56">
        <v>945.57299999999998</v>
      </c>
      <c r="H2183" s="56">
        <v>574.904</v>
      </c>
      <c r="I2183" s="58">
        <v>0.35147</v>
      </c>
      <c r="J2183" s="57">
        <v>0.28195100000000001</v>
      </c>
      <c r="K2183" s="56"/>
      <c r="L2183" s="56" t="s">
        <v>488</v>
      </c>
    </row>
    <row r="2184" spans="2:12" x14ac:dyDescent="0.2">
      <c r="B2184" s="62" t="s">
        <v>3742</v>
      </c>
      <c r="C2184" s="61" t="s">
        <v>1226</v>
      </c>
      <c r="D2184" s="60">
        <v>1.8618399999999999</v>
      </c>
      <c r="E2184" s="59">
        <v>7.1026499999999997</v>
      </c>
      <c r="F2184" s="59">
        <v>7.3989000000000003</v>
      </c>
      <c r="G2184" s="56">
        <v>497.94400000000002</v>
      </c>
      <c r="H2184" s="56">
        <v>267.44799999999998</v>
      </c>
      <c r="I2184" s="58">
        <v>0.246721</v>
      </c>
      <c r="J2184" s="57">
        <v>0.24593100000000001</v>
      </c>
      <c r="K2184" s="56"/>
      <c r="L2184" s="56" t="s">
        <v>488</v>
      </c>
    </row>
    <row r="2185" spans="2:12" x14ac:dyDescent="0.2">
      <c r="B2185" s="62" t="s">
        <v>3741</v>
      </c>
      <c r="C2185" s="61" t="s">
        <v>561</v>
      </c>
      <c r="D2185" s="60">
        <v>1.55565</v>
      </c>
      <c r="E2185" s="59">
        <v>7.0042200000000001</v>
      </c>
      <c r="F2185" s="59">
        <v>7.31365</v>
      </c>
      <c r="G2185" s="56">
        <v>496.94099999999997</v>
      </c>
      <c r="H2185" s="56">
        <v>319.44299999999998</v>
      </c>
      <c r="I2185" s="58">
        <v>0.240897</v>
      </c>
      <c r="J2185" s="57">
        <v>0.29566700000000001</v>
      </c>
      <c r="K2185" s="56"/>
      <c r="L2185" s="56" t="s">
        <v>488</v>
      </c>
    </row>
    <row r="2186" spans="2:12" x14ac:dyDescent="0.2">
      <c r="B2186" s="62" t="s">
        <v>3740</v>
      </c>
      <c r="C2186" s="61" t="s">
        <v>499</v>
      </c>
      <c r="D2186" s="60">
        <v>1.11052</v>
      </c>
      <c r="E2186" s="59">
        <v>10.345980000000001</v>
      </c>
      <c r="F2186" s="59">
        <v>10.444000000000001</v>
      </c>
      <c r="G2186" s="56">
        <v>679.35799999999995</v>
      </c>
      <c r="H2186" s="56">
        <v>611.75</v>
      </c>
      <c r="I2186" s="58">
        <v>0.350383</v>
      </c>
      <c r="J2186" s="57">
        <v>0.49431000000000003</v>
      </c>
      <c r="K2186" s="56"/>
      <c r="L2186" s="56" t="s">
        <v>488</v>
      </c>
    </row>
    <row r="2187" spans="2:12" x14ac:dyDescent="0.2">
      <c r="B2187" s="62" t="s">
        <v>3739</v>
      </c>
      <c r="C2187" s="61" t="s">
        <v>510</v>
      </c>
      <c r="D2187" s="60">
        <v>1.2741400000000001</v>
      </c>
      <c r="E2187" s="59">
        <v>4.0896999999999997</v>
      </c>
      <c r="F2187" s="59">
        <v>4.9095800000000001</v>
      </c>
      <c r="G2187" s="56">
        <v>768.14200000000005</v>
      </c>
      <c r="H2187" s="56">
        <v>602.87199999999996</v>
      </c>
      <c r="I2187" s="58">
        <v>0.40477299999999999</v>
      </c>
      <c r="J2187" s="57">
        <v>0.38675900000000002</v>
      </c>
      <c r="K2187" s="56"/>
      <c r="L2187" s="56" t="s">
        <v>488</v>
      </c>
    </row>
    <row r="2188" spans="2:12" x14ac:dyDescent="0.2">
      <c r="B2188" s="62" t="s">
        <v>3738</v>
      </c>
      <c r="C2188" s="61" t="s">
        <v>1604</v>
      </c>
      <c r="D2188" s="60">
        <v>2.14473</v>
      </c>
      <c r="E2188" s="59">
        <v>2.9039100000000002</v>
      </c>
      <c r="F2188" s="59">
        <v>4.0118</v>
      </c>
      <c r="G2188" s="56">
        <v>0</v>
      </c>
      <c r="H2188" s="56">
        <v>0</v>
      </c>
      <c r="I2188" s="58">
        <v>0.209705</v>
      </c>
      <c r="J2188" s="57">
        <v>0.19558200000000001</v>
      </c>
      <c r="K2188" s="56"/>
      <c r="L2188" s="56" t="s">
        <v>488</v>
      </c>
    </row>
    <row r="2189" spans="2:12" x14ac:dyDescent="0.2">
      <c r="B2189" s="62" t="s">
        <v>3737</v>
      </c>
      <c r="C2189" s="61" t="s">
        <v>510</v>
      </c>
      <c r="D2189" s="60">
        <v>1.34284</v>
      </c>
      <c r="E2189" s="59">
        <v>2.41012</v>
      </c>
      <c r="F2189" s="59">
        <v>3.2003599999999999</v>
      </c>
      <c r="G2189" s="56">
        <v>0</v>
      </c>
      <c r="H2189" s="56">
        <v>0</v>
      </c>
      <c r="I2189" s="58">
        <v>9.0222899999999995E-2</v>
      </c>
      <c r="J2189" s="57">
        <v>0.28871599999999997</v>
      </c>
      <c r="K2189" s="56"/>
      <c r="L2189" s="56" t="s">
        <v>488</v>
      </c>
    </row>
    <row r="2190" spans="2:12" x14ac:dyDescent="0.2">
      <c r="B2190" s="62" t="s">
        <v>3736</v>
      </c>
      <c r="C2190" s="61" t="s">
        <v>1167</v>
      </c>
      <c r="D2190" s="60">
        <v>1.4320999999999999</v>
      </c>
      <c r="E2190" s="59">
        <v>2.5194899999999998</v>
      </c>
      <c r="F2190" s="59">
        <v>7.3735499999999998</v>
      </c>
      <c r="G2190" s="56">
        <v>0</v>
      </c>
      <c r="H2190" s="56">
        <v>0</v>
      </c>
      <c r="I2190" s="58">
        <v>0.27621699999999999</v>
      </c>
      <c r="J2190" s="57">
        <v>0.31224400000000002</v>
      </c>
      <c r="K2190" s="56"/>
      <c r="L2190" s="56" t="s">
        <v>624</v>
      </c>
    </row>
    <row r="2191" spans="2:12" x14ac:dyDescent="0.2">
      <c r="B2191" s="62" t="s">
        <v>3735</v>
      </c>
      <c r="C2191" s="61" t="s">
        <v>533</v>
      </c>
      <c r="D2191" s="60">
        <v>1.3645700000000001</v>
      </c>
      <c r="E2191" s="59">
        <v>6.2934400000000004</v>
      </c>
      <c r="F2191" s="59">
        <v>6.9629200000000004</v>
      </c>
      <c r="G2191" s="56">
        <v>1901.03</v>
      </c>
      <c r="H2191" s="56">
        <v>1393.14</v>
      </c>
      <c r="I2191" s="58">
        <v>0.52210199999999996</v>
      </c>
      <c r="J2191" s="57">
        <v>0.45727299999999999</v>
      </c>
      <c r="K2191" s="56"/>
      <c r="L2191" s="56" t="s">
        <v>488</v>
      </c>
    </row>
    <row r="2192" spans="2:12" x14ac:dyDescent="0.2">
      <c r="B2192" s="62" t="s">
        <v>3734</v>
      </c>
      <c r="C2192" s="61" t="s">
        <v>537</v>
      </c>
      <c r="D2192" s="60">
        <v>1.3893</v>
      </c>
      <c r="E2192" s="59">
        <v>6.2920199999999999</v>
      </c>
      <c r="F2192" s="59">
        <v>6.9630700000000001</v>
      </c>
      <c r="G2192" s="56">
        <v>1875.31</v>
      </c>
      <c r="H2192" s="56">
        <v>1349.83</v>
      </c>
      <c r="I2192" s="58">
        <v>0.52089600000000003</v>
      </c>
      <c r="J2192" s="57">
        <v>0.44760899999999998</v>
      </c>
      <c r="K2192" s="56"/>
      <c r="L2192" s="56" t="s">
        <v>488</v>
      </c>
    </row>
    <row r="2193" spans="2:12" x14ac:dyDescent="0.2">
      <c r="B2193" s="62" t="s">
        <v>3733</v>
      </c>
      <c r="C2193" s="61" t="s">
        <v>535</v>
      </c>
      <c r="D2193" s="60">
        <v>1.43631</v>
      </c>
      <c r="E2193" s="59">
        <v>5.2166800000000002</v>
      </c>
      <c r="F2193" s="59">
        <v>6.5209400000000004</v>
      </c>
      <c r="G2193" s="56">
        <v>1781.48</v>
      </c>
      <c r="H2193" s="56">
        <v>1240.32</v>
      </c>
      <c r="I2193" s="58">
        <v>0.48557099999999997</v>
      </c>
      <c r="J2193" s="57">
        <v>0.41456799999999999</v>
      </c>
      <c r="K2193" s="56"/>
      <c r="L2193" s="56" t="s">
        <v>488</v>
      </c>
    </row>
    <row r="2194" spans="2:12" x14ac:dyDescent="0.2">
      <c r="B2194" s="62" t="s">
        <v>3732</v>
      </c>
      <c r="C2194" s="61" t="s">
        <v>1167</v>
      </c>
      <c r="D2194" s="60">
        <v>1.4272100000000001</v>
      </c>
      <c r="E2194" s="59">
        <v>2.8470900000000001</v>
      </c>
      <c r="F2194" s="59">
        <v>8.1414100000000005</v>
      </c>
      <c r="G2194" s="56">
        <v>0</v>
      </c>
      <c r="H2194" s="56">
        <v>0</v>
      </c>
      <c r="I2194" s="58">
        <v>0.38185999999999998</v>
      </c>
      <c r="J2194" s="57">
        <v>0.32616200000000001</v>
      </c>
      <c r="K2194" s="56"/>
      <c r="L2194" s="56" t="s">
        <v>624</v>
      </c>
    </row>
    <row r="2195" spans="2:12" x14ac:dyDescent="0.2">
      <c r="B2195" s="62" t="s">
        <v>3731</v>
      </c>
      <c r="C2195" s="61" t="s">
        <v>555</v>
      </c>
      <c r="D2195" s="60">
        <v>1.1716299999999999</v>
      </c>
      <c r="E2195" s="59">
        <v>2.6744599999999998</v>
      </c>
      <c r="F2195" s="59">
        <v>3.8374199999999998</v>
      </c>
      <c r="G2195" s="56">
        <v>0</v>
      </c>
      <c r="H2195" s="56">
        <v>0</v>
      </c>
      <c r="I2195" s="58">
        <v>0.43504500000000002</v>
      </c>
      <c r="J2195" s="57">
        <v>0.415105</v>
      </c>
      <c r="K2195" s="56"/>
      <c r="L2195" s="56" t="s">
        <v>488</v>
      </c>
    </row>
    <row r="2196" spans="2:12" x14ac:dyDescent="0.2">
      <c r="B2196" s="62" t="s">
        <v>3730</v>
      </c>
      <c r="C2196" s="61" t="s">
        <v>529</v>
      </c>
      <c r="D2196" s="60">
        <v>1.3207899999999999</v>
      </c>
      <c r="E2196" s="59">
        <v>2.9581200000000001</v>
      </c>
      <c r="F2196" s="59">
        <v>3.94719</v>
      </c>
      <c r="G2196" s="56">
        <v>0</v>
      </c>
      <c r="H2196" s="56">
        <v>0</v>
      </c>
      <c r="I2196" s="58">
        <v>0.45002399999999998</v>
      </c>
      <c r="J2196" s="57">
        <v>0.38133499999999998</v>
      </c>
      <c r="K2196" s="56"/>
      <c r="L2196" s="56" t="s">
        <v>488</v>
      </c>
    </row>
    <row r="2197" spans="2:12" x14ac:dyDescent="0.2">
      <c r="B2197" s="62" t="s">
        <v>3729</v>
      </c>
      <c r="C2197" s="61" t="s">
        <v>587</v>
      </c>
      <c r="D2197" s="60">
        <v>1.4882200000000001</v>
      </c>
      <c r="E2197" s="59">
        <v>3.1070899999999999</v>
      </c>
      <c r="F2197" s="59">
        <v>4.0580999999999996</v>
      </c>
      <c r="G2197" s="56">
        <v>0</v>
      </c>
      <c r="H2197" s="56">
        <v>0</v>
      </c>
      <c r="I2197" s="58">
        <v>0.44882</v>
      </c>
      <c r="J2197" s="57">
        <v>0.34201799999999999</v>
      </c>
      <c r="K2197" s="56"/>
      <c r="L2197" s="56" t="s">
        <v>488</v>
      </c>
    </row>
    <row r="2198" spans="2:12" x14ac:dyDescent="0.2">
      <c r="B2198" s="62" t="s">
        <v>3728</v>
      </c>
      <c r="C2198" s="61" t="s">
        <v>708</v>
      </c>
      <c r="D2198" s="60">
        <v>1.34717</v>
      </c>
      <c r="E2198" s="59">
        <v>2.4610300000000001</v>
      </c>
      <c r="F2198" s="59">
        <v>4.0282400000000003</v>
      </c>
      <c r="G2198" s="56">
        <v>0</v>
      </c>
      <c r="H2198" s="56">
        <v>0</v>
      </c>
      <c r="I2198" s="58">
        <v>0.18706500000000001</v>
      </c>
      <c r="J2198" s="57">
        <v>0.34174599999999999</v>
      </c>
      <c r="K2198" s="56"/>
      <c r="L2198" s="56" t="s">
        <v>488</v>
      </c>
    </row>
    <row r="2199" spans="2:12" x14ac:dyDescent="0.2">
      <c r="B2199" s="62" t="s">
        <v>3727</v>
      </c>
      <c r="C2199" s="61" t="s">
        <v>1174</v>
      </c>
      <c r="D2199" s="60">
        <v>1.0379</v>
      </c>
      <c r="E2199" s="59">
        <v>6.9547100000000004</v>
      </c>
      <c r="F2199" s="59">
        <v>7.0905100000000001</v>
      </c>
      <c r="G2199" s="56">
        <v>1039.7</v>
      </c>
      <c r="H2199" s="56">
        <v>1001.73</v>
      </c>
      <c r="I2199" s="58">
        <v>0.48826799999999998</v>
      </c>
      <c r="J2199" s="57">
        <v>0.46532699999999999</v>
      </c>
      <c r="K2199" s="56"/>
      <c r="L2199" s="56" t="s">
        <v>488</v>
      </c>
    </row>
    <row r="2200" spans="2:12" x14ac:dyDescent="0.2">
      <c r="B2200" s="62" t="s">
        <v>3726</v>
      </c>
      <c r="C2200" s="61" t="s">
        <v>507</v>
      </c>
      <c r="D2200" s="60">
        <v>1.6615200000000001</v>
      </c>
      <c r="E2200" s="59">
        <v>2.9242599999999999</v>
      </c>
      <c r="F2200" s="59">
        <v>4.1116700000000002</v>
      </c>
      <c r="G2200" s="56">
        <v>0</v>
      </c>
      <c r="H2200" s="56">
        <v>0</v>
      </c>
      <c r="I2200" s="58">
        <v>0.27277800000000002</v>
      </c>
      <c r="J2200" s="57">
        <v>0.26792300000000002</v>
      </c>
      <c r="K2200" s="56"/>
      <c r="L2200" s="56" t="s">
        <v>488</v>
      </c>
    </row>
    <row r="2201" spans="2:12" x14ac:dyDescent="0.2">
      <c r="B2201" s="62" t="s">
        <v>3725</v>
      </c>
      <c r="C2201" s="61" t="s">
        <v>533</v>
      </c>
      <c r="D2201" s="60">
        <v>1.7698199999999999</v>
      </c>
      <c r="E2201" s="59">
        <v>2.74553</v>
      </c>
      <c r="F2201" s="59">
        <v>3.9413200000000002</v>
      </c>
      <c r="G2201" s="56">
        <v>0</v>
      </c>
      <c r="H2201" s="56">
        <v>0</v>
      </c>
      <c r="I2201" s="58">
        <v>0.23127600000000001</v>
      </c>
      <c r="J2201" s="57">
        <v>0.246921</v>
      </c>
      <c r="K2201" s="56"/>
      <c r="L2201" s="56" t="s">
        <v>488</v>
      </c>
    </row>
    <row r="2202" spans="2:12" x14ac:dyDescent="0.2">
      <c r="B2202" s="62" t="s">
        <v>3724</v>
      </c>
      <c r="C2202" s="61" t="s">
        <v>495</v>
      </c>
      <c r="D2202" s="60">
        <v>1.046</v>
      </c>
      <c r="E2202" s="59">
        <v>3.87575</v>
      </c>
      <c r="F2202" s="59">
        <v>8.1344200000000004</v>
      </c>
      <c r="G2202" s="56">
        <v>680.31</v>
      </c>
      <c r="H2202" s="56">
        <v>650.39300000000003</v>
      </c>
      <c r="I2202" s="58">
        <v>0.53091100000000002</v>
      </c>
      <c r="J2202" s="57">
        <v>0.55860699999999996</v>
      </c>
      <c r="K2202" s="56"/>
      <c r="L2202" s="56" t="s">
        <v>488</v>
      </c>
    </row>
    <row r="2203" spans="2:12" x14ac:dyDescent="0.2">
      <c r="B2203" s="62" t="s">
        <v>3723</v>
      </c>
      <c r="C2203" s="61" t="s">
        <v>875</v>
      </c>
      <c r="D2203" s="60">
        <v>1.78125</v>
      </c>
      <c r="E2203" s="59">
        <v>5.1236199999999998</v>
      </c>
      <c r="F2203" s="59">
        <v>7.3154000000000003</v>
      </c>
      <c r="G2203" s="56">
        <v>736.68799999999999</v>
      </c>
      <c r="H2203" s="56">
        <v>414.166</v>
      </c>
      <c r="I2203" s="58">
        <v>0.32442100000000001</v>
      </c>
      <c r="J2203" s="57">
        <v>0.25470300000000001</v>
      </c>
      <c r="K2203" s="56"/>
      <c r="L2203" s="56" t="s">
        <v>488</v>
      </c>
    </row>
    <row r="2204" spans="2:12" x14ac:dyDescent="0.2">
      <c r="B2204" s="62" t="s">
        <v>3722</v>
      </c>
      <c r="C2204" s="61" t="s">
        <v>875</v>
      </c>
      <c r="D2204" s="60">
        <v>1.7787200000000001</v>
      </c>
      <c r="E2204" s="59">
        <v>5.0750599999999997</v>
      </c>
      <c r="F2204" s="59">
        <v>7.3405800000000001</v>
      </c>
      <c r="G2204" s="56">
        <v>757.52300000000002</v>
      </c>
      <c r="H2204" s="56">
        <v>427.61500000000001</v>
      </c>
      <c r="I2204" s="58">
        <v>0.32627299999999998</v>
      </c>
      <c r="J2204" s="57">
        <v>0.25522600000000001</v>
      </c>
      <c r="K2204" s="56"/>
      <c r="L2204" s="56" t="s">
        <v>488</v>
      </c>
    </row>
    <row r="2205" spans="2:12" x14ac:dyDescent="0.2">
      <c r="B2205" s="62" t="s">
        <v>3721</v>
      </c>
      <c r="C2205" s="61" t="s">
        <v>875</v>
      </c>
      <c r="D2205" s="60">
        <v>1.7715099999999999</v>
      </c>
      <c r="E2205" s="59">
        <v>5.1139900000000003</v>
      </c>
      <c r="F2205" s="59">
        <v>7.3239700000000001</v>
      </c>
      <c r="G2205" s="56">
        <v>748.72199999999998</v>
      </c>
      <c r="H2205" s="56">
        <v>422.625</v>
      </c>
      <c r="I2205" s="58">
        <v>0.32584800000000003</v>
      </c>
      <c r="J2205" s="57">
        <v>0.25798599999999999</v>
      </c>
      <c r="K2205" s="56"/>
      <c r="L2205" s="56" t="s">
        <v>488</v>
      </c>
    </row>
    <row r="2206" spans="2:12" x14ac:dyDescent="0.2">
      <c r="B2206" s="62" t="s">
        <v>3720</v>
      </c>
      <c r="C2206" s="61" t="s">
        <v>875</v>
      </c>
      <c r="D2206" s="60">
        <v>1.7716000000000001</v>
      </c>
      <c r="E2206" s="59">
        <v>4.9142400000000004</v>
      </c>
      <c r="F2206" s="59">
        <v>7.23942</v>
      </c>
      <c r="G2206" s="56">
        <v>740.06</v>
      </c>
      <c r="H2206" s="56">
        <v>411.21300000000002</v>
      </c>
      <c r="I2206" s="58">
        <v>0.323799</v>
      </c>
      <c r="J2206" s="57">
        <v>0.25759199999999999</v>
      </c>
      <c r="K2206" s="56"/>
      <c r="L2206" s="56" t="s">
        <v>488</v>
      </c>
    </row>
    <row r="2207" spans="2:12" x14ac:dyDescent="0.2">
      <c r="B2207" s="62" t="s">
        <v>3719</v>
      </c>
      <c r="C2207" s="61" t="s">
        <v>875</v>
      </c>
      <c r="D2207" s="60">
        <v>1.7997000000000001</v>
      </c>
      <c r="E2207" s="59">
        <v>5.0141499999999999</v>
      </c>
      <c r="F2207" s="59">
        <v>7.2876300000000001</v>
      </c>
      <c r="G2207" s="56">
        <v>734.10299999999995</v>
      </c>
      <c r="H2207" s="56">
        <v>410.12799999999999</v>
      </c>
      <c r="I2207" s="58">
        <v>0.32102000000000003</v>
      </c>
      <c r="J2207" s="57">
        <v>0.24931700000000001</v>
      </c>
      <c r="K2207" s="56"/>
      <c r="L2207" s="56" t="s">
        <v>488</v>
      </c>
    </row>
    <row r="2208" spans="2:12" x14ac:dyDescent="0.2">
      <c r="B2208" s="62" t="s">
        <v>3718</v>
      </c>
      <c r="C2208" s="61" t="s">
        <v>875</v>
      </c>
      <c r="D2208" s="60">
        <v>1.7899400000000001</v>
      </c>
      <c r="E2208" s="59">
        <v>5.1269499999999999</v>
      </c>
      <c r="F2208" s="59">
        <v>7.3175400000000002</v>
      </c>
      <c r="G2208" s="56">
        <v>749.39099999999996</v>
      </c>
      <c r="H2208" s="56">
        <v>420.71</v>
      </c>
      <c r="I2208" s="58">
        <v>0.32493499999999997</v>
      </c>
      <c r="J2208" s="57">
        <v>0.252799</v>
      </c>
      <c r="K2208" s="56"/>
      <c r="L2208" s="56" t="s">
        <v>488</v>
      </c>
    </row>
    <row r="2209" spans="2:12" x14ac:dyDescent="0.2">
      <c r="B2209" s="62" t="s">
        <v>3717</v>
      </c>
      <c r="C2209" s="61" t="s">
        <v>533</v>
      </c>
      <c r="D2209" s="60">
        <v>2.0057499999999999</v>
      </c>
      <c r="E2209" s="59">
        <v>3.1028699999999998</v>
      </c>
      <c r="F2209" s="59">
        <v>4.5941299999999998</v>
      </c>
      <c r="G2209" s="56">
        <v>0</v>
      </c>
      <c r="H2209" s="56">
        <v>0</v>
      </c>
      <c r="I2209" s="58">
        <v>0.31506299999999998</v>
      </c>
      <c r="J2209" s="57">
        <v>0.23716000000000001</v>
      </c>
      <c r="K2209" s="56"/>
      <c r="L2209" s="56" t="s">
        <v>488</v>
      </c>
    </row>
    <row r="2210" spans="2:12" x14ac:dyDescent="0.2">
      <c r="B2210" s="62" t="s">
        <v>3716</v>
      </c>
      <c r="C2210" s="61" t="s">
        <v>842</v>
      </c>
      <c r="D2210" s="60">
        <v>0.87926400000000005</v>
      </c>
      <c r="E2210" s="59">
        <v>7.1473000000000004</v>
      </c>
      <c r="F2210" s="59">
        <v>9.6171699999999998</v>
      </c>
      <c r="G2210" s="56">
        <v>1482.1</v>
      </c>
      <c r="H2210" s="56">
        <v>1685.62</v>
      </c>
      <c r="I2210" s="58">
        <v>0.63776699999999997</v>
      </c>
      <c r="J2210" s="57">
        <v>0.73476200000000003</v>
      </c>
      <c r="K2210" s="56"/>
      <c r="L2210" s="56" t="s">
        <v>488</v>
      </c>
    </row>
    <row r="2211" spans="2:12" x14ac:dyDescent="0.2">
      <c r="B2211" s="62" t="s">
        <v>3715</v>
      </c>
      <c r="C2211" s="61" t="s">
        <v>3714</v>
      </c>
      <c r="D2211" s="60">
        <v>0.88248499999999996</v>
      </c>
      <c r="E2211" s="59">
        <v>7.0363100000000003</v>
      </c>
      <c r="F2211" s="59">
        <v>9.7492800000000006</v>
      </c>
      <c r="G2211" s="56">
        <v>1453.3</v>
      </c>
      <c r="H2211" s="56">
        <v>1646.83</v>
      </c>
      <c r="I2211" s="58">
        <v>0.63737500000000002</v>
      </c>
      <c r="J2211" s="57">
        <v>0.72963500000000003</v>
      </c>
      <c r="K2211" s="56"/>
      <c r="L2211" s="56" t="s">
        <v>488</v>
      </c>
    </row>
    <row r="2212" spans="2:12" x14ac:dyDescent="0.2">
      <c r="B2212" s="62" t="s">
        <v>3713</v>
      </c>
      <c r="C2212" s="61" t="s">
        <v>495</v>
      </c>
      <c r="D2212" s="60">
        <v>1.52383</v>
      </c>
      <c r="E2212" s="59">
        <v>4.8227700000000002</v>
      </c>
      <c r="F2212" s="59">
        <v>5.4117899999999999</v>
      </c>
      <c r="G2212" s="56">
        <v>447.73399999999998</v>
      </c>
      <c r="H2212" s="56">
        <v>293.82100000000003</v>
      </c>
      <c r="I2212" s="58">
        <v>0.20754600000000001</v>
      </c>
      <c r="J2212" s="57">
        <v>0.263268</v>
      </c>
      <c r="K2212" s="56"/>
      <c r="L2212" s="56" t="s">
        <v>488</v>
      </c>
    </row>
    <row r="2213" spans="2:12" x14ac:dyDescent="0.2">
      <c r="B2213" s="62" t="s">
        <v>3712</v>
      </c>
      <c r="C2213" s="61" t="s">
        <v>502</v>
      </c>
      <c r="D2213" s="60">
        <v>1.05233</v>
      </c>
      <c r="E2213" s="59">
        <v>3.1780499999999998</v>
      </c>
      <c r="F2213" s="59">
        <v>5.7806100000000002</v>
      </c>
      <c r="G2213" s="56">
        <v>0</v>
      </c>
      <c r="H2213" s="56">
        <v>0</v>
      </c>
      <c r="I2213" s="58">
        <v>0.56594900000000004</v>
      </c>
      <c r="J2213" s="57">
        <v>0.53441700000000003</v>
      </c>
      <c r="K2213" s="56"/>
      <c r="L2213" s="56" t="s">
        <v>488</v>
      </c>
    </row>
    <row r="2214" spans="2:12" x14ac:dyDescent="0.2">
      <c r="B2214" s="62" t="s">
        <v>3711</v>
      </c>
      <c r="C2214" s="61" t="s">
        <v>502</v>
      </c>
      <c r="D2214" s="60">
        <v>1.12886</v>
      </c>
      <c r="E2214" s="59">
        <v>4.0486300000000002</v>
      </c>
      <c r="F2214" s="59">
        <v>5.3244400000000001</v>
      </c>
      <c r="G2214" s="56">
        <v>715.03</v>
      </c>
      <c r="H2214" s="56">
        <v>633.40800000000002</v>
      </c>
      <c r="I2214" s="58">
        <v>0.43264900000000001</v>
      </c>
      <c r="J2214" s="57">
        <v>0.47041500000000003</v>
      </c>
      <c r="K2214" s="56"/>
      <c r="L2214" s="56" t="s">
        <v>488</v>
      </c>
    </row>
    <row r="2215" spans="2:12" x14ac:dyDescent="0.2">
      <c r="B2215" s="62" t="s">
        <v>3710</v>
      </c>
      <c r="C2215" s="61" t="s">
        <v>502</v>
      </c>
      <c r="D2215" s="60">
        <v>0.51424700000000001</v>
      </c>
      <c r="E2215" s="59">
        <v>13.71841</v>
      </c>
      <c r="F2215" s="59">
        <v>15.61444</v>
      </c>
      <c r="G2215" s="56">
        <v>2375.08</v>
      </c>
      <c r="H2215" s="56">
        <v>4618.5600000000004</v>
      </c>
      <c r="I2215" s="58">
        <v>0.78414799999999996</v>
      </c>
      <c r="J2215" s="57">
        <v>1.5434699999999999</v>
      </c>
      <c r="K2215" s="56" t="s">
        <v>3709</v>
      </c>
      <c r="L2215" s="56" t="s">
        <v>563</v>
      </c>
    </row>
    <row r="2216" spans="2:12" x14ac:dyDescent="0.2">
      <c r="B2216" s="62" t="s">
        <v>3708</v>
      </c>
      <c r="C2216" s="61" t="s">
        <v>502</v>
      </c>
      <c r="D2216" s="60">
        <v>0.50640600000000002</v>
      </c>
      <c r="E2216" s="59">
        <v>14.750299999999999</v>
      </c>
      <c r="F2216" s="59">
        <v>16.19567</v>
      </c>
      <c r="G2216" s="56">
        <v>2244.6</v>
      </c>
      <c r="H2216" s="56">
        <v>4432.41</v>
      </c>
      <c r="I2216" s="58">
        <v>0.81035400000000002</v>
      </c>
      <c r="J2216" s="57">
        <v>1.56673</v>
      </c>
      <c r="K2216" s="56"/>
      <c r="L2216" s="56" t="s">
        <v>488</v>
      </c>
    </row>
    <row r="2217" spans="2:12" x14ac:dyDescent="0.2">
      <c r="B2217" s="62" t="s">
        <v>3707</v>
      </c>
      <c r="C2217" s="61" t="s">
        <v>708</v>
      </c>
      <c r="D2217" s="60">
        <v>1.20113</v>
      </c>
      <c r="E2217" s="59">
        <v>2.5923500000000002</v>
      </c>
      <c r="F2217" s="59">
        <v>4.8010099999999998</v>
      </c>
      <c r="G2217" s="56">
        <v>0</v>
      </c>
      <c r="H2217" s="56">
        <v>0</v>
      </c>
      <c r="I2217" s="58">
        <v>0.32522000000000001</v>
      </c>
      <c r="J2217" s="57">
        <v>0.38267000000000001</v>
      </c>
      <c r="K2217" s="56"/>
      <c r="L2217" s="56" t="s">
        <v>488</v>
      </c>
    </row>
    <row r="2218" spans="2:12" x14ac:dyDescent="0.2">
      <c r="B2218" s="62" t="s">
        <v>3706</v>
      </c>
      <c r="C2218" s="61" t="s">
        <v>499</v>
      </c>
      <c r="D2218" s="60">
        <v>1.5963099999999999</v>
      </c>
      <c r="E2218" s="59">
        <v>3.52352</v>
      </c>
      <c r="F2218" s="59">
        <v>4.6880499999999996</v>
      </c>
      <c r="G2218" s="56">
        <v>0</v>
      </c>
      <c r="H2218" s="56">
        <v>0</v>
      </c>
      <c r="I2218" s="58">
        <v>0.34887699999999999</v>
      </c>
      <c r="J2218" s="57">
        <v>0.33046300000000001</v>
      </c>
      <c r="K2218" s="56"/>
      <c r="L2218" s="56" t="s">
        <v>488</v>
      </c>
    </row>
    <row r="2219" spans="2:12" x14ac:dyDescent="0.2">
      <c r="B2219" s="62" t="s">
        <v>3705</v>
      </c>
      <c r="C2219" s="61" t="s">
        <v>499</v>
      </c>
      <c r="D2219" s="60">
        <v>1.6725399999999999</v>
      </c>
      <c r="E2219" s="59">
        <v>2.8342299999999998</v>
      </c>
      <c r="F2219" s="59">
        <v>4.3071900000000003</v>
      </c>
      <c r="G2219" s="56">
        <v>0</v>
      </c>
      <c r="H2219" s="56">
        <v>0</v>
      </c>
      <c r="I2219" s="58">
        <v>0.29039300000000001</v>
      </c>
      <c r="J2219" s="57">
        <v>0.29622900000000002</v>
      </c>
      <c r="K2219" s="56"/>
      <c r="L2219" s="56" t="s">
        <v>488</v>
      </c>
    </row>
    <row r="2220" spans="2:12" x14ac:dyDescent="0.2">
      <c r="B2220" s="62" t="s">
        <v>3704</v>
      </c>
      <c r="C2220" s="61" t="s">
        <v>579</v>
      </c>
      <c r="D2220" s="60">
        <v>1.8908400000000001</v>
      </c>
      <c r="E2220" s="59">
        <v>3.4494799999999999</v>
      </c>
      <c r="F2220" s="59">
        <v>4.3675100000000002</v>
      </c>
      <c r="G2220" s="56">
        <v>0</v>
      </c>
      <c r="H2220" s="56">
        <v>0</v>
      </c>
      <c r="I2220" s="58">
        <v>0.32337399999999999</v>
      </c>
      <c r="J2220" s="57">
        <v>0.25619399999999998</v>
      </c>
      <c r="K2220" s="56"/>
      <c r="L2220" s="56" t="s">
        <v>488</v>
      </c>
    </row>
    <row r="2221" spans="2:12" x14ac:dyDescent="0.2">
      <c r="B2221" s="62" t="s">
        <v>3703</v>
      </c>
      <c r="C2221" s="61" t="s">
        <v>489</v>
      </c>
      <c r="D2221" s="60">
        <v>1.36629</v>
      </c>
      <c r="E2221" s="59">
        <v>3.8002199999999999</v>
      </c>
      <c r="F2221" s="59">
        <v>4.6964199999999998</v>
      </c>
      <c r="G2221" s="56">
        <v>368.82799999999997</v>
      </c>
      <c r="H2221" s="56">
        <v>269.94799999999998</v>
      </c>
      <c r="I2221" s="58">
        <v>0.19251499999999999</v>
      </c>
      <c r="J2221" s="57">
        <v>0.33891300000000002</v>
      </c>
      <c r="K2221" s="56"/>
      <c r="L2221" s="56" t="s">
        <v>488</v>
      </c>
    </row>
    <row r="2222" spans="2:12" x14ac:dyDescent="0.2">
      <c r="B2222" s="62" t="s">
        <v>3702</v>
      </c>
      <c r="C2222" s="61" t="s">
        <v>502</v>
      </c>
      <c r="D2222" s="60">
        <v>1.01071</v>
      </c>
      <c r="E2222" s="59">
        <v>4.5021500000000003</v>
      </c>
      <c r="F2222" s="59">
        <v>7.4091899999999997</v>
      </c>
      <c r="G2222" s="56">
        <v>978.49900000000002</v>
      </c>
      <c r="H2222" s="56">
        <v>968.12699999999995</v>
      </c>
      <c r="I2222" s="58">
        <v>0.43994499999999997</v>
      </c>
      <c r="J2222" s="57">
        <v>0.54998899999999995</v>
      </c>
      <c r="K2222" s="56"/>
      <c r="L2222" s="56" t="s">
        <v>492</v>
      </c>
    </row>
    <row r="2223" spans="2:12" x14ac:dyDescent="0.2">
      <c r="B2223" s="62" t="s">
        <v>3701</v>
      </c>
      <c r="C2223" s="61" t="s">
        <v>2248</v>
      </c>
      <c r="D2223" s="60">
        <v>0.82416999999999996</v>
      </c>
      <c r="E2223" s="59">
        <v>4.2873299999999999</v>
      </c>
      <c r="F2223" s="59">
        <v>15.329560000000001</v>
      </c>
      <c r="G2223" s="56">
        <v>710.72500000000002</v>
      </c>
      <c r="H2223" s="56">
        <v>862.35199999999998</v>
      </c>
      <c r="I2223" s="58">
        <v>0.51822299999999999</v>
      </c>
      <c r="J2223" s="57">
        <v>0.77804200000000001</v>
      </c>
      <c r="K2223" s="56"/>
      <c r="L2223" s="56" t="s">
        <v>488</v>
      </c>
    </row>
    <row r="2224" spans="2:12" x14ac:dyDescent="0.2">
      <c r="B2224" s="62" t="s">
        <v>3700</v>
      </c>
      <c r="C2224" s="61" t="s">
        <v>3699</v>
      </c>
      <c r="D2224" s="60">
        <v>1.05897</v>
      </c>
      <c r="E2224" s="59">
        <v>3.6465100000000001</v>
      </c>
      <c r="F2224" s="59">
        <v>5.7406699999999997</v>
      </c>
      <c r="G2224" s="56">
        <v>0</v>
      </c>
      <c r="H2224" s="56">
        <v>0</v>
      </c>
      <c r="I2224" s="58">
        <v>0.479294</v>
      </c>
      <c r="J2224" s="57">
        <v>0.65215500000000004</v>
      </c>
      <c r="K2224" s="56"/>
      <c r="L2224" s="56" t="s">
        <v>488</v>
      </c>
    </row>
    <row r="2225" spans="2:12" x14ac:dyDescent="0.2">
      <c r="B2225" s="62" t="s">
        <v>3698</v>
      </c>
      <c r="C2225" s="61" t="s">
        <v>1518</v>
      </c>
      <c r="D2225" s="60">
        <v>1.9476500000000001</v>
      </c>
      <c r="E2225" s="59">
        <v>5.0079399999999996</v>
      </c>
      <c r="F2225" s="59">
        <v>7.1501299999999999</v>
      </c>
      <c r="G2225" s="56">
        <v>681.93</v>
      </c>
      <c r="H2225" s="56">
        <v>350.12900000000002</v>
      </c>
      <c r="I2225" s="58">
        <v>0.31640600000000002</v>
      </c>
      <c r="J2225" s="57">
        <v>0.22098300000000001</v>
      </c>
      <c r="K2225" s="56"/>
      <c r="L2225" s="56" t="s">
        <v>488</v>
      </c>
    </row>
    <row r="2226" spans="2:12" x14ac:dyDescent="0.2">
      <c r="B2226" s="62" t="s">
        <v>3697</v>
      </c>
      <c r="C2226" s="61" t="s">
        <v>1252</v>
      </c>
      <c r="D2226" s="60">
        <v>1.9326099999999999</v>
      </c>
      <c r="E2226" s="59">
        <v>5.0128500000000003</v>
      </c>
      <c r="F2226" s="59">
        <v>7.1627200000000002</v>
      </c>
      <c r="G2226" s="56">
        <v>706.02499999999998</v>
      </c>
      <c r="H2226" s="56">
        <v>365.322</v>
      </c>
      <c r="I2226" s="58">
        <v>0.31702900000000001</v>
      </c>
      <c r="J2226" s="57">
        <v>0.22370599999999999</v>
      </c>
      <c r="K2226" s="56"/>
      <c r="L2226" s="56" t="s">
        <v>488</v>
      </c>
    </row>
    <row r="2227" spans="2:12" x14ac:dyDescent="0.2">
      <c r="B2227" s="62" t="s">
        <v>3696</v>
      </c>
      <c r="C2227" s="61" t="s">
        <v>641</v>
      </c>
      <c r="D2227" s="60">
        <v>1.8998699999999999</v>
      </c>
      <c r="E2227" s="59">
        <v>2.5186099999999998</v>
      </c>
      <c r="F2227" s="59">
        <v>3.4696699999999998</v>
      </c>
      <c r="G2227" s="56">
        <v>0</v>
      </c>
      <c r="H2227" s="56">
        <v>0</v>
      </c>
      <c r="I2227" s="58">
        <v>0.14759</v>
      </c>
      <c r="J2227" s="57">
        <v>0.22106200000000001</v>
      </c>
      <c r="K2227" s="56"/>
      <c r="L2227" s="56" t="s">
        <v>488</v>
      </c>
    </row>
    <row r="2228" spans="2:12" x14ac:dyDescent="0.2">
      <c r="B2228" s="62" t="s">
        <v>3695</v>
      </c>
      <c r="C2228" s="61" t="s">
        <v>708</v>
      </c>
      <c r="D2228" s="60">
        <v>0.95429799999999998</v>
      </c>
      <c r="E2228" s="59">
        <v>9.7603399999999993</v>
      </c>
      <c r="F2228" s="59">
        <v>10.781090000000001</v>
      </c>
      <c r="G2228" s="56">
        <v>1264.02</v>
      </c>
      <c r="H2228" s="56">
        <v>1324.55</v>
      </c>
      <c r="I2228" s="58">
        <v>0.62818099999999999</v>
      </c>
      <c r="J2228" s="57">
        <v>0.64601500000000001</v>
      </c>
      <c r="K2228" s="56"/>
      <c r="L2228" s="56" t="s">
        <v>488</v>
      </c>
    </row>
    <row r="2229" spans="2:12" x14ac:dyDescent="0.2">
      <c r="B2229" s="62" t="s">
        <v>3694</v>
      </c>
      <c r="C2229" s="61" t="s">
        <v>708</v>
      </c>
      <c r="D2229" s="60">
        <v>0.63700699999999999</v>
      </c>
      <c r="E2229" s="59">
        <v>7.6124900000000002</v>
      </c>
      <c r="F2229" s="59">
        <v>12.51834</v>
      </c>
      <c r="G2229" s="56">
        <v>1979.98</v>
      </c>
      <c r="H2229" s="56">
        <v>3108.25</v>
      </c>
      <c r="I2229" s="58">
        <v>0.773177</v>
      </c>
      <c r="J2229" s="57">
        <v>1.15544</v>
      </c>
      <c r="K2229" s="56"/>
      <c r="L2229" s="56" t="s">
        <v>488</v>
      </c>
    </row>
    <row r="2230" spans="2:12" x14ac:dyDescent="0.2">
      <c r="B2230" s="62" t="s">
        <v>3693</v>
      </c>
      <c r="C2230" s="61" t="s">
        <v>499</v>
      </c>
      <c r="D2230" s="60">
        <v>1.0587500000000001</v>
      </c>
      <c r="E2230" s="59">
        <v>6.1004899999999997</v>
      </c>
      <c r="F2230" s="59">
        <v>8.2373600000000007</v>
      </c>
      <c r="G2230" s="56">
        <v>1410.08</v>
      </c>
      <c r="H2230" s="56">
        <v>1331.84</v>
      </c>
      <c r="I2230" s="58">
        <v>0.56154099999999996</v>
      </c>
      <c r="J2230" s="57">
        <v>0.57419799999999999</v>
      </c>
      <c r="K2230" s="56"/>
      <c r="L2230" s="56" t="s">
        <v>488</v>
      </c>
    </row>
    <row r="2231" spans="2:12" x14ac:dyDescent="0.2">
      <c r="B2231" s="62" t="s">
        <v>3692</v>
      </c>
      <c r="C2231" s="61" t="s">
        <v>499</v>
      </c>
      <c r="D2231" s="60">
        <v>1.08206</v>
      </c>
      <c r="E2231" s="59">
        <v>6.5020300000000004</v>
      </c>
      <c r="F2231" s="59">
        <v>8.0099199999999993</v>
      </c>
      <c r="G2231" s="56">
        <v>1358</v>
      </c>
      <c r="H2231" s="56">
        <v>1255.01</v>
      </c>
      <c r="I2231" s="58">
        <v>0.54563700000000004</v>
      </c>
      <c r="J2231" s="57">
        <v>0.55360299999999996</v>
      </c>
      <c r="K2231" s="56"/>
      <c r="L2231" s="56" t="s">
        <v>488</v>
      </c>
    </row>
    <row r="2232" spans="2:12" x14ac:dyDescent="0.2">
      <c r="B2232" s="62" t="s">
        <v>3691</v>
      </c>
      <c r="C2232" s="61" t="s">
        <v>499</v>
      </c>
      <c r="D2232" s="60">
        <v>0.80826100000000001</v>
      </c>
      <c r="E2232" s="59">
        <v>6.6624999999999996</v>
      </c>
      <c r="F2232" s="59">
        <v>10.82391</v>
      </c>
      <c r="G2232" s="56">
        <v>1831.79</v>
      </c>
      <c r="H2232" s="56">
        <v>2266.34</v>
      </c>
      <c r="I2232" s="58">
        <v>0.68463099999999999</v>
      </c>
      <c r="J2232" s="57">
        <v>0.86238999999999999</v>
      </c>
      <c r="K2232" s="56"/>
      <c r="L2232" s="56" t="s">
        <v>488</v>
      </c>
    </row>
    <row r="2233" spans="2:12" x14ac:dyDescent="0.2">
      <c r="B2233" s="62" t="s">
        <v>3690</v>
      </c>
      <c r="C2233" s="61" t="s">
        <v>1226</v>
      </c>
      <c r="D2233" s="60">
        <v>1.4748000000000001</v>
      </c>
      <c r="E2233" s="59">
        <v>3.79148</v>
      </c>
      <c r="F2233" s="59">
        <v>5.7763099999999996</v>
      </c>
      <c r="G2233" s="56">
        <v>1367.86</v>
      </c>
      <c r="H2233" s="56">
        <v>927.49199999999996</v>
      </c>
      <c r="I2233" s="58">
        <v>0.58274199999999998</v>
      </c>
      <c r="J2233" s="57">
        <v>0.40450399999999997</v>
      </c>
      <c r="K2233" s="56"/>
      <c r="L2233" s="56" t="s">
        <v>488</v>
      </c>
    </row>
    <row r="2234" spans="2:12" x14ac:dyDescent="0.2">
      <c r="B2234" s="62" t="s">
        <v>3689</v>
      </c>
      <c r="C2234" s="61" t="s">
        <v>499</v>
      </c>
      <c r="D2234" s="60">
        <v>1.4710799999999999</v>
      </c>
      <c r="E2234" s="59">
        <v>3.80654</v>
      </c>
      <c r="F2234" s="59">
        <v>5.2878600000000002</v>
      </c>
      <c r="G2234" s="56">
        <v>495.33199999999999</v>
      </c>
      <c r="H2234" s="56">
        <v>336.71300000000002</v>
      </c>
      <c r="I2234" s="58">
        <v>0.26091900000000001</v>
      </c>
      <c r="J2234" s="57">
        <v>0.30030899999999999</v>
      </c>
      <c r="K2234" s="56"/>
      <c r="L2234" s="56" t="s">
        <v>488</v>
      </c>
    </row>
    <row r="2235" spans="2:12" x14ac:dyDescent="0.2">
      <c r="B2235" s="62" t="s">
        <v>3688</v>
      </c>
      <c r="C2235" s="61" t="s">
        <v>550</v>
      </c>
      <c r="D2235" s="60">
        <v>2.2532299999999998</v>
      </c>
      <c r="E2235" s="59">
        <v>3.8178800000000002</v>
      </c>
      <c r="F2235" s="59">
        <v>4.6646700000000001</v>
      </c>
      <c r="G2235" s="56">
        <v>509.55</v>
      </c>
      <c r="H2235" s="56">
        <v>226.142</v>
      </c>
      <c r="I2235" s="58">
        <v>0.337229</v>
      </c>
      <c r="J2235" s="57">
        <v>0.19508400000000001</v>
      </c>
      <c r="K2235" s="56"/>
      <c r="L2235" s="56" t="s">
        <v>488</v>
      </c>
    </row>
    <row r="2236" spans="2:12" x14ac:dyDescent="0.2">
      <c r="B2236" s="62" t="s">
        <v>3687</v>
      </c>
      <c r="C2236" s="61" t="s">
        <v>502</v>
      </c>
      <c r="D2236" s="60">
        <v>1.21834</v>
      </c>
      <c r="E2236" s="59">
        <v>5.27684</v>
      </c>
      <c r="F2236" s="59">
        <v>5.7430199999999996</v>
      </c>
      <c r="G2236" s="56">
        <v>1991.9</v>
      </c>
      <c r="H2236" s="56">
        <v>1634.93</v>
      </c>
      <c r="I2236" s="58">
        <v>0.654833</v>
      </c>
      <c r="J2236" s="57">
        <v>0.52419099999999996</v>
      </c>
      <c r="K2236" s="56"/>
      <c r="L2236" s="56" t="s">
        <v>488</v>
      </c>
    </row>
    <row r="2237" spans="2:12" x14ac:dyDescent="0.2">
      <c r="B2237" s="62" t="s">
        <v>3686</v>
      </c>
      <c r="C2237" s="61" t="s">
        <v>502</v>
      </c>
      <c r="D2237" s="60">
        <v>1.5349299999999999</v>
      </c>
      <c r="E2237" s="59">
        <v>3.1795200000000001</v>
      </c>
      <c r="F2237" s="59">
        <v>3.3864200000000002</v>
      </c>
      <c r="G2237" s="56">
        <v>0</v>
      </c>
      <c r="H2237" s="56">
        <v>0</v>
      </c>
      <c r="I2237" s="58">
        <v>9.4478000000000006E-2</v>
      </c>
      <c r="J2237" s="57">
        <v>0.24639900000000001</v>
      </c>
      <c r="K2237" s="56"/>
      <c r="L2237" s="56" t="s">
        <v>488</v>
      </c>
    </row>
    <row r="2238" spans="2:12" x14ac:dyDescent="0.2">
      <c r="B2238" s="62" t="s">
        <v>3685</v>
      </c>
      <c r="C2238" s="61" t="s">
        <v>499</v>
      </c>
      <c r="D2238" s="60">
        <v>1.46407</v>
      </c>
      <c r="E2238" s="59">
        <v>3.23821</v>
      </c>
      <c r="F2238" s="59">
        <v>4.4651199999999998</v>
      </c>
      <c r="G2238" s="56">
        <v>0</v>
      </c>
      <c r="H2238" s="56">
        <v>0</v>
      </c>
      <c r="I2238" s="58">
        <v>0.20387</v>
      </c>
      <c r="J2238" s="57">
        <v>0.29464000000000001</v>
      </c>
      <c r="K2238" s="56"/>
      <c r="L2238" s="56" t="s">
        <v>488</v>
      </c>
    </row>
    <row r="2239" spans="2:12" x14ac:dyDescent="0.2">
      <c r="B2239" s="62" t="s">
        <v>3684</v>
      </c>
      <c r="C2239" s="61" t="s">
        <v>502</v>
      </c>
      <c r="D2239" s="60">
        <v>2.3559800000000002</v>
      </c>
      <c r="E2239" s="59">
        <v>3.5560299999999998</v>
      </c>
      <c r="F2239" s="59">
        <v>5.1171199999999999</v>
      </c>
      <c r="G2239" s="56">
        <v>0</v>
      </c>
      <c r="H2239" s="56">
        <v>0</v>
      </c>
      <c r="I2239" s="58">
        <v>0.22161700000000001</v>
      </c>
      <c r="J2239" s="57">
        <v>0.19111500000000001</v>
      </c>
      <c r="K2239" s="56"/>
      <c r="L2239" s="56" t="s">
        <v>488</v>
      </c>
    </row>
    <row r="2240" spans="2:12" x14ac:dyDescent="0.2">
      <c r="B2240" s="62" t="s">
        <v>3683</v>
      </c>
      <c r="C2240" s="61" t="s">
        <v>541</v>
      </c>
      <c r="D2240" s="60">
        <v>1.7124200000000001</v>
      </c>
      <c r="E2240" s="59">
        <v>3.8346499999999999</v>
      </c>
      <c r="F2240" s="59">
        <v>5.3894299999999999</v>
      </c>
      <c r="G2240" s="56">
        <v>302.053</v>
      </c>
      <c r="H2240" s="56">
        <v>176.39</v>
      </c>
      <c r="I2240" s="58">
        <v>0.16164100000000001</v>
      </c>
      <c r="J2240" s="57">
        <v>0.245202</v>
      </c>
      <c r="K2240" s="56"/>
      <c r="L2240" s="56" t="s">
        <v>488</v>
      </c>
    </row>
    <row r="2241" spans="2:12" x14ac:dyDescent="0.2">
      <c r="B2241" s="62" t="s">
        <v>3682</v>
      </c>
      <c r="C2241" s="61" t="s">
        <v>582</v>
      </c>
      <c r="D2241" s="60">
        <v>1.74047</v>
      </c>
      <c r="E2241" s="59">
        <v>3.8515600000000001</v>
      </c>
      <c r="F2241" s="59">
        <v>5.3590299999999997</v>
      </c>
      <c r="G2241" s="56">
        <v>307.54700000000003</v>
      </c>
      <c r="H2241" s="56">
        <v>176.703</v>
      </c>
      <c r="I2241" s="58">
        <v>0.162408</v>
      </c>
      <c r="J2241" s="57">
        <v>0.24085599999999999</v>
      </c>
      <c r="K2241" s="56"/>
      <c r="L2241" s="56" t="s">
        <v>488</v>
      </c>
    </row>
    <row r="2242" spans="2:12" x14ac:dyDescent="0.2">
      <c r="B2242" s="62" t="s">
        <v>3681</v>
      </c>
      <c r="C2242" s="61" t="s">
        <v>531</v>
      </c>
      <c r="D2242" s="60">
        <v>1.7443299999999999</v>
      </c>
      <c r="E2242" s="59">
        <v>3.9098999999999999</v>
      </c>
      <c r="F2242" s="59">
        <v>5.3891</v>
      </c>
      <c r="G2242" s="56">
        <v>318.69799999999998</v>
      </c>
      <c r="H2242" s="56">
        <v>182.70599999999999</v>
      </c>
      <c r="I2242" s="58">
        <v>0.16356699999999999</v>
      </c>
      <c r="J2242" s="57">
        <v>0.240621</v>
      </c>
      <c r="K2242" s="56"/>
      <c r="L2242" s="56" t="s">
        <v>488</v>
      </c>
    </row>
    <row r="2243" spans="2:12" x14ac:dyDescent="0.2">
      <c r="B2243" s="62" t="s">
        <v>3680</v>
      </c>
      <c r="C2243" s="61" t="s">
        <v>555</v>
      </c>
      <c r="D2243" s="60">
        <v>1.1818200000000001</v>
      </c>
      <c r="E2243" s="59">
        <v>2.5111500000000002</v>
      </c>
      <c r="F2243" s="59">
        <v>4.5684500000000003</v>
      </c>
      <c r="G2243" s="56">
        <v>0</v>
      </c>
      <c r="H2243" s="56">
        <v>0</v>
      </c>
      <c r="I2243" s="58">
        <v>0.30548799999999998</v>
      </c>
      <c r="J2243" s="57">
        <v>0.40278199999999997</v>
      </c>
      <c r="K2243" s="56"/>
      <c r="L2243" s="56" t="s">
        <v>488</v>
      </c>
    </row>
    <row r="2244" spans="2:12" x14ac:dyDescent="0.2">
      <c r="B2244" s="62" t="s">
        <v>3679</v>
      </c>
      <c r="C2244" s="61" t="s">
        <v>3678</v>
      </c>
      <c r="D2244" s="60">
        <v>1.9232199999999999</v>
      </c>
      <c r="E2244" s="59">
        <v>3.4416500000000001</v>
      </c>
      <c r="F2244" s="59">
        <v>5.2732999999999999</v>
      </c>
      <c r="G2244" s="56">
        <v>0</v>
      </c>
      <c r="H2244" s="56">
        <v>0</v>
      </c>
      <c r="I2244" s="58">
        <v>0.29688300000000001</v>
      </c>
      <c r="J2244" s="57">
        <v>0.213092</v>
      </c>
      <c r="K2244" s="56"/>
      <c r="L2244" s="56" t="s">
        <v>488</v>
      </c>
    </row>
    <row r="2245" spans="2:12" x14ac:dyDescent="0.2">
      <c r="B2245" s="62" t="s">
        <v>3677</v>
      </c>
      <c r="C2245" s="61" t="s">
        <v>499</v>
      </c>
      <c r="D2245" s="60">
        <v>1.59158</v>
      </c>
      <c r="E2245" s="59">
        <v>3.3648600000000002</v>
      </c>
      <c r="F2245" s="59">
        <v>4.56325</v>
      </c>
      <c r="G2245" s="56">
        <v>0</v>
      </c>
      <c r="H2245" s="56">
        <v>0</v>
      </c>
      <c r="I2245" s="58">
        <v>0.27227800000000002</v>
      </c>
      <c r="J2245" s="57">
        <v>0.28814899999999999</v>
      </c>
      <c r="K2245" s="56"/>
      <c r="L2245" s="56" t="s">
        <v>488</v>
      </c>
    </row>
    <row r="2246" spans="2:12" x14ac:dyDescent="0.2">
      <c r="B2246" s="62" t="s">
        <v>3676</v>
      </c>
      <c r="C2246" s="61" t="s">
        <v>499</v>
      </c>
      <c r="D2246" s="60">
        <v>1.1605700000000001</v>
      </c>
      <c r="E2246" s="59">
        <v>4.2715800000000002</v>
      </c>
      <c r="F2246" s="59">
        <v>6.8384099999999997</v>
      </c>
      <c r="G2246" s="56">
        <v>1290.8599999999999</v>
      </c>
      <c r="H2246" s="56">
        <v>1112.26</v>
      </c>
      <c r="I2246" s="58">
        <v>0.56204600000000005</v>
      </c>
      <c r="J2246" s="57">
        <v>0.53769199999999995</v>
      </c>
      <c r="K2246" s="56"/>
      <c r="L2246" s="56" t="s">
        <v>488</v>
      </c>
    </row>
    <row r="2247" spans="2:12" x14ac:dyDescent="0.2">
      <c r="B2247" s="62" t="s">
        <v>3675</v>
      </c>
      <c r="C2247" s="61" t="s">
        <v>510</v>
      </c>
      <c r="D2247" s="60">
        <v>0.73214299999999999</v>
      </c>
      <c r="E2247" s="59">
        <v>4.9066200000000002</v>
      </c>
      <c r="F2247" s="59">
        <v>12.748379999999999</v>
      </c>
      <c r="G2247" s="56">
        <v>1379.69</v>
      </c>
      <c r="H2247" s="56">
        <v>1884.46</v>
      </c>
      <c r="I2247" s="58">
        <v>0.69394900000000004</v>
      </c>
      <c r="J2247" s="57">
        <v>0.92696900000000004</v>
      </c>
      <c r="K2247" s="56"/>
      <c r="L2247" s="56" t="s">
        <v>488</v>
      </c>
    </row>
    <row r="2248" spans="2:12" x14ac:dyDescent="0.2">
      <c r="B2248" s="62" t="s">
        <v>3674</v>
      </c>
      <c r="C2248" s="61" t="s">
        <v>510</v>
      </c>
      <c r="D2248" s="60">
        <v>0.72883799999999999</v>
      </c>
      <c r="E2248" s="59">
        <v>4.9872399999999999</v>
      </c>
      <c r="F2248" s="59">
        <v>12.869120000000001</v>
      </c>
      <c r="G2248" s="56">
        <v>1412.38</v>
      </c>
      <c r="H2248" s="56">
        <v>1937.85</v>
      </c>
      <c r="I2248" s="58">
        <v>0.69920599999999999</v>
      </c>
      <c r="J2248" s="57">
        <v>0.93328100000000003</v>
      </c>
      <c r="K2248" s="56"/>
      <c r="L2248" s="56" t="s">
        <v>488</v>
      </c>
    </row>
    <row r="2249" spans="2:12" x14ac:dyDescent="0.2">
      <c r="B2249" s="62" t="s">
        <v>3673</v>
      </c>
      <c r="C2249" s="61" t="s">
        <v>510</v>
      </c>
      <c r="D2249" s="60">
        <v>0.72706000000000004</v>
      </c>
      <c r="E2249" s="59">
        <v>5.0122600000000004</v>
      </c>
      <c r="F2249" s="59">
        <v>12.746259999999999</v>
      </c>
      <c r="G2249" s="56">
        <v>1399.45</v>
      </c>
      <c r="H2249" s="56">
        <v>1924.81</v>
      </c>
      <c r="I2249" s="58">
        <v>0.69718999999999998</v>
      </c>
      <c r="J2249" s="57">
        <v>0.93445199999999995</v>
      </c>
      <c r="K2249" s="56" t="s">
        <v>698</v>
      </c>
      <c r="L2249" s="56" t="s">
        <v>563</v>
      </c>
    </row>
    <row r="2250" spans="2:12" x14ac:dyDescent="0.2">
      <c r="B2250" s="62" t="s">
        <v>3672</v>
      </c>
      <c r="C2250" s="61" t="s">
        <v>510</v>
      </c>
      <c r="D2250" s="60">
        <v>0.70573200000000003</v>
      </c>
      <c r="E2250" s="59">
        <v>5.1297499999999996</v>
      </c>
      <c r="F2250" s="59">
        <v>13.054449999999999</v>
      </c>
      <c r="G2250" s="56">
        <v>1450.54</v>
      </c>
      <c r="H2250" s="56">
        <v>2055.37</v>
      </c>
      <c r="I2250" s="58">
        <v>0.70489199999999996</v>
      </c>
      <c r="J2250" s="57">
        <v>0.977433</v>
      </c>
      <c r="K2250" s="56" t="s">
        <v>698</v>
      </c>
      <c r="L2250" s="56" t="s">
        <v>563</v>
      </c>
    </row>
    <row r="2251" spans="2:12" x14ac:dyDescent="0.2">
      <c r="B2251" s="62" t="s">
        <v>3671</v>
      </c>
      <c r="C2251" s="61" t="s">
        <v>510</v>
      </c>
      <c r="D2251" s="60">
        <v>0.72215399999999996</v>
      </c>
      <c r="E2251" s="59">
        <v>5.3040000000000003</v>
      </c>
      <c r="F2251" s="59">
        <v>12.37219</v>
      </c>
      <c r="G2251" s="56">
        <v>1428.73</v>
      </c>
      <c r="H2251" s="56">
        <v>1978.43</v>
      </c>
      <c r="I2251" s="58">
        <v>0.70599400000000001</v>
      </c>
      <c r="J2251" s="57">
        <v>0.94523900000000005</v>
      </c>
      <c r="K2251" s="56" t="s">
        <v>3669</v>
      </c>
      <c r="L2251" s="56" t="s">
        <v>563</v>
      </c>
    </row>
    <row r="2252" spans="2:12" x14ac:dyDescent="0.2">
      <c r="B2252" s="62" t="s">
        <v>3670</v>
      </c>
      <c r="C2252" s="61" t="s">
        <v>510</v>
      </c>
      <c r="D2252" s="60">
        <v>0.71284899999999995</v>
      </c>
      <c r="E2252" s="59">
        <v>5.7361000000000004</v>
      </c>
      <c r="F2252" s="59">
        <v>12.50276</v>
      </c>
      <c r="G2252" s="56">
        <v>1486.51</v>
      </c>
      <c r="H2252" s="56">
        <v>2085.31</v>
      </c>
      <c r="I2252" s="58">
        <v>0.70945400000000003</v>
      </c>
      <c r="J2252" s="57">
        <v>0.96305300000000005</v>
      </c>
      <c r="K2252" s="56" t="s">
        <v>3669</v>
      </c>
      <c r="L2252" s="56" t="s">
        <v>563</v>
      </c>
    </row>
    <row r="2253" spans="2:12" x14ac:dyDescent="0.2">
      <c r="B2253" s="62" t="s">
        <v>3668</v>
      </c>
      <c r="C2253" s="61" t="s">
        <v>1622</v>
      </c>
      <c r="D2253" s="60">
        <v>1.1866099999999999</v>
      </c>
      <c r="E2253" s="59">
        <v>6.1347699999999996</v>
      </c>
      <c r="F2253" s="59">
        <v>7.7487500000000002</v>
      </c>
      <c r="G2253" s="56">
        <v>1233.72</v>
      </c>
      <c r="H2253" s="56">
        <v>1039.71</v>
      </c>
      <c r="I2253" s="58">
        <v>0.49183100000000002</v>
      </c>
      <c r="J2253" s="57">
        <v>0.47474100000000002</v>
      </c>
      <c r="K2253" s="56"/>
      <c r="L2253" s="56" t="s">
        <v>488</v>
      </c>
    </row>
    <row r="2254" spans="2:12" x14ac:dyDescent="0.2">
      <c r="B2254" s="62" t="s">
        <v>3667</v>
      </c>
      <c r="C2254" s="61" t="s">
        <v>1622</v>
      </c>
      <c r="D2254" s="60">
        <v>1.26224</v>
      </c>
      <c r="E2254" s="59">
        <v>4.37277</v>
      </c>
      <c r="F2254" s="59">
        <v>6.8756500000000003</v>
      </c>
      <c r="G2254" s="56">
        <v>733.35599999999999</v>
      </c>
      <c r="H2254" s="56">
        <v>580.99599999999998</v>
      </c>
      <c r="I2254" s="58">
        <v>0.41839799999999999</v>
      </c>
      <c r="J2254" s="57">
        <v>0.42288599999999998</v>
      </c>
      <c r="K2254" s="56"/>
      <c r="L2254" s="56" t="s">
        <v>488</v>
      </c>
    </row>
    <row r="2255" spans="2:12" x14ac:dyDescent="0.2">
      <c r="B2255" s="62" t="s">
        <v>3666</v>
      </c>
      <c r="C2255" s="61" t="s">
        <v>1718</v>
      </c>
      <c r="D2255" s="60">
        <v>1.1359699999999999</v>
      </c>
      <c r="E2255" s="59">
        <v>6.5980800000000004</v>
      </c>
      <c r="F2255" s="59">
        <v>8.2673799999999993</v>
      </c>
      <c r="G2255" s="56">
        <v>1389.75</v>
      </c>
      <c r="H2255" s="56">
        <v>1223.4000000000001</v>
      </c>
      <c r="I2255" s="58">
        <v>0.52818399999999999</v>
      </c>
      <c r="J2255" s="57">
        <v>0.51772499999999999</v>
      </c>
      <c r="K2255" s="56"/>
      <c r="L2255" s="56" t="s">
        <v>488</v>
      </c>
    </row>
    <row r="2256" spans="2:12" x14ac:dyDescent="0.2">
      <c r="B2256" s="62" t="s">
        <v>3665</v>
      </c>
      <c r="C2256" s="61" t="s">
        <v>1718</v>
      </c>
      <c r="D2256" s="60">
        <v>1.4676</v>
      </c>
      <c r="E2256" s="59">
        <v>4.9109499999999997</v>
      </c>
      <c r="F2256" s="59">
        <v>7.0427299999999997</v>
      </c>
      <c r="G2256" s="56">
        <v>606.39099999999996</v>
      </c>
      <c r="H2256" s="56">
        <v>413.185</v>
      </c>
      <c r="I2256" s="58">
        <v>0.34492</v>
      </c>
      <c r="J2256" s="57">
        <v>0.32858599999999999</v>
      </c>
      <c r="K2256" s="56"/>
      <c r="L2256" s="56" t="s">
        <v>624</v>
      </c>
    </row>
    <row r="2257" spans="2:12" x14ac:dyDescent="0.2">
      <c r="B2257" s="62" t="s">
        <v>3664</v>
      </c>
      <c r="C2257" s="61" t="s">
        <v>1718</v>
      </c>
      <c r="D2257" s="60">
        <v>1.5410699999999999</v>
      </c>
      <c r="E2257" s="59">
        <v>6.3277299999999999</v>
      </c>
      <c r="F2257" s="59">
        <v>7.9780100000000003</v>
      </c>
      <c r="G2257" s="56">
        <v>830.15700000000004</v>
      </c>
      <c r="H2257" s="56">
        <v>538.68799999999999</v>
      </c>
      <c r="I2257" s="58">
        <v>0.35606399999999999</v>
      </c>
      <c r="J2257" s="57">
        <v>0.305338</v>
      </c>
      <c r="K2257" s="56"/>
      <c r="L2257" s="56" t="s">
        <v>492</v>
      </c>
    </row>
    <row r="2258" spans="2:12" x14ac:dyDescent="0.2">
      <c r="B2258" s="62" t="s">
        <v>3663</v>
      </c>
      <c r="C2258" s="61" t="s">
        <v>1718</v>
      </c>
      <c r="D2258" s="60">
        <v>1.14917</v>
      </c>
      <c r="E2258" s="59">
        <v>6.57491</v>
      </c>
      <c r="F2258" s="59">
        <v>8.2629699999999993</v>
      </c>
      <c r="G2258" s="56">
        <v>1393.33</v>
      </c>
      <c r="H2258" s="56">
        <v>1212.46</v>
      </c>
      <c r="I2258" s="58">
        <v>0.53508100000000003</v>
      </c>
      <c r="J2258" s="57">
        <v>0.50953700000000002</v>
      </c>
      <c r="K2258" s="56"/>
      <c r="L2258" s="56" t="s">
        <v>488</v>
      </c>
    </row>
    <row r="2259" spans="2:12" x14ac:dyDescent="0.2">
      <c r="B2259" s="62" t="s">
        <v>3662</v>
      </c>
      <c r="C2259" s="61" t="s">
        <v>731</v>
      </c>
      <c r="D2259" s="60">
        <v>1.52902</v>
      </c>
      <c r="E2259" s="59">
        <v>5.47797</v>
      </c>
      <c r="F2259" s="59">
        <v>7.33833</v>
      </c>
      <c r="G2259" s="56">
        <v>699.01300000000003</v>
      </c>
      <c r="H2259" s="56">
        <v>457.16399999999999</v>
      </c>
      <c r="I2259" s="58">
        <v>0.33763900000000002</v>
      </c>
      <c r="J2259" s="57">
        <v>0.30941400000000002</v>
      </c>
      <c r="K2259" s="56"/>
      <c r="L2259" s="56" t="s">
        <v>492</v>
      </c>
    </row>
    <row r="2260" spans="2:12" x14ac:dyDescent="0.2">
      <c r="B2260" s="62" t="s">
        <v>3661</v>
      </c>
      <c r="C2260" s="61" t="s">
        <v>731</v>
      </c>
      <c r="D2260" s="60">
        <v>1.39022</v>
      </c>
      <c r="E2260" s="59">
        <v>6.2665100000000002</v>
      </c>
      <c r="F2260" s="59">
        <v>8.4883600000000001</v>
      </c>
      <c r="G2260" s="56">
        <v>753.07</v>
      </c>
      <c r="H2260" s="56">
        <v>541.69000000000005</v>
      </c>
      <c r="I2260" s="58">
        <v>0.39018900000000001</v>
      </c>
      <c r="J2260" s="57">
        <v>0.36707600000000001</v>
      </c>
      <c r="K2260" s="56"/>
      <c r="L2260" s="56" t="s">
        <v>492</v>
      </c>
    </row>
    <row r="2261" spans="2:12" x14ac:dyDescent="0.2">
      <c r="B2261" s="62" t="s">
        <v>3660</v>
      </c>
      <c r="C2261" s="61" t="s">
        <v>731</v>
      </c>
      <c r="D2261" s="60">
        <v>1.8567499999999999</v>
      </c>
      <c r="E2261" s="59">
        <v>5.8968699999999998</v>
      </c>
      <c r="F2261" s="59">
        <v>7.4276499999999999</v>
      </c>
      <c r="G2261" s="56">
        <v>672.80799999999999</v>
      </c>
      <c r="H2261" s="56">
        <v>362.358</v>
      </c>
      <c r="I2261" s="58">
        <v>0.31393399999999999</v>
      </c>
      <c r="J2261" s="57">
        <v>0.263378</v>
      </c>
      <c r="K2261" s="56"/>
      <c r="L2261" s="56" t="s">
        <v>624</v>
      </c>
    </row>
    <row r="2262" spans="2:12" x14ac:dyDescent="0.2">
      <c r="B2262" s="62" t="s">
        <v>3659</v>
      </c>
      <c r="C2262" s="61" t="s">
        <v>731</v>
      </c>
      <c r="D2262" s="60">
        <v>1.4839500000000001</v>
      </c>
      <c r="E2262" s="59">
        <v>5.2019500000000001</v>
      </c>
      <c r="F2262" s="59">
        <v>7.1764599999999996</v>
      </c>
      <c r="G2262" s="56">
        <v>644.30100000000004</v>
      </c>
      <c r="H2262" s="56">
        <v>434.18</v>
      </c>
      <c r="I2262" s="58">
        <v>0.35472700000000001</v>
      </c>
      <c r="J2262" s="57">
        <v>0.32946999999999999</v>
      </c>
      <c r="K2262" s="56"/>
      <c r="L2262" s="56" t="s">
        <v>624</v>
      </c>
    </row>
    <row r="2263" spans="2:12" x14ac:dyDescent="0.2">
      <c r="B2263" s="62" t="s">
        <v>3658</v>
      </c>
      <c r="C2263" s="61" t="s">
        <v>502</v>
      </c>
      <c r="D2263" s="60">
        <v>1.2735000000000001</v>
      </c>
      <c r="E2263" s="59">
        <v>4.1029099999999996</v>
      </c>
      <c r="F2263" s="59">
        <v>4.9969700000000001</v>
      </c>
      <c r="G2263" s="56">
        <v>548.05600000000004</v>
      </c>
      <c r="H2263" s="56">
        <v>430.35500000000002</v>
      </c>
      <c r="I2263" s="58">
        <v>0.38416899999999998</v>
      </c>
      <c r="J2263" s="57">
        <v>0.394816</v>
      </c>
      <c r="K2263" s="56"/>
      <c r="L2263" s="56" t="s">
        <v>488</v>
      </c>
    </row>
    <row r="2264" spans="2:12" x14ac:dyDescent="0.2">
      <c r="B2264" s="62" t="s">
        <v>3657</v>
      </c>
      <c r="C2264" s="61" t="s">
        <v>561</v>
      </c>
      <c r="D2264" s="60">
        <v>1.13347</v>
      </c>
      <c r="E2264" s="59">
        <v>3.8258299999999998</v>
      </c>
      <c r="F2264" s="59">
        <v>4.8149600000000001</v>
      </c>
      <c r="G2264" s="56">
        <v>1212.99</v>
      </c>
      <c r="H2264" s="56">
        <v>1070.1600000000001</v>
      </c>
      <c r="I2264" s="58">
        <v>0.53959999999999997</v>
      </c>
      <c r="J2264" s="57">
        <v>0.50938899999999998</v>
      </c>
      <c r="K2264" s="56"/>
      <c r="L2264" s="56" t="s">
        <v>488</v>
      </c>
    </row>
    <row r="2265" spans="2:12" x14ac:dyDescent="0.2">
      <c r="B2265" s="62" t="s">
        <v>3656</v>
      </c>
      <c r="C2265" s="61" t="s">
        <v>561</v>
      </c>
      <c r="D2265" s="60">
        <v>1.02346</v>
      </c>
      <c r="E2265" s="59">
        <v>4.3228099999999996</v>
      </c>
      <c r="F2265" s="59">
        <v>5.4938200000000004</v>
      </c>
      <c r="G2265" s="56">
        <v>1525.47</v>
      </c>
      <c r="H2265" s="56">
        <v>1490.5</v>
      </c>
      <c r="I2265" s="58">
        <v>0.56627300000000003</v>
      </c>
      <c r="J2265" s="57">
        <v>0.60408399999999995</v>
      </c>
      <c r="K2265" s="56"/>
      <c r="L2265" s="56" t="s">
        <v>488</v>
      </c>
    </row>
    <row r="2266" spans="2:12" x14ac:dyDescent="0.2">
      <c r="B2266" s="62" t="s">
        <v>3655</v>
      </c>
      <c r="C2266" s="61" t="s">
        <v>561</v>
      </c>
      <c r="D2266" s="60">
        <v>1.04928</v>
      </c>
      <c r="E2266" s="59">
        <v>4.6298500000000002</v>
      </c>
      <c r="F2266" s="59">
        <v>5.2790600000000003</v>
      </c>
      <c r="G2266" s="56">
        <v>1565.86</v>
      </c>
      <c r="H2266" s="56">
        <v>1492.32</v>
      </c>
      <c r="I2266" s="58">
        <v>0.57562400000000002</v>
      </c>
      <c r="J2266" s="57">
        <v>0.58156699999999995</v>
      </c>
      <c r="K2266" s="56"/>
      <c r="L2266" s="56" t="s">
        <v>488</v>
      </c>
    </row>
    <row r="2267" spans="2:12" x14ac:dyDescent="0.2">
      <c r="B2267" s="62" t="s">
        <v>3654</v>
      </c>
      <c r="C2267" s="61" t="s">
        <v>561</v>
      </c>
      <c r="D2267" s="60">
        <v>1.11842</v>
      </c>
      <c r="E2267" s="59">
        <v>4.0269899999999996</v>
      </c>
      <c r="F2267" s="59">
        <v>5.1060699999999999</v>
      </c>
      <c r="G2267" s="56">
        <v>1331.89</v>
      </c>
      <c r="H2267" s="56">
        <v>1190.8699999999999</v>
      </c>
      <c r="I2267" s="58">
        <v>0.52480899999999997</v>
      </c>
      <c r="J2267" s="57">
        <v>0.523227</v>
      </c>
      <c r="K2267" s="56"/>
      <c r="L2267" s="56" t="s">
        <v>488</v>
      </c>
    </row>
    <row r="2268" spans="2:12" x14ac:dyDescent="0.2">
      <c r="B2268" s="62" t="s">
        <v>3653</v>
      </c>
      <c r="C2268" s="61" t="s">
        <v>561</v>
      </c>
      <c r="D2268" s="60">
        <v>1.2053199999999999</v>
      </c>
      <c r="E2268" s="59">
        <v>4.9475600000000002</v>
      </c>
      <c r="F2268" s="59">
        <v>7.1406099999999997</v>
      </c>
      <c r="G2268" s="56">
        <v>1218.75</v>
      </c>
      <c r="H2268" s="56">
        <v>1011.15</v>
      </c>
      <c r="I2268" s="58">
        <v>0.57253100000000001</v>
      </c>
      <c r="J2268" s="57">
        <v>0.46649299999999999</v>
      </c>
      <c r="K2268" s="56"/>
      <c r="L2268" s="56" t="s">
        <v>488</v>
      </c>
    </row>
    <row r="2269" spans="2:12" x14ac:dyDescent="0.2">
      <c r="B2269" s="62" t="s">
        <v>3652</v>
      </c>
      <c r="C2269" s="61" t="s">
        <v>561</v>
      </c>
      <c r="D2269" s="60">
        <v>1.2994600000000001</v>
      </c>
      <c r="E2269" s="59">
        <v>4.8474700000000004</v>
      </c>
      <c r="F2269" s="59">
        <v>5.2886600000000001</v>
      </c>
      <c r="G2269" s="56">
        <v>951.65300000000002</v>
      </c>
      <c r="H2269" s="56">
        <v>732.34500000000003</v>
      </c>
      <c r="I2269" s="58">
        <v>0.49618099999999998</v>
      </c>
      <c r="J2269" s="57">
        <v>0.40603499999999998</v>
      </c>
      <c r="K2269" s="56"/>
      <c r="L2269" s="56" t="s">
        <v>488</v>
      </c>
    </row>
    <row r="2270" spans="2:12" x14ac:dyDescent="0.2">
      <c r="B2270" s="62" t="s">
        <v>3651</v>
      </c>
      <c r="C2270" s="61" t="s">
        <v>561</v>
      </c>
      <c r="D2270" s="60">
        <v>1.29684</v>
      </c>
      <c r="E2270" s="59">
        <v>4.4358700000000004</v>
      </c>
      <c r="F2270" s="59">
        <v>5.5291100000000002</v>
      </c>
      <c r="G2270" s="56">
        <v>1006.03</v>
      </c>
      <c r="H2270" s="56">
        <v>775.75199999999995</v>
      </c>
      <c r="I2270" s="58">
        <v>0.49545299999999998</v>
      </c>
      <c r="J2270" s="57">
        <v>0.40904200000000002</v>
      </c>
      <c r="K2270" s="56"/>
      <c r="L2270" s="56" t="s">
        <v>488</v>
      </c>
    </row>
    <row r="2271" spans="2:12" x14ac:dyDescent="0.2">
      <c r="B2271" s="62" t="s">
        <v>3650</v>
      </c>
      <c r="C2271" s="61" t="s">
        <v>582</v>
      </c>
      <c r="D2271" s="60">
        <v>1.29203</v>
      </c>
      <c r="E2271" s="59">
        <v>3.95017</v>
      </c>
      <c r="F2271" s="59">
        <v>4.88781</v>
      </c>
      <c r="G2271" s="56">
        <v>1344.27</v>
      </c>
      <c r="H2271" s="56">
        <v>1040.44</v>
      </c>
      <c r="I2271" s="58">
        <v>0.538551</v>
      </c>
      <c r="J2271" s="57">
        <v>0.45668599999999998</v>
      </c>
      <c r="K2271" s="56"/>
      <c r="L2271" s="56" t="s">
        <v>488</v>
      </c>
    </row>
    <row r="2272" spans="2:12" x14ac:dyDescent="0.2">
      <c r="B2272" s="62" t="s">
        <v>3649</v>
      </c>
      <c r="C2272" s="61" t="s">
        <v>533</v>
      </c>
      <c r="D2272" s="60">
        <v>1.32887</v>
      </c>
      <c r="E2272" s="59">
        <v>3.9272</v>
      </c>
      <c r="F2272" s="59">
        <v>4.8967099999999997</v>
      </c>
      <c r="G2272" s="56">
        <v>1318.79</v>
      </c>
      <c r="H2272" s="56">
        <v>992.41</v>
      </c>
      <c r="I2272" s="58">
        <v>0.53819600000000001</v>
      </c>
      <c r="J2272" s="57">
        <v>0.441718</v>
      </c>
      <c r="K2272" s="56"/>
      <c r="L2272" s="56" t="s">
        <v>488</v>
      </c>
    </row>
    <row r="2273" spans="2:12" x14ac:dyDescent="0.2">
      <c r="B2273" s="62" t="s">
        <v>3648</v>
      </c>
      <c r="C2273" s="61" t="s">
        <v>859</v>
      </c>
      <c r="D2273" s="60">
        <v>1.6789099999999999</v>
      </c>
      <c r="E2273" s="59">
        <v>2.4574400000000001</v>
      </c>
      <c r="F2273" s="59">
        <v>4.0511999999999997</v>
      </c>
      <c r="G2273" s="56">
        <v>0</v>
      </c>
      <c r="H2273" s="56">
        <v>0</v>
      </c>
      <c r="I2273" s="58">
        <v>0.30406100000000003</v>
      </c>
      <c r="J2273" s="57">
        <v>0.295462</v>
      </c>
      <c r="K2273" s="56"/>
      <c r="L2273" s="56" t="s">
        <v>488</v>
      </c>
    </row>
    <row r="2274" spans="2:12" x14ac:dyDescent="0.2">
      <c r="B2274" s="62" t="s">
        <v>3647</v>
      </c>
      <c r="C2274" s="61" t="s">
        <v>1226</v>
      </c>
      <c r="D2274" s="60">
        <v>1.7111499999999999</v>
      </c>
      <c r="E2274" s="59">
        <v>2.55369</v>
      </c>
      <c r="F2274" s="59">
        <v>4.07301</v>
      </c>
      <c r="G2274" s="56">
        <v>0</v>
      </c>
      <c r="H2274" s="56">
        <v>0</v>
      </c>
      <c r="I2274" s="58">
        <v>0.31242599999999998</v>
      </c>
      <c r="J2274" s="57">
        <v>0.289827</v>
      </c>
      <c r="K2274" s="56"/>
      <c r="L2274" s="56" t="s">
        <v>488</v>
      </c>
    </row>
    <row r="2275" spans="2:12" x14ac:dyDescent="0.2">
      <c r="B2275" s="62" t="s">
        <v>3646</v>
      </c>
      <c r="C2275" s="61" t="s">
        <v>561</v>
      </c>
      <c r="D2275" s="60">
        <v>0.93518699999999999</v>
      </c>
      <c r="E2275" s="59">
        <v>6.7121199999999996</v>
      </c>
      <c r="F2275" s="59">
        <v>7.3870500000000003</v>
      </c>
      <c r="G2275" s="56">
        <v>2013.04</v>
      </c>
      <c r="H2275" s="56">
        <v>2152.5500000000002</v>
      </c>
      <c r="I2275" s="58">
        <v>0.69932000000000005</v>
      </c>
      <c r="J2275" s="57">
        <v>0.72362000000000004</v>
      </c>
      <c r="K2275" s="56"/>
      <c r="L2275" s="56" t="s">
        <v>488</v>
      </c>
    </row>
    <row r="2276" spans="2:12" x14ac:dyDescent="0.2">
      <c r="B2276" s="62" t="s">
        <v>3645</v>
      </c>
      <c r="C2276" s="61" t="s">
        <v>550</v>
      </c>
      <c r="D2276" s="60">
        <v>1.3794599999999999</v>
      </c>
      <c r="E2276" s="59">
        <v>5.7724299999999999</v>
      </c>
      <c r="F2276" s="59">
        <v>6.6777199999999999</v>
      </c>
      <c r="G2276" s="56">
        <v>1323.48</v>
      </c>
      <c r="H2276" s="56">
        <v>959.41800000000001</v>
      </c>
      <c r="I2276" s="58">
        <v>0.56392200000000003</v>
      </c>
      <c r="J2276" s="57">
        <v>0.42220800000000003</v>
      </c>
      <c r="K2276" s="56"/>
      <c r="L2276" s="56" t="s">
        <v>730</v>
      </c>
    </row>
    <row r="2277" spans="2:12" x14ac:dyDescent="0.2">
      <c r="B2277" s="62" t="s">
        <v>3644</v>
      </c>
      <c r="C2277" s="61" t="s">
        <v>499</v>
      </c>
      <c r="D2277" s="60">
        <v>1.47237</v>
      </c>
      <c r="E2277" s="59">
        <v>6.6092700000000004</v>
      </c>
      <c r="F2277" s="59">
        <v>7.2741800000000003</v>
      </c>
      <c r="G2277" s="56">
        <v>1291.78</v>
      </c>
      <c r="H2277" s="56">
        <v>877.34400000000005</v>
      </c>
      <c r="I2277" s="58">
        <v>0.50697400000000004</v>
      </c>
      <c r="J2277" s="57">
        <v>0.381718</v>
      </c>
      <c r="K2277" s="56"/>
      <c r="L2277" s="56" t="s">
        <v>488</v>
      </c>
    </row>
    <row r="2278" spans="2:12" x14ac:dyDescent="0.2">
      <c r="B2278" s="62" t="s">
        <v>3643</v>
      </c>
      <c r="C2278" s="61" t="s">
        <v>989</v>
      </c>
      <c r="D2278" s="60">
        <v>1.6025499999999999</v>
      </c>
      <c r="E2278" s="59">
        <v>2.5501</v>
      </c>
      <c r="F2278" s="59">
        <v>2.7918500000000002</v>
      </c>
      <c r="G2278" s="56">
        <v>0</v>
      </c>
      <c r="H2278" s="56">
        <v>0</v>
      </c>
      <c r="I2278" s="58">
        <v>7.7588199999999996E-2</v>
      </c>
      <c r="J2278" s="57">
        <v>0.263461</v>
      </c>
      <c r="K2278" s="56"/>
      <c r="L2278" s="56" t="s">
        <v>492</v>
      </c>
    </row>
    <row r="2279" spans="2:12" x14ac:dyDescent="0.2">
      <c r="B2279" s="62" t="s">
        <v>3642</v>
      </c>
      <c r="C2279" s="61" t="s">
        <v>989</v>
      </c>
      <c r="D2279" s="60">
        <v>1.5989199999999999</v>
      </c>
      <c r="E2279" s="59">
        <v>2.5629900000000001</v>
      </c>
      <c r="F2279" s="59">
        <v>2.7864900000000001</v>
      </c>
      <c r="G2279" s="56">
        <v>0</v>
      </c>
      <c r="H2279" s="56">
        <v>0</v>
      </c>
      <c r="I2279" s="58">
        <v>7.4474899999999997E-2</v>
      </c>
      <c r="J2279" s="57">
        <v>0.26408100000000001</v>
      </c>
      <c r="K2279" s="56"/>
      <c r="L2279" s="56" t="s">
        <v>492</v>
      </c>
    </row>
    <row r="2280" spans="2:12" x14ac:dyDescent="0.2">
      <c r="B2280" s="62" t="s">
        <v>3641</v>
      </c>
      <c r="C2280" s="61" t="s">
        <v>989</v>
      </c>
      <c r="D2280" s="60">
        <v>1.60178</v>
      </c>
      <c r="E2280" s="59">
        <v>2.5484399999999998</v>
      </c>
      <c r="F2280" s="59">
        <v>2.7965100000000001</v>
      </c>
      <c r="G2280" s="56">
        <v>0</v>
      </c>
      <c r="H2280" s="56">
        <v>0</v>
      </c>
      <c r="I2280" s="58">
        <v>7.4651899999999993E-2</v>
      </c>
      <c r="J2280" s="57">
        <v>0.26278400000000002</v>
      </c>
      <c r="K2280" s="56"/>
      <c r="L2280" s="56" t="s">
        <v>492</v>
      </c>
    </row>
    <row r="2281" spans="2:12" x14ac:dyDescent="0.2">
      <c r="B2281" s="62" t="s">
        <v>3640</v>
      </c>
      <c r="C2281" s="61" t="s">
        <v>989</v>
      </c>
      <c r="D2281" s="60">
        <v>1.5953299999999999</v>
      </c>
      <c r="E2281" s="59">
        <v>2.59206</v>
      </c>
      <c r="F2281" s="59">
        <v>2.7796500000000002</v>
      </c>
      <c r="G2281" s="56">
        <v>0</v>
      </c>
      <c r="H2281" s="56">
        <v>0</v>
      </c>
      <c r="I2281" s="58">
        <v>7.4714299999999997E-2</v>
      </c>
      <c r="J2281" s="57">
        <v>0.26510600000000001</v>
      </c>
      <c r="K2281" s="56"/>
      <c r="L2281" s="56" t="s">
        <v>492</v>
      </c>
    </row>
    <row r="2282" spans="2:12" x14ac:dyDescent="0.2">
      <c r="B2282" s="62" t="s">
        <v>3639</v>
      </c>
      <c r="C2282" s="61" t="s">
        <v>776</v>
      </c>
      <c r="D2282" s="60">
        <v>1.0561400000000001</v>
      </c>
      <c r="E2282" s="59">
        <v>7.6816500000000003</v>
      </c>
      <c r="F2282" s="59">
        <v>16.14687</v>
      </c>
      <c r="G2282" s="56">
        <v>1065.8</v>
      </c>
      <c r="H2282" s="56">
        <v>1009.15</v>
      </c>
      <c r="I2282" s="58">
        <v>0.51819700000000002</v>
      </c>
      <c r="J2282" s="57">
        <v>0.56010199999999999</v>
      </c>
      <c r="K2282" s="56"/>
      <c r="L2282" s="56" t="s">
        <v>492</v>
      </c>
    </row>
    <row r="2283" spans="2:12" x14ac:dyDescent="0.2">
      <c r="B2283" s="62" t="s">
        <v>3638</v>
      </c>
      <c r="C2283" s="61" t="s">
        <v>567</v>
      </c>
      <c r="D2283" s="60">
        <v>0.919377</v>
      </c>
      <c r="E2283" s="59">
        <v>7.1695399999999996</v>
      </c>
      <c r="F2283" s="59">
        <v>16.849160000000001</v>
      </c>
      <c r="G2283" s="56">
        <v>1101.27</v>
      </c>
      <c r="H2283" s="56">
        <v>1197.8499999999999</v>
      </c>
      <c r="I2283" s="58">
        <v>0.517787</v>
      </c>
      <c r="J2283" s="57">
        <v>0.63852500000000001</v>
      </c>
      <c r="K2283" s="56"/>
      <c r="L2283" s="56" t="s">
        <v>492</v>
      </c>
    </row>
    <row r="2284" spans="2:12" x14ac:dyDescent="0.2">
      <c r="B2284" s="62" t="s">
        <v>3637</v>
      </c>
      <c r="C2284" s="61" t="s">
        <v>2526</v>
      </c>
      <c r="D2284" s="60">
        <v>0.97447499999999998</v>
      </c>
      <c r="E2284" s="59">
        <v>7.4165799999999997</v>
      </c>
      <c r="F2284" s="59">
        <v>16.83934</v>
      </c>
      <c r="G2284" s="56">
        <v>1120.29</v>
      </c>
      <c r="H2284" s="56">
        <v>1149.6300000000001</v>
      </c>
      <c r="I2284" s="58">
        <v>0.54194200000000003</v>
      </c>
      <c r="J2284" s="57">
        <v>0.61793799999999999</v>
      </c>
      <c r="K2284" s="56"/>
      <c r="L2284" s="56" t="s">
        <v>492</v>
      </c>
    </row>
    <row r="2285" spans="2:12" x14ac:dyDescent="0.2">
      <c r="B2285" s="62" t="s">
        <v>3636</v>
      </c>
      <c r="C2285" s="61" t="s">
        <v>567</v>
      </c>
      <c r="D2285" s="60">
        <v>1.00336</v>
      </c>
      <c r="E2285" s="59">
        <v>4.3634899999999996</v>
      </c>
      <c r="F2285" s="59">
        <v>15.27345</v>
      </c>
      <c r="G2285" s="56">
        <v>1062.48</v>
      </c>
      <c r="H2285" s="56">
        <v>1058.92</v>
      </c>
      <c r="I2285" s="58">
        <v>0.43721399999999999</v>
      </c>
      <c r="J2285" s="57">
        <v>0.54267200000000004</v>
      </c>
      <c r="K2285" s="56"/>
      <c r="L2285" s="56" t="s">
        <v>492</v>
      </c>
    </row>
    <row r="2286" spans="2:12" x14ac:dyDescent="0.2">
      <c r="B2286" s="62" t="s">
        <v>3635</v>
      </c>
      <c r="C2286" s="61" t="s">
        <v>499</v>
      </c>
      <c r="D2286" s="60">
        <v>1.2012700000000001</v>
      </c>
      <c r="E2286" s="59">
        <v>7.7244900000000003</v>
      </c>
      <c r="F2286" s="59">
        <v>8.3890700000000002</v>
      </c>
      <c r="G2286" s="56">
        <v>1610.49</v>
      </c>
      <c r="H2286" s="56">
        <v>1340.65</v>
      </c>
      <c r="I2286" s="58">
        <v>0.63022</v>
      </c>
      <c r="J2286" s="57">
        <v>0.55885499999999999</v>
      </c>
      <c r="K2286" s="56"/>
      <c r="L2286" s="56" t="s">
        <v>488</v>
      </c>
    </row>
    <row r="2287" spans="2:12" x14ac:dyDescent="0.2">
      <c r="B2287" s="62" t="s">
        <v>3634</v>
      </c>
      <c r="C2287" s="61" t="s">
        <v>531</v>
      </c>
      <c r="D2287" s="60">
        <v>1.7207300000000001</v>
      </c>
      <c r="E2287" s="59">
        <v>4.1170099999999996</v>
      </c>
      <c r="F2287" s="59">
        <v>4.9806600000000003</v>
      </c>
      <c r="G2287" s="56">
        <v>1052.77</v>
      </c>
      <c r="H2287" s="56">
        <v>611.81700000000001</v>
      </c>
      <c r="I2287" s="58">
        <v>0.40710099999999999</v>
      </c>
      <c r="J2287" s="57">
        <v>0.29607600000000001</v>
      </c>
      <c r="K2287" s="56"/>
      <c r="L2287" s="56" t="s">
        <v>488</v>
      </c>
    </row>
    <row r="2288" spans="2:12" x14ac:dyDescent="0.2">
      <c r="B2288" s="62" t="s">
        <v>3633</v>
      </c>
      <c r="C2288" s="61" t="s">
        <v>561</v>
      </c>
      <c r="D2288" s="60">
        <v>1.45261</v>
      </c>
      <c r="E2288" s="59">
        <v>3.30829</v>
      </c>
      <c r="F2288" s="59">
        <v>4.7944800000000001</v>
      </c>
      <c r="G2288" s="56">
        <v>0</v>
      </c>
      <c r="H2288" s="56">
        <v>0</v>
      </c>
      <c r="I2288" s="58">
        <v>0.23980899999999999</v>
      </c>
      <c r="J2288" s="57">
        <v>0.30167500000000003</v>
      </c>
      <c r="K2288" s="56"/>
      <c r="L2288" s="56" t="s">
        <v>488</v>
      </c>
    </row>
    <row r="2289" spans="2:12" x14ac:dyDescent="0.2">
      <c r="B2289" s="62" t="s">
        <v>3632</v>
      </c>
      <c r="C2289" s="61" t="s">
        <v>507</v>
      </c>
      <c r="D2289" s="60">
        <v>1.5412699999999999</v>
      </c>
      <c r="E2289" s="59">
        <v>3.3746399999999999</v>
      </c>
      <c r="F2289" s="59">
        <v>4.90625</v>
      </c>
      <c r="G2289" s="56">
        <v>0</v>
      </c>
      <c r="H2289" s="56">
        <v>0</v>
      </c>
      <c r="I2289" s="58">
        <v>0.24419399999999999</v>
      </c>
      <c r="J2289" s="57">
        <v>0.28695399999999999</v>
      </c>
      <c r="K2289" s="56"/>
      <c r="L2289" s="56" t="s">
        <v>488</v>
      </c>
    </row>
    <row r="2290" spans="2:12" x14ac:dyDescent="0.2">
      <c r="B2290" s="62" t="s">
        <v>3631</v>
      </c>
      <c r="C2290" s="61" t="s">
        <v>550</v>
      </c>
      <c r="D2290" s="60">
        <v>2.0258099999999999</v>
      </c>
      <c r="E2290" s="59">
        <v>2.7209500000000002</v>
      </c>
      <c r="F2290" s="59">
        <v>4.2178800000000001</v>
      </c>
      <c r="G2290" s="56">
        <v>0</v>
      </c>
      <c r="H2290" s="56">
        <v>0</v>
      </c>
      <c r="I2290" s="58">
        <v>6.9974700000000001E-2</v>
      </c>
      <c r="J2290" s="57">
        <v>0.18860499999999999</v>
      </c>
      <c r="K2290" s="56"/>
      <c r="L2290" s="56" t="s">
        <v>488</v>
      </c>
    </row>
    <row r="2291" spans="2:12" x14ac:dyDescent="0.2">
      <c r="B2291" s="62" t="s">
        <v>3630</v>
      </c>
      <c r="C2291" s="61" t="s">
        <v>582</v>
      </c>
      <c r="D2291" s="60">
        <v>2.1709399999999999</v>
      </c>
      <c r="E2291" s="59">
        <v>2.47262</v>
      </c>
      <c r="F2291" s="59">
        <v>3.2858299999999998</v>
      </c>
      <c r="G2291" s="56">
        <v>0</v>
      </c>
      <c r="H2291" s="56">
        <v>0</v>
      </c>
      <c r="I2291" s="58">
        <v>0.118644</v>
      </c>
      <c r="J2291" s="57">
        <v>0.179117</v>
      </c>
      <c r="K2291" s="56"/>
      <c r="L2291" s="56" t="s">
        <v>488</v>
      </c>
    </row>
    <row r="2292" spans="2:12" x14ac:dyDescent="0.2">
      <c r="B2292" s="62" t="s">
        <v>3629</v>
      </c>
      <c r="C2292" s="61" t="s">
        <v>612</v>
      </c>
      <c r="D2292" s="60">
        <v>1.2211000000000001</v>
      </c>
      <c r="E2292" s="59">
        <v>4.3798199999999996</v>
      </c>
      <c r="F2292" s="59">
        <v>5.3203699999999996</v>
      </c>
      <c r="G2292" s="56">
        <v>848.197</v>
      </c>
      <c r="H2292" s="56">
        <v>694.61500000000001</v>
      </c>
      <c r="I2292" s="58">
        <v>0.34410600000000002</v>
      </c>
      <c r="J2292" s="57">
        <v>0.40519899999999998</v>
      </c>
      <c r="K2292" s="56"/>
      <c r="L2292" s="56" t="s">
        <v>492</v>
      </c>
    </row>
    <row r="2293" spans="2:12" x14ac:dyDescent="0.2">
      <c r="B2293" s="62" t="s">
        <v>3628</v>
      </c>
      <c r="C2293" s="61" t="s">
        <v>502</v>
      </c>
      <c r="D2293" s="60">
        <v>2.2233999999999998</v>
      </c>
      <c r="E2293" s="59">
        <v>7.0970700000000004</v>
      </c>
      <c r="F2293" s="59">
        <v>7.3444099999999999</v>
      </c>
      <c r="G2293" s="56">
        <v>763.29399999999998</v>
      </c>
      <c r="H2293" s="56">
        <v>343.30099999999999</v>
      </c>
      <c r="I2293" s="58">
        <v>0.27995100000000001</v>
      </c>
      <c r="J2293" s="57">
        <v>0.24057600000000001</v>
      </c>
      <c r="K2293" s="56"/>
      <c r="L2293" s="56" t="s">
        <v>488</v>
      </c>
    </row>
    <row r="2294" spans="2:12" x14ac:dyDescent="0.2">
      <c r="B2294" s="62" t="s">
        <v>3627</v>
      </c>
      <c r="C2294" s="61" t="s">
        <v>550</v>
      </c>
      <c r="D2294" s="60">
        <v>2.1194899999999999</v>
      </c>
      <c r="E2294" s="59">
        <v>3.2214</v>
      </c>
      <c r="F2294" s="59">
        <v>4.0164600000000004</v>
      </c>
      <c r="G2294" s="56">
        <v>0</v>
      </c>
      <c r="H2294" s="56">
        <v>0</v>
      </c>
      <c r="I2294" s="58">
        <v>0.10943600000000001</v>
      </c>
      <c r="J2294" s="57">
        <v>0.19096099999999999</v>
      </c>
      <c r="K2294" s="56"/>
      <c r="L2294" s="56" t="s">
        <v>488</v>
      </c>
    </row>
    <row r="2295" spans="2:12" x14ac:dyDescent="0.2">
      <c r="B2295" s="62" t="s">
        <v>3626</v>
      </c>
      <c r="C2295" s="61" t="s">
        <v>502</v>
      </c>
      <c r="D2295" s="60">
        <v>0.76238099999999998</v>
      </c>
      <c r="E2295" s="59">
        <v>8.7282100000000007</v>
      </c>
      <c r="F2295" s="59">
        <v>13.853059999999999</v>
      </c>
      <c r="G2295" s="56">
        <v>2052.88</v>
      </c>
      <c r="H2295" s="56">
        <v>2692.73</v>
      </c>
      <c r="I2295" s="58">
        <v>0.783528</v>
      </c>
      <c r="J2295" s="57">
        <v>0.97162400000000004</v>
      </c>
      <c r="K2295" s="56"/>
      <c r="L2295" s="56" t="s">
        <v>488</v>
      </c>
    </row>
    <row r="2296" spans="2:12" x14ac:dyDescent="0.2">
      <c r="B2296" s="62" t="s">
        <v>3625</v>
      </c>
      <c r="C2296" s="61" t="s">
        <v>510</v>
      </c>
      <c r="D2296" s="60">
        <v>1.0482899999999999</v>
      </c>
      <c r="E2296" s="59">
        <v>4.4689100000000002</v>
      </c>
      <c r="F2296" s="59">
        <v>8.35947</v>
      </c>
      <c r="G2296" s="56">
        <v>1378.81</v>
      </c>
      <c r="H2296" s="56">
        <v>1315.29</v>
      </c>
      <c r="I2296" s="58">
        <v>0.55637800000000004</v>
      </c>
      <c r="J2296" s="57">
        <v>0.57328100000000004</v>
      </c>
      <c r="K2296" s="56"/>
      <c r="L2296" s="56" t="s">
        <v>823</v>
      </c>
    </row>
    <row r="2297" spans="2:12" x14ac:dyDescent="0.2">
      <c r="B2297" s="62" t="s">
        <v>3624</v>
      </c>
      <c r="C2297" s="61" t="s">
        <v>502</v>
      </c>
      <c r="D2297" s="60">
        <v>1.3685700000000001</v>
      </c>
      <c r="E2297" s="59">
        <v>3.4498799999999998</v>
      </c>
      <c r="F2297" s="59">
        <v>4.6876899999999999</v>
      </c>
      <c r="G2297" s="56">
        <v>0</v>
      </c>
      <c r="H2297" s="56">
        <v>0</v>
      </c>
      <c r="I2297" s="58">
        <v>0.24679000000000001</v>
      </c>
      <c r="J2297" s="57">
        <v>0.311834</v>
      </c>
      <c r="K2297" s="56"/>
      <c r="L2297" s="56" t="s">
        <v>488</v>
      </c>
    </row>
    <row r="2298" spans="2:12" x14ac:dyDescent="0.2">
      <c r="B2298" s="62" t="s">
        <v>3623</v>
      </c>
      <c r="C2298" s="61" t="s">
        <v>708</v>
      </c>
      <c r="D2298" s="60">
        <v>1.3104899999999999</v>
      </c>
      <c r="E2298" s="59">
        <v>2.6884899999999998</v>
      </c>
      <c r="F2298" s="59">
        <v>4.4440099999999996</v>
      </c>
      <c r="G2298" s="56">
        <v>0</v>
      </c>
      <c r="H2298" s="56">
        <v>0</v>
      </c>
      <c r="I2298" s="58">
        <v>0.25347700000000001</v>
      </c>
      <c r="J2298" s="57">
        <v>0.34579399999999999</v>
      </c>
      <c r="K2298" s="56"/>
      <c r="L2298" s="56" t="s">
        <v>488</v>
      </c>
    </row>
    <row r="2299" spans="2:12" x14ac:dyDescent="0.2">
      <c r="B2299" s="62" t="s">
        <v>3622</v>
      </c>
      <c r="C2299" s="61" t="s">
        <v>510</v>
      </c>
      <c r="D2299" s="60">
        <v>1.05149</v>
      </c>
      <c r="E2299" s="59">
        <v>4.8370699999999998</v>
      </c>
      <c r="F2299" s="59">
        <v>7.1097700000000001</v>
      </c>
      <c r="G2299" s="56">
        <v>1535.08</v>
      </c>
      <c r="H2299" s="56">
        <v>1459.9</v>
      </c>
      <c r="I2299" s="58">
        <v>0.56096999999999997</v>
      </c>
      <c r="J2299" s="57">
        <v>0.54083099999999995</v>
      </c>
      <c r="K2299" s="56"/>
      <c r="L2299" s="56" t="s">
        <v>488</v>
      </c>
    </row>
    <row r="2300" spans="2:12" x14ac:dyDescent="0.2">
      <c r="B2300" s="62" t="s">
        <v>3621</v>
      </c>
      <c r="C2300" s="61" t="s">
        <v>510</v>
      </c>
      <c r="D2300" s="60">
        <v>1.26627</v>
      </c>
      <c r="E2300" s="59">
        <v>3.8297300000000001</v>
      </c>
      <c r="F2300" s="59">
        <v>4.4824099999999998</v>
      </c>
      <c r="G2300" s="56">
        <v>452.96</v>
      </c>
      <c r="H2300" s="56">
        <v>357.71100000000001</v>
      </c>
      <c r="I2300" s="58">
        <v>0.43929400000000002</v>
      </c>
      <c r="J2300" s="57">
        <v>0.400169</v>
      </c>
      <c r="K2300" s="56"/>
      <c r="L2300" s="56" t="s">
        <v>488</v>
      </c>
    </row>
    <row r="2301" spans="2:12" x14ac:dyDescent="0.2">
      <c r="B2301" s="62" t="s">
        <v>3620</v>
      </c>
      <c r="C2301" s="61" t="s">
        <v>502</v>
      </c>
      <c r="D2301" s="60">
        <v>0.92661199999999999</v>
      </c>
      <c r="E2301" s="59">
        <v>4.94116</v>
      </c>
      <c r="F2301" s="59">
        <v>10.05429</v>
      </c>
      <c r="G2301" s="56">
        <v>2078.04</v>
      </c>
      <c r="H2301" s="56">
        <v>2242.62</v>
      </c>
      <c r="I2301" s="58">
        <v>0.76966199999999996</v>
      </c>
      <c r="J2301" s="57">
        <v>0.74480100000000005</v>
      </c>
      <c r="K2301" s="56"/>
      <c r="L2301" s="56" t="s">
        <v>488</v>
      </c>
    </row>
    <row r="2302" spans="2:12" x14ac:dyDescent="0.2">
      <c r="B2302" s="62" t="s">
        <v>3619</v>
      </c>
      <c r="C2302" s="61" t="s">
        <v>561</v>
      </c>
      <c r="D2302" s="60">
        <v>1.28067</v>
      </c>
      <c r="E2302" s="59">
        <v>6.5084099999999996</v>
      </c>
      <c r="F2302" s="59">
        <v>6.8868299999999998</v>
      </c>
      <c r="G2302" s="56">
        <v>1397.56</v>
      </c>
      <c r="H2302" s="56">
        <v>1091.28</v>
      </c>
      <c r="I2302" s="58">
        <v>0.610425</v>
      </c>
      <c r="J2302" s="57">
        <v>0.44455299999999998</v>
      </c>
      <c r="K2302" s="56"/>
      <c r="L2302" s="56" t="s">
        <v>488</v>
      </c>
    </row>
    <row r="2303" spans="2:12" x14ac:dyDescent="0.2">
      <c r="B2303" s="62" t="s">
        <v>3618</v>
      </c>
      <c r="C2303" s="61" t="s">
        <v>535</v>
      </c>
      <c r="D2303" s="60">
        <v>1.57026</v>
      </c>
      <c r="E2303" s="59">
        <v>6.59457</v>
      </c>
      <c r="F2303" s="59">
        <v>6.9420700000000002</v>
      </c>
      <c r="G2303" s="56">
        <v>1434.64</v>
      </c>
      <c r="H2303" s="56">
        <v>913.63300000000004</v>
      </c>
      <c r="I2303" s="58">
        <v>0.599352</v>
      </c>
      <c r="J2303" s="57">
        <v>0.364153</v>
      </c>
      <c r="K2303" s="56"/>
      <c r="L2303" s="56" t="s">
        <v>488</v>
      </c>
    </row>
    <row r="2304" spans="2:12" x14ac:dyDescent="0.2">
      <c r="B2304" s="62" t="s">
        <v>3617</v>
      </c>
      <c r="C2304" s="61" t="s">
        <v>537</v>
      </c>
      <c r="D2304" s="60">
        <v>1.5897699999999999</v>
      </c>
      <c r="E2304" s="59">
        <v>6.5444699999999996</v>
      </c>
      <c r="F2304" s="59">
        <v>6.9163199999999998</v>
      </c>
      <c r="G2304" s="56">
        <v>1372.83</v>
      </c>
      <c r="H2304" s="56">
        <v>829.97699999999998</v>
      </c>
      <c r="I2304" s="58">
        <v>0.60061100000000001</v>
      </c>
      <c r="J2304" s="57">
        <v>0.35906300000000002</v>
      </c>
      <c r="K2304" s="56"/>
      <c r="L2304" s="56" t="s">
        <v>488</v>
      </c>
    </row>
    <row r="2305" spans="2:12" x14ac:dyDescent="0.2">
      <c r="B2305" s="62" t="s">
        <v>3616</v>
      </c>
      <c r="C2305" s="61" t="s">
        <v>537</v>
      </c>
      <c r="D2305" s="60">
        <v>1.6540600000000001</v>
      </c>
      <c r="E2305" s="59">
        <v>6.5731400000000004</v>
      </c>
      <c r="F2305" s="59">
        <v>6.9318200000000001</v>
      </c>
      <c r="G2305" s="56">
        <v>1425.03</v>
      </c>
      <c r="H2305" s="56">
        <v>896.37400000000002</v>
      </c>
      <c r="I2305" s="58">
        <v>0.59853299999999998</v>
      </c>
      <c r="J2305" s="57">
        <v>0.33699400000000002</v>
      </c>
      <c r="K2305" s="56"/>
      <c r="L2305" s="56" t="s">
        <v>488</v>
      </c>
    </row>
    <row r="2306" spans="2:12" x14ac:dyDescent="0.2">
      <c r="B2306" s="62" t="s">
        <v>3615</v>
      </c>
      <c r="C2306" s="61" t="s">
        <v>859</v>
      </c>
      <c r="D2306" s="60">
        <v>1.63046</v>
      </c>
      <c r="E2306" s="59">
        <v>6.4869300000000001</v>
      </c>
      <c r="F2306" s="59">
        <v>6.8786899999999997</v>
      </c>
      <c r="G2306" s="56">
        <v>1411.17</v>
      </c>
      <c r="H2306" s="56">
        <v>865.50699999999995</v>
      </c>
      <c r="I2306" s="58">
        <v>0.59872499999999995</v>
      </c>
      <c r="J2306" s="57">
        <v>0.34788999999999998</v>
      </c>
      <c r="K2306" s="56"/>
      <c r="L2306" s="56" t="s">
        <v>488</v>
      </c>
    </row>
    <row r="2307" spans="2:12" x14ac:dyDescent="0.2">
      <c r="B2307" s="62" t="s">
        <v>3614</v>
      </c>
      <c r="C2307" s="61" t="s">
        <v>859</v>
      </c>
      <c r="D2307" s="60">
        <v>1.6311800000000001</v>
      </c>
      <c r="E2307" s="59">
        <v>6.5019900000000002</v>
      </c>
      <c r="F2307" s="59">
        <v>6.8656499999999996</v>
      </c>
      <c r="G2307" s="56">
        <v>1415.6</v>
      </c>
      <c r="H2307" s="56">
        <v>867.83699999999999</v>
      </c>
      <c r="I2307" s="58">
        <v>0.60056900000000002</v>
      </c>
      <c r="J2307" s="57">
        <v>0.34806399999999998</v>
      </c>
      <c r="K2307" s="56"/>
      <c r="L2307" s="56" t="s">
        <v>488</v>
      </c>
    </row>
    <row r="2308" spans="2:12" x14ac:dyDescent="0.2">
      <c r="B2308" s="62" t="s">
        <v>3613</v>
      </c>
      <c r="C2308" s="61" t="s">
        <v>1226</v>
      </c>
      <c r="D2308" s="60">
        <v>1.6699600000000001</v>
      </c>
      <c r="E2308" s="59">
        <v>6.4540100000000002</v>
      </c>
      <c r="F2308" s="59">
        <v>6.84748</v>
      </c>
      <c r="G2308" s="56">
        <v>1393.86</v>
      </c>
      <c r="H2308" s="56">
        <v>834.66800000000001</v>
      </c>
      <c r="I2308" s="58">
        <v>0.62190599999999996</v>
      </c>
      <c r="J2308" s="57">
        <v>0.33837200000000001</v>
      </c>
      <c r="K2308" s="56"/>
      <c r="L2308" s="56" t="s">
        <v>488</v>
      </c>
    </row>
    <row r="2309" spans="2:12" x14ac:dyDescent="0.2">
      <c r="B2309" s="62" t="s">
        <v>3612</v>
      </c>
      <c r="C2309" s="61" t="s">
        <v>499</v>
      </c>
      <c r="D2309" s="60">
        <v>0.59168399999999999</v>
      </c>
      <c r="E2309" s="59">
        <v>7.9369100000000001</v>
      </c>
      <c r="F2309" s="59">
        <v>15.073729999999999</v>
      </c>
      <c r="G2309" s="56">
        <v>2200.1999999999998</v>
      </c>
      <c r="H2309" s="56">
        <v>3718.54</v>
      </c>
      <c r="I2309" s="58">
        <v>0.83078799999999997</v>
      </c>
      <c r="J2309" s="57">
        <v>1.36781</v>
      </c>
      <c r="K2309" s="56"/>
      <c r="L2309" s="56" t="s">
        <v>488</v>
      </c>
    </row>
    <row r="2310" spans="2:12" x14ac:dyDescent="0.2">
      <c r="B2310" s="62" t="s">
        <v>3611</v>
      </c>
      <c r="C2310" s="61" t="s">
        <v>499</v>
      </c>
      <c r="D2310" s="60">
        <v>0.590588</v>
      </c>
      <c r="E2310" s="59">
        <v>7.9365199999999998</v>
      </c>
      <c r="F2310" s="59">
        <v>15.074490000000001</v>
      </c>
      <c r="G2310" s="56">
        <v>2198.7800000000002</v>
      </c>
      <c r="H2310" s="56">
        <v>3723.04</v>
      </c>
      <c r="I2310" s="58">
        <v>0.83072400000000002</v>
      </c>
      <c r="J2310" s="57">
        <v>1.37033</v>
      </c>
      <c r="K2310" s="56"/>
      <c r="L2310" s="56" t="s">
        <v>488</v>
      </c>
    </row>
    <row r="2311" spans="2:12" x14ac:dyDescent="0.2">
      <c r="B2311" s="62" t="s">
        <v>3610</v>
      </c>
      <c r="C2311" s="61" t="s">
        <v>499</v>
      </c>
      <c r="D2311" s="60">
        <v>0.58942799999999995</v>
      </c>
      <c r="E2311" s="59">
        <v>7.9382700000000002</v>
      </c>
      <c r="F2311" s="59">
        <v>15.08099</v>
      </c>
      <c r="G2311" s="56">
        <v>2197.4899999999998</v>
      </c>
      <c r="H2311" s="56">
        <v>3728.18</v>
      </c>
      <c r="I2311" s="58">
        <v>0.82873300000000005</v>
      </c>
      <c r="J2311" s="57">
        <v>1.3730899999999999</v>
      </c>
      <c r="K2311" s="56"/>
      <c r="L2311" s="56" t="s">
        <v>488</v>
      </c>
    </row>
    <row r="2312" spans="2:12" x14ac:dyDescent="0.2">
      <c r="B2312" s="62" t="s">
        <v>3609</v>
      </c>
      <c r="C2312" s="61" t="s">
        <v>499</v>
      </c>
      <c r="D2312" s="60">
        <v>0.58880999999999994</v>
      </c>
      <c r="E2312" s="59">
        <v>7.9348299999999998</v>
      </c>
      <c r="F2312" s="59">
        <v>15.11215</v>
      </c>
      <c r="G2312" s="56">
        <v>2197.88</v>
      </c>
      <c r="H2312" s="56">
        <v>3732.76</v>
      </c>
      <c r="I2312" s="58">
        <v>0.82910700000000004</v>
      </c>
      <c r="J2312" s="57">
        <v>1.3744400000000001</v>
      </c>
      <c r="K2312" s="56"/>
      <c r="L2312" s="56" t="s">
        <v>488</v>
      </c>
    </row>
    <row r="2313" spans="2:12" x14ac:dyDescent="0.2">
      <c r="B2313" s="62" t="s">
        <v>3608</v>
      </c>
      <c r="C2313" s="61" t="s">
        <v>533</v>
      </c>
      <c r="D2313" s="60">
        <v>2.0435500000000002</v>
      </c>
      <c r="E2313" s="59">
        <v>2.5885899999999999</v>
      </c>
      <c r="F2313" s="59">
        <v>3.41384</v>
      </c>
      <c r="G2313" s="56">
        <v>0</v>
      </c>
      <c r="H2313" s="56">
        <v>0</v>
      </c>
      <c r="I2313" s="58">
        <v>0.26777099999999998</v>
      </c>
      <c r="J2313" s="57">
        <v>0.23677000000000001</v>
      </c>
      <c r="K2313" s="56"/>
      <c r="L2313" s="56" t="s">
        <v>488</v>
      </c>
    </row>
    <row r="2314" spans="2:12" x14ac:dyDescent="0.2">
      <c r="B2314" s="62" t="s">
        <v>3607</v>
      </c>
      <c r="C2314" s="61" t="s">
        <v>510</v>
      </c>
      <c r="D2314" s="60">
        <v>0.71750000000000003</v>
      </c>
      <c r="E2314" s="59">
        <v>5.1203399999999997</v>
      </c>
      <c r="F2314" s="59">
        <v>12.829829999999999</v>
      </c>
      <c r="G2314" s="56">
        <v>1440.43</v>
      </c>
      <c r="H2314" s="56">
        <v>2007.56</v>
      </c>
      <c r="I2314" s="58">
        <v>0.70528800000000003</v>
      </c>
      <c r="J2314" s="57">
        <v>0.95487500000000003</v>
      </c>
      <c r="K2314" s="56"/>
      <c r="L2314" s="56" t="s">
        <v>488</v>
      </c>
    </row>
    <row r="2315" spans="2:12" x14ac:dyDescent="0.2">
      <c r="B2315" s="62" t="s">
        <v>3606</v>
      </c>
      <c r="C2315" s="61" t="s">
        <v>510</v>
      </c>
      <c r="D2315" s="60">
        <v>1.03521</v>
      </c>
      <c r="E2315" s="59">
        <v>4.5752100000000002</v>
      </c>
      <c r="F2315" s="59">
        <v>6.4580200000000003</v>
      </c>
      <c r="G2315" s="56">
        <v>1234.18</v>
      </c>
      <c r="H2315" s="56">
        <v>1192.21</v>
      </c>
      <c r="I2315" s="58">
        <v>0.51874699999999996</v>
      </c>
      <c r="J2315" s="57">
        <v>0.54499500000000001</v>
      </c>
      <c r="K2315" s="56"/>
      <c r="L2315" s="56" t="s">
        <v>488</v>
      </c>
    </row>
    <row r="2316" spans="2:12" x14ac:dyDescent="0.2">
      <c r="B2316" s="62" t="s">
        <v>3605</v>
      </c>
      <c r="C2316" s="61" t="s">
        <v>502</v>
      </c>
      <c r="D2316" s="60">
        <v>1.2826599999999999</v>
      </c>
      <c r="E2316" s="59">
        <v>3.6475499999999998</v>
      </c>
      <c r="F2316" s="59">
        <v>4.9497299999999997</v>
      </c>
      <c r="G2316" s="56">
        <v>0</v>
      </c>
      <c r="H2316" s="56">
        <v>0</v>
      </c>
      <c r="I2316" s="58">
        <v>0.32465300000000002</v>
      </c>
      <c r="J2316" s="57">
        <v>0.43534200000000001</v>
      </c>
      <c r="K2316" s="56" t="s">
        <v>3604</v>
      </c>
      <c r="L2316" s="56" t="s">
        <v>563</v>
      </c>
    </row>
    <row r="2317" spans="2:12" x14ac:dyDescent="0.2">
      <c r="B2317" s="62" t="s">
        <v>3603</v>
      </c>
      <c r="C2317" s="61" t="s">
        <v>510</v>
      </c>
      <c r="D2317" s="60">
        <v>1.2779400000000001</v>
      </c>
      <c r="E2317" s="59">
        <v>2.5602200000000002</v>
      </c>
      <c r="F2317" s="59">
        <v>4.1758499999999996</v>
      </c>
      <c r="G2317" s="56">
        <v>0</v>
      </c>
      <c r="H2317" s="56">
        <v>0</v>
      </c>
      <c r="I2317" s="58">
        <v>0.24627099999999999</v>
      </c>
      <c r="J2317" s="57">
        <v>0.349742</v>
      </c>
      <c r="K2317" s="56"/>
      <c r="L2317" s="56" t="s">
        <v>488</v>
      </c>
    </row>
    <row r="2318" spans="2:12" x14ac:dyDescent="0.2">
      <c r="B2318" s="62" t="s">
        <v>3602</v>
      </c>
      <c r="C2318" s="61" t="s">
        <v>499</v>
      </c>
      <c r="D2318" s="60">
        <v>1.27342</v>
      </c>
      <c r="E2318" s="59">
        <v>3.38524</v>
      </c>
      <c r="F2318" s="59">
        <v>5.5419099999999997</v>
      </c>
      <c r="G2318" s="56">
        <v>0</v>
      </c>
      <c r="H2318" s="56">
        <v>0</v>
      </c>
      <c r="I2318" s="58">
        <v>0.26505000000000001</v>
      </c>
      <c r="J2318" s="57">
        <v>0.37504199999999999</v>
      </c>
      <c r="K2318" s="56"/>
      <c r="L2318" s="56" t="s">
        <v>488</v>
      </c>
    </row>
    <row r="2319" spans="2:12" x14ac:dyDescent="0.2">
      <c r="B2319" s="62" t="s">
        <v>3601</v>
      </c>
      <c r="C2319" s="61" t="s">
        <v>550</v>
      </c>
      <c r="D2319" s="60">
        <v>0.99645799999999995</v>
      </c>
      <c r="E2319" s="59">
        <v>4.0555199999999996</v>
      </c>
      <c r="F2319" s="59">
        <v>6.2487399999999997</v>
      </c>
      <c r="G2319" s="56">
        <v>1223.06</v>
      </c>
      <c r="H2319" s="56">
        <v>1227.4000000000001</v>
      </c>
      <c r="I2319" s="58">
        <v>0.51468100000000006</v>
      </c>
      <c r="J2319" s="57">
        <v>0.58097100000000002</v>
      </c>
      <c r="K2319" s="56"/>
      <c r="L2319" s="56" t="s">
        <v>488</v>
      </c>
    </row>
    <row r="2320" spans="2:12" x14ac:dyDescent="0.2">
      <c r="B2320" s="62" t="s">
        <v>3600</v>
      </c>
      <c r="C2320" s="61" t="s">
        <v>550</v>
      </c>
      <c r="D2320" s="60">
        <v>1.51146</v>
      </c>
      <c r="E2320" s="59">
        <v>3.2893400000000002</v>
      </c>
      <c r="F2320" s="59">
        <v>4.7861799999999999</v>
      </c>
      <c r="G2320" s="56">
        <v>0</v>
      </c>
      <c r="H2320" s="56">
        <v>0</v>
      </c>
      <c r="I2320" s="58">
        <v>0.261878</v>
      </c>
      <c r="J2320" s="57">
        <v>0.29496800000000001</v>
      </c>
      <c r="K2320" s="56"/>
      <c r="L2320" s="56" t="s">
        <v>488</v>
      </c>
    </row>
    <row r="2321" spans="2:12" x14ac:dyDescent="0.2">
      <c r="B2321" s="62" t="s">
        <v>3599</v>
      </c>
      <c r="C2321" s="61" t="s">
        <v>875</v>
      </c>
      <c r="D2321" s="60">
        <v>2.05355</v>
      </c>
      <c r="E2321" s="59">
        <v>2.6438600000000001</v>
      </c>
      <c r="F2321" s="59">
        <v>3.1996699999999998</v>
      </c>
      <c r="G2321" s="56">
        <v>0</v>
      </c>
      <c r="H2321" s="56">
        <v>0</v>
      </c>
      <c r="I2321" s="58">
        <v>7.2402400000000006E-2</v>
      </c>
      <c r="J2321" s="57">
        <v>0.16458</v>
      </c>
      <c r="K2321" s="56"/>
      <c r="L2321" s="56" t="s">
        <v>488</v>
      </c>
    </row>
    <row r="2322" spans="2:12" x14ac:dyDescent="0.2">
      <c r="B2322" s="62" t="s">
        <v>3598</v>
      </c>
      <c r="C2322" s="61" t="s">
        <v>880</v>
      </c>
      <c r="D2322" s="60">
        <v>2.0734900000000001</v>
      </c>
      <c r="E2322" s="59">
        <v>2.6249099999999999</v>
      </c>
      <c r="F2322" s="59">
        <v>3.18269</v>
      </c>
      <c r="G2322" s="56">
        <v>0</v>
      </c>
      <c r="H2322" s="56">
        <v>0</v>
      </c>
      <c r="I2322" s="58">
        <v>6.9674E-2</v>
      </c>
      <c r="J2322" s="57">
        <v>0.161245</v>
      </c>
      <c r="K2322" s="56"/>
      <c r="L2322" s="56" t="s">
        <v>488</v>
      </c>
    </row>
    <row r="2323" spans="2:12" x14ac:dyDescent="0.2">
      <c r="B2323" s="62" t="s">
        <v>3597</v>
      </c>
      <c r="C2323" s="61" t="s">
        <v>1192</v>
      </c>
      <c r="D2323" s="60">
        <v>2.0889500000000001</v>
      </c>
      <c r="E2323" s="59">
        <v>2.6168300000000002</v>
      </c>
      <c r="F2323" s="59">
        <v>3.17075</v>
      </c>
      <c r="G2323" s="56">
        <v>0</v>
      </c>
      <c r="H2323" s="56">
        <v>0</v>
      </c>
      <c r="I2323" s="58">
        <v>6.9561799999999993E-2</v>
      </c>
      <c r="J2323" s="57">
        <v>0.15957499999999999</v>
      </c>
      <c r="K2323" s="56"/>
      <c r="L2323" s="56" t="s">
        <v>488</v>
      </c>
    </row>
    <row r="2324" spans="2:12" x14ac:dyDescent="0.2">
      <c r="B2324" s="62" t="s">
        <v>3596</v>
      </c>
      <c r="C2324" s="61" t="s">
        <v>502</v>
      </c>
      <c r="D2324" s="60">
        <v>1.2258500000000001</v>
      </c>
      <c r="E2324" s="59">
        <v>2.9452600000000002</v>
      </c>
      <c r="F2324" s="59">
        <v>5.4264999999999999</v>
      </c>
      <c r="G2324" s="56">
        <v>0</v>
      </c>
      <c r="H2324" s="56">
        <v>0</v>
      </c>
      <c r="I2324" s="58">
        <v>0.40520699999999998</v>
      </c>
      <c r="J2324" s="57">
        <v>0.44003900000000001</v>
      </c>
      <c r="K2324" s="56"/>
      <c r="L2324" s="56" t="s">
        <v>488</v>
      </c>
    </row>
    <row r="2325" spans="2:12" x14ac:dyDescent="0.2">
      <c r="B2325" s="62" t="s">
        <v>3595</v>
      </c>
      <c r="C2325" s="61" t="s">
        <v>502</v>
      </c>
      <c r="D2325" s="60">
        <v>1.0443899999999999</v>
      </c>
      <c r="E2325" s="59">
        <v>6.3680399999999997</v>
      </c>
      <c r="F2325" s="59">
        <v>9.3500999999999994</v>
      </c>
      <c r="G2325" s="56">
        <v>1600.32</v>
      </c>
      <c r="H2325" s="56">
        <v>1532.3</v>
      </c>
      <c r="I2325" s="58">
        <v>0.604684</v>
      </c>
      <c r="J2325" s="57">
        <v>0.61821899999999996</v>
      </c>
      <c r="K2325" s="56"/>
      <c r="L2325" s="56" t="s">
        <v>488</v>
      </c>
    </row>
    <row r="2326" spans="2:12" x14ac:dyDescent="0.2">
      <c r="B2326" s="62" t="s">
        <v>3594</v>
      </c>
      <c r="C2326" s="61" t="s">
        <v>502</v>
      </c>
      <c r="D2326" s="60">
        <v>0.83867199999999997</v>
      </c>
      <c r="E2326" s="59">
        <v>4.4376899999999999</v>
      </c>
      <c r="F2326" s="59">
        <v>9.8186699999999991</v>
      </c>
      <c r="G2326" s="56">
        <v>1993.53</v>
      </c>
      <c r="H2326" s="56">
        <v>2377.0100000000002</v>
      </c>
      <c r="I2326" s="58">
        <v>0.73169700000000004</v>
      </c>
      <c r="J2326" s="57">
        <v>0.85690900000000003</v>
      </c>
      <c r="K2326" s="56"/>
      <c r="L2326" s="56" t="s">
        <v>488</v>
      </c>
    </row>
    <row r="2327" spans="2:12" x14ac:dyDescent="0.2">
      <c r="B2327" s="62" t="s">
        <v>3593</v>
      </c>
      <c r="C2327" s="61" t="s">
        <v>3592</v>
      </c>
      <c r="D2327" s="60">
        <v>0.88266100000000003</v>
      </c>
      <c r="E2327" s="59">
        <v>4.3694899999999999</v>
      </c>
      <c r="F2327" s="59">
        <v>9.3696900000000003</v>
      </c>
      <c r="G2327" s="56">
        <v>2025.09</v>
      </c>
      <c r="H2327" s="56">
        <v>2294.3000000000002</v>
      </c>
      <c r="I2327" s="58">
        <v>0.72189000000000003</v>
      </c>
      <c r="J2327" s="57">
        <v>0.80723999999999996</v>
      </c>
      <c r="K2327" s="56"/>
      <c r="L2327" s="56" t="s">
        <v>488</v>
      </c>
    </row>
    <row r="2328" spans="2:12" x14ac:dyDescent="0.2">
      <c r="B2328" s="62" t="s">
        <v>3591</v>
      </c>
      <c r="C2328" s="61" t="s">
        <v>502</v>
      </c>
      <c r="D2328" s="60">
        <v>1.5011099999999999</v>
      </c>
      <c r="E2328" s="59">
        <v>3.55877</v>
      </c>
      <c r="F2328" s="59">
        <v>5.8835499999999996</v>
      </c>
      <c r="G2328" s="56">
        <v>0</v>
      </c>
      <c r="H2328" s="56">
        <v>0</v>
      </c>
      <c r="I2328" s="58">
        <v>0.33790500000000001</v>
      </c>
      <c r="J2328" s="57">
        <v>0.31360399999999999</v>
      </c>
      <c r="K2328" s="56"/>
      <c r="L2328" s="56" t="s">
        <v>492</v>
      </c>
    </row>
    <row r="2329" spans="2:12" x14ac:dyDescent="0.2">
      <c r="B2329" s="62" t="s">
        <v>3590</v>
      </c>
      <c r="C2329" s="61" t="s">
        <v>510</v>
      </c>
      <c r="D2329" s="60">
        <v>1.08823</v>
      </c>
      <c r="E2329" s="59">
        <v>3.3818199999999998</v>
      </c>
      <c r="F2329" s="59">
        <v>4.6022999999999996</v>
      </c>
      <c r="G2329" s="56">
        <v>0</v>
      </c>
      <c r="H2329" s="56">
        <v>0</v>
      </c>
      <c r="I2329" s="58">
        <v>0.41332999999999998</v>
      </c>
      <c r="J2329" s="57">
        <v>0.50392999999999999</v>
      </c>
      <c r="K2329" s="56"/>
      <c r="L2329" s="56" t="s">
        <v>488</v>
      </c>
    </row>
    <row r="2330" spans="2:12" x14ac:dyDescent="0.2">
      <c r="B2330" s="62" t="s">
        <v>3589</v>
      </c>
      <c r="C2330" s="61" t="s">
        <v>502</v>
      </c>
      <c r="D2330" s="60">
        <v>0.93664599999999998</v>
      </c>
      <c r="E2330" s="59">
        <v>7.2304899999999996</v>
      </c>
      <c r="F2330" s="59">
        <v>10.08545</v>
      </c>
      <c r="G2330" s="56">
        <v>1997.87</v>
      </c>
      <c r="H2330" s="56">
        <v>2133</v>
      </c>
      <c r="I2330" s="58">
        <v>0.673489</v>
      </c>
      <c r="J2330" s="57">
        <v>0.77346999999999999</v>
      </c>
      <c r="K2330" s="56"/>
      <c r="L2330" s="56" t="s">
        <v>488</v>
      </c>
    </row>
    <row r="2331" spans="2:12" x14ac:dyDescent="0.2">
      <c r="B2331" s="62" t="s">
        <v>3588</v>
      </c>
      <c r="C2331" s="61" t="s">
        <v>616</v>
      </c>
      <c r="D2331" s="60">
        <v>2.8399899999999998</v>
      </c>
      <c r="E2331" s="59">
        <v>2.72011</v>
      </c>
      <c r="F2331" s="59">
        <v>4.6663399999999999</v>
      </c>
      <c r="G2331" s="56">
        <v>0</v>
      </c>
      <c r="H2331" s="56">
        <v>0</v>
      </c>
      <c r="I2331" s="58">
        <v>0.223248</v>
      </c>
      <c r="J2331" s="57">
        <v>0.17105300000000001</v>
      </c>
      <c r="K2331" s="56"/>
      <c r="L2331" s="56" t="s">
        <v>488</v>
      </c>
    </row>
    <row r="2332" spans="2:12" x14ac:dyDescent="0.2">
      <c r="B2332" s="62" t="s">
        <v>3587</v>
      </c>
      <c r="C2332" s="61" t="s">
        <v>708</v>
      </c>
      <c r="D2332" s="60">
        <v>1.19411</v>
      </c>
      <c r="E2332" s="59">
        <v>10.71142</v>
      </c>
      <c r="F2332" s="59">
        <v>11.468859999999999</v>
      </c>
      <c r="G2332" s="56">
        <v>1486.31</v>
      </c>
      <c r="H2332" s="56">
        <v>1244.71</v>
      </c>
      <c r="I2332" s="58">
        <v>0.70935099999999995</v>
      </c>
      <c r="J2332" s="57">
        <v>0.54483999999999999</v>
      </c>
      <c r="K2332" s="56"/>
      <c r="L2332" s="56" t="s">
        <v>488</v>
      </c>
    </row>
    <row r="2333" spans="2:12" x14ac:dyDescent="0.2">
      <c r="B2333" s="62" t="s">
        <v>3586</v>
      </c>
      <c r="C2333" s="61" t="s">
        <v>550</v>
      </c>
      <c r="D2333" s="60">
        <v>1.68459</v>
      </c>
      <c r="E2333" s="59">
        <v>2.6130800000000001</v>
      </c>
      <c r="F2333" s="59">
        <v>3.75474</v>
      </c>
      <c r="G2333" s="56">
        <v>0</v>
      </c>
      <c r="H2333" s="56">
        <v>0</v>
      </c>
      <c r="I2333" s="58">
        <v>0.17271600000000001</v>
      </c>
      <c r="J2333" s="57">
        <v>0.274891</v>
      </c>
      <c r="K2333" s="56"/>
      <c r="L2333" s="56" t="s">
        <v>488</v>
      </c>
    </row>
    <row r="2334" spans="2:12" x14ac:dyDescent="0.2">
      <c r="B2334" s="62" t="s">
        <v>3585</v>
      </c>
      <c r="C2334" s="61" t="s">
        <v>535</v>
      </c>
      <c r="D2334" s="60">
        <v>1.5891500000000001</v>
      </c>
      <c r="E2334" s="59">
        <v>4.2187799999999998</v>
      </c>
      <c r="F2334" s="59">
        <v>5.1734299999999998</v>
      </c>
      <c r="G2334" s="56">
        <v>544.19399999999996</v>
      </c>
      <c r="H2334" s="56">
        <v>342.44299999999998</v>
      </c>
      <c r="I2334" s="58">
        <v>0.305676</v>
      </c>
      <c r="J2334" s="57">
        <v>0.28395900000000002</v>
      </c>
      <c r="K2334" s="56"/>
      <c r="L2334" s="56" t="s">
        <v>488</v>
      </c>
    </row>
    <row r="2335" spans="2:12" x14ac:dyDescent="0.2">
      <c r="B2335" s="62" t="s">
        <v>3584</v>
      </c>
      <c r="C2335" s="61" t="s">
        <v>537</v>
      </c>
      <c r="D2335" s="60">
        <v>1.6072299999999999</v>
      </c>
      <c r="E2335" s="59">
        <v>4.2197699999999996</v>
      </c>
      <c r="F2335" s="59">
        <v>5.1409399999999996</v>
      </c>
      <c r="G2335" s="56">
        <v>536.02800000000002</v>
      </c>
      <c r="H2335" s="56">
        <v>333.51100000000002</v>
      </c>
      <c r="I2335" s="58">
        <v>0.30412</v>
      </c>
      <c r="J2335" s="57">
        <v>0.27981099999999998</v>
      </c>
      <c r="K2335" s="56"/>
      <c r="L2335" s="56" t="s">
        <v>488</v>
      </c>
    </row>
    <row r="2336" spans="2:12" x14ac:dyDescent="0.2">
      <c r="B2336" s="62" t="s">
        <v>3583</v>
      </c>
      <c r="C2336" s="61" t="s">
        <v>499</v>
      </c>
      <c r="D2336" s="60">
        <v>1.15045</v>
      </c>
      <c r="E2336" s="59">
        <v>3.5103300000000002</v>
      </c>
      <c r="F2336" s="59">
        <v>6.91296</v>
      </c>
      <c r="G2336" s="56">
        <v>0</v>
      </c>
      <c r="H2336" s="56">
        <v>0</v>
      </c>
      <c r="I2336" s="58">
        <v>0.32108999999999999</v>
      </c>
      <c r="J2336" s="57">
        <v>0.43570900000000001</v>
      </c>
      <c r="K2336" s="56"/>
      <c r="L2336" s="56" t="s">
        <v>488</v>
      </c>
    </row>
    <row r="2337" spans="2:12" x14ac:dyDescent="0.2">
      <c r="B2337" s="62" t="s">
        <v>3582</v>
      </c>
      <c r="C2337" s="61" t="s">
        <v>502</v>
      </c>
      <c r="D2337" s="60">
        <v>0.91408500000000004</v>
      </c>
      <c r="E2337" s="59">
        <v>6.6090499999999999</v>
      </c>
      <c r="F2337" s="59">
        <v>8.1184499999999993</v>
      </c>
      <c r="G2337" s="56">
        <v>1869.09</v>
      </c>
      <c r="H2337" s="56">
        <v>2044.76</v>
      </c>
      <c r="I2337" s="58">
        <v>0.62132600000000004</v>
      </c>
      <c r="J2337" s="57">
        <v>0.70372599999999996</v>
      </c>
      <c r="K2337" s="56"/>
      <c r="L2337" s="56" t="s">
        <v>488</v>
      </c>
    </row>
    <row r="2338" spans="2:12" x14ac:dyDescent="0.2">
      <c r="B2338" s="62" t="s">
        <v>3581</v>
      </c>
      <c r="C2338" s="61" t="s">
        <v>1226</v>
      </c>
      <c r="D2338" s="60">
        <v>2.1930399999999999</v>
      </c>
      <c r="E2338" s="59">
        <v>3.90286</v>
      </c>
      <c r="F2338" s="59">
        <v>4.53355</v>
      </c>
      <c r="G2338" s="56">
        <v>175.995</v>
      </c>
      <c r="H2338" s="56">
        <v>80.251400000000004</v>
      </c>
      <c r="I2338" s="58">
        <v>0.22084400000000001</v>
      </c>
      <c r="J2338" s="57">
        <v>0.19808200000000001</v>
      </c>
      <c r="K2338" s="56"/>
      <c r="L2338" s="56" t="s">
        <v>492</v>
      </c>
    </row>
    <row r="2339" spans="2:12" x14ac:dyDescent="0.2">
      <c r="B2339" s="62" t="s">
        <v>3580</v>
      </c>
      <c r="C2339" s="61" t="s">
        <v>1386</v>
      </c>
      <c r="D2339" s="60">
        <v>2.1773400000000001</v>
      </c>
      <c r="E2339" s="59">
        <v>4.1558099999999998</v>
      </c>
      <c r="F2339" s="59">
        <v>4.72844</v>
      </c>
      <c r="G2339" s="56">
        <v>225.06100000000001</v>
      </c>
      <c r="H2339" s="56">
        <v>103.36499999999999</v>
      </c>
      <c r="I2339" s="58">
        <v>0.189279</v>
      </c>
      <c r="J2339" s="57">
        <v>0.19833999999999999</v>
      </c>
      <c r="K2339" s="56"/>
      <c r="L2339" s="56" t="s">
        <v>492</v>
      </c>
    </row>
    <row r="2340" spans="2:12" x14ac:dyDescent="0.2">
      <c r="B2340" s="62" t="s">
        <v>3579</v>
      </c>
      <c r="C2340" s="61" t="s">
        <v>502</v>
      </c>
      <c r="D2340" s="60">
        <v>1.31264</v>
      </c>
      <c r="E2340" s="59">
        <v>3.2695599999999998</v>
      </c>
      <c r="F2340" s="59">
        <v>4.5461499999999999</v>
      </c>
      <c r="G2340" s="56">
        <v>0</v>
      </c>
      <c r="H2340" s="56">
        <v>0</v>
      </c>
      <c r="I2340" s="58">
        <v>0.24177799999999999</v>
      </c>
      <c r="J2340" s="57">
        <v>0.34660999999999997</v>
      </c>
      <c r="K2340" s="56"/>
      <c r="L2340" s="56" t="s">
        <v>488</v>
      </c>
    </row>
    <row r="2341" spans="2:12" x14ac:dyDescent="0.2">
      <c r="B2341" s="62" t="s">
        <v>3578</v>
      </c>
      <c r="C2341" s="61" t="s">
        <v>499</v>
      </c>
      <c r="D2341" s="60">
        <v>1.5115400000000001</v>
      </c>
      <c r="E2341" s="59">
        <v>3.5901100000000001</v>
      </c>
      <c r="F2341" s="59">
        <v>4.3805300000000003</v>
      </c>
      <c r="G2341" s="56">
        <v>0</v>
      </c>
      <c r="H2341" s="56">
        <v>0</v>
      </c>
      <c r="I2341" s="58">
        <v>0.341951</v>
      </c>
      <c r="J2341" s="57">
        <v>0.31798500000000002</v>
      </c>
      <c r="K2341" s="56"/>
      <c r="L2341" s="56" t="s">
        <v>488</v>
      </c>
    </row>
    <row r="2342" spans="2:12" x14ac:dyDescent="0.2">
      <c r="B2342" s="62" t="s">
        <v>3577</v>
      </c>
      <c r="C2342" s="61" t="s">
        <v>499</v>
      </c>
      <c r="D2342" s="60">
        <v>1.1719599999999999</v>
      </c>
      <c r="E2342" s="59">
        <v>3.8134999999999999</v>
      </c>
      <c r="F2342" s="59">
        <v>5.1842899999999998</v>
      </c>
      <c r="G2342" s="56">
        <v>1223.5</v>
      </c>
      <c r="H2342" s="56">
        <v>1043.98</v>
      </c>
      <c r="I2342" s="58">
        <v>0.52768499999999996</v>
      </c>
      <c r="J2342" s="57">
        <v>0.51183100000000004</v>
      </c>
      <c r="K2342" s="56"/>
      <c r="L2342" s="56" t="s">
        <v>488</v>
      </c>
    </row>
    <row r="2343" spans="2:12" x14ac:dyDescent="0.2">
      <c r="B2343" s="62" t="s">
        <v>3576</v>
      </c>
      <c r="C2343" s="61" t="s">
        <v>499</v>
      </c>
      <c r="D2343" s="60">
        <v>1.6390499999999999</v>
      </c>
      <c r="E2343" s="59">
        <v>2.4315099999999998</v>
      </c>
      <c r="F2343" s="59">
        <v>4.3737300000000001</v>
      </c>
      <c r="G2343" s="56">
        <v>0</v>
      </c>
      <c r="H2343" s="56">
        <v>0</v>
      </c>
      <c r="I2343" s="58">
        <v>0.189777</v>
      </c>
      <c r="J2343" s="57">
        <v>0.268291</v>
      </c>
      <c r="K2343" s="56"/>
      <c r="L2343" s="56" t="s">
        <v>488</v>
      </c>
    </row>
    <row r="2344" spans="2:12" x14ac:dyDescent="0.2">
      <c r="B2344" s="62" t="s">
        <v>3575</v>
      </c>
      <c r="C2344" s="61" t="s">
        <v>535</v>
      </c>
      <c r="D2344" s="60">
        <v>2.22281</v>
      </c>
      <c r="E2344" s="59">
        <v>2.4614400000000001</v>
      </c>
      <c r="F2344" s="59">
        <v>3.27563</v>
      </c>
      <c r="G2344" s="56">
        <v>0</v>
      </c>
      <c r="H2344" s="56">
        <v>0</v>
      </c>
      <c r="I2344" s="58">
        <v>0.11841599999999999</v>
      </c>
      <c r="J2344" s="57">
        <v>0.17454500000000001</v>
      </c>
      <c r="K2344" s="56"/>
      <c r="L2344" s="56" t="s">
        <v>488</v>
      </c>
    </row>
    <row r="2345" spans="2:12" x14ac:dyDescent="0.2">
      <c r="B2345" s="62" t="s">
        <v>3574</v>
      </c>
      <c r="C2345" s="61" t="s">
        <v>502</v>
      </c>
      <c r="D2345" s="60">
        <v>0.40717100000000001</v>
      </c>
      <c r="E2345" s="59">
        <v>9.1198099999999993</v>
      </c>
      <c r="F2345" s="59">
        <v>24.956679999999999</v>
      </c>
      <c r="G2345" s="56">
        <v>1856.64</v>
      </c>
      <c r="H2345" s="56">
        <v>4559.8599999999997</v>
      </c>
      <c r="I2345" s="58">
        <v>0.87529900000000005</v>
      </c>
      <c r="J2345" s="57">
        <v>2.0618400000000001</v>
      </c>
      <c r="K2345" s="56"/>
      <c r="L2345" s="56" t="s">
        <v>488</v>
      </c>
    </row>
    <row r="2346" spans="2:12" x14ac:dyDescent="0.2">
      <c r="B2346" s="62" t="s">
        <v>3573</v>
      </c>
      <c r="C2346" s="61" t="s">
        <v>550</v>
      </c>
      <c r="D2346" s="60">
        <v>1.04776</v>
      </c>
      <c r="E2346" s="59">
        <v>4.8190900000000001</v>
      </c>
      <c r="F2346" s="59">
        <v>6.3067599999999997</v>
      </c>
      <c r="G2346" s="56">
        <v>2457.66</v>
      </c>
      <c r="H2346" s="56">
        <v>2345.63</v>
      </c>
      <c r="I2346" s="58">
        <v>0.64231300000000002</v>
      </c>
      <c r="J2346" s="57">
        <v>0.70036500000000002</v>
      </c>
      <c r="K2346" s="56"/>
      <c r="L2346" s="56" t="s">
        <v>488</v>
      </c>
    </row>
    <row r="2347" spans="2:12" x14ac:dyDescent="0.2">
      <c r="B2347" s="62" t="s">
        <v>3572</v>
      </c>
      <c r="C2347" s="61" t="s">
        <v>499</v>
      </c>
      <c r="D2347" s="60">
        <v>0.51468800000000003</v>
      </c>
      <c r="E2347" s="59">
        <v>8.4885000000000002</v>
      </c>
      <c r="F2347" s="59">
        <v>13.20796</v>
      </c>
      <c r="G2347" s="56">
        <v>2252.6999999999998</v>
      </c>
      <c r="H2347" s="56">
        <v>4376.8100000000004</v>
      </c>
      <c r="I2347" s="58">
        <v>0.81640199999999996</v>
      </c>
      <c r="J2347" s="57">
        <v>1.55704</v>
      </c>
      <c r="K2347" s="56"/>
      <c r="L2347" s="56" t="s">
        <v>488</v>
      </c>
    </row>
    <row r="2348" spans="2:12" x14ac:dyDescent="0.2">
      <c r="B2348" s="62" t="s">
        <v>3571</v>
      </c>
      <c r="C2348" s="61" t="s">
        <v>499</v>
      </c>
      <c r="D2348" s="60">
        <v>0.33403500000000003</v>
      </c>
      <c r="E2348" s="59">
        <v>11.682320000000001</v>
      </c>
      <c r="F2348" s="59">
        <v>17.201239999999999</v>
      </c>
      <c r="G2348" s="56">
        <v>1929.44</v>
      </c>
      <c r="H2348" s="56">
        <v>5776.14</v>
      </c>
      <c r="I2348" s="58">
        <v>0.88176699999999997</v>
      </c>
      <c r="J2348" s="57">
        <v>2.5848499999999999</v>
      </c>
      <c r="K2348" s="56"/>
      <c r="L2348" s="56" t="s">
        <v>488</v>
      </c>
    </row>
    <row r="2349" spans="2:12" x14ac:dyDescent="0.2">
      <c r="B2349" s="62" t="s">
        <v>3570</v>
      </c>
      <c r="C2349" s="61" t="s">
        <v>499</v>
      </c>
      <c r="D2349" s="60">
        <v>0.32636599999999999</v>
      </c>
      <c r="E2349" s="59">
        <v>14.09815</v>
      </c>
      <c r="F2349" s="59">
        <v>18.515630000000002</v>
      </c>
      <c r="G2349" s="56">
        <v>1721.5</v>
      </c>
      <c r="H2349" s="56">
        <v>5274.77</v>
      </c>
      <c r="I2349" s="58">
        <v>0.90623200000000004</v>
      </c>
      <c r="J2349" s="57">
        <v>2.6647799999999999</v>
      </c>
      <c r="K2349" s="56"/>
      <c r="L2349" s="56" t="s">
        <v>488</v>
      </c>
    </row>
    <row r="2350" spans="2:12" x14ac:dyDescent="0.2">
      <c r="B2350" s="62" t="s">
        <v>3569</v>
      </c>
      <c r="C2350" s="61" t="s">
        <v>708</v>
      </c>
      <c r="D2350" s="60">
        <v>1.19086</v>
      </c>
      <c r="E2350" s="59">
        <v>10.84685</v>
      </c>
      <c r="F2350" s="59">
        <v>11.600379999999999</v>
      </c>
      <c r="G2350" s="56">
        <v>1474.56</v>
      </c>
      <c r="H2350" s="56">
        <v>1238.22</v>
      </c>
      <c r="I2350" s="58">
        <v>0.71281000000000005</v>
      </c>
      <c r="J2350" s="57">
        <v>0.54288000000000003</v>
      </c>
      <c r="K2350" s="56"/>
      <c r="L2350" s="56" t="s">
        <v>488</v>
      </c>
    </row>
    <row r="2351" spans="2:12" x14ac:dyDescent="0.2">
      <c r="B2351" s="62" t="s">
        <v>3568</v>
      </c>
      <c r="C2351" s="61" t="s">
        <v>502</v>
      </c>
      <c r="D2351" s="60">
        <v>1.66561</v>
      </c>
      <c r="E2351" s="59">
        <v>2.4610500000000002</v>
      </c>
      <c r="F2351" s="59">
        <v>3.9107699999999999</v>
      </c>
      <c r="G2351" s="56">
        <v>0</v>
      </c>
      <c r="H2351" s="56">
        <v>0</v>
      </c>
      <c r="I2351" s="58">
        <v>5.37119E-2</v>
      </c>
      <c r="J2351" s="57">
        <v>0.26394800000000002</v>
      </c>
      <c r="K2351" s="56"/>
      <c r="L2351" s="56" t="s">
        <v>488</v>
      </c>
    </row>
    <row r="2352" spans="2:12" x14ac:dyDescent="0.2">
      <c r="B2352" s="62" t="s">
        <v>3567</v>
      </c>
      <c r="C2352" s="61" t="s">
        <v>502</v>
      </c>
      <c r="D2352" s="60">
        <v>1.6801900000000001</v>
      </c>
      <c r="E2352" s="59">
        <v>2.4447000000000001</v>
      </c>
      <c r="F2352" s="59">
        <v>3.6910599999999998</v>
      </c>
      <c r="G2352" s="56">
        <v>0</v>
      </c>
      <c r="H2352" s="56">
        <v>0</v>
      </c>
      <c r="I2352" s="58">
        <v>6.3026200000000004E-2</v>
      </c>
      <c r="J2352" s="57">
        <v>0.25753199999999998</v>
      </c>
      <c r="K2352" s="56"/>
      <c r="L2352" s="56" t="s">
        <v>488</v>
      </c>
    </row>
    <row r="2353" spans="2:12" x14ac:dyDescent="0.2">
      <c r="B2353" s="62" t="s">
        <v>3566</v>
      </c>
      <c r="C2353" s="61" t="s">
        <v>502</v>
      </c>
      <c r="D2353" s="60">
        <v>0.45812599999999998</v>
      </c>
      <c r="E2353" s="59">
        <v>9.2462499999999999</v>
      </c>
      <c r="F2353" s="59">
        <v>16.548200000000001</v>
      </c>
      <c r="G2353" s="56">
        <v>1974.29</v>
      </c>
      <c r="H2353" s="56">
        <v>4309.49</v>
      </c>
      <c r="I2353" s="58">
        <v>0.87662099999999998</v>
      </c>
      <c r="J2353" s="57">
        <v>1.79634</v>
      </c>
      <c r="K2353" s="56"/>
      <c r="L2353" s="56" t="s">
        <v>488</v>
      </c>
    </row>
    <row r="2354" spans="2:12" x14ac:dyDescent="0.2">
      <c r="B2354" s="62" t="s">
        <v>3565</v>
      </c>
      <c r="C2354" s="61" t="s">
        <v>502</v>
      </c>
      <c r="D2354" s="60">
        <v>1.1392899999999999</v>
      </c>
      <c r="E2354" s="59">
        <v>4.4306099999999997</v>
      </c>
      <c r="F2354" s="59">
        <v>13.364330000000001</v>
      </c>
      <c r="G2354" s="56">
        <v>956.48599999999999</v>
      </c>
      <c r="H2354" s="56">
        <v>839.548</v>
      </c>
      <c r="I2354" s="58">
        <v>0.58359099999999997</v>
      </c>
      <c r="J2354" s="57">
        <v>0.53585199999999999</v>
      </c>
      <c r="K2354" s="56"/>
      <c r="L2354" s="56" t="s">
        <v>492</v>
      </c>
    </row>
    <row r="2355" spans="2:12" x14ac:dyDescent="0.2">
      <c r="B2355" s="62" t="s">
        <v>3564</v>
      </c>
      <c r="C2355" s="61" t="s">
        <v>529</v>
      </c>
      <c r="D2355" s="60">
        <v>1.47804</v>
      </c>
      <c r="E2355" s="59">
        <v>4.86083</v>
      </c>
      <c r="F2355" s="59">
        <v>5.7572999999999999</v>
      </c>
      <c r="G2355" s="56">
        <v>1064.49</v>
      </c>
      <c r="H2355" s="56">
        <v>720.2</v>
      </c>
      <c r="I2355" s="58">
        <v>0.51419400000000004</v>
      </c>
      <c r="J2355" s="57">
        <v>0.34804600000000002</v>
      </c>
      <c r="K2355" s="56"/>
      <c r="L2355" s="56" t="s">
        <v>488</v>
      </c>
    </row>
    <row r="2356" spans="2:12" x14ac:dyDescent="0.2">
      <c r="B2356" s="62" t="s">
        <v>3563</v>
      </c>
      <c r="C2356" s="61" t="s">
        <v>495</v>
      </c>
      <c r="D2356" s="60">
        <v>0.72560400000000003</v>
      </c>
      <c r="E2356" s="59">
        <v>5.8951799999999999</v>
      </c>
      <c r="F2356" s="59">
        <v>9.5245800000000003</v>
      </c>
      <c r="G2356" s="56">
        <v>2172.9699999999998</v>
      </c>
      <c r="H2356" s="56">
        <v>2994.7</v>
      </c>
      <c r="I2356" s="58">
        <v>0.73236000000000001</v>
      </c>
      <c r="J2356" s="57">
        <v>0.95541100000000001</v>
      </c>
      <c r="K2356" s="56"/>
      <c r="L2356" s="56" t="s">
        <v>488</v>
      </c>
    </row>
    <row r="2357" spans="2:12" x14ac:dyDescent="0.2">
      <c r="B2357" s="62" t="s">
        <v>3562</v>
      </c>
      <c r="C2357" s="61" t="s">
        <v>641</v>
      </c>
      <c r="D2357" s="60">
        <v>1.04806</v>
      </c>
      <c r="E2357" s="59">
        <v>5.3116899999999996</v>
      </c>
      <c r="F2357" s="59">
        <v>7.7536699999999996</v>
      </c>
      <c r="G2357" s="56">
        <v>1381.93</v>
      </c>
      <c r="H2357" s="56">
        <v>1318.56</v>
      </c>
      <c r="I2357" s="58">
        <v>0.56072599999999995</v>
      </c>
      <c r="J2357" s="57">
        <v>0.56847199999999998</v>
      </c>
      <c r="K2357" s="56"/>
      <c r="L2357" s="56" t="s">
        <v>488</v>
      </c>
    </row>
    <row r="2358" spans="2:12" x14ac:dyDescent="0.2">
      <c r="B2358" s="62" t="s">
        <v>3561</v>
      </c>
      <c r="C2358" s="61" t="s">
        <v>612</v>
      </c>
      <c r="D2358" s="60">
        <v>1.19418</v>
      </c>
      <c r="E2358" s="59">
        <v>3.09524</v>
      </c>
      <c r="F2358" s="59">
        <v>4.0556099999999997</v>
      </c>
      <c r="G2358" s="56">
        <v>0</v>
      </c>
      <c r="H2358" s="56">
        <v>0</v>
      </c>
      <c r="I2358" s="58">
        <v>0.34987200000000002</v>
      </c>
      <c r="J2358" s="57">
        <v>0.40202300000000002</v>
      </c>
      <c r="K2358" s="56"/>
      <c r="L2358" s="56" t="s">
        <v>488</v>
      </c>
    </row>
    <row r="2359" spans="2:12" x14ac:dyDescent="0.2">
      <c r="B2359" s="62" t="s">
        <v>3560</v>
      </c>
      <c r="C2359" s="61" t="s">
        <v>579</v>
      </c>
      <c r="D2359" s="60">
        <v>1.49221</v>
      </c>
      <c r="E2359" s="59">
        <v>3.7682799999999999</v>
      </c>
      <c r="F2359" s="59">
        <v>5.2810600000000001</v>
      </c>
      <c r="G2359" s="56">
        <v>229.27099999999999</v>
      </c>
      <c r="H2359" s="56">
        <v>153.64500000000001</v>
      </c>
      <c r="I2359" s="58">
        <v>0.27326600000000001</v>
      </c>
      <c r="J2359" s="57">
        <v>0.30622899999999997</v>
      </c>
      <c r="K2359" s="56"/>
      <c r="L2359" s="56" t="s">
        <v>488</v>
      </c>
    </row>
    <row r="2360" spans="2:12" x14ac:dyDescent="0.2">
      <c r="B2360" s="62" t="s">
        <v>3559</v>
      </c>
      <c r="C2360" s="61" t="s">
        <v>550</v>
      </c>
      <c r="D2360" s="60">
        <v>0.96842099999999998</v>
      </c>
      <c r="E2360" s="59">
        <v>6.6291799999999999</v>
      </c>
      <c r="F2360" s="59">
        <v>9.0370299999999997</v>
      </c>
      <c r="G2360" s="56">
        <v>1837.23</v>
      </c>
      <c r="H2360" s="56">
        <v>1897.14</v>
      </c>
      <c r="I2360" s="58">
        <v>0.65111600000000003</v>
      </c>
      <c r="J2360" s="57">
        <v>0.69438</v>
      </c>
      <c r="K2360" s="56"/>
      <c r="L2360" s="56" t="s">
        <v>488</v>
      </c>
    </row>
    <row r="2361" spans="2:12" x14ac:dyDescent="0.2">
      <c r="B2361" s="62" t="s">
        <v>3558</v>
      </c>
      <c r="C2361" s="61" t="s">
        <v>502</v>
      </c>
      <c r="D2361" s="60">
        <v>1.3103499999999999</v>
      </c>
      <c r="E2361" s="59">
        <v>10.728009999999999</v>
      </c>
      <c r="F2361" s="59">
        <v>11.49385</v>
      </c>
      <c r="G2361" s="56">
        <v>1435.23</v>
      </c>
      <c r="H2361" s="56">
        <v>1095.31</v>
      </c>
      <c r="I2361" s="58">
        <v>0.68706599999999995</v>
      </c>
      <c r="J2361" s="57">
        <v>0.48434700000000003</v>
      </c>
      <c r="K2361" s="56"/>
      <c r="L2361" s="56" t="s">
        <v>488</v>
      </c>
    </row>
    <row r="2362" spans="2:12" x14ac:dyDescent="0.2">
      <c r="B2362" s="62" t="s">
        <v>3557</v>
      </c>
      <c r="C2362" s="61" t="s">
        <v>625</v>
      </c>
      <c r="D2362" s="60">
        <v>2.1265399999999999</v>
      </c>
      <c r="E2362" s="59">
        <v>2.5541700000000001</v>
      </c>
      <c r="F2362" s="59">
        <v>2.97648</v>
      </c>
      <c r="G2362" s="56">
        <v>0</v>
      </c>
      <c r="H2362" s="56">
        <v>0</v>
      </c>
      <c r="I2362" s="58">
        <v>4.2024800000000001E-2</v>
      </c>
      <c r="J2362" s="57">
        <v>0.146504</v>
      </c>
      <c r="K2362" s="56"/>
      <c r="L2362" s="56" t="s">
        <v>488</v>
      </c>
    </row>
    <row r="2363" spans="2:12" x14ac:dyDescent="0.2">
      <c r="B2363" s="62" t="s">
        <v>3556</v>
      </c>
      <c r="C2363" s="61" t="s">
        <v>531</v>
      </c>
      <c r="D2363" s="60">
        <v>1.69706</v>
      </c>
      <c r="E2363" s="59">
        <v>2.9304899999999998</v>
      </c>
      <c r="F2363" s="59">
        <v>5.2476700000000003</v>
      </c>
      <c r="G2363" s="56">
        <v>0</v>
      </c>
      <c r="H2363" s="56">
        <v>0</v>
      </c>
      <c r="I2363" s="58">
        <v>0.29795100000000002</v>
      </c>
      <c r="J2363" s="57">
        <v>0.27086100000000002</v>
      </c>
      <c r="K2363" s="56"/>
      <c r="L2363" s="56" t="s">
        <v>488</v>
      </c>
    </row>
    <row r="2364" spans="2:12" x14ac:dyDescent="0.2">
      <c r="B2364" s="62" t="s">
        <v>3555</v>
      </c>
      <c r="C2364" s="61" t="s">
        <v>582</v>
      </c>
      <c r="D2364" s="60">
        <v>2.15638</v>
      </c>
      <c r="E2364" s="59">
        <v>2.8563800000000001</v>
      </c>
      <c r="F2364" s="59">
        <v>3.3571</v>
      </c>
      <c r="G2364" s="56">
        <v>0</v>
      </c>
      <c r="H2364" s="56">
        <v>0</v>
      </c>
      <c r="I2364" s="58">
        <v>0.12019100000000001</v>
      </c>
      <c r="J2364" s="57">
        <v>0.20422599999999999</v>
      </c>
      <c r="K2364" s="56"/>
      <c r="L2364" s="56" t="s">
        <v>488</v>
      </c>
    </row>
    <row r="2365" spans="2:12" x14ac:dyDescent="0.2">
      <c r="B2365" s="62" t="s">
        <v>3554</v>
      </c>
      <c r="C2365" s="61" t="s">
        <v>510</v>
      </c>
      <c r="D2365" s="60">
        <v>1.7667299999999999</v>
      </c>
      <c r="E2365" s="59">
        <v>2.4568699999999999</v>
      </c>
      <c r="F2365" s="59">
        <v>4.9596600000000004</v>
      </c>
      <c r="G2365" s="56">
        <v>0</v>
      </c>
      <c r="H2365" s="56">
        <v>0</v>
      </c>
      <c r="I2365" s="58">
        <v>0.26237500000000002</v>
      </c>
      <c r="J2365" s="57">
        <v>0.22917499999999999</v>
      </c>
      <c r="K2365" s="56"/>
      <c r="L2365" s="56" t="s">
        <v>488</v>
      </c>
    </row>
    <row r="2366" spans="2:12" x14ac:dyDescent="0.2">
      <c r="B2366" s="62" t="s">
        <v>3553</v>
      </c>
      <c r="C2366" s="61" t="s">
        <v>510</v>
      </c>
      <c r="D2366" s="60">
        <v>1.7701800000000001</v>
      </c>
      <c r="E2366" s="59">
        <v>2.4188900000000002</v>
      </c>
      <c r="F2366" s="59">
        <v>4.88849</v>
      </c>
      <c r="G2366" s="56">
        <v>0</v>
      </c>
      <c r="H2366" s="56">
        <v>0</v>
      </c>
      <c r="I2366" s="58">
        <v>0.25696400000000003</v>
      </c>
      <c r="J2366" s="57">
        <v>0.228102</v>
      </c>
      <c r="K2366" s="56"/>
      <c r="L2366" s="56" t="s">
        <v>488</v>
      </c>
    </row>
    <row r="2367" spans="2:12" x14ac:dyDescent="0.2">
      <c r="B2367" s="62" t="s">
        <v>3552</v>
      </c>
      <c r="C2367" s="61" t="s">
        <v>510</v>
      </c>
      <c r="D2367" s="60">
        <v>1.7847999999999999</v>
      </c>
      <c r="E2367" s="59">
        <v>2.4763500000000001</v>
      </c>
      <c r="F2367" s="59">
        <v>4.9699</v>
      </c>
      <c r="G2367" s="56">
        <v>0</v>
      </c>
      <c r="H2367" s="56">
        <v>0</v>
      </c>
      <c r="I2367" s="58">
        <v>0.24910499999999999</v>
      </c>
      <c r="J2367" s="57">
        <v>0.22262000000000001</v>
      </c>
      <c r="K2367" s="56"/>
      <c r="L2367" s="56" t="s">
        <v>488</v>
      </c>
    </row>
    <row r="2368" spans="2:12" x14ac:dyDescent="0.2">
      <c r="B2368" s="62" t="s">
        <v>3551</v>
      </c>
      <c r="C2368" s="61" t="s">
        <v>510</v>
      </c>
      <c r="D2368" s="60">
        <v>1.7560100000000001</v>
      </c>
      <c r="E2368" s="59">
        <v>2.6413799999999998</v>
      </c>
      <c r="F2368" s="59">
        <v>4.9146900000000002</v>
      </c>
      <c r="G2368" s="56">
        <v>0</v>
      </c>
      <c r="H2368" s="56">
        <v>0</v>
      </c>
      <c r="I2368" s="58">
        <v>0.27504200000000001</v>
      </c>
      <c r="J2368" s="57">
        <v>0.23213</v>
      </c>
      <c r="K2368" s="56"/>
      <c r="L2368" s="56" t="s">
        <v>488</v>
      </c>
    </row>
    <row r="2369" spans="2:12" x14ac:dyDescent="0.2">
      <c r="B2369" s="62" t="s">
        <v>3550</v>
      </c>
      <c r="C2369" s="61" t="s">
        <v>510</v>
      </c>
      <c r="D2369" s="60">
        <v>1.77237</v>
      </c>
      <c r="E2369" s="59">
        <v>2.6613199999999999</v>
      </c>
      <c r="F2369" s="59">
        <v>5.0017500000000004</v>
      </c>
      <c r="G2369" s="56">
        <v>0</v>
      </c>
      <c r="H2369" s="56">
        <v>0</v>
      </c>
      <c r="I2369" s="58">
        <v>0.26686300000000002</v>
      </c>
      <c r="J2369" s="57">
        <v>0.22606200000000001</v>
      </c>
      <c r="K2369" s="56"/>
      <c r="L2369" s="56" t="s">
        <v>488</v>
      </c>
    </row>
    <row r="2370" spans="2:12" x14ac:dyDescent="0.2">
      <c r="B2370" s="62" t="s">
        <v>3549</v>
      </c>
      <c r="C2370" s="61" t="s">
        <v>641</v>
      </c>
      <c r="D2370" s="60">
        <v>1.4197299999999999</v>
      </c>
      <c r="E2370" s="59">
        <v>4.2934400000000004</v>
      </c>
      <c r="F2370" s="59">
        <v>5.70322</v>
      </c>
      <c r="G2370" s="56">
        <v>923.12900000000002</v>
      </c>
      <c r="H2370" s="56">
        <v>650.21600000000001</v>
      </c>
      <c r="I2370" s="58">
        <v>0.43626799999999999</v>
      </c>
      <c r="J2370" s="57">
        <v>0.35275400000000001</v>
      </c>
      <c r="K2370" s="56"/>
      <c r="L2370" s="56" t="s">
        <v>488</v>
      </c>
    </row>
    <row r="2371" spans="2:12" x14ac:dyDescent="0.2">
      <c r="B2371" s="62" t="s">
        <v>3548</v>
      </c>
      <c r="C2371" s="61" t="s">
        <v>502</v>
      </c>
      <c r="D2371" s="60">
        <v>2.12439</v>
      </c>
      <c r="E2371" s="59">
        <v>4.4624699999999997</v>
      </c>
      <c r="F2371" s="59">
        <v>5.6247699999999998</v>
      </c>
      <c r="G2371" s="56">
        <v>696.61099999999999</v>
      </c>
      <c r="H2371" s="56">
        <v>327.911</v>
      </c>
      <c r="I2371" s="58">
        <v>0.256685</v>
      </c>
      <c r="J2371" s="57">
        <v>0.222583</v>
      </c>
      <c r="K2371" s="56"/>
      <c r="L2371" s="56" t="s">
        <v>488</v>
      </c>
    </row>
    <row r="2372" spans="2:12" x14ac:dyDescent="0.2">
      <c r="B2372" s="62" t="s">
        <v>3547</v>
      </c>
      <c r="C2372" s="61" t="s">
        <v>2056</v>
      </c>
      <c r="D2372" s="60">
        <v>1.3109200000000001</v>
      </c>
      <c r="E2372" s="59">
        <v>2.8018700000000001</v>
      </c>
      <c r="F2372" s="59">
        <v>4.3985700000000003</v>
      </c>
      <c r="G2372" s="56">
        <v>0</v>
      </c>
      <c r="H2372" s="56">
        <v>0</v>
      </c>
      <c r="I2372" s="58">
        <v>0.57474400000000003</v>
      </c>
      <c r="J2372" s="57">
        <v>0.52265799999999996</v>
      </c>
      <c r="K2372" s="56"/>
      <c r="L2372" s="56" t="s">
        <v>488</v>
      </c>
    </row>
    <row r="2373" spans="2:12" x14ac:dyDescent="0.2">
      <c r="B2373" s="62" t="s">
        <v>3546</v>
      </c>
      <c r="C2373" s="61" t="s">
        <v>2056</v>
      </c>
      <c r="D2373" s="60">
        <v>1.6561600000000001</v>
      </c>
      <c r="E2373" s="59">
        <v>10.645580000000001</v>
      </c>
      <c r="F2373" s="59">
        <v>11.067679999999999</v>
      </c>
      <c r="G2373" s="56">
        <v>1438.75</v>
      </c>
      <c r="H2373" s="56">
        <v>1097.51</v>
      </c>
      <c r="I2373" s="58">
        <v>9.2880000000000004E-2</v>
      </c>
      <c r="J2373" s="57">
        <v>0.27841300000000002</v>
      </c>
      <c r="K2373" s="56"/>
      <c r="L2373" s="56" t="s">
        <v>624</v>
      </c>
    </row>
    <row r="2374" spans="2:12" x14ac:dyDescent="0.2">
      <c r="B2374" s="62" t="s">
        <v>3545</v>
      </c>
      <c r="C2374" s="61" t="s">
        <v>2056</v>
      </c>
      <c r="D2374" s="60">
        <v>1.0696600000000001</v>
      </c>
      <c r="E2374" s="59">
        <v>16.434709999999999</v>
      </c>
      <c r="F2374" s="59">
        <v>17.655249999999999</v>
      </c>
      <c r="G2374" s="56">
        <v>1362.2</v>
      </c>
      <c r="H2374" s="56">
        <v>1273.49</v>
      </c>
      <c r="I2374" s="58">
        <v>0.65043399999999996</v>
      </c>
      <c r="J2374" s="57">
        <v>0.69130499999999995</v>
      </c>
      <c r="K2374" s="56"/>
      <c r="L2374" s="56" t="s">
        <v>488</v>
      </c>
    </row>
    <row r="2375" spans="2:12" x14ac:dyDescent="0.2">
      <c r="B2375" s="62" t="s">
        <v>3544</v>
      </c>
      <c r="C2375" s="61" t="s">
        <v>2056</v>
      </c>
      <c r="D2375" s="60">
        <v>0.94038299999999997</v>
      </c>
      <c r="E2375" s="59">
        <v>17.20825</v>
      </c>
      <c r="F2375" s="59">
        <v>17.892949999999999</v>
      </c>
      <c r="G2375" s="56">
        <v>1190.01</v>
      </c>
      <c r="H2375" s="56">
        <v>1148</v>
      </c>
      <c r="I2375" s="58">
        <v>0.70835999999999999</v>
      </c>
      <c r="J2375" s="57">
        <v>0.82391400000000004</v>
      </c>
      <c r="K2375" s="56"/>
      <c r="L2375" s="56" t="s">
        <v>488</v>
      </c>
    </row>
    <row r="2376" spans="2:12" x14ac:dyDescent="0.2">
      <c r="B2376" s="62" t="s">
        <v>3543</v>
      </c>
      <c r="C2376" s="61" t="s">
        <v>2056</v>
      </c>
      <c r="D2376" s="60">
        <v>1.0366</v>
      </c>
      <c r="E2376" s="59">
        <v>17.555199999999999</v>
      </c>
      <c r="F2376" s="59">
        <v>18.319279999999999</v>
      </c>
      <c r="G2376" s="56">
        <v>1296.06</v>
      </c>
      <c r="H2376" s="56">
        <v>1378.23</v>
      </c>
      <c r="I2376" s="58">
        <v>0.606854</v>
      </c>
      <c r="J2376" s="57">
        <v>0.688855</v>
      </c>
      <c r="K2376" s="56"/>
      <c r="L2376" s="56" t="s">
        <v>624</v>
      </c>
    </row>
    <row r="2377" spans="2:12" x14ac:dyDescent="0.2">
      <c r="B2377" s="62" t="s">
        <v>3542</v>
      </c>
      <c r="C2377" s="61" t="s">
        <v>2056</v>
      </c>
      <c r="D2377" s="60">
        <v>0.814855</v>
      </c>
      <c r="E2377" s="59">
        <v>25.43891</v>
      </c>
      <c r="F2377" s="59">
        <v>25.689309999999999</v>
      </c>
      <c r="G2377" s="56">
        <v>1148.1099999999999</v>
      </c>
      <c r="H2377" s="56">
        <v>1408.97</v>
      </c>
      <c r="I2377" s="58">
        <v>0.73955199999999999</v>
      </c>
      <c r="J2377" s="57">
        <v>0.98614400000000002</v>
      </c>
      <c r="K2377" s="56"/>
      <c r="L2377" s="56" t="s">
        <v>488</v>
      </c>
    </row>
    <row r="2378" spans="2:12" x14ac:dyDescent="0.2">
      <c r="B2378" s="62" t="s">
        <v>3541</v>
      </c>
      <c r="C2378" s="61" t="s">
        <v>2056</v>
      </c>
      <c r="D2378" s="60">
        <v>0.73382000000000003</v>
      </c>
      <c r="E2378" s="59">
        <v>26.504110000000001</v>
      </c>
      <c r="F2378" s="59">
        <v>26.760429999999999</v>
      </c>
      <c r="G2378" s="56">
        <v>1088.82</v>
      </c>
      <c r="H2378" s="56">
        <v>1483.77</v>
      </c>
      <c r="I2378" s="58">
        <v>0.75622599999999995</v>
      </c>
      <c r="J2378" s="57">
        <v>1.1213500000000001</v>
      </c>
      <c r="K2378" s="56"/>
      <c r="L2378" s="56" t="s">
        <v>488</v>
      </c>
    </row>
    <row r="2379" spans="2:12" x14ac:dyDescent="0.2">
      <c r="B2379" s="62" t="s">
        <v>3540</v>
      </c>
      <c r="C2379" s="61" t="s">
        <v>499</v>
      </c>
      <c r="D2379" s="60">
        <v>1.4473100000000001</v>
      </c>
      <c r="E2379" s="59">
        <v>5.9013499999999999</v>
      </c>
      <c r="F2379" s="59">
        <v>6.8611899999999997</v>
      </c>
      <c r="G2379" s="56">
        <v>1229.51</v>
      </c>
      <c r="H2379" s="56">
        <v>849.51300000000003</v>
      </c>
      <c r="I2379" s="58">
        <v>0.54349400000000003</v>
      </c>
      <c r="J2379" s="57">
        <v>0.38289299999999998</v>
      </c>
      <c r="K2379" s="56"/>
      <c r="L2379" s="56" t="s">
        <v>488</v>
      </c>
    </row>
    <row r="2380" spans="2:12" x14ac:dyDescent="0.2">
      <c r="B2380" s="62" t="s">
        <v>3539</v>
      </c>
      <c r="C2380" s="61" t="s">
        <v>499</v>
      </c>
      <c r="D2380" s="60">
        <v>1.6712800000000001</v>
      </c>
      <c r="E2380" s="59">
        <v>4.5553699999999999</v>
      </c>
      <c r="F2380" s="59">
        <v>4.9721200000000003</v>
      </c>
      <c r="G2380" s="56">
        <v>679.79</v>
      </c>
      <c r="H2380" s="56">
        <v>406.74799999999999</v>
      </c>
      <c r="I2380" s="58">
        <v>0.38656600000000002</v>
      </c>
      <c r="J2380" s="57">
        <v>0.28660600000000003</v>
      </c>
      <c r="K2380" s="56" t="s">
        <v>3485</v>
      </c>
      <c r="L2380" s="56" t="s">
        <v>563</v>
      </c>
    </row>
    <row r="2381" spans="2:12" x14ac:dyDescent="0.2">
      <c r="B2381" s="62" t="s">
        <v>3538</v>
      </c>
      <c r="C2381" s="61" t="s">
        <v>499</v>
      </c>
      <c r="D2381" s="60">
        <v>1.82342</v>
      </c>
      <c r="E2381" s="59">
        <v>3.7928299999999999</v>
      </c>
      <c r="F2381" s="59">
        <v>4.2186399999999997</v>
      </c>
      <c r="G2381" s="56">
        <v>194.309</v>
      </c>
      <c r="H2381" s="56">
        <v>106.563</v>
      </c>
      <c r="I2381" s="58">
        <v>0.28137000000000001</v>
      </c>
      <c r="J2381" s="57">
        <v>0.240041</v>
      </c>
      <c r="K2381" s="56"/>
      <c r="L2381" s="56" t="s">
        <v>488</v>
      </c>
    </row>
    <row r="2382" spans="2:12" x14ac:dyDescent="0.2">
      <c r="B2382" s="62" t="s">
        <v>3537</v>
      </c>
      <c r="C2382" s="61" t="s">
        <v>502</v>
      </c>
      <c r="D2382" s="60">
        <v>0.77136700000000002</v>
      </c>
      <c r="E2382" s="59">
        <v>4.0578500000000002</v>
      </c>
      <c r="F2382" s="59">
        <v>12.810219999999999</v>
      </c>
      <c r="G2382" s="56">
        <v>1812.61</v>
      </c>
      <c r="H2382" s="56">
        <v>2349.87</v>
      </c>
      <c r="I2382" s="58">
        <v>0.71603300000000003</v>
      </c>
      <c r="J2382" s="57">
        <v>0.91104200000000002</v>
      </c>
      <c r="K2382" s="56"/>
      <c r="L2382" s="56" t="s">
        <v>488</v>
      </c>
    </row>
    <row r="2383" spans="2:12" x14ac:dyDescent="0.2">
      <c r="B2383" s="62" t="s">
        <v>3536</v>
      </c>
      <c r="C2383" s="61" t="s">
        <v>798</v>
      </c>
      <c r="D2383" s="60">
        <v>0.88301099999999999</v>
      </c>
      <c r="E2383" s="59">
        <v>6.8654000000000002</v>
      </c>
      <c r="F2383" s="59">
        <v>20.191970000000001</v>
      </c>
      <c r="G2383" s="56">
        <v>924.26199999999994</v>
      </c>
      <c r="H2383" s="56">
        <v>1046.72</v>
      </c>
      <c r="I2383" s="58">
        <v>0.60464700000000005</v>
      </c>
      <c r="J2383" s="57">
        <v>0.70020400000000005</v>
      </c>
      <c r="K2383" s="56"/>
      <c r="L2383" s="56" t="s">
        <v>488</v>
      </c>
    </row>
    <row r="2384" spans="2:12" x14ac:dyDescent="0.2">
      <c r="B2384" s="62" t="s">
        <v>3535</v>
      </c>
      <c r="C2384" s="61" t="s">
        <v>798</v>
      </c>
      <c r="D2384" s="60">
        <v>0.94739300000000004</v>
      </c>
      <c r="E2384" s="59">
        <v>3.88293</v>
      </c>
      <c r="F2384" s="59">
        <v>5.76478</v>
      </c>
      <c r="G2384" s="56">
        <v>927.25699999999995</v>
      </c>
      <c r="H2384" s="56">
        <v>950.95399999999995</v>
      </c>
      <c r="I2384" s="58">
        <v>0.55508599999999997</v>
      </c>
      <c r="J2384" s="57">
        <v>0.610066</v>
      </c>
      <c r="K2384" s="56"/>
      <c r="L2384" s="56" t="s">
        <v>488</v>
      </c>
    </row>
    <row r="2385" spans="2:12" x14ac:dyDescent="0.2">
      <c r="B2385" s="62" t="s">
        <v>3534</v>
      </c>
      <c r="C2385" s="61" t="s">
        <v>798</v>
      </c>
      <c r="D2385" s="60">
        <v>0.975082</v>
      </c>
      <c r="E2385" s="59">
        <v>3.9322499999999998</v>
      </c>
      <c r="F2385" s="59">
        <v>5.9130700000000003</v>
      </c>
      <c r="G2385" s="56">
        <v>1044.8499999999999</v>
      </c>
      <c r="H2385" s="56">
        <v>1102.8699999999999</v>
      </c>
      <c r="I2385" s="58">
        <v>0.53497499999999998</v>
      </c>
      <c r="J2385" s="57">
        <v>0.57872699999999999</v>
      </c>
      <c r="K2385" s="56"/>
      <c r="L2385" s="56" t="s">
        <v>488</v>
      </c>
    </row>
    <row r="2386" spans="2:12" x14ac:dyDescent="0.2">
      <c r="B2386" s="62" t="s">
        <v>3533</v>
      </c>
      <c r="C2386" s="61" t="s">
        <v>510</v>
      </c>
      <c r="D2386" s="60">
        <v>1.7513000000000001</v>
      </c>
      <c r="E2386" s="59">
        <v>3.5347599999999999</v>
      </c>
      <c r="F2386" s="59">
        <v>4.4368800000000004</v>
      </c>
      <c r="G2386" s="56">
        <v>0</v>
      </c>
      <c r="H2386" s="56">
        <v>0</v>
      </c>
      <c r="I2386" s="58">
        <v>0.29444500000000001</v>
      </c>
      <c r="J2386" s="57">
        <v>0.247751</v>
      </c>
      <c r="K2386" s="56"/>
      <c r="L2386" s="56" t="s">
        <v>488</v>
      </c>
    </row>
    <row r="2387" spans="2:12" x14ac:dyDescent="0.2">
      <c r="B2387" s="62" t="s">
        <v>3532</v>
      </c>
      <c r="C2387" s="61" t="s">
        <v>510</v>
      </c>
      <c r="D2387" s="60">
        <v>1.76176</v>
      </c>
      <c r="E2387" s="59">
        <v>2.5147400000000002</v>
      </c>
      <c r="F2387" s="59">
        <v>4.8091400000000002</v>
      </c>
      <c r="G2387" s="56">
        <v>0</v>
      </c>
      <c r="H2387" s="56">
        <v>0</v>
      </c>
      <c r="I2387" s="58">
        <v>0.24212600000000001</v>
      </c>
      <c r="J2387" s="57">
        <v>0.231764</v>
      </c>
      <c r="K2387" s="56"/>
      <c r="L2387" s="56" t="s">
        <v>488</v>
      </c>
    </row>
    <row r="2388" spans="2:12" x14ac:dyDescent="0.2">
      <c r="B2388" s="62" t="s">
        <v>3531</v>
      </c>
      <c r="C2388" s="61" t="s">
        <v>510</v>
      </c>
      <c r="D2388" s="60">
        <v>1.78485</v>
      </c>
      <c r="E2388" s="59">
        <v>2.5226500000000001</v>
      </c>
      <c r="F2388" s="59">
        <v>4.1898099999999996</v>
      </c>
      <c r="G2388" s="56">
        <v>0</v>
      </c>
      <c r="H2388" s="56">
        <v>0</v>
      </c>
      <c r="I2388" s="58">
        <v>0.24879699999999999</v>
      </c>
      <c r="J2388" s="57">
        <v>0.222466</v>
      </c>
      <c r="K2388" s="56"/>
      <c r="L2388" s="56" t="s">
        <v>488</v>
      </c>
    </row>
    <row r="2389" spans="2:12" x14ac:dyDescent="0.2">
      <c r="B2389" s="62" t="s">
        <v>3530</v>
      </c>
      <c r="C2389" s="61" t="s">
        <v>510</v>
      </c>
      <c r="D2389" s="60">
        <v>1.77956</v>
      </c>
      <c r="E2389" s="59">
        <v>2.4340999999999999</v>
      </c>
      <c r="F2389" s="59">
        <v>4.9404300000000001</v>
      </c>
      <c r="G2389" s="56">
        <v>0</v>
      </c>
      <c r="H2389" s="56">
        <v>0</v>
      </c>
      <c r="I2389" s="58">
        <v>0.25346099999999999</v>
      </c>
      <c r="J2389" s="57">
        <v>0.22597400000000001</v>
      </c>
      <c r="K2389" s="56"/>
      <c r="L2389" s="56" t="s">
        <v>488</v>
      </c>
    </row>
    <row r="2390" spans="2:12" x14ac:dyDescent="0.2">
      <c r="B2390" s="62" t="s">
        <v>3529</v>
      </c>
      <c r="C2390" s="61" t="s">
        <v>625</v>
      </c>
      <c r="D2390" s="60">
        <v>1.3929499999999999</v>
      </c>
      <c r="E2390" s="59">
        <v>3.43363</v>
      </c>
      <c r="F2390" s="59">
        <v>5.6734900000000001</v>
      </c>
      <c r="G2390" s="56">
        <v>0</v>
      </c>
      <c r="H2390" s="56">
        <v>0</v>
      </c>
      <c r="I2390" s="58">
        <v>0.35073700000000002</v>
      </c>
      <c r="J2390" s="57">
        <v>0.374863</v>
      </c>
      <c r="K2390" s="56"/>
      <c r="L2390" s="56" t="s">
        <v>488</v>
      </c>
    </row>
    <row r="2391" spans="2:12" x14ac:dyDescent="0.2">
      <c r="B2391" s="62" t="s">
        <v>3528</v>
      </c>
      <c r="C2391" s="61" t="s">
        <v>529</v>
      </c>
      <c r="D2391" s="60">
        <v>1.6493199999999999</v>
      </c>
      <c r="E2391" s="59">
        <v>4.1387</v>
      </c>
      <c r="F2391" s="59">
        <v>5.5582599999999998</v>
      </c>
      <c r="G2391" s="56">
        <v>425.25200000000001</v>
      </c>
      <c r="H2391" s="56">
        <v>257.83499999999998</v>
      </c>
      <c r="I2391" s="58">
        <v>0.28777999999999998</v>
      </c>
      <c r="J2391" s="57">
        <v>0.23153699999999999</v>
      </c>
      <c r="K2391" s="56"/>
      <c r="L2391" s="56" t="s">
        <v>488</v>
      </c>
    </row>
    <row r="2392" spans="2:12" x14ac:dyDescent="0.2">
      <c r="B2392" s="62" t="s">
        <v>3527</v>
      </c>
      <c r="C2392" s="61" t="s">
        <v>555</v>
      </c>
      <c r="D2392" s="60">
        <v>1.2625500000000001</v>
      </c>
      <c r="E2392" s="59">
        <v>2.8984000000000001</v>
      </c>
      <c r="F2392" s="59">
        <v>3.31921</v>
      </c>
      <c r="G2392" s="56">
        <v>0</v>
      </c>
      <c r="H2392" s="56">
        <v>0</v>
      </c>
      <c r="I2392" s="58">
        <v>0.17372699999999999</v>
      </c>
      <c r="J2392" s="57">
        <v>0.343283</v>
      </c>
      <c r="K2392" s="56"/>
      <c r="L2392" s="56" t="s">
        <v>488</v>
      </c>
    </row>
    <row r="2393" spans="2:12" x14ac:dyDescent="0.2">
      <c r="B2393" s="62" t="s">
        <v>3526</v>
      </c>
      <c r="C2393" s="61" t="s">
        <v>535</v>
      </c>
      <c r="D2393" s="60">
        <v>1.54375</v>
      </c>
      <c r="E2393" s="59">
        <v>4.6896300000000002</v>
      </c>
      <c r="F2393" s="59">
        <v>5.9013799999999996</v>
      </c>
      <c r="G2393" s="56">
        <v>1535.34</v>
      </c>
      <c r="H2393" s="56">
        <v>994.548</v>
      </c>
      <c r="I2393" s="58">
        <v>0.56005899999999997</v>
      </c>
      <c r="J2393" s="57">
        <v>0.38412299999999999</v>
      </c>
      <c r="K2393" s="56"/>
      <c r="L2393" s="56" t="s">
        <v>488</v>
      </c>
    </row>
    <row r="2394" spans="2:12" x14ac:dyDescent="0.2">
      <c r="B2394" s="62" t="s">
        <v>3525</v>
      </c>
      <c r="C2394" s="61" t="s">
        <v>798</v>
      </c>
      <c r="D2394" s="60">
        <v>1.39208</v>
      </c>
      <c r="E2394" s="59">
        <v>2.7588699999999999</v>
      </c>
      <c r="F2394" s="59">
        <v>3.5595599999999998</v>
      </c>
      <c r="G2394" s="56">
        <v>0</v>
      </c>
      <c r="H2394" s="56">
        <v>0</v>
      </c>
      <c r="I2394" s="58">
        <v>0.18631900000000001</v>
      </c>
      <c r="J2394" s="57">
        <v>0.313195</v>
      </c>
      <c r="K2394" s="56"/>
      <c r="L2394" s="56" t="s">
        <v>488</v>
      </c>
    </row>
    <row r="2395" spans="2:12" x14ac:dyDescent="0.2">
      <c r="B2395" s="62" t="s">
        <v>3524</v>
      </c>
      <c r="C2395" s="61" t="s">
        <v>510</v>
      </c>
      <c r="D2395" s="60">
        <v>1.15777</v>
      </c>
      <c r="E2395" s="59">
        <v>4.4922899999999997</v>
      </c>
      <c r="F2395" s="59">
        <v>6.1699700000000002</v>
      </c>
      <c r="G2395" s="56">
        <v>843.51</v>
      </c>
      <c r="H2395" s="56">
        <v>728.56500000000005</v>
      </c>
      <c r="I2395" s="58">
        <v>0.40582400000000002</v>
      </c>
      <c r="J2395" s="57">
        <v>0.422767</v>
      </c>
      <c r="K2395" s="56"/>
      <c r="L2395" s="56" t="s">
        <v>488</v>
      </c>
    </row>
    <row r="2396" spans="2:12" x14ac:dyDescent="0.2">
      <c r="B2396" s="62" t="s">
        <v>3523</v>
      </c>
      <c r="C2396" s="61" t="s">
        <v>529</v>
      </c>
      <c r="D2396" s="60">
        <v>1.64984</v>
      </c>
      <c r="E2396" s="59">
        <v>4.14994</v>
      </c>
      <c r="F2396" s="59">
        <v>5.5648799999999996</v>
      </c>
      <c r="G2396" s="56">
        <v>425.61500000000001</v>
      </c>
      <c r="H2396" s="56">
        <v>257.97300000000001</v>
      </c>
      <c r="I2396" s="58">
        <v>0.285889</v>
      </c>
      <c r="J2396" s="57">
        <v>0.23117699999999999</v>
      </c>
      <c r="K2396" s="56"/>
      <c r="L2396" s="56" t="s">
        <v>488</v>
      </c>
    </row>
    <row r="2397" spans="2:12" x14ac:dyDescent="0.2">
      <c r="B2397" s="62" t="s">
        <v>3522</v>
      </c>
      <c r="C2397" s="61" t="s">
        <v>555</v>
      </c>
      <c r="D2397" s="60">
        <v>1.5471600000000001</v>
      </c>
      <c r="E2397" s="59">
        <v>3.77339</v>
      </c>
      <c r="F2397" s="59">
        <v>5.1255199999999999</v>
      </c>
      <c r="G2397" s="56">
        <v>299.952</v>
      </c>
      <c r="H2397" s="56">
        <v>193.87200000000001</v>
      </c>
      <c r="I2397" s="58">
        <v>0.269953</v>
      </c>
      <c r="J2397" s="57">
        <v>0.224943</v>
      </c>
      <c r="K2397" s="56"/>
      <c r="L2397" s="56" t="s">
        <v>488</v>
      </c>
    </row>
    <row r="2398" spans="2:12" x14ac:dyDescent="0.2">
      <c r="B2398" s="62" t="s">
        <v>3521</v>
      </c>
      <c r="C2398" s="61" t="s">
        <v>531</v>
      </c>
      <c r="D2398" s="60">
        <v>1.8752599999999999</v>
      </c>
      <c r="E2398" s="59">
        <v>2.4057599999999999</v>
      </c>
      <c r="F2398" s="59">
        <v>6.1840400000000004</v>
      </c>
      <c r="G2398" s="56">
        <v>0</v>
      </c>
      <c r="H2398" s="56">
        <v>0</v>
      </c>
      <c r="I2398" s="58">
        <v>0.33210099999999998</v>
      </c>
      <c r="J2398" s="57">
        <v>0.27184000000000003</v>
      </c>
      <c r="K2398" s="56"/>
      <c r="L2398" s="56" t="s">
        <v>488</v>
      </c>
    </row>
    <row r="2399" spans="2:12" x14ac:dyDescent="0.2">
      <c r="B2399" s="62" t="s">
        <v>3520</v>
      </c>
      <c r="C2399" s="61" t="s">
        <v>502</v>
      </c>
      <c r="D2399" s="60">
        <v>1.28823</v>
      </c>
      <c r="E2399" s="59">
        <v>3.86694</v>
      </c>
      <c r="F2399" s="59">
        <v>4.9458299999999999</v>
      </c>
      <c r="G2399" s="56">
        <v>532.20299999999997</v>
      </c>
      <c r="H2399" s="56">
        <v>413.12799999999999</v>
      </c>
      <c r="I2399" s="58">
        <v>0.48078900000000002</v>
      </c>
      <c r="J2399" s="57">
        <v>0.45471699999999998</v>
      </c>
      <c r="K2399" s="56"/>
      <c r="L2399" s="56" t="s">
        <v>488</v>
      </c>
    </row>
    <row r="2400" spans="2:12" x14ac:dyDescent="0.2">
      <c r="B2400" s="62" t="s">
        <v>3519</v>
      </c>
      <c r="C2400" s="61" t="s">
        <v>553</v>
      </c>
      <c r="D2400" s="60">
        <v>1.07707</v>
      </c>
      <c r="E2400" s="59">
        <v>4.5551300000000001</v>
      </c>
      <c r="F2400" s="59">
        <v>4.9868800000000002</v>
      </c>
      <c r="G2400" s="56">
        <v>824.24900000000002</v>
      </c>
      <c r="H2400" s="56">
        <v>765.27200000000005</v>
      </c>
      <c r="I2400" s="58">
        <v>0.441888</v>
      </c>
      <c r="J2400" s="57">
        <v>0.49020200000000003</v>
      </c>
      <c r="K2400" s="56"/>
      <c r="L2400" s="56" t="s">
        <v>488</v>
      </c>
    </row>
    <row r="2401" spans="2:12" x14ac:dyDescent="0.2">
      <c r="B2401" s="62" t="s">
        <v>3518</v>
      </c>
      <c r="C2401" s="61" t="s">
        <v>495</v>
      </c>
      <c r="D2401" s="60">
        <v>1.0491299999999999</v>
      </c>
      <c r="E2401" s="59">
        <v>4.9763000000000002</v>
      </c>
      <c r="F2401" s="59">
        <v>5.5577699999999997</v>
      </c>
      <c r="G2401" s="56">
        <v>942.91600000000005</v>
      </c>
      <c r="H2401" s="56">
        <v>898.75900000000001</v>
      </c>
      <c r="I2401" s="58">
        <v>0.39920800000000001</v>
      </c>
      <c r="J2401" s="57">
        <v>0.50531599999999999</v>
      </c>
      <c r="K2401" s="56"/>
      <c r="L2401" s="56" t="s">
        <v>488</v>
      </c>
    </row>
    <row r="2402" spans="2:12" x14ac:dyDescent="0.2">
      <c r="B2402" s="62" t="s">
        <v>3517</v>
      </c>
      <c r="C2402" s="61" t="s">
        <v>499</v>
      </c>
      <c r="D2402" s="60">
        <v>0.50280499999999995</v>
      </c>
      <c r="E2402" s="59">
        <v>12.077249999999999</v>
      </c>
      <c r="F2402" s="59">
        <v>14.539099999999999</v>
      </c>
      <c r="G2402" s="56">
        <v>1990.22</v>
      </c>
      <c r="H2402" s="56">
        <v>3958.23</v>
      </c>
      <c r="I2402" s="58">
        <v>0.82541299999999995</v>
      </c>
      <c r="J2402" s="57">
        <v>1.60388</v>
      </c>
      <c r="K2402" s="56"/>
      <c r="L2402" s="56" t="s">
        <v>488</v>
      </c>
    </row>
    <row r="2403" spans="2:12" x14ac:dyDescent="0.2">
      <c r="B2403" s="62" t="s">
        <v>3516</v>
      </c>
      <c r="C2403" s="61" t="s">
        <v>499</v>
      </c>
      <c r="D2403" s="60">
        <v>2.0863200000000002</v>
      </c>
      <c r="E2403" s="59">
        <v>2.4764599999999999</v>
      </c>
      <c r="F2403" s="59">
        <v>3.8068200000000001</v>
      </c>
      <c r="G2403" s="56">
        <v>0</v>
      </c>
      <c r="H2403" s="56">
        <v>0</v>
      </c>
      <c r="I2403" s="58">
        <v>0.21748400000000001</v>
      </c>
      <c r="J2403" s="57">
        <v>0.249973</v>
      </c>
      <c r="K2403" s="56"/>
      <c r="L2403" s="56" t="s">
        <v>488</v>
      </c>
    </row>
    <row r="2404" spans="2:12" x14ac:dyDescent="0.2">
      <c r="B2404" s="62" t="s">
        <v>3515</v>
      </c>
      <c r="C2404" s="61" t="s">
        <v>550</v>
      </c>
      <c r="D2404" s="60">
        <v>2.4345400000000001</v>
      </c>
      <c r="E2404" s="59">
        <v>2.43628</v>
      </c>
      <c r="F2404" s="59">
        <v>2.9746999999999999</v>
      </c>
      <c r="G2404" s="56">
        <v>0</v>
      </c>
      <c r="H2404" s="56">
        <v>0</v>
      </c>
      <c r="I2404" s="58">
        <v>3.5871199999999999E-2</v>
      </c>
      <c r="J2404" s="57">
        <v>0.18129899999999999</v>
      </c>
      <c r="K2404" s="56"/>
      <c r="L2404" s="56" t="s">
        <v>488</v>
      </c>
    </row>
    <row r="2405" spans="2:12" x14ac:dyDescent="0.2">
      <c r="B2405" s="62" t="s">
        <v>3514</v>
      </c>
      <c r="C2405" s="61" t="s">
        <v>550</v>
      </c>
      <c r="D2405" s="60">
        <v>1.93607</v>
      </c>
      <c r="E2405" s="59">
        <v>2.5941999999999998</v>
      </c>
      <c r="F2405" s="59">
        <v>4.5189599999999999</v>
      </c>
      <c r="G2405" s="56">
        <v>0</v>
      </c>
      <c r="H2405" s="56">
        <v>0</v>
      </c>
      <c r="I2405" s="58">
        <v>0.22717000000000001</v>
      </c>
      <c r="J2405" s="57">
        <v>0.24797</v>
      </c>
      <c r="K2405" s="56"/>
      <c r="L2405" s="56" t="s">
        <v>488</v>
      </c>
    </row>
    <row r="2406" spans="2:12" x14ac:dyDescent="0.2">
      <c r="B2406" s="62" t="s">
        <v>3513</v>
      </c>
      <c r="C2406" s="61" t="s">
        <v>550</v>
      </c>
      <c r="D2406" s="60">
        <v>1.62266</v>
      </c>
      <c r="E2406" s="59">
        <v>3.1286</v>
      </c>
      <c r="F2406" s="59">
        <v>4.61965</v>
      </c>
      <c r="G2406" s="56">
        <v>0</v>
      </c>
      <c r="H2406" s="56">
        <v>0</v>
      </c>
      <c r="I2406" s="58">
        <v>0.172539</v>
      </c>
      <c r="J2406" s="57">
        <v>0.25392199999999998</v>
      </c>
      <c r="K2406" s="56"/>
      <c r="L2406" s="56" t="s">
        <v>488</v>
      </c>
    </row>
    <row r="2407" spans="2:12" x14ac:dyDescent="0.2">
      <c r="B2407" s="62" t="s">
        <v>3512</v>
      </c>
      <c r="C2407" s="61" t="s">
        <v>1637</v>
      </c>
      <c r="D2407" s="60">
        <v>1.81549</v>
      </c>
      <c r="E2407" s="59">
        <v>4.8381100000000004</v>
      </c>
      <c r="F2407" s="59">
        <v>6.8315200000000003</v>
      </c>
      <c r="G2407" s="56">
        <v>823.97699999999998</v>
      </c>
      <c r="H2407" s="56">
        <v>453.86</v>
      </c>
      <c r="I2407" s="58">
        <v>0.32678400000000002</v>
      </c>
      <c r="J2407" s="57">
        <v>0.289435</v>
      </c>
      <c r="K2407" s="56"/>
      <c r="L2407" s="56" t="s">
        <v>492</v>
      </c>
    </row>
    <row r="2408" spans="2:12" x14ac:dyDescent="0.2">
      <c r="B2408" s="62" t="s">
        <v>3511</v>
      </c>
      <c r="C2408" s="61" t="s">
        <v>499</v>
      </c>
      <c r="D2408" s="60">
        <v>1.5871999999999999</v>
      </c>
      <c r="E2408" s="59">
        <v>3.3783799999999999</v>
      </c>
      <c r="F2408" s="59">
        <v>4.3796600000000003</v>
      </c>
      <c r="G2408" s="56">
        <v>0</v>
      </c>
      <c r="H2408" s="56">
        <v>0</v>
      </c>
      <c r="I2408" s="58">
        <v>0.44841900000000001</v>
      </c>
      <c r="J2408" s="57">
        <v>0.32955800000000002</v>
      </c>
      <c r="K2408" s="56"/>
      <c r="L2408" s="56" t="s">
        <v>488</v>
      </c>
    </row>
    <row r="2409" spans="2:12" x14ac:dyDescent="0.2">
      <c r="B2409" s="62" t="s">
        <v>3510</v>
      </c>
      <c r="C2409" s="61" t="s">
        <v>625</v>
      </c>
      <c r="D2409" s="60">
        <v>1.1789700000000001</v>
      </c>
      <c r="E2409" s="59">
        <v>5.7752800000000004</v>
      </c>
      <c r="F2409" s="59">
        <v>7.72614</v>
      </c>
      <c r="G2409" s="56">
        <v>1052.6600000000001</v>
      </c>
      <c r="H2409" s="56">
        <v>892.86500000000001</v>
      </c>
      <c r="I2409" s="58">
        <v>0.46257999999999999</v>
      </c>
      <c r="J2409" s="57">
        <v>0.48668400000000001</v>
      </c>
      <c r="K2409" s="56"/>
      <c r="L2409" s="56" t="s">
        <v>488</v>
      </c>
    </row>
    <row r="2410" spans="2:12" x14ac:dyDescent="0.2">
      <c r="B2410" s="62" t="s">
        <v>3509</v>
      </c>
      <c r="C2410" s="61" t="s">
        <v>625</v>
      </c>
      <c r="D2410" s="60">
        <v>3.7878400000000001</v>
      </c>
      <c r="E2410" s="59">
        <v>2.8719800000000002</v>
      </c>
      <c r="F2410" s="59">
        <v>3.4453800000000001</v>
      </c>
      <c r="G2410" s="56">
        <v>0</v>
      </c>
      <c r="H2410" s="56">
        <v>0</v>
      </c>
      <c r="I2410" s="58">
        <v>0.183837</v>
      </c>
      <c r="J2410" s="57">
        <v>0.10511</v>
      </c>
      <c r="K2410" s="56"/>
      <c r="L2410" s="56" t="s">
        <v>488</v>
      </c>
    </row>
    <row r="2411" spans="2:12" x14ac:dyDescent="0.2">
      <c r="B2411" s="62" t="s">
        <v>3508</v>
      </c>
      <c r="C2411" s="61" t="s">
        <v>499</v>
      </c>
      <c r="D2411" s="60">
        <v>1.15507</v>
      </c>
      <c r="E2411" s="59">
        <v>2.51729</v>
      </c>
      <c r="F2411" s="59">
        <v>4.0422799999999999</v>
      </c>
      <c r="G2411" s="56">
        <v>0</v>
      </c>
      <c r="H2411" s="56">
        <v>0</v>
      </c>
      <c r="I2411" s="58">
        <v>0.21845400000000001</v>
      </c>
      <c r="J2411" s="57">
        <v>0.426149</v>
      </c>
      <c r="K2411" s="56"/>
      <c r="L2411" s="56" t="s">
        <v>488</v>
      </c>
    </row>
    <row r="2412" spans="2:12" x14ac:dyDescent="0.2">
      <c r="B2412" s="62" t="s">
        <v>3507</v>
      </c>
      <c r="C2412" s="61" t="s">
        <v>550</v>
      </c>
      <c r="D2412" s="60">
        <v>1.56107</v>
      </c>
      <c r="E2412" s="59">
        <v>3.08988</v>
      </c>
      <c r="F2412" s="59">
        <v>4.3967900000000002</v>
      </c>
      <c r="G2412" s="56">
        <v>0</v>
      </c>
      <c r="H2412" s="56">
        <v>0</v>
      </c>
      <c r="I2412" s="58">
        <v>0.22755</v>
      </c>
      <c r="J2412" s="57">
        <v>0.30125400000000002</v>
      </c>
      <c r="K2412" s="56"/>
      <c r="L2412" s="56" t="s">
        <v>488</v>
      </c>
    </row>
    <row r="2413" spans="2:12" x14ac:dyDescent="0.2">
      <c r="B2413" s="62" t="s">
        <v>3506</v>
      </c>
      <c r="C2413" s="61" t="s">
        <v>502</v>
      </c>
      <c r="D2413" s="60">
        <v>0.91486900000000004</v>
      </c>
      <c r="E2413" s="59">
        <v>4.2498399999999998</v>
      </c>
      <c r="F2413" s="59">
        <v>5.3250099999999998</v>
      </c>
      <c r="G2413" s="56">
        <v>1089.8900000000001</v>
      </c>
      <c r="H2413" s="56">
        <v>1191.31</v>
      </c>
      <c r="I2413" s="58">
        <v>0.48146699999999998</v>
      </c>
      <c r="J2413" s="57">
        <v>0.63447799999999999</v>
      </c>
      <c r="K2413" s="56"/>
      <c r="L2413" s="56" t="s">
        <v>492</v>
      </c>
    </row>
    <row r="2414" spans="2:12" x14ac:dyDescent="0.2">
      <c r="B2414" s="62" t="s">
        <v>3505</v>
      </c>
      <c r="C2414" s="61" t="s">
        <v>502</v>
      </c>
      <c r="D2414" s="60">
        <v>1.4549799999999999</v>
      </c>
      <c r="E2414" s="59">
        <v>3.6553800000000001</v>
      </c>
      <c r="F2414" s="59">
        <v>4.2952899999999996</v>
      </c>
      <c r="G2414" s="56">
        <v>0</v>
      </c>
      <c r="H2414" s="56">
        <v>0</v>
      </c>
      <c r="I2414" s="58">
        <v>0.31573099999999998</v>
      </c>
      <c r="J2414" s="57">
        <v>0.34567599999999998</v>
      </c>
      <c r="K2414" s="56"/>
      <c r="L2414" s="56" t="s">
        <v>492</v>
      </c>
    </row>
    <row r="2415" spans="2:12" x14ac:dyDescent="0.2">
      <c r="B2415" s="62" t="s">
        <v>3504</v>
      </c>
      <c r="C2415" s="61" t="s">
        <v>499</v>
      </c>
      <c r="D2415" s="60">
        <v>1.63001</v>
      </c>
      <c r="E2415" s="59">
        <v>3.66059</v>
      </c>
      <c r="F2415" s="59">
        <v>4.12479</v>
      </c>
      <c r="G2415" s="56">
        <v>0</v>
      </c>
      <c r="H2415" s="56">
        <v>0</v>
      </c>
      <c r="I2415" s="58">
        <v>6.1124100000000001E-2</v>
      </c>
      <c r="J2415" s="57">
        <v>0.219359</v>
      </c>
      <c r="K2415" s="56"/>
      <c r="L2415" s="56" t="s">
        <v>488</v>
      </c>
    </row>
    <row r="2416" spans="2:12" x14ac:dyDescent="0.2">
      <c r="B2416" s="62" t="s">
        <v>3503</v>
      </c>
      <c r="C2416" s="61" t="s">
        <v>2224</v>
      </c>
      <c r="D2416" s="60">
        <v>1.7520800000000001</v>
      </c>
      <c r="E2416" s="59">
        <v>2.5064199999999999</v>
      </c>
      <c r="F2416" s="59">
        <v>3.1277900000000001</v>
      </c>
      <c r="G2416" s="56">
        <v>0</v>
      </c>
      <c r="H2416" s="56">
        <v>0</v>
      </c>
      <c r="I2416" s="58">
        <v>0.132329</v>
      </c>
      <c r="J2416" s="57">
        <v>0.19760800000000001</v>
      </c>
      <c r="K2416" s="56"/>
      <c r="L2416" s="56" t="s">
        <v>488</v>
      </c>
    </row>
    <row r="2417" spans="2:12" x14ac:dyDescent="0.2">
      <c r="B2417" s="62" t="s">
        <v>3502</v>
      </c>
      <c r="C2417" s="61" t="s">
        <v>495</v>
      </c>
      <c r="D2417" s="60">
        <v>1.06263</v>
      </c>
      <c r="E2417" s="59">
        <v>3.9287999999999998</v>
      </c>
      <c r="F2417" s="59">
        <v>5.5876200000000003</v>
      </c>
      <c r="G2417" s="56">
        <v>867.71699999999998</v>
      </c>
      <c r="H2417" s="56">
        <v>808.60299999999995</v>
      </c>
      <c r="I2417" s="58">
        <v>0.53104399999999996</v>
      </c>
      <c r="J2417" s="57">
        <v>0.53262799999999999</v>
      </c>
      <c r="K2417" s="56"/>
      <c r="L2417" s="56" t="s">
        <v>488</v>
      </c>
    </row>
    <row r="2418" spans="2:12" x14ac:dyDescent="0.2">
      <c r="B2418" s="62" t="s">
        <v>3501</v>
      </c>
      <c r="C2418" s="61" t="s">
        <v>495</v>
      </c>
      <c r="D2418" s="60">
        <v>1.07311</v>
      </c>
      <c r="E2418" s="59">
        <v>3.9004300000000001</v>
      </c>
      <c r="F2418" s="59">
        <v>5.6361100000000004</v>
      </c>
      <c r="G2418" s="56">
        <v>906.27</v>
      </c>
      <c r="H2418" s="56">
        <v>852.85599999999999</v>
      </c>
      <c r="I2418" s="58">
        <v>0.52343300000000004</v>
      </c>
      <c r="J2418" s="57">
        <v>0.52246700000000001</v>
      </c>
      <c r="K2418" s="56"/>
      <c r="L2418" s="56" t="s">
        <v>488</v>
      </c>
    </row>
    <row r="2419" spans="2:12" x14ac:dyDescent="0.2">
      <c r="B2419" s="62" t="s">
        <v>3500</v>
      </c>
      <c r="C2419" s="61" t="s">
        <v>502</v>
      </c>
      <c r="D2419" s="60">
        <v>0.81867800000000002</v>
      </c>
      <c r="E2419" s="59">
        <v>3.9115099999999998</v>
      </c>
      <c r="F2419" s="59">
        <v>18.41347</v>
      </c>
      <c r="G2419" s="56">
        <v>1849.75</v>
      </c>
      <c r="H2419" s="56">
        <v>2259.44</v>
      </c>
      <c r="I2419" s="58">
        <v>0.68130199999999996</v>
      </c>
      <c r="J2419" s="57">
        <v>0.89315599999999995</v>
      </c>
      <c r="K2419" s="56"/>
      <c r="L2419" s="56" t="s">
        <v>492</v>
      </c>
    </row>
    <row r="2420" spans="2:12" x14ac:dyDescent="0.2">
      <c r="B2420" s="62" t="s">
        <v>3499</v>
      </c>
      <c r="C2420" s="61" t="s">
        <v>708</v>
      </c>
      <c r="D2420" s="60">
        <v>1.0175799999999999</v>
      </c>
      <c r="E2420" s="59">
        <v>5.9149099999999999</v>
      </c>
      <c r="F2420" s="59">
        <v>7.0103999999999997</v>
      </c>
      <c r="G2420" s="56">
        <v>1445.79</v>
      </c>
      <c r="H2420" s="56">
        <v>1420.81</v>
      </c>
      <c r="I2420" s="58">
        <v>0.581986</v>
      </c>
      <c r="J2420" s="57">
        <v>0.60166500000000001</v>
      </c>
      <c r="K2420" s="56"/>
      <c r="L2420" s="56" t="s">
        <v>488</v>
      </c>
    </row>
    <row r="2421" spans="2:12" x14ac:dyDescent="0.2">
      <c r="B2421" s="62" t="s">
        <v>3498</v>
      </c>
      <c r="C2421" s="61" t="s">
        <v>510</v>
      </c>
      <c r="D2421" s="60">
        <v>1.05247</v>
      </c>
      <c r="E2421" s="59">
        <v>4.8470000000000004</v>
      </c>
      <c r="F2421" s="59">
        <v>6.0337899999999998</v>
      </c>
      <c r="G2421" s="56">
        <v>1322.42</v>
      </c>
      <c r="H2421" s="56">
        <v>1256.5</v>
      </c>
      <c r="I2421" s="58">
        <v>0.520312</v>
      </c>
      <c r="J2421" s="57">
        <v>0.51695100000000005</v>
      </c>
      <c r="K2421" s="56"/>
      <c r="L2421" s="56" t="s">
        <v>488</v>
      </c>
    </row>
    <row r="2422" spans="2:12" x14ac:dyDescent="0.2">
      <c r="B2422" s="62" t="s">
        <v>3497</v>
      </c>
      <c r="C2422" s="61" t="s">
        <v>708</v>
      </c>
      <c r="D2422" s="60">
        <v>1.07351</v>
      </c>
      <c r="E2422" s="59">
        <v>4.7791600000000001</v>
      </c>
      <c r="F2422" s="59">
        <v>6.0477100000000004</v>
      </c>
      <c r="G2422" s="56">
        <v>1298.8900000000001</v>
      </c>
      <c r="H2422" s="56">
        <v>1209.95</v>
      </c>
      <c r="I2422" s="58">
        <v>0.52086600000000005</v>
      </c>
      <c r="J2422" s="57">
        <v>0.50529800000000002</v>
      </c>
      <c r="K2422" s="56"/>
      <c r="L2422" s="56" t="s">
        <v>488</v>
      </c>
    </row>
    <row r="2423" spans="2:12" x14ac:dyDescent="0.2">
      <c r="B2423" s="62" t="s">
        <v>3496</v>
      </c>
      <c r="C2423" s="61" t="s">
        <v>1658</v>
      </c>
      <c r="D2423" s="60">
        <v>1.5871500000000001</v>
      </c>
      <c r="E2423" s="59">
        <v>3.1250599999999999</v>
      </c>
      <c r="F2423" s="59">
        <v>4.92056</v>
      </c>
      <c r="G2423" s="56">
        <v>0</v>
      </c>
      <c r="H2423" s="56">
        <v>0</v>
      </c>
      <c r="I2423" s="58">
        <v>0.24098900000000001</v>
      </c>
      <c r="J2423" s="57">
        <v>0.28472500000000001</v>
      </c>
      <c r="K2423" s="56"/>
      <c r="L2423" s="56" t="s">
        <v>488</v>
      </c>
    </row>
    <row r="2424" spans="2:12" x14ac:dyDescent="0.2">
      <c r="B2424" s="62" t="s">
        <v>3495</v>
      </c>
      <c r="C2424" s="61" t="s">
        <v>3493</v>
      </c>
      <c r="D2424" s="60">
        <v>1.0781099999999999</v>
      </c>
      <c r="E2424" s="59">
        <v>4.6659600000000001</v>
      </c>
      <c r="F2424" s="59">
        <v>8.1128499999999999</v>
      </c>
      <c r="G2424" s="56">
        <v>1681.25</v>
      </c>
      <c r="H2424" s="56">
        <v>1559.44</v>
      </c>
      <c r="I2424" s="58">
        <v>0.59212699999999996</v>
      </c>
      <c r="J2424" s="57">
        <v>0.56719299999999995</v>
      </c>
      <c r="K2424" s="56"/>
      <c r="L2424" s="56" t="s">
        <v>488</v>
      </c>
    </row>
    <row r="2425" spans="2:12" x14ac:dyDescent="0.2">
      <c r="B2425" s="62" t="s">
        <v>3494</v>
      </c>
      <c r="C2425" s="61" t="s">
        <v>3493</v>
      </c>
      <c r="D2425" s="60">
        <v>1.0781099999999999</v>
      </c>
      <c r="E2425" s="59">
        <v>4.6384499999999997</v>
      </c>
      <c r="F2425" s="59">
        <v>8.0436499999999995</v>
      </c>
      <c r="G2425" s="56">
        <v>1676.33</v>
      </c>
      <c r="H2425" s="56">
        <v>1554.88</v>
      </c>
      <c r="I2425" s="58">
        <v>0.59248199999999995</v>
      </c>
      <c r="J2425" s="57">
        <v>0.56838</v>
      </c>
      <c r="K2425" s="56"/>
      <c r="L2425" s="56" t="s">
        <v>488</v>
      </c>
    </row>
    <row r="2426" spans="2:12" x14ac:dyDescent="0.2">
      <c r="B2426" s="62" t="s">
        <v>3492</v>
      </c>
      <c r="C2426" s="61" t="s">
        <v>548</v>
      </c>
      <c r="D2426" s="60">
        <v>1.45872</v>
      </c>
      <c r="E2426" s="59">
        <v>3.5655100000000002</v>
      </c>
      <c r="F2426" s="59">
        <v>8.3694799999999994</v>
      </c>
      <c r="G2426" s="56">
        <v>0</v>
      </c>
      <c r="H2426" s="56">
        <v>0</v>
      </c>
      <c r="I2426" s="58">
        <v>0.80489900000000003</v>
      </c>
      <c r="J2426" s="57">
        <v>0.37703399999999998</v>
      </c>
      <c r="K2426" s="56"/>
      <c r="L2426" s="56" t="s">
        <v>488</v>
      </c>
    </row>
    <row r="2427" spans="2:12" x14ac:dyDescent="0.2">
      <c r="B2427" s="62" t="s">
        <v>3491</v>
      </c>
      <c r="C2427" s="61" t="s">
        <v>1139</v>
      </c>
      <c r="D2427" s="60">
        <v>1.1603699999999999</v>
      </c>
      <c r="E2427" s="59">
        <v>5.0299399999999999</v>
      </c>
      <c r="F2427" s="59">
        <v>5.76837</v>
      </c>
      <c r="G2427" s="56">
        <v>869.40599999999995</v>
      </c>
      <c r="H2427" s="56">
        <v>749.25099999999998</v>
      </c>
      <c r="I2427" s="58">
        <v>0.40338600000000002</v>
      </c>
      <c r="J2427" s="57">
        <v>0.40166400000000002</v>
      </c>
      <c r="K2427" s="56"/>
      <c r="L2427" s="56" t="s">
        <v>488</v>
      </c>
    </row>
    <row r="2428" spans="2:12" x14ac:dyDescent="0.2">
      <c r="B2428" s="62" t="s">
        <v>3490</v>
      </c>
      <c r="C2428" s="61" t="s">
        <v>842</v>
      </c>
      <c r="D2428" s="60">
        <v>0.60988200000000004</v>
      </c>
      <c r="E2428" s="59">
        <v>8.6403999999999996</v>
      </c>
      <c r="F2428" s="59">
        <v>11.50657</v>
      </c>
      <c r="G2428" s="56">
        <v>1836.92</v>
      </c>
      <c r="H2428" s="56">
        <v>3011.92</v>
      </c>
      <c r="I2428" s="58">
        <v>0.76306499999999999</v>
      </c>
      <c r="J2428" s="57">
        <v>1.1835500000000001</v>
      </c>
      <c r="K2428" s="56"/>
      <c r="L2428" s="56" t="s">
        <v>488</v>
      </c>
    </row>
    <row r="2429" spans="2:12" x14ac:dyDescent="0.2">
      <c r="B2429" s="62" t="s">
        <v>3489</v>
      </c>
      <c r="C2429" s="61" t="s">
        <v>1658</v>
      </c>
      <c r="D2429" s="60">
        <v>1.60964</v>
      </c>
      <c r="E2429" s="59">
        <v>2.7551399999999999</v>
      </c>
      <c r="F2429" s="59">
        <v>4.8158200000000004</v>
      </c>
      <c r="G2429" s="56">
        <v>0</v>
      </c>
      <c r="H2429" s="56">
        <v>0</v>
      </c>
      <c r="I2429" s="58">
        <v>0.22870499999999999</v>
      </c>
      <c r="J2429" s="57">
        <v>0.278055</v>
      </c>
      <c r="K2429" s="56"/>
      <c r="L2429" s="56" t="s">
        <v>488</v>
      </c>
    </row>
    <row r="2430" spans="2:12" x14ac:dyDescent="0.2">
      <c r="B2430" s="62" t="s">
        <v>3488</v>
      </c>
      <c r="C2430" s="61" t="s">
        <v>3487</v>
      </c>
      <c r="D2430" s="60">
        <v>1.79928</v>
      </c>
      <c r="E2430" s="59">
        <v>2.7365400000000002</v>
      </c>
      <c r="F2430" s="59">
        <v>4.9996400000000003</v>
      </c>
      <c r="G2430" s="56">
        <v>0</v>
      </c>
      <c r="H2430" s="56">
        <v>0</v>
      </c>
      <c r="I2430" s="58">
        <v>0.396596</v>
      </c>
      <c r="J2430" s="57">
        <v>0.29223500000000002</v>
      </c>
      <c r="K2430" s="56"/>
      <c r="L2430" s="56" t="s">
        <v>488</v>
      </c>
    </row>
    <row r="2431" spans="2:12" x14ac:dyDescent="0.2">
      <c r="B2431" s="62" t="s">
        <v>3486</v>
      </c>
      <c r="C2431" s="61" t="s">
        <v>526</v>
      </c>
      <c r="D2431" s="60">
        <v>0.990421</v>
      </c>
      <c r="E2431" s="59">
        <v>14.404529999999999</v>
      </c>
      <c r="F2431" s="59">
        <v>14.69858</v>
      </c>
      <c r="G2431" s="56">
        <v>1250.6099999999999</v>
      </c>
      <c r="H2431" s="56">
        <v>1258.4100000000001</v>
      </c>
      <c r="I2431" s="58">
        <v>0.73889700000000003</v>
      </c>
      <c r="J2431" s="57">
        <v>0.70888600000000002</v>
      </c>
      <c r="K2431" s="56" t="s">
        <v>3485</v>
      </c>
      <c r="L2431" s="56" t="s">
        <v>563</v>
      </c>
    </row>
    <row r="2432" spans="2:12" x14ac:dyDescent="0.2">
      <c r="B2432" s="62" t="s">
        <v>3484</v>
      </c>
      <c r="C2432" s="61" t="s">
        <v>632</v>
      </c>
      <c r="D2432" s="60">
        <v>0.95002399999999998</v>
      </c>
      <c r="E2432" s="59">
        <v>13.92601</v>
      </c>
      <c r="F2432" s="59">
        <v>14.25816</v>
      </c>
      <c r="G2432" s="56">
        <v>1151.8800000000001</v>
      </c>
      <c r="H2432" s="56">
        <v>1212.47</v>
      </c>
      <c r="I2432" s="58">
        <v>0.71832099999999999</v>
      </c>
      <c r="J2432" s="57">
        <v>0.710225</v>
      </c>
      <c r="K2432" s="56"/>
      <c r="L2432" s="56" t="s">
        <v>488</v>
      </c>
    </row>
    <row r="2433" spans="2:12" x14ac:dyDescent="0.2">
      <c r="B2433" s="62" t="s">
        <v>3483</v>
      </c>
      <c r="C2433" s="61" t="s">
        <v>579</v>
      </c>
      <c r="D2433" s="60">
        <v>1.27817</v>
      </c>
      <c r="E2433" s="59">
        <v>2.7261899999999999</v>
      </c>
      <c r="F2433" s="59">
        <v>4.5600699999999996</v>
      </c>
      <c r="G2433" s="56">
        <v>0</v>
      </c>
      <c r="H2433" s="56">
        <v>0</v>
      </c>
      <c r="I2433" s="58">
        <v>0.22023300000000001</v>
      </c>
      <c r="J2433" s="57">
        <v>0.361709</v>
      </c>
      <c r="K2433" s="56"/>
      <c r="L2433" s="56" t="s">
        <v>488</v>
      </c>
    </row>
    <row r="2434" spans="2:12" x14ac:dyDescent="0.2">
      <c r="B2434" s="62" t="s">
        <v>3482</v>
      </c>
      <c r="C2434" s="61" t="s">
        <v>531</v>
      </c>
      <c r="D2434" s="60">
        <v>0.94429799999999997</v>
      </c>
      <c r="E2434" s="59">
        <v>5.1643100000000004</v>
      </c>
      <c r="F2434" s="59">
        <v>10.057029999999999</v>
      </c>
      <c r="G2434" s="56">
        <v>1180.28</v>
      </c>
      <c r="H2434" s="56">
        <v>1249.9000000000001</v>
      </c>
      <c r="I2434" s="58">
        <v>0.49297200000000002</v>
      </c>
      <c r="J2434" s="57">
        <v>0.63997199999999999</v>
      </c>
      <c r="K2434" s="56"/>
      <c r="L2434" s="56" t="s">
        <v>488</v>
      </c>
    </row>
    <row r="2435" spans="2:12" x14ac:dyDescent="0.2">
      <c r="B2435" s="62" t="s">
        <v>3481</v>
      </c>
      <c r="C2435" s="61" t="s">
        <v>535</v>
      </c>
      <c r="D2435" s="60">
        <v>1.30488</v>
      </c>
      <c r="E2435" s="59">
        <v>3.1402299999999999</v>
      </c>
      <c r="F2435" s="59">
        <v>4.80314</v>
      </c>
      <c r="G2435" s="56">
        <v>0</v>
      </c>
      <c r="H2435" s="56">
        <v>0</v>
      </c>
      <c r="I2435" s="58">
        <v>0.23447599999999999</v>
      </c>
      <c r="J2435" s="57">
        <v>0.35053499999999999</v>
      </c>
      <c r="K2435" s="56"/>
      <c r="L2435" s="56" t="s">
        <v>488</v>
      </c>
    </row>
    <row r="2436" spans="2:12" x14ac:dyDescent="0.2">
      <c r="B2436" s="62" t="s">
        <v>3480</v>
      </c>
      <c r="C2436" s="61" t="s">
        <v>859</v>
      </c>
      <c r="D2436" s="60">
        <v>1.3314299999999999</v>
      </c>
      <c r="E2436" s="59">
        <v>2.9803199999999999</v>
      </c>
      <c r="F2436" s="59">
        <v>4.6619799999999998</v>
      </c>
      <c r="G2436" s="56">
        <v>0</v>
      </c>
      <c r="H2436" s="56">
        <v>0</v>
      </c>
      <c r="I2436" s="58">
        <v>0.232434</v>
      </c>
      <c r="J2436" s="57">
        <v>0.34343899999999999</v>
      </c>
      <c r="K2436" s="56"/>
      <c r="L2436" s="56" t="s">
        <v>488</v>
      </c>
    </row>
    <row r="2437" spans="2:12" x14ac:dyDescent="0.2">
      <c r="B2437" s="62" t="s">
        <v>3479</v>
      </c>
      <c r="C2437" s="61" t="s">
        <v>499</v>
      </c>
      <c r="D2437" s="60">
        <v>1.2912600000000001</v>
      </c>
      <c r="E2437" s="59">
        <v>5.0141200000000001</v>
      </c>
      <c r="F2437" s="59">
        <v>5.8985900000000004</v>
      </c>
      <c r="G2437" s="56">
        <v>1058.3499999999999</v>
      </c>
      <c r="H2437" s="56">
        <v>819.62800000000004</v>
      </c>
      <c r="I2437" s="58">
        <v>0.51701600000000003</v>
      </c>
      <c r="J2437" s="57">
        <v>0.42281000000000002</v>
      </c>
      <c r="K2437" s="56" t="s">
        <v>3478</v>
      </c>
      <c r="L2437" s="56" t="s">
        <v>563</v>
      </c>
    </row>
    <row r="2438" spans="2:12" x14ac:dyDescent="0.2">
      <c r="B2438" s="62" t="s">
        <v>3477</v>
      </c>
      <c r="C2438" s="61" t="s">
        <v>499</v>
      </c>
      <c r="D2438" s="60">
        <v>0.89552500000000002</v>
      </c>
      <c r="E2438" s="59">
        <v>7.5100899999999999</v>
      </c>
      <c r="F2438" s="59">
        <v>8.7885299999999997</v>
      </c>
      <c r="G2438" s="56">
        <v>2076.92</v>
      </c>
      <c r="H2438" s="56">
        <v>2319.2199999999998</v>
      </c>
      <c r="I2438" s="58">
        <v>0.71909500000000004</v>
      </c>
      <c r="J2438" s="57">
        <v>0.80879999999999996</v>
      </c>
      <c r="K2438" s="56"/>
      <c r="L2438" s="56" t="s">
        <v>488</v>
      </c>
    </row>
    <row r="2439" spans="2:12" x14ac:dyDescent="0.2">
      <c r="B2439" s="62" t="s">
        <v>3476</v>
      </c>
      <c r="C2439" s="61" t="s">
        <v>541</v>
      </c>
      <c r="D2439" s="60">
        <v>0.99261699999999997</v>
      </c>
      <c r="E2439" s="59">
        <v>12.3614</v>
      </c>
      <c r="F2439" s="59">
        <v>13.15917</v>
      </c>
      <c r="G2439" s="56">
        <v>1117.3</v>
      </c>
      <c r="H2439" s="56">
        <v>1125.6099999999999</v>
      </c>
      <c r="I2439" s="58">
        <v>0.518127</v>
      </c>
      <c r="J2439" s="57">
        <v>0.621332</v>
      </c>
      <c r="K2439" s="56"/>
      <c r="L2439" s="56" t="s">
        <v>488</v>
      </c>
    </row>
    <row r="2440" spans="2:12" x14ac:dyDescent="0.2">
      <c r="B2440" s="62" t="s">
        <v>3475</v>
      </c>
      <c r="C2440" s="61" t="s">
        <v>531</v>
      </c>
      <c r="D2440" s="60">
        <v>0.85603399999999996</v>
      </c>
      <c r="E2440" s="59">
        <v>6.0582399999999996</v>
      </c>
      <c r="F2440" s="59">
        <v>8.5340799999999994</v>
      </c>
      <c r="G2440" s="56">
        <v>2138.6</v>
      </c>
      <c r="H2440" s="56">
        <v>2498.27</v>
      </c>
      <c r="I2440" s="58">
        <v>0.74456599999999995</v>
      </c>
      <c r="J2440" s="57">
        <v>0.82925700000000002</v>
      </c>
      <c r="K2440" s="56"/>
      <c r="L2440" s="56" t="s">
        <v>488</v>
      </c>
    </row>
    <row r="2441" spans="2:12" x14ac:dyDescent="0.2">
      <c r="B2441" s="62" t="s">
        <v>3474</v>
      </c>
      <c r="C2441" s="61" t="s">
        <v>535</v>
      </c>
      <c r="D2441" s="60">
        <v>0.86670700000000001</v>
      </c>
      <c r="E2441" s="59">
        <v>6.0453400000000004</v>
      </c>
      <c r="F2441" s="59">
        <v>8.5148100000000007</v>
      </c>
      <c r="G2441" s="56">
        <v>2134.98</v>
      </c>
      <c r="H2441" s="56">
        <v>2463.33</v>
      </c>
      <c r="I2441" s="58">
        <v>0.74450400000000005</v>
      </c>
      <c r="J2441" s="57">
        <v>0.81951600000000002</v>
      </c>
      <c r="K2441" s="56"/>
      <c r="L2441" s="56" t="s">
        <v>488</v>
      </c>
    </row>
    <row r="2442" spans="2:12" x14ac:dyDescent="0.2">
      <c r="B2442" s="62" t="s">
        <v>3473</v>
      </c>
      <c r="C2442" s="61" t="s">
        <v>507</v>
      </c>
      <c r="D2442" s="60">
        <v>0.82254300000000002</v>
      </c>
      <c r="E2442" s="59">
        <v>6.17272</v>
      </c>
      <c r="F2442" s="59">
        <v>8.5246099999999991</v>
      </c>
      <c r="G2442" s="56">
        <v>2126.5100000000002</v>
      </c>
      <c r="H2442" s="56">
        <v>2585.2800000000002</v>
      </c>
      <c r="I2442" s="58">
        <v>0.74498900000000001</v>
      </c>
      <c r="J2442" s="57">
        <v>0.86592800000000003</v>
      </c>
      <c r="K2442" s="56"/>
      <c r="L2442" s="56" t="s">
        <v>488</v>
      </c>
    </row>
    <row r="2443" spans="2:12" x14ac:dyDescent="0.2">
      <c r="B2443" s="62" t="s">
        <v>3472</v>
      </c>
      <c r="C2443" s="61" t="s">
        <v>499</v>
      </c>
      <c r="D2443" s="60">
        <v>1.5951</v>
      </c>
      <c r="E2443" s="59">
        <v>4.0986599999999997</v>
      </c>
      <c r="F2443" s="59">
        <v>6.92788</v>
      </c>
      <c r="G2443" s="56">
        <v>984.81799999999998</v>
      </c>
      <c r="H2443" s="56">
        <v>617.40099999999995</v>
      </c>
      <c r="I2443" s="58">
        <v>0.410161</v>
      </c>
      <c r="J2443" s="57">
        <v>0.35305399999999998</v>
      </c>
      <c r="K2443" s="56"/>
      <c r="L2443" s="56" t="s">
        <v>488</v>
      </c>
    </row>
    <row r="2444" spans="2:12" x14ac:dyDescent="0.2">
      <c r="B2444" s="62" t="s">
        <v>3471</v>
      </c>
      <c r="C2444" s="61" t="s">
        <v>495</v>
      </c>
      <c r="D2444" s="60">
        <v>1.03145</v>
      </c>
      <c r="E2444" s="59">
        <v>5.87256</v>
      </c>
      <c r="F2444" s="59">
        <v>7.6928799999999997</v>
      </c>
      <c r="G2444" s="56">
        <v>1301.06</v>
      </c>
      <c r="H2444" s="56">
        <v>1267.6099999999999</v>
      </c>
      <c r="I2444" s="58">
        <v>0.58834200000000003</v>
      </c>
      <c r="J2444" s="57">
        <v>0.547481</v>
      </c>
      <c r="K2444" s="56"/>
      <c r="L2444" s="56" t="s">
        <v>488</v>
      </c>
    </row>
    <row r="2445" spans="2:12" x14ac:dyDescent="0.2">
      <c r="B2445" s="62" t="s">
        <v>3470</v>
      </c>
      <c r="C2445" s="61" t="s">
        <v>495</v>
      </c>
      <c r="D2445" s="60">
        <v>1.0263899999999999</v>
      </c>
      <c r="E2445" s="59">
        <v>5.8554199999999996</v>
      </c>
      <c r="F2445" s="59">
        <v>7.6659100000000002</v>
      </c>
      <c r="G2445" s="56">
        <v>1287.3800000000001</v>
      </c>
      <c r="H2445" s="56">
        <v>1250.3399999999999</v>
      </c>
      <c r="I2445" s="58">
        <v>0.589611</v>
      </c>
      <c r="J2445" s="57">
        <v>0.55180600000000002</v>
      </c>
      <c r="K2445" s="56"/>
      <c r="L2445" s="56" t="s">
        <v>488</v>
      </c>
    </row>
    <row r="2446" spans="2:12" x14ac:dyDescent="0.2">
      <c r="B2446" s="62" t="s">
        <v>3469</v>
      </c>
      <c r="C2446" s="61" t="s">
        <v>495</v>
      </c>
      <c r="D2446" s="60">
        <v>1.02962</v>
      </c>
      <c r="E2446" s="59">
        <v>5.8406599999999997</v>
      </c>
      <c r="F2446" s="59">
        <v>7.6805500000000002</v>
      </c>
      <c r="G2446" s="56">
        <v>1299.81</v>
      </c>
      <c r="H2446" s="56">
        <v>1266.8900000000001</v>
      </c>
      <c r="I2446" s="58">
        <v>0.59126199999999995</v>
      </c>
      <c r="J2446" s="57">
        <v>0.55017300000000002</v>
      </c>
      <c r="K2446" s="56"/>
      <c r="L2446" s="56" t="s">
        <v>488</v>
      </c>
    </row>
    <row r="2447" spans="2:12" x14ac:dyDescent="0.2">
      <c r="B2447" s="62" t="s">
        <v>3468</v>
      </c>
      <c r="C2447" s="61" t="s">
        <v>495</v>
      </c>
      <c r="D2447" s="60">
        <v>1.02599</v>
      </c>
      <c r="E2447" s="59">
        <v>5.8779599999999999</v>
      </c>
      <c r="F2447" s="59">
        <v>7.6755000000000004</v>
      </c>
      <c r="G2447" s="56">
        <v>1304.28</v>
      </c>
      <c r="H2447" s="56">
        <v>1270.5</v>
      </c>
      <c r="I2447" s="58">
        <v>0.59171799999999997</v>
      </c>
      <c r="J2447" s="57">
        <v>0.55290399999999995</v>
      </c>
      <c r="K2447" s="56"/>
      <c r="L2447" s="56" t="s">
        <v>488</v>
      </c>
    </row>
    <row r="2448" spans="2:12" x14ac:dyDescent="0.2">
      <c r="B2448" s="62" t="s">
        <v>3467</v>
      </c>
      <c r="C2448" s="61" t="s">
        <v>495</v>
      </c>
      <c r="D2448" s="60">
        <v>1.0265899999999999</v>
      </c>
      <c r="E2448" s="59">
        <v>5.8068600000000004</v>
      </c>
      <c r="F2448" s="59">
        <v>7.6194600000000001</v>
      </c>
      <c r="G2448" s="56">
        <v>1305.6500000000001</v>
      </c>
      <c r="H2448" s="56">
        <v>1266.3800000000001</v>
      </c>
      <c r="I2448" s="58">
        <v>0.59136599999999995</v>
      </c>
      <c r="J2448" s="57">
        <v>0.55268499999999998</v>
      </c>
      <c r="K2448" s="56"/>
      <c r="L2448" s="56" t="s">
        <v>488</v>
      </c>
    </row>
    <row r="2449" spans="2:12" x14ac:dyDescent="0.2">
      <c r="B2449" s="62" t="s">
        <v>3466</v>
      </c>
      <c r="C2449" s="61" t="s">
        <v>495</v>
      </c>
      <c r="D2449" s="60">
        <v>1.03101</v>
      </c>
      <c r="E2449" s="59">
        <v>5.6534000000000004</v>
      </c>
      <c r="F2449" s="59">
        <v>7.5241199999999999</v>
      </c>
      <c r="G2449" s="56">
        <v>1294.45</v>
      </c>
      <c r="H2449" s="56">
        <v>1254.98</v>
      </c>
      <c r="I2449" s="58">
        <v>0.58874599999999999</v>
      </c>
      <c r="J2449" s="57">
        <v>0.54859599999999997</v>
      </c>
      <c r="K2449" s="56"/>
      <c r="L2449" s="56" t="s">
        <v>488</v>
      </c>
    </row>
    <row r="2450" spans="2:12" x14ac:dyDescent="0.2">
      <c r="B2450" s="62" t="s">
        <v>3465</v>
      </c>
      <c r="C2450" s="61" t="s">
        <v>495</v>
      </c>
      <c r="D2450" s="60">
        <v>1.1724699999999999</v>
      </c>
      <c r="E2450" s="59">
        <v>3.9754399999999999</v>
      </c>
      <c r="F2450" s="59">
        <v>4.7659399999999996</v>
      </c>
      <c r="G2450" s="56">
        <v>1148.0999999999999</v>
      </c>
      <c r="H2450" s="56">
        <v>979.21400000000006</v>
      </c>
      <c r="I2450" s="58">
        <v>0.52297700000000003</v>
      </c>
      <c r="J2450" s="57">
        <v>0.43023899999999998</v>
      </c>
      <c r="K2450" s="56"/>
      <c r="L2450" s="56" t="s">
        <v>488</v>
      </c>
    </row>
    <row r="2451" spans="2:12" x14ac:dyDescent="0.2">
      <c r="B2451" s="62" t="s">
        <v>3464</v>
      </c>
      <c r="C2451" s="61" t="s">
        <v>2665</v>
      </c>
      <c r="D2451" s="60">
        <v>1.2965199999999999</v>
      </c>
      <c r="E2451" s="59">
        <v>4.02318</v>
      </c>
      <c r="F2451" s="59">
        <v>4.3398500000000002</v>
      </c>
      <c r="G2451" s="56">
        <v>619.06399999999996</v>
      </c>
      <c r="H2451" s="56">
        <v>477.483</v>
      </c>
      <c r="I2451" s="58">
        <v>0.37087300000000001</v>
      </c>
      <c r="J2451" s="57">
        <v>0.40551300000000001</v>
      </c>
      <c r="K2451" s="56"/>
      <c r="L2451" s="56" t="s">
        <v>488</v>
      </c>
    </row>
    <row r="2452" spans="2:12" x14ac:dyDescent="0.2">
      <c r="B2452" s="62" t="s">
        <v>3463</v>
      </c>
      <c r="C2452" s="61" t="s">
        <v>502</v>
      </c>
      <c r="D2452" s="60">
        <v>0.46606799999999998</v>
      </c>
      <c r="E2452" s="59">
        <v>9.8161199999999997</v>
      </c>
      <c r="F2452" s="59">
        <v>20.058119999999999</v>
      </c>
      <c r="G2452" s="56">
        <v>1889.48</v>
      </c>
      <c r="H2452" s="56">
        <v>4054.08</v>
      </c>
      <c r="I2452" s="58">
        <v>0.88581900000000002</v>
      </c>
      <c r="J2452" s="57">
        <v>1.76769</v>
      </c>
      <c r="K2452" s="56"/>
      <c r="L2452" s="56" t="s">
        <v>488</v>
      </c>
    </row>
    <row r="2453" spans="2:12" x14ac:dyDescent="0.2">
      <c r="B2453" s="62" t="s">
        <v>3462</v>
      </c>
      <c r="C2453" s="61" t="s">
        <v>495</v>
      </c>
      <c r="D2453" s="60">
        <v>1.33832</v>
      </c>
      <c r="E2453" s="59">
        <v>3.6681499999999998</v>
      </c>
      <c r="F2453" s="59">
        <v>4.0400200000000002</v>
      </c>
      <c r="G2453" s="56">
        <v>0</v>
      </c>
      <c r="H2453" s="56">
        <v>0</v>
      </c>
      <c r="I2453" s="58">
        <v>0.200322</v>
      </c>
      <c r="J2453" s="57">
        <v>0.31498100000000001</v>
      </c>
      <c r="K2453" s="56"/>
      <c r="L2453" s="56" t="s">
        <v>488</v>
      </c>
    </row>
    <row r="2454" spans="2:12" x14ac:dyDescent="0.2">
      <c r="B2454" s="62" t="s">
        <v>3461</v>
      </c>
      <c r="C2454" s="61" t="s">
        <v>510</v>
      </c>
      <c r="D2454" s="60">
        <v>1.3889499999999999</v>
      </c>
      <c r="E2454" s="59">
        <v>4.10534</v>
      </c>
      <c r="F2454" s="59">
        <v>5.1635400000000002</v>
      </c>
      <c r="G2454" s="56">
        <v>283.73</v>
      </c>
      <c r="H2454" s="56">
        <v>204.27699999999999</v>
      </c>
      <c r="I2454" s="58">
        <v>0.182728</v>
      </c>
      <c r="J2454" s="57">
        <v>0.29467199999999999</v>
      </c>
      <c r="K2454" s="56"/>
      <c r="L2454" s="56" t="s">
        <v>488</v>
      </c>
    </row>
    <row r="2455" spans="2:12" x14ac:dyDescent="0.2">
      <c r="B2455" s="62" t="s">
        <v>3460</v>
      </c>
      <c r="C2455" s="61" t="s">
        <v>502</v>
      </c>
      <c r="D2455" s="60">
        <v>1.3662300000000001</v>
      </c>
      <c r="E2455" s="59">
        <v>3.21394</v>
      </c>
      <c r="F2455" s="59">
        <v>3.9943200000000001</v>
      </c>
      <c r="G2455" s="56">
        <v>0</v>
      </c>
      <c r="H2455" s="56">
        <v>0</v>
      </c>
      <c r="I2455" s="58">
        <v>0.10592</v>
      </c>
      <c r="J2455" s="57">
        <v>0.30182900000000001</v>
      </c>
      <c r="K2455" s="56"/>
      <c r="L2455" s="56" t="s">
        <v>730</v>
      </c>
    </row>
    <row r="2456" spans="2:12" x14ac:dyDescent="0.2">
      <c r="B2456" s="62" t="s">
        <v>3459</v>
      </c>
      <c r="C2456" s="61" t="s">
        <v>708</v>
      </c>
      <c r="D2456" s="60">
        <v>1.2570300000000001</v>
      </c>
      <c r="E2456" s="59">
        <v>3.2592599999999998</v>
      </c>
      <c r="F2456" s="59">
        <v>4.0809600000000001</v>
      </c>
      <c r="G2456" s="56">
        <v>0</v>
      </c>
      <c r="H2456" s="56">
        <v>0</v>
      </c>
      <c r="I2456" s="58">
        <v>0.40718700000000002</v>
      </c>
      <c r="J2456" s="57">
        <v>0.43040200000000001</v>
      </c>
      <c r="K2456" s="56"/>
      <c r="L2456" s="56" t="s">
        <v>488</v>
      </c>
    </row>
    <row r="2457" spans="2:12" x14ac:dyDescent="0.2">
      <c r="B2457" s="62" t="s">
        <v>3458</v>
      </c>
      <c r="C2457" s="61" t="s">
        <v>510</v>
      </c>
      <c r="D2457" s="60">
        <v>1.2317100000000001</v>
      </c>
      <c r="E2457" s="59">
        <v>3.36252</v>
      </c>
      <c r="F2457" s="59">
        <v>4.2455800000000004</v>
      </c>
      <c r="G2457" s="56">
        <v>0</v>
      </c>
      <c r="H2457" s="56">
        <v>0</v>
      </c>
      <c r="I2457" s="58">
        <v>0.43307499999999999</v>
      </c>
      <c r="J2457" s="57">
        <v>0.429344</v>
      </c>
      <c r="K2457" s="56"/>
      <c r="L2457" s="56" t="s">
        <v>488</v>
      </c>
    </row>
    <row r="2458" spans="2:12" x14ac:dyDescent="0.2">
      <c r="B2458" s="62" t="s">
        <v>3457</v>
      </c>
      <c r="C2458" s="61" t="s">
        <v>2455</v>
      </c>
      <c r="D2458" s="60">
        <v>1.4149499999999999</v>
      </c>
      <c r="E2458" s="59">
        <v>3.2818000000000001</v>
      </c>
      <c r="F2458" s="59">
        <v>3.6452300000000002</v>
      </c>
      <c r="G2458" s="56">
        <v>0</v>
      </c>
      <c r="H2458" s="56">
        <v>0</v>
      </c>
      <c r="I2458" s="58">
        <v>0.305315</v>
      </c>
      <c r="J2458" s="57">
        <v>0.27518100000000001</v>
      </c>
      <c r="K2458" s="56"/>
      <c r="L2458" s="56" t="s">
        <v>488</v>
      </c>
    </row>
    <row r="2459" spans="2:12" x14ac:dyDescent="0.2">
      <c r="B2459" s="62" t="s">
        <v>3456</v>
      </c>
      <c r="C2459" s="61" t="s">
        <v>2455</v>
      </c>
      <c r="D2459" s="60">
        <v>1.37462</v>
      </c>
      <c r="E2459" s="59">
        <v>3.4274800000000001</v>
      </c>
      <c r="F2459" s="59">
        <v>4.1515199999999997</v>
      </c>
      <c r="G2459" s="56">
        <v>0</v>
      </c>
      <c r="H2459" s="56">
        <v>0</v>
      </c>
      <c r="I2459" s="58">
        <v>0.34359400000000001</v>
      </c>
      <c r="J2459" s="57">
        <v>0.29453699999999999</v>
      </c>
      <c r="K2459" s="56"/>
      <c r="L2459" s="56" t="s">
        <v>488</v>
      </c>
    </row>
    <row r="2460" spans="2:12" x14ac:dyDescent="0.2">
      <c r="B2460" s="62" t="s">
        <v>3455</v>
      </c>
      <c r="C2460" s="61" t="s">
        <v>2455</v>
      </c>
      <c r="D2460" s="60">
        <v>1.4134199999999999</v>
      </c>
      <c r="E2460" s="59">
        <v>2.9529299999999998</v>
      </c>
      <c r="F2460" s="59">
        <v>3.9755199999999999</v>
      </c>
      <c r="G2460" s="56">
        <v>0</v>
      </c>
      <c r="H2460" s="56">
        <v>0</v>
      </c>
      <c r="I2460" s="58">
        <v>0.27328999999999998</v>
      </c>
      <c r="J2460" s="57">
        <v>0.274864</v>
      </c>
      <c r="K2460" s="56"/>
      <c r="L2460" s="56" t="s">
        <v>488</v>
      </c>
    </row>
    <row r="2461" spans="2:12" x14ac:dyDescent="0.2">
      <c r="B2461" s="62" t="s">
        <v>3454</v>
      </c>
      <c r="C2461" s="61" t="s">
        <v>550</v>
      </c>
      <c r="D2461" s="60">
        <v>1.2929600000000001</v>
      </c>
      <c r="E2461" s="59">
        <v>4.8890000000000002</v>
      </c>
      <c r="F2461" s="59">
        <v>7.8207300000000002</v>
      </c>
      <c r="G2461" s="56">
        <v>1134.0999999999999</v>
      </c>
      <c r="H2461" s="56">
        <v>877.13400000000001</v>
      </c>
      <c r="I2461" s="58">
        <v>0.41211100000000001</v>
      </c>
      <c r="J2461" s="57">
        <v>0.42436800000000002</v>
      </c>
      <c r="K2461" s="56"/>
      <c r="L2461" s="56" t="s">
        <v>488</v>
      </c>
    </row>
    <row r="2462" spans="2:12" x14ac:dyDescent="0.2">
      <c r="B2462" s="62" t="s">
        <v>3453</v>
      </c>
      <c r="C2462" s="61" t="s">
        <v>550</v>
      </c>
      <c r="D2462" s="60">
        <v>1.29447</v>
      </c>
      <c r="E2462" s="59">
        <v>4.9327399999999999</v>
      </c>
      <c r="F2462" s="59">
        <v>7.9071800000000003</v>
      </c>
      <c r="G2462" s="56">
        <v>1151.3800000000001</v>
      </c>
      <c r="H2462" s="56">
        <v>889.46199999999999</v>
      </c>
      <c r="I2462" s="58">
        <v>0.41225600000000001</v>
      </c>
      <c r="J2462" s="57">
        <v>0.422541</v>
      </c>
      <c r="K2462" s="56"/>
      <c r="L2462" s="56" t="s">
        <v>488</v>
      </c>
    </row>
    <row r="2463" spans="2:12" x14ac:dyDescent="0.2">
      <c r="B2463" s="62" t="s">
        <v>3452</v>
      </c>
      <c r="C2463" s="61" t="s">
        <v>3451</v>
      </c>
      <c r="D2463" s="60">
        <v>1.8692200000000001</v>
      </c>
      <c r="E2463" s="59">
        <v>4.7647700000000004</v>
      </c>
      <c r="F2463" s="59">
        <v>5.98461</v>
      </c>
      <c r="G2463" s="56">
        <v>2069.67</v>
      </c>
      <c r="H2463" s="56">
        <v>1107.24</v>
      </c>
      <c r="I2463" s="58">
        <v>0.606626</v>
      </c>
      <c r="J2463" s="57">
        <v>0.36747000000000002</v>
      </c>
      <c r="K2463" s="56"/>
      <c r="L2463" s="56" t="s">
        <v>488</v>
      </c>
    </row>
    <row r="2464" spans="2:12" x14ac:dyDescent="0.2">
      <c r="B2464" s="62" t="s">
        <v>3450</v>
      </c>
      <c r="C2464" s="61" t="s">
        <v>3449</v>
      </c>
      <c r="D2464" s="60">
        <v>1.9132800000000001</v>
      </c>
      <c r="E2464" s="59">
        <v>4.6497999999999999</v>
      </c>
      <c r="F2464" s="59">
        <v>5.9216800000000003</v>
      </c>
      <c r="G2464" s="56">
        <v>1994.88</v>
      </c>
      <c r="H2464" s="56">
        <v>1042.6500000000001</v>
      </c>
      <c r="I2464" s="58">
        <v>0.59918000000000005</v>
      </c>
      <c r="J2464" s="57">
        <v>0.35620000000000002</v>
      </c>
      <c r="K2464" s="56"/>
      <c r="L2464" s="56" t="s">
        <v>488</v>
      </c>
    </row>
    <row r="2465" spans="2:12" x14ac:dyDescent="0.2">
      <c r="B2465" s="62" t="s">
        <v>3448</v>
      </c>
      <c r="C2465" s="61" t="s">
        <v>1463</v>
      </c>
      <c r="D2465" s="60">
        <v>1.97905</v>
      </c>
      <c r="E2465" s="59">
        <v>4.5601599999999998</v>
      </c>
      <c r="F2465" s="59">
        <v>5.8318199999999996</v>
      </c>
      <c r="G2465" s="56">
        <v>1888.78</v>
      </c>
      <c r="H2465" s="56">
        <v>954.38699999999994</v>
      </c>
      <c r="I2465" s="58">
        <v>0.58921699999999999</v>
      </c>
      <c r="J2465" s="57">
        <v>0.34051900000000002</v>
      </c>
      <c r="K2465" s="56"/>
      <c r="L2465" s="56" t="s">
        <v>488</v>
      </c>
    </row>
    <row r="2466" spans="2:12" x14ac:dyDescent="0.2">
      <c r="B2466" s="62" t="s">
        <v>3447</v>
      </c>
      <c r="C2466" s="61" t="s">
        <v>3446</v>
      </c>
      <c r="D2466" s="60">
        <v>1.8667400000000001</v>
      </c>
      <c r="E2466" s="59">
        <v>6.6241399999999997</v>
      </c>
      <c r="F2466" s="59">
        <v>8.3652700000000006</v>
      </c>
      <c r="G2466" s="56">
        <v>2251</v>
      </c>
      <c r="H2466" s="56">
        <v>1205.8399999999999</v>
      </c>
      <c r="I2466" s="58">
        <v>0.64709700000000003</v>
      </c>
      <c r="J2466" s="57">
        <v>0.38792199999999999</v>
      </c>
      <c r="K2466" s="56"/>
      <c r="L2466" s="56" t="s">
        <v>488</v>
      </c>
    </row>
    <row r="2467" spans="2:12" x14ac:dyDescent="0.2">
      <c r="B2467" s="62" t="s">
        <v>3445</v>
      </c>
      <c r="C2467" s="61" t="s">
        <v>612</v>
      </c>
      <c r="D2467" s="60">
        <v>2.0773199999999998</v>
      </c>
      <c r="E2467" s="59">
        <v>2.5689700000000002</v>
      </c>
      <c r="F2467" s="59">
        <v>5.1292200000000001</v>
      </c>
      <c r="G2467" s="56">
        <v>0</v>
      </c>
      <c r="H2467" s="56">
        <v>0</v>
      </c>
      <c r="I2467" s="58">
        <v>0.34426200000000001</v>
      </c>
      <c r="J2467" s="57">
        <v>0.21996499999999999</v>
      </c>
      <c r="K2467" s="56"/>
      <c r="L2467" s="56" t="s">
        <v>488</v>
      </c>
    </row>
    <row r="2468" spans="2:12" x14ac:dyDescent="0.2">
      <c r="B2468" s="62" t="s">
        <v>3444</v>
      </c>
      <c r="C2468" s="61" t="s">
        <v>499</v>
      </c>
      <c r="D2468" s="60">
        <v>1.42961</v>
      </c>
      <c r="E2468" s="59">
        <v>3.8115399999999999</v>
      </c>
      <c r="F2468" s="59">
        <v>4.91554</v>
      </c>
      <c r="G2468" s="56">
        <v>358.94299999999998</v>
      </c>
      <c r="H2468" s="56">
        <v>251.07599999999999</v>
      </c>
      <c r="I2468" s="58">
        <v>0.30586099999999999</v>
      </c>
      <c r="J2468" s="57">
        <v>0.326845</v>
      </c>
      <c r="K2468" s="56"/>
      <c r="L2468" s="56" t="s">
        <v>488</v>
      </c>
    </row>
    <row r="2469" spans="2:12" x14ac:dyDescent="0.2">
      <c r="B2469" s="62" t="s">
        <v>3443</v>
      </c>
      <c r="C2469" s="61" t="s">
        <v>499</v>
      </c>
      <c r="D2469" s="60">
        <v>1.01424</v>
      </c>
      <c r="E2469" s="59">
        <v>6.3493399999999998</v>
      </c>
      <c r="F2469" s="59">
        <v>7.5499099999999997</v>
      </c>
      <c r="G2469" s="56">
        <v>1759.12</v>
      </c>
      <c r="H2469" s="56">
        <v>1734.42</v>
      </c>
      <c r="I2469" s="58">
        <v>0.64444299999999999</v>
      </c>
      <c r="J2469" s="57">
        <v>0.66490700000000003</v>
      </c>
      <c r="K2469" s="56"/>
      <c r="L2469" s="56" t="s">
        <v>488</v>
      </c>
    </row>
    <row r="2470" spans="2:12" x14ac:dyDescent="0.2">
      <c r="B2470" s="62" t="s">
        <v>3442</v>
      </c>
      <c r="C2470" s="61" t="s">
        <v>510</v>
      </c>
      <c r="D2470" s="60">
        <v>1.09152</v>
      </c>
      <c r="E2470" s="59">
        <v>4.9816200000000004</v>
      </c>
      <c r="F2470" s="59">
        <v>6.9529199999999998</v>
      </c>
      <c r="G2470" s="56">
        <v>1295.1400000000001</v>
      </c>
      <c r="H2470" s="56">
        <v>1186.55</v>
      </c>
      <c r="I2470" s="58">
        <v>0.50426199999999999</v>
      </c>
      <c r="J2470" s="57">
        <v>0.50314599999999998</v>
      </c>
      <c r="K2470" s="56"/>
      <c r="L2470" s="56" t="s">
        <v>488</v>
      </c>
    </row>
    <row r="2471" spans="2:12" x14ac:dyDescent="0.2">
      <c r="B2471" s="62" t="s">
        <v>3441</v>
      </c>
      <c r="C2471" s="61" t="s">
        <v>553</v>
      </c>
      <c r="D2471" s="60">
        <v>0.53213699999999997</v>
      </c>
      <c r="E2471" s="59">
        <v>6.5940399999999997</v>
      </c>
      <c r="F2471" s="59">
        <v>9.8009699999999995</v>
      </c>
      <c r="G2471" s="56">
        <v>2353.59</v>
      </c>
      <c r="H2471" s="56">
        <v>4422.8999999999996</v>
      </c>
      <c r="I2471" s="58">
        <v>0.79521299999999995</v>
      </c>
      <c r="J2471" s="57">
        <v>1.4425399999999999</v>
      </c>
      <c r="K2471" s="56"/>
      <c r="L2471" s="56" t="s">
        <v>488</v>
      </c>
    </row>
    <row r="2472" spans="2:12" x14ac:dyDescent="0.2">
      <c r="B2472" s="62" t="s">
        <v>3440</v>
      </c>
      <c r="C2472" s="61" t="s">
        <v>502</v>
      </c>
      <c r="D2472" s="60">
        <v>0.40654200000000001</v>
      </c>
      <c r="E2472" s="59">
        <v>9.7412600000000005</v>
      </c>
      <c r="F2472" s="59">
        <v>22.372949999999999</v>
      </c>
      <c r="G2472" s="56">
        <v>1864.2</v>
      </c>
      <c r="H2472" s="56">
        <v>4585.5</v>
      </c>
      <c r="I2472" s="58">
        <v>0.91552299999999998</v>
      </c>
      <c r="J2472" s="57">
        <v>2.0789499999999999</v>
      </c>
      <c r="K2472" s="56"/>
      <c r="L2472" s="56" t="s">
        <v>488</v>
      </c>
    </row>
    <row r="2473" spans="2:12" x14ac:dyDescent="0.2">
      <c r="B2473" s="62" t="s">
        <v>3439</v>
      </c>
      <c r="C2473" s="61" t="s">
        <v>495</v>
      </c>
      <c r="D2473" s="60">
        <v>1.2313000000000001</v>
      </c>
      <c r="E2473" s="59">
        <v>5.0712900000000003</v>
      </c>
      <c r="F2473" s="59">
        <v>5.64907</v>
      </c>
      <c r="G2473" s="56">
        <v>912.202</v>
      </c>
      <c r="H2473" s="56">
        <v>740.84699999999998</v>
      </c>
      <c r="I2473" s="58">
        <v>0.440083</v>
      </c>
      <c r="J2473" s="57">
        <v>0.40626800000000002</v>
      </c>
      <c r="K2473" s="56"/>
      <c r="L2473" s="56" t="s">
        <v>488</v>
      </c>
    </row>
    <row r="2474" spans="2:12" x14ac:dyDescent="0.2">
      <c r="B2474" s="62" t="s">
        <v>3438</v>
      </c>
      <c r="C2474" s="61" t="s">
        <v>495</v>
      </c>
      <c r="D2474" s="60">
        <v>1.1935500000000001</v>
      </c>
      <c r="E2474" s="59">
        <v>4.8891200000000001</v>
      </c>
      <c r="F2474" s="59">
        <v>5.2544199999999996</v>
      </c>
      <c r="G2474" s="56">
        <v>1008.02</v>
      </c>
      <c r="H2474" s="56">
        <v>833.54899999999998</v>
      </c>
      <c r="I2474" s="58">
        <v>0.50208299999999995</v>
      </c>
      <c r="J2474" s="57">
        <v>0.45250000000000001</v>
      </c>
      <c r="K2474" s="56"/>
      <c r="L2474" s="56" t="s">
        <v>488</v>
      </c>
    </row>
    <row r="2475" spans="2:12" x14ac:dyDescent="0.2">
      <c r="B2475" s="62" t="s">
        <v>3437</v>
      </c>
      <c r="C2475" s="61" t="s">
        <v>495</v>
      </c>
      <c r="D2475" s="60">
        <v>1.2093100000000001</v>
      </c>
      <c r="E2475" s="59">
        <v>4.9355000000000002</v>
      </c>
      <c r="F2475" s="59">
        <v>5.4031099999999999</v>
      </c>
      <c r="G2475" s="56">
        <v>1043.1400000000001</v>
      </c>
      <c r="H2475" s="56">
        <v>874.01199999999994</v>
      </c>
      <c r="I2475" s="58">
        <v>0.499031</v>
      </c>
      <c r="J2475" s="57">
        <v>0.44146999999999997</v>
      </c>
      <c r="K2475" s="56"/>
      <c r="L2475" s="56" t="s">
        <v>488</v>
      </c>
    </row>
    <row r="2476" spans="2:12" x14ac:dyDescent="0.2">
      <c r="B2476" s="62" t="s">
        <v>3436</v>
      </c>
      <c r="C2476" s="61" t="s">
        <v>495</v>
      </c>
      <c r="D2476" s="60">
        <v>1.1935</v>
      </c>
      <c r="E2476" s="59">
        <v>4.9254199999999999</v>
      </c>
      <c r="F2476" s="59">
        <v>5.3033599999999996</v>
      </c>
      <c r="G2476" s="56">
        <v>1026.29</v>
      </c>
      <c r="H2476" s="56">
        <v>859.86099999999999</v>
      </c>
      <c r="I2476" s="58">
        <v>0.51136000000000004</v>
      </c>
      <c r="J2476" s="57">
        <v>0.45512000000000002</v>
      </c>
      <c r="K2476" s="56"/>
      <c r="L2476" s="56" t="s">
        <v>488</v>
      </c>
    </row>
    <row r="2477" spans="2:12" x14ac:dyDescent="0.2">
      <c r="B2477" s="62" t="s">
        <v>3435</v>
      </c>
      <c r="C2477" s="61" t="s">
        <v>495</v>
      </c>
      <c r="D2477" s="60">
        <v>1.2719800000000001</v>
      </c>
      <c r="E2477" s="59">
        <v>4.6921499999999998</v>
      </c>
      <c r="F2477" s="59">
        <v>5.2128899999999998</v>
      </c>
      <c r="G2477" s="56">
        <v>812.62</v>
      </c>
      <c r="H2477" s="56">
        <v>638.86099999999999</v>
      </c>
      <c r="I2477" s="58">
        <v>0.40420200000000001</v>
      </c>
      <c r="J2477" s="57">
        <v>0.38022699999999998</v>
      </c>
      <c r="K2477" s="56"/>
      <c r="L2477" s="56" t="s">
        <v>488</v>
      </c>
    </row>
    <row r="2478" spans="2:12" x14ac:dyDescent="0.2">
      <c r="B2478" s="62" t="s">
        <v>3434</v>
      </c>
      <c r="C2478" s="61" t="s">
        <v>495</v>
      </c>
      <c r="D2478" s="60">
        <v>1.3721099999999999</v>
      </c>
      <c r="E2478" s="59">
        <v>4.0179</v>
      </c>
      <c r="F2478" s="59">
        <v>4.60351</v>
      </c>
      <c r="G2478" s="56">
        <v>524.61</v>
      </c>
      <c r="H2478" s="56">
        <v>382.33699999999999</v>
      </c>
      <c r="I2478" s="58">
        <v>0.30545099999999997</v>
      </c>
      <c r="J2478" s="57">
        <v>0.32346799999999998</v>
      </c>
      <c r="K2478" s="56"/>
      <c r="L2478" s="56" t="s">
        <v>488</v>
      </c>
    </row>
    <row r="2479" spans="2:12" x14ac:dyDescent="0.2">
      <c r="B2479" s="62" t="s">
        <v>3433</v>
      </c>
      <c r="C2479" s="61" t="s">
        <v>495</v>
      </c>
      <c r="D2479" s="60">
        <v>1.18923</v>
      </c>
      <c r="E2479" s="59">
        <v>5.4951100000000004</v>
      </c>
      <c r="F2479" s="59">
        <v>6.10412</v>
      </c>
      <c r="G2479" s="56">
        <v>1058.02</v>
      </c>
      <c r="H2479" s="56">
        <v>889.66399999999999</v>
      </c>
      <c r="I2479" s="58">
        <v>0.48468299999999997</v>
      </c>
      <c r="J2479" s="57">
        <v>0.43759300000000001</v>
      </c>
      <c r="K2479" s="56"/>
      <c r="L2479" s="56" t="s">
        <v>488</v>
      </c>
    </row>
    <row r="2480" spans="2:12" x14ac:dyDescent="0.2">
      <c r="B2480" s="62" t="s">
        <v>3432</v>
      </c>
      <c r="C2480" s="61" t="s">
        <v>495</v>
      </c>
      <c r="D2480" s="60">
        <v>1.18953</v>
      </c>
      <c r="E2480" s="59">
        <v>5.42401</v>
      </c>
      <c r="F2480" s="59">
        <v>6.0997500000000002</v>
      </c>
      <c r="G2480" s="56">
        <v>1027.3</v>
      </c>
      <c r="H2480" s="56">
        <v>863.61800000000005</v>
      </c>
      <c r="I2480" s="58">
        <v>0.47662900000000002</v>
      </c>
      <c r="J2480" s="57">
        <v>0.43686399999999997</v>
      </c>
      <c r="K2480" s="56"/>
      <c r="L2480" s="56" t="s">
        <v>488</v>
      </c>
    </row>
    <row r="2481" spans="2:12" x14ac:dyDescent="0.2">
      <c r="B2481" s="62" t="s">
        <v>3431</v>
      </c>
      <c r="C2481" s="61" t="s">
        <v>495</v>
      </c>
      <c r="D2481" s="60">
        <v>1.1794</v>
      </c>
      <c r="E2481" s="59">
        <v>5.4738600000000002</v>
      </c>
      <c r="F2481" s="59">
        <v>6.14785</v>
      </c>
      <c r="G2481" s="56">
        <v>1064.6199999999999</v>
      </c>
      <c r="H2481" s="56">
        <v>902.67200000000003</v>
      </c>
      <c r="I2481" s="58">
        <v>0.48100500000000002</v>
      </c>
      <c r="J2481" s="57">
        <v>0.44257800000000003</v>
      </c>
      <c r="K2481" s="56"/>
      <c r="L2481" s="56" t="s">
        <v>488</v>
      </c>
    </row>
    <row r="2482" spans="2:12" x14ac:dyDescent="0.2">
      <c r="B2482" s="62" t="s">
        <v>3430</v>
      </c>
      <c r="C2482" s="61" t="s">
        <v>502</v>
      </c>
      <c r="D2482" s="60">
        <v>1.90524</v>
      </c>
      <c r="E2482" s="59">
        <v>2.5730300000000002</v>
      </c>
      <c r="F2482" s="59">
        <v>3.93885</v>
      </c>
      <c r="G2482" s="56">
        <v>0</v>
      </c>
      <c r="H2482" s="56">
        <v>0</v>
      </c>
      <c r="I2482" s="58">
        <v>0.242703</v>
      </c>
      <c r="J2482" s="57">
        <v>0.231873</v>
      </c>
      <c r="K2482" s="56"/>
      <c r="L2482" s="56" t="s">
        <v>488</v>
      </c>
    </row>
    <row r="2483" spans="2:12" x14ac:dyDescent="0.2">
      <c r="B2483" s="62" t="s">
        <v>3429</v>
      </c>
      <c r="C2483" s="61" t="s">
        <v>502</v>
      </c>
      <c r="D2483" s="60">
        <v>1.89412</v>
      </c>
      <c r="E2483" s="59">
        <v>2.5741800000000001</v>
      </c>
      <c r="F2483" s="59">
        <v>3.9161299999999999</v>
      </c>
      <c r="G2483" s="56">
        <v>0</v>
      </c>
      <c r="H2483" s="56">
        <v>0</v>
      </c>
      <c r="I2483" s="58">
        <v>0.243344</v>
      </c>
      <c r="J2483" s="57">
        <v>0.23425199999999999</v>
      </c>
      <c r="K2483" s="56"/>
      <c r="L2483" s="56" t="s">
        <v>488</v>
      </c>
    </row>
    <row r="2484" spans="2:12" x14ac:dyDescent="0.2">
      <c r="B2484" s="62" t="s">
        <v>3428</v>
      </c>
      <c r="C2484" s="61" t="s">
        <v>502</v>
      </c>
      <c r="D2484" s="60">
        <v>1.9000600000000001</v>
      </c>
      <c r="E2484" s="59">
        <v>2.5685699999999998</v>
      </c>
      <c r="F2484" s="59">
        <v>3.9458299999999999</v>
      </c>
      <c r="G2484" s="56">
        <v>0</v>
      </c>
      <c r="H2484" s="56">
        <v>0</v>
      </c>
      <c r="I2484" s="58">
        <v>0.24281700000000001</v>
      </c>
      <c r="J2484" s="57">
        <v>0.232958</v>
      </c>
      <c r="K2484" s="56"/>
      <c r="L2484" s="56" t="s">
        <v>488</v>
      </c>
    </row>
    <row r="2485" spans="2:12" x14ac:dyDescent="0.2">
      <c r="B2485" s="62" t="s">
        <v>3427</v>
      </c>
      <c r="C2485" s="61" t="s">
        <v>502</v>
      </c>
      <c r="D2485" s="60">
        <v>1.89964</v>
      </c>
      <c r="E2485" s="59">
        <v>2.5640399999999999</v>
      </c>
      <c r="F2485" s="59">
        <v>3.9483100000000002</v>
      </c>
      <c r="G2485" s="56">
        <v>0</v>
      </c>
      <c r="H2485" s="56">
        <v>0</v>
      </c>
      <c r="I2485" s="58">
        <v>0.24222399999999999</v>
      </c>
      <c r="J2485" s="57">
        <v>0.233067</v>
      </c>
      <c r="K2485" s="56"/>
      <c r="L2485" s="56" t="s">
        <v>488</v>
      </c>
    </row>
    <row r="2486" spans="2:12" x14ac:dyDescent="0.2">
      <c r="B2486" s="62" t="s">
        <v>3426</v>
      </c>
      <c r="C2486" s="61" t="s">
        <v>502</v>
      </c>
      <c r="D2486" s="60">
        <v>1.89964</v>
      </c>
      <c r="E2486" s="59">
        <v>2.5691199999999998</v>
      </c>
      <c r="F2486" s="59">
        <v>3.9419200000000001</v>
      </c>
      <c r="G2486" s="56">
        <v>0</v>
      </c>
      <c r="H2486" s="56">
        <v>0</v>
      </c>
      <c r="I2486" s="58">
        <v>0.24466199999999999</v>
      </c>
      <c r="J2486" s="57">
        <v>0.233075</v>
      </c>
      <c r="K2486" s="56"/>
      <c r="L2486" s="56" t="s">
        <v>488</v>
      </c>
    </row>
    <row r="2487" spans="2:12" x14ac:dyDescent="0.2">
      <c r="B2487" s="62" t="s">
        <v>3425</v>
      </c>
      <c r="C2487" s="61" t="s">
        <v>502</v>
      </c>
      <c r="D2487" s="60">
        <v>1.91248</v>
      </c>
      <c r="E2487" s="59">
        <v>2.5581399999999999</v>
      </c>
      <c r="F2487" s="59">
        <v>3.92652</v>
      </c>
      <c r="G2487" s="56">
        <v>0</v>
      </c>
      <c r="H2487" s="56">
        <v>0</v>
      </c>
      <c r="I2487" s="58">
        <v>0.24281800000000001</v>
      </c>
      <c r="J2487" s="57">
        <v>0.23059199999999999</v>
      </c>
      <c r="K2487" s="56"/>
      <c r="L2487" s="56" t="s">
        <v>488</v>
      </c>
    </row>
    <row r="2488" spans="2:12" x14ac:dyDescent="0.2">
      <c r="B2488" s="62" t="s">
        <v>3424</v>
      </c>
      <c r="C2488" s="61" t="s">
        <v>502</v>
      </c>
      <c r="D2488" s="60">
        <v>1.8901399999999999</v>
      </c>
      <c r="E2488" s="59">
        <v>2.5829</v>
      </c>
      <c r="F2488" s="59">
        <v>3.9390499999999999</v>
      </c>
      <c r="G2488" s="56">
        <v>0</v>
      </c>
      <c r="H2488" s="56">
        <v>0</v>
      </c>
      <c r="I2488" s="58">
        <v>0.24560999999999999</v>
      </c>
      <c r="J2488" s="57">
        <v>0.235203</v>
      </c>
      <c r="K2488" s="56"/>
      <c r="L2488" s="56" t="s">
        <v>488</v>
      </c>
    </row>
    <row r="2489" spans="2:12" x14ac:dyDescent="0.2">
      <c r="B2489" s="62" t="s">
        <v>3423</v>
      </c>
      <c r="C2489" s="61" t="s">
        <v>502</v>
      </c>
      <c r="D2489" s="60">
        <v>1.9183600000000001</v>
      </c>
      <c r="E2489" s="59">
        <v>2.5592000000000001</v>
      </c>
      <c r="F2489" s="59">
        <v>3.9098600000000001</v>
      </c>
      <c r="G2489" s="56">
        <v>0</v>
      </c>
      <c r="H2489" s="56">
        <v>0</v>
      </c>
      <c r="I2489" s="58">
        <v>0.24688399999999999</v>
      </c>
      <c r="J2489" s="57">
        <v>0.22991</v>
      </c>
      <c r="K2489" s="56"/>
      <c r="L2489" s="56" t="s">
        <v>488</v>
      </c>
    </row>
    <row r="2490" spans="2:12" x14ac:dyDescent="0.2">
      <c r="B2490" s="62" t="s">
        <v>3422</v>
      </c>
      <c r="C2490" s="61" t="s">
        <v>502</v>
      </c>
      <c r="D2490" s="60">
        <v>1.8994899999999999</v>
      </c>
      <c r="E2490" s="59">
        <v>2.5872799999999998</v>
      </c>
      <c r="F2490" s="59">
        <v>3.9268999999999998</v>
      </c>
      <c r="G2490" s="56">
        <v>0</v>
      </c>
      <c r="H2490" s="56">
        <v>0</v>
      </c>
      <c r="I2490" s="58">
        <v>0.25066699999999997</v>
      </c>
      <c r="J2490" s="57">
        <v>0.23406399999999999</v>
      </c>
      <c r="K2490" s="56"/>
      <c r="L2490" s="56" t="s">
        <v>488</v>
      </c>
    </row>
    <row r="2491" spans="2:12" x14ac:dyDescent="0.2">
      <c r="B2491" s="62" t="s">
        <v>3421</v>
      </c>
      <c r="C2491" s="61" t="s">
        <v>502</v>
      </c>
      <c r="D2491" s="60">
        <v>1.9192199999999999</v>
      </c>
      <c r="E2491" s="59">
        <v>2.5461</v>
      </c>
      <c r="F2491" s="59">
        <v>3.8989400000000001</v>
      </c>
      <c r="G2491" s="56">
        <v>0</v>
      </c>
      <c r="H2491" s="56">
        <v>0</v>
      </c>
      <c r="I2491" s="58">
        <v>0.244562</v>
      </c>
      <c r="J2491" s="57">
        <v>0.22958899999999999</v>
      </c>
      <c r="K2491" s="56"/>
      <c r="L2491" s="56" t="s">
        <v>488</v>
      </c>
    </row>
    <row r="2492" spans="2:12" x14ac:dyDescent="0.2">
      <c r="B2492" s="62" t="s">
        <v>3420</v>
      </c>
      <c r="C2492" s="61" t="s">
        <v>502</v>
      </c>
      <c r="D2492" s="60">
        <v>1.92866</v>
      </c>
      <c r="E2492" s="59">
        <v>2.5456599999999998</v>
      </c>
      <c r="F2492" s="59">
        <v>3.8947799999999999</v>
      </c>
      <c r="G2492" s="56">
        <v>0</v>
      </c>
      <c r="H2492" s="56">
        <v>0</v>
      </c>
      <c r="I2492" s="58">
        <v>0.24174899999999999</v>
      </c>
      <c r="J2492" s="57">
        <v>0.22756999999999999</v>
      </c>
      <c r="K2492" s="56"/>
      <c r="L2492" s="56" t="s">
        <v>488</v>
      </c>
    </row>
    <row r="2493" spans="2:12" x14ac:dyDescent="0.2">
      <c r="B2493" s="62" t="s">
        <v>3419</v>
      </c>
      <c r="C2493" s="61" t="s">
        <v>499</v>
      </c>
      <c r="D2493" s="60">
        <v>1.0866199999999999</v>
      </c>
      <c r="E2493" s="59">
        <v>9.4425600000000003</v>
      </c>
      <c r="F2493" s="59">
        <v>10.298690000000001</v>
      </c>
      <c r="G2493" s="56">
        <v>1060.49</v>
      </c>
      <c r="H2493" s="56">
        <v>975.95100000000002</v>
      </c>
      <c r="I2493" s="58">
        <v>0.49779400000000001</v>
      </c>
      <c r="J2493" s="57">
        <v>0.54331200000000002</v>
      </c>
      <c r="K2493" s="56"/>
      <c r="L2493" s="56" t="s">
        <v>488</v>
      </c>
    </row>
    <row r="2494" spans="2:12" x14ac:dyDescent="0.2">
      <c r="B2494" s="62" t="s">
        <v>3418</v>
      </c>
      <c r="C2494" s="61" t="s">
        <v>499</v>
      </c>
      <c r="D2494" s="60">
        <v>1.0796699999999999</v>
      </c>
      <c r="E2494" s="59">
        <v>10.050739999999999</v>
      </c>
      <c r="F2494" s="59">
        <v>10.454000000000001</v>
      </c>
      <c r="G2494" s="56">
        <v>1053.4000000000001</v>
      </c>
      <c r="H2494" s="56">
        <v>975.66399999999999</v>
      </c>
      <c r="I2494" s="58">
        <v>0.493705</v>
      </c>
      <c r="J2494" s="57">
        <v>0.54906600000000005</v>
      </c>
      <c r="K2494" s="56"/>
      <c r="L2494" s="56" t="s">
        <v>488</v>
      </c>
    </row>
    <row r="2495" spans="2:12" x14ac:dyDescent="0.2">
      <c r="B2495" s="62" t="s">
        <v>3417</v>
      </c>
      <c r="C2495" s="61" t="s">
        <v>550</v>
      </c>
      <c r="D2495" s="60">
        <v>1.5067900000000001</v>
      </c>
      <c r="E2495" s="59">
        <v>2.93207</v>
      </c>
      <c r="F2495" s="59">
        <v>3.6847099999999999</v>
      </c>
      <c r="G2495" s="56">
        <v>0</v>
      </c>
      <c r="H2495" s="56">
        <v>0</v>
      </c>
      <c r="I2495" s="58">
        <v>0.17763000000000001</v>
      </c>
      <c r="J2495" s="57">
        <v>0.28401100000000001</v>
      </c>
      <c r="K2495" s="56"/>
      <c r="L2495" s="56" t="s">
        <v>488</v>
      </c>
    </row>
    <row r="2496" spans="2:12" x14ac:dyDescent="0.2">
      <c r="B2496" s="62" t="s">
        <v>3416</v>
      </c>
      <c r="C2496" s="61" t="s">
        <v>625</v>
      </c>
      <c r="D2496" s="60">
        <v>1.1853100000000001</v>
      </c>
      <c r="E2496" s="59">
        <v>2.58744</v>
      </c>
      <c r="F2496" s="59">
        <v>5.13645</v>
      </c>
      <c r="G2496" s="56">
        <v>0</v>
      </c>
      <c r="H2496" s="56">
        <v>0</v>
      </c>
      <c r="I2496" s="58">
        <v>0.42185</v>
      </c>
      <c r="J2496" s="57">
        <v>0.43992700000000001</v>
      </c>
      <c r="K2496" s="56"/>
      <c r="L2496" s="56" t="s">
        <v>488</v>
      </c>
    </row>
    <row r="2497" spans="2:12" x14ac:dyDescent="0.2">
      <c r="B2497" s="62" t="s">
        <v>3415</v>
      </c>
      <c r="C2497" s="61" t="s">
        <v>1921</v>
      </c>
      <c r="D2497" s="60">
        <v>0.88397700000000001</v>
      </c>
      <c r="E2497" s="59">
        <v>6.9594699999999996</v>
      </c>
      <c r="F2497" s="59">
        <v>19.489640000000001</v>
      </c>
      <c r="G2497" s="56">
        <v>1577.02</v>
      </c>
      <c r="H2497" s="56">
        <v>1784.01</v>
      </c>
      <c r="I2497" s="58">
        <v>0.65282399999999996</v>
      </c>
      <c r="J2497" s="57">
        <v>0.79752100000000004</v>
      </c>
      <c r="K2497" s="56"/>
      <c r="L2497" s="56" t="s">
        <v>492</v>
      </c>
    </row>
    <row r="2498" spans="2:12" x14ac:dyDescent="0.2">
      <c r="B2498" s="62" t="s">
        <v>3414</v>
      </c>
      <c r="C2498" s="61" t="s">
        <v>502</v>
      </c>
      <c r="D2498" s="60">
        <v>0.618537</v>
      </c>
      <c r="E2498" s="59">
        <v>6.7449300000000001</v>
      </c>
      <c r="F2498" s="59">
        <v>12.05622</v>
      </c>
      <c r="G2498" s="56">
        <v>2193.48</v>
      </c>
      <c r="H2498" s="56">
        <v>3546.24</v>
      </c>
      <c r="I2498" s="58">
        <v>0.82995399999999997</v>
      </c>
      <c r="J2498" s="57">
        <v>1.2615799999999999</v>
      </c>
      <c r="K2498" s="56"/>
      <c r="L2498" s="56" t="s">
        <v>488</v>
      </c>
    </row>
    <row r="2499" spans="2:12" x14ac:dyDescent="0.2">
      <c r="B2499" s="62" t="s">
        <v>3413</v>
      </c>
      <c r="C2499" s="61" t="s">
        <v>502</v>
      </c>
      <c r="D2499" s="60">
        <v>1.57067</v>
      </c>
      <c r="E2499" s="59">
        <v>3.4385500000000002</v>
      </c>
      <c r="F2499" s="59">
        <v>4.5127199999999998</v>
      </c>
      <c r="G2499" s="56">
        <v>0</v>
      </c>
      <c r="H2499" s="56">
        <v>0</v>
      </c>
      <c r="I2499" s="58">
        <v>0.20061200000000001</v>
      </c>
      <c r="J2499" s="57">
        <v>0.25378899999999999</v>
      </c>
      <c r="K2499" s="56"/>
      <c r="L2499" s="56" t="s">
        <v>488</v>
      </c>
    </row>
    <row r="2500" spans="2:12" x14ac:dyDescent="0.2">
      <c r="B2500" s="62" t="s">
        <v>3412</v>
      </c>
      <c r="C2500" s="61" t="s">
        <v>502</v>
      </c>
      <c r="D2500" s="60">
        <v>1.5297799999999999</v>
      </c>
      <c r="E2500" s="59">
        <v>3.6390500000000001</v>
      </c>
      <c r="F2500" s="59">
        <v>4.7171200000000004</v>
      </c>
      <c r="G2500" s="56">
        <v>0</v>
      </c>
      <c r="H2500" s="56">
        <v>0</v>
      </c>
      <c r="I2500" s="58">
        <v>0.21202599999999999</v>
      </c>
      <c r="J2500" s="57">
        <v>0.268065</v>
      </c>
      <c r="K2500" s="56"/>
      <c r="L2500" s="56" t="s">
        <v>488</v>
      </c>
    </row>
    <row r="2501" spans="2:12" x14ac:dyDescent="0.2">
      <c r="B2501" s="62" t="s">
        <v>3411</v>
      </c>
      <c r="C2501" s="61" t="s">
        <v>502</v>
      </c>
      <c r="D2501" s="60">
        <v>1.54053</v>
      </c>
      <c r="E2501" s="59">
        <v>3.6760799999999998</v>
      </c>
      <c r="F2501" s="59">
        <v>4.72309</v>
      </c>
      <c r="G2501" s="56">
        <v>0</v>
      </c>
      <c r="H2501" s="56">
        <v>0</v>
      </c>
      <c r="I2501" s="58">
        <v>0.205485</v>
      </c>
      <c r="J2501" s="57">
        <v>0.26256699999999999</v>
      </c>
      <c r="K2501" s="56"/>
      <c r="L2501" s="56" t="s">
        <v>488</v>
      </c>
    </row>
    <row r="2502" spans="2:12" x14ac:dyDescent="0.2">
      <c r="B2502" s="62" t="s">
        <v>3410</v>
      </c>
      <c r="C2502" s="61" t="s">
        <v>502</v>
      </c>
      <c r="D2502" s="60">
        <v>1.4790700000000001</v>
      </c>
      <c r="E2502" s="59">
        <v>4.2924100000000003</v>
      </c>
      <c r="F2502" s="59">
        <v>4.9670500000000004</v>
      </c>
      <c r="G2502" s="56">
        <v>440.84100000000001</v>
      </c>
      <c r="H2502" s="56">
        <v>298.05399999999997</v>
      </c>
      <c r="I2502" s="58">
        <v>0.21901100000000001</v>
      </c>
      <c r="J2502" s="57">
        <v>0.28100900000000001</v>
      </c>
      <c r="K2502" s="56"/>
      <c r="L2502" s="56" t="s">
        <v>488</v>
      </c>
    </row>
    <row r="2503" spans="2:12" x14ac:dyDescent="0.2">
      <c r="B2503" s="62" t="s">
        <v>3409</v>
      </c>
      <c r="C2503" s="61" t="s">
        <v>502</v>
      </c>
      <c r="D2503" s="60">
        <v>1.3906499999999999</v>
      </c>
      <c r="E2503" s="59">
        <v>5.2044699999999997</v>
      </c>
      <c r="F2503" s="59">
        <v>5.5143300000000002</v>
      </c>
      <c r="G2503" s="56">
        <v>689.46799999999996</v>
      </c>
      <c r="H2503" s="56">
        <v>495.78899999999999</v>
      </c>
      <c r="I2503" s="58">
        <v>0.29561999999999999</v>
      </c>
      <c r="J2503" s="57">
        <v>0.32088699999999998</v>
      </c>
      <c r="K2503" s="56"/>
      <c r="L2503" s="56" t="s">
        <v>488</v>
      </c>
    </row>
    <row r="2504" spans="2:12" x14ac:dyDescent="0.2">
      <c r="B2504" s="62" t="s">
        <v>3408</v>
      </c>
      <c r="C2504" s="61" t="s">
        <v>510</v>
      </c>
      <c r="D2504" s="60">
        <v>1.1976599999999999</v>
      </c>
      <c r="E2504" s="59">
        <v>3.90767</v>
      </c>
      <c r="F2504" s="59">
        <v>5.3444799999999999</v>
      </c>
      <c r="G2504" s="56">
        <v>707.80899999999997</v>
      </c>
      <c r="H2504" s="56">
        <v>590.99300000000005</v>
      </c>
      <c r="I2504" s="58">
        <v>0.37490800000000002</v>
      </c>
      <c r="J2504" s="57">
        <v>0.39714899999999997</v>
      </c>
      <c r="K2504" s="56"/>
      <c r="L2504" s="56" t="s">
        <v>488</v>
      </c>
    </row>
    <row r="2505" spans="2:12" x14ac:dyDescent="0.2">
      <c r="B2505" s="62" t="s">
        <v>3407</v>
      </c>
      <c r="C2505" s="61" t="s">
        <v>499</v>
      </c>
      <c r="D2505" s="60">
        <v>0.983012</v>
      </c>
      <c r="E2505" s="59">
        <v>4.9855200000000002</v>
      </c>
      <c r="F2505" s="59">
        <v>13.29616</v>
      </c>
      <c r="G2505" s="56">
        <v>1508.74</v>
      </c>
      <c r="H2505" s="56">
        <v>1534.81</v>
      </c>
      <c r="I2505" s="58">
        <v>0.61904499999999996</v>
      </c>
      <c r="J2505" s="57">
        <v>0.67884699999999998</v>
      </c>
      <c r="K2505" s="56"/>
      <c r="L2505" s="56" t="s">
        <v>488</v>
      </c>
    </row>
    <row r="2506" spans="2:12" x14ac:dyDescent="0.2">
      <c r="B2506" s="62" t="s">
        <v>3406</v>
      </c>
      <c r="C2506" s="61" t="s">
        <v>616</v>
      </c>
      <c r="D2506" s="60">
        <v>2.70363</v>
      </c>
      <c r="E2506" s="59">
        <v>4.3129400000000002</v>
      </c>
      <c r="F2506" s="59">
        <v>9.5227400000000006</v>
      </c>
      <c r="G2506" s="56">
        <v>1572.26</v>
      </c>
      <c r="H2506" s="56">
        <v>581.53599999999994</v>
      </c>
      <c r="I2506" s="58">
        <v>0.52907099999999996</v>
      </c>
      <c r="J2506" s="57">
        <v>0.22747200000000001</v>
      </c>
      <c r="K2506" s="56"/>
      <c r="L2506" s="56" t="s">
        <v>488</v>
      </c>
    </row>
    <row r="2507" spans="2:12" x14ac:dyDescent="0.2">
      <c r="B2507" s="62" t="s">
        <v>3405</v>
      </c>
      <c r="C2507" s="61" t="s">
        <v>502</v>
      </c>
      <c r="D2507" s="60">
        <v>1.6566799999999999</v>
      </c>
      <c r="E2507" s="59">
        <v>4.6942599999999999</v>
      </c>
      <c r="F2507" s="59">
        <v>5.3238200000000004</v>
      </c>
      <c r="G2507" s="56">
        <v>506.43400000000003</v>
      </c>
      <c r="H2507" s="56">
        <v>305.69099999999997</v>
      </c>
      <c r="I2507" s="58">
        <v>0.24643599999999999</v>
      </c>
      <c r="J2507" s="57">
        <v>0.25812499999999999</v>
      </c>
      <c r="K2507" s="56"/>
      <c r="L2507" s="56" t="s">
        <v>488</v>
      </c>
    </row>
    <row r="2508" spans="2:12" x14ac:dyDescent="0.2">
      <c r="B2508" s="62" t="s">
        <v>3404</v>
      </c>
      <c r="C2508" s="61" t="s">
        <v>502</v>
      </c>
      <c r="D2508" s="60">
        <v>1.5231399999999999</v>
      </c>
      <c r="E2508" s="59">
        <v>4.5105500000000003</v>
      </c>
      <c r="F2508" s="59">
        <v>5.1867700000000001</v>
      </c>
      <c r="G2508" s="56">
        <v>507.50599999999997</v>
      </c>
      <c r="H2508" s="56">
        <v>333.19600000000003</v>
      </c>
      <c r="I2508" s="58">
        <v>0.23827899999999999</v>
      </c>
      <c r="J2508" s="57">
        <v>0.28114699999999998</v>
      </c>
      <c r="K2508" s="56"/>
      <c r="L2508" s="56" t="s">
        <v>488</v>
      </c>
    </row>
    <row r="2509" spans="2:12" x14ac:dyDescent="0.2">
      <c r="B2509" s="62" t="s">
        <v>3403</v>
      </c>
      <c r="C2509" s="61" t="s">
        <v>526</v>
      </c>
      <c r="D2509" s="60">
        <v>1.14106</v>
      </c>
      <c r="E2509" s="59">
        <v>4.6947200000000002</v>
      </c>
      <c r="F2509" s="59">
        <v>6.1724899999999998</v>
      </c>
      <c r="G2509" s="56">
        <v>1216.83</v>
      </c>
      <c r="H2509" s="56">
        <v>1066.4000000000001</v>
      </c>
      <c r="I2509" s="58">
        <v>0.60047200000000001</v>
      </c>
      <c r="J2509" s="57">
        <v>0.53125500000000003</v>
      </c>
      <c r="K2509" s="56"/>
      <c r="L2509" s="56" t="s">
        <v>488</v>
      </c>
    </row>
    <row r="2510" spans="2:12" x14ac:dyDescent="0.2">
      <c r="B2510" s="62" t="s">
        <v>3402</v>
      </c>
      <c r="C2510" s="61" t="s">
        <v>502</v>
      </c>
      <c r="D2510" s="60">
        <v>0.77470499999999998</v>
      </c>
      <c r="E2510" s="59">
        <v>5.1992700000000003</v>
      </c>
      <c r="F2510" s="59">
        <v>10.246040000000001</v>
      </c>
      <c r="G2510" s="56">
        <v>2214.19</v>
      </c>
      <c r="H2510" s="56">
        <v>2858.11</v>
      </c>
      <c r="I2510" s="58">
        <v>0.75785499999999995</v>
      </c>
      <c r="J2510" s="57">
        <v>0.93192799999999998</v>
      </c>
      <c r="K2510" s="56"/>
      <c r="L2510" s="56" t="s">
        <v>488</v>
      </c>
    </row>
    <row r="2511" spans="2:12" x14ac:dyDescent="0.2">
      <c r="B2511" s="62" t="s">
        <v>3401</v>
      </c>
      <c r="C2511" s="61" t="s">
        <v>499</v>
      </c>
      <c r="D2511" s="60">
        <v>1.2534000000000001</v>
      </c>
      <c r="E2511" s="59">
        <v>3.80789</v>
      </c>
      <c r="F2511" s="59">
        <v>6.3245199999999997</v>
      </c>
      <c r="G2511" s="56">
        <v>1125.3699999999999</v>
      </c>
      <c r="H2511" s="56">
        <v>897.85199999999998</v>
      </c>
      <c r="I2511" s="58">
        <v>0.44711299999999998</v>
      </c>
      <c r="J2511" s="57">
        <v>0.44930599999999998</v>
      </c>
      <c r="K2511" s="56"/>
      <c r="L2511" s="56" t="s">
        <v>492</v>
      </c>
    </row>
    <row r="2512" spans="2:12" x14ac:dyDescent="0.2">
      <c r="B2512" s="62" t="s">
        <v>3400</v>
      </c>
      <c r="C2512" s="61" t="s">
        <v>499</v>
      </c>
      <c r="D2512" s="60">
        <v>2.0093299999999998</v>
      </c>
      <c r="E2512" s="59">
        <v>2.5318100000000001</v>
      </c>
      <c r="F2512" s="59">
        <v>4.4904099999999998</v>
      </c>
      <c r="G2512" s="56">
        <v>0</v>
      </c>
      <c r="H2512" s="56">
        <v>0</v>
      </c>
      <c r="I2512" s="58">
        <v>0.25513799999999998</v>
      </c>
      <c r="J2512" s="57">
        <v>0.21847900000000001</v>
      </c>
      <c r="K2512" s="56"/>
      <c r="L2512" s="56" t="s">
        <v>488</v>
      </c>
    </row>
    <row r="2513" spans="2:12" x14ac:dyDescent="0.2">
      <c r="B2513" s="62" t="s">
        <v>3399</v>
      </c>
      <c r="C2513" s="61" t="s">
        <v>499</v>
      </c>
      <c r="D2513" s="60">
        <v>0.95960000000000001</v>
      </c>
      <c r="E2513" s="59">
        <v>4.2593100000000002</v>
      </c>
      <c r="F2513" s="59">
        <v>7.7437899999999997</v>
      </c>
      <c r="G2513" s="56">
        <v>1761.6</v>
      </c>
      <c r="H2513" s="56">
        <v>1835.76</v>
      </c>
      <c r="I2513" s="58">
        <v>0.63581500000000002</v>
      </c>
      <c r="J2513" s="57">
        <v>0.70349499999999998</v>
      </c>
      <c r="K2513" s="56"/>
      <c r="L2513" s="56" t="s">
        <v>488</v>
      </c>
    </row>
    <row r="2514" spans="2:12" x14ac:dyDescent="0.2">
      <c r="B2514" s="62" t="s">
        <v>3398</v>
      </c>
      <c r="C2514" s="61" t="s">
        <v>495</v>
      </c>
      <c r="D2514" s="60">
        <v>1.3408899999999999</v>
      </c>
      <c r="E2514" s="59">
        <v>4.1493200000000003</v>
      </c>
      <c r="F2514" s="59">
        <v>5.3476400000000002</v>
      </c>
      <c r="G2514" s="56">
        <v>710.88300000000004</v>
      </c>
      <c r="H2514" s="56">
        <v>529.41800000000001</v>
      </c>
      <c r="I2514" s="58">
        <v>0.40910800000000003</v>
      </c>
      <c r="J2514" s="57">
        <v>0.36608000000000002</v>
      </c>
      <c r="K2514" s="56"/>
      <c r="L2514" s="56" t="s">
        <v>488</v>
      </c>
    </row>
    <row r="2515" spans="2:12" x14ac:dyDescent="0.2">
      <c r="B2515" s="62" t="s">
        <v>3397</v>
      </c>
      <c r="C2515" s="61" t="s">
        <v>495</v>
      </c>
      <c r="D2515" s="60">
        <v>1.34276</v>
      </c>
      <c r="E2515" s="59">
        <v>4.13774</v>
      </c>
      <c r="F2515" s="59">
        <v>5.3482399999999997</v>
      </c>
      <c r="G2515" s="56">
        <v>695.46699999999998</v>
      </c>
      <c r="H2515" s="56">
        <v>518.66200000000003</v>
      </c>
      <c r="I2515" s="58">
        <v>0.41013100000000002</v>
      </c>
      <c r="J2515" s="57">
        <v>0.36455599999999999</v>
      </c>
      <c r="K2515" s="56"/>
      <c r="L2515" s="56" t="s">
        <v>488</v>
      </c>
    </row>
    <row r="2516" spans="2:12" x14ac:dyDescent="0.2">
      <c r="B2516" s="62" t="s">
        <v>3396</v>
      </c>
      <c r="C2516" s="61" t="s">
        <v>502</v>
      </c>
      <c r="D2516" s="60">
        <v>1.20736</v>
      </c>
      <c r="E2516" s="59">
        <v>3.2084999999999999</v>
      </c>
      <c r="F2516" s="59">
        <v>5.1995500000000003</v>
      </c>
      <c r="G2516" s="56">
        <v>0</v>
      </c>
      <c r="H2516" s="56">
        <v>0</v>
      </c>
      <c r="I2516" s="58">
        <v>0.33993600000000002</v>
      </c>
      <c r="J2516" s="57">
        <v>0.40934799999999999</v>
      </c>
      <c r="K2516" s="56"/>
      <c r="L2516" s="56" t="s">
        <v>488</v>
      </c>
    </row>
    <row r="2517" spans="2:12" x14ac:dyDescent="0.2">
      <c r="B2517" s="62" t="s">
        <v>3395</v>
      </c>
      <c r="C2517" s="61" t="s">
        <v>495</v>
      </c>
      <c r="D2517" s="60">
        <v>1.18631</v>
      </c>
      <c r="E2517" s="59">
        <v>3.69157</v>
      </c>
      <c r="F2517" s="59">
        <v>5.7525199999999996</v>
      </c>
      <c r="G2517" s="56">
        <v>0</v>
      </c>
      <c r="H2517" s="56">
        <v>0</v>
      </c>
      <c r="I2517" s="58">
        <v>0.183643</v>
      </c>
      <c r="J2517" s="57">
        <v>0.37278499999999998</v>
      </c>
      <c r="K2517" s="56"/>
      <c r="L2517" s="56" t="s">
        <v>488</v>
      </c>
    </row>
    <row r="2518" spans="2:12" x14ac:dyDescent="0.2">
      <c r="B2518" s="62" t="s">
        <v>3394</v>
      </c>
      <c r="C2518" s="61" t="s">
        <v>550</v>
      </c>
      <c r="D2518" s="60">
        <v>1.7803899999999999</v>
      </c>
      <c r="E2518" s="59">
        <v>2.8774199999999999</v>
      </c>
      <c r="F2518" s="59">
        <v>3.81372</v>
      </c>
      <c r="G2518" s="56">
        <v>0</v>
      </c>
      <c r="H2518" s="56">
        <v>0</v>
      </c>
      <c r="I2518" s="58">
        <v>9.0718800000000002E-2</v>
      </c>
      <c r="J2518" s="57">
        <v>0.212895</v>
      </c>
      <c r="K2518" s="56"/>
      <c r="L2518" s="56" t="s">
        <v>488</v>
      </c>
    </row>
    <row r="2519" spans="2:12" x14ac:dyDescent="0.2">
      <c r="B2519" s="62" t="s">
        <v>3393</v>
      </c>
      <c r="C2519" s="61" t="s">
        <v>499</v>
      </c>
      <c r="D2519" s="60">
        <v>1.2729200000000001</v>
      </c>
      <c r="E2519" s="59">
        <v>4.83873</v>
      </c>
      <c r="F2519" s="59">
        <v>5.0872599999999997</v>
      </c>
      <c r="G2519" s="56">
        <v>744.15499999999997</v>
      </c>
      <c r="H2519" s="56">
        <v>584.60599999999999</v>
      </c>
      <c r="I2519" s="58">
        <v>0.34816599999999998</v>
      </c>
      <c r="J2519" s="57">
        <v>0.361315</v>
      </c>
      <c r="K2519" s="56"/>
      <c r="L2519" s="56" t="s">
        <v>488</v>
      </c>
    </row>
    <row r="2520" spans="2:12" x14ac:dyDescent="0.2">
      <c r="B2520" s="62" t="s">
        <v>3392</v>
      </c>
      <c r="C2520" s="61" t="s">
        <v>507</v>
      </c>
      <c r="D2520" s="60">
        <v>0.90597700000000003</v>
      </c>
      <c r="E2520" s="59">
        <v>4.3681299999999998</v>
      </c>
      <c r="F2520" s="59">
        <v>5.5564099999999996</v>
      </c>
      <c r="G2520" s="56">
        <v>1027.92</v>
      </c>
      <c r="H2520" s="56">
        <v>1134.5999999999999</v>
      </c>
      <c r="I2520" s="58">
        <v>0.42405999999999999</v>
      </c>
      <c r="J2520" s="57">
        <v>0.63688400000000001</v>
      </c>
      <c r="K2520" s="56"/>
      <c r="L2520" s="56" t="s">
        <v>492</v>
      </c>
    </row>
    <row r="2521" spans="2:12" x14ac:dyDescent="0.2">
      <c r="B2521" s="62" t="s">
        <v>3391</v>
      </c>
      <c r="C2521" s="61" t="s">
        <v>880</v>
      </c>
      <c r="D2521" s="60">
        <v>0.92725400000000002</v>
      </c>
      <c r="E2521" s="59">
        <v>4.4538200000000003</v>
      </c>
      <c r="F2521" s="59">
        <v>5.9762199999999996</v>
      </c>
      <c r="G2521" s="56">
        <v>1161.28</v>
      </c>
      <c r="H2521" s="56">
        <v>1252.3900000000001</v>
      </c>
      <c r="I2521" s="58">
        <v>0.47451900000000002</v>
      </c>
      <c r="J2521" s="57">
        <v>0.63494899999999999</v>
      </c>
      <c r="K2521" s="56"/>
      <c r="L2521" s="56" t="s">
        <v>488</v>
      </c>
    </row>
    <row r="2522" spans="2:12" x14ac:dyDescent="0.2">
      <c r="B2522" s="62" t="s">
        <v>3390</v>
      </c>
      <c r="C2522" s="61" t="s">
        <v>2526</v>
      </c>
      <c r="D2522" s="60">
        <v>1.02359</v>
      </c>
      <c r="E2522" s="59">
        <v>4.34396</v>
      </c>
      <c r="F2522" s="59">
        <v>8.3796400000000002</v>
      </c>
      <c r="G2522" s="56">
        <v>1293.57</v>
      </c>
      <c r="H2522" s="56">
        <v>1263.76</v>
      </c>
      <c r="I2522" s="58">
        <v>0.484821</v>
      </c>
      <c r="J2522" s="57">
        <v>0.56040299999999998</v>
      </c>
      <c r="K2522" s="56"/>
      <c r="L2522" s="56" t="s">
        <v>492</v>
      </c>
    </row>
    <row r="2523" spans="2:12" x14ac:dyDescent="0.2">
      <c r="B2523" s="62" t="s">
        <v>3389</v>
      </c>
      <c r="C2523" s="61" t="s">
        <v>625</v>
      </c>
      <c r="D2523" s="60">
        <v>0.94914900000000002</v>
      </c>
      <c r="E2523" s="59">
        <v>3.6763300000000001</v>
      </c>
      <c r="F2523" s="59">
        <v>4.7253100000000003</v>
      </c>
      <c r="G2523" s="56">
        <v>0</v>
      </c>
      <c r="H2523" s="56">
        <v>0</v>
      </c>
      <c r="I2523" s="58">
        <v>0.46280100000000002</v>
      </c>
      <c r="J2523" s="57">
        <v>0.60121899999999995</v>
      </c>
      <c r="K2523" s="56"/>
      <c r="L2523" s="56" t="s">
        <v>624</v>
      </c>
    </row>
    <row r="2524" spans="2:12" x14ac:dyDescent="0.2">
      <c r="B2524" s="62" t="s">
        <v>3388</v>
      </c>
      <c r="C2524" s="61" t="s">
        <v>499</v>
      </c>
      <c r="D2524" s="60">
        <v>0.76397499999999996</v>
      </c>
      <c r="E2524" s="59">
        <v>5.4838699999999996</v>
      </c>
      <c r="F2524" s="59">
        <v>8.6785200000000007</v>
      </c>
      <c r="G2524" s="56">
        <v>1642.97</v>
      </c>
      <c r="H2524" s="56">
        <v>2150.56</v>
      </c>
      <c r="I2524" s="58">
        <v>0.59713899999999998</v>
      </c>
      <c r="J2524" s="57">
        <v>0.838148</v>
      </c>
      <c r="K2524" s="56"/>
      <c r="L2524" s="56" t="s">
        <v>492</v>
      </c>
    </row>
    <row r="2525" spans="2:12" x14ac:dyDescent="0.2">
      <c r="B2525" s="62" t="s">
        <v>3387</v>
      </c>
      <c r="C2525" s="61" t="s">
        <v>550</v>
      </c>
      <c r="D2525" s="60">
        <v>0.70678300000000005</v>
      </c>
      <c r="E2525" s="59">
        <v>5.36069</v>
      </c>
      <c r="F2525" s="59">
        <v>8.5564199999999992</v>
      </c>
      <c r="G2525" s="56">
        <v>1674.93</v>
      </c>
      <c r="H2525" s="56">
        <v>2369.8000000000002</v>
      </c>
      <c r="I2525" s="58">
        <v>0.603935</v>
      </c>
      <c r="J2525" s="57">
        <v>0.93549499999999997</v>
      </c>
      <c r="K2525" s="56" t="s">
        <v>1816</v>
      </c>
      <c r="L2525" s="56" t="s">
        <v>563</v>
      </c>
    </row>
    <row r="2526" spans="2:12" x14ac:dyDescent="0.2">
      <c r="B2526" s="62" t="s">
        <v>3386</v>
      </c>
      <c r="C2526" s="61" t="s">
        <v>989</v>
      </c>
      <c r="D2526" s="60">
        <v>1.0669599999999999</v>
      </c>
      <c r="E2526" s="59">
        <v>4.30891</v>
      </c>
      <c r="F2526" s="59">
        <v>5.5977100000000002</v>
      </c>
      <c r="G2526" s="56">
        <v>1127.6500000000001</v>
      </c>
      <c r="H2526" s="56">
        <v>1056.8900000000001</v>
      </c>
      <c r="I2526" s="58">
        <v>0.50243899999999997</v>
      </c>
      <c r="J2526" s="57">
        <v>0.51814000000000004</v>
      </c>
      <c r="K2526" s="56"/>
      <c r="L2526" s="56" t="s">
        <v>488</v>
      </c>
    </row>
    <row r="2527" spans="2:12" x14ac:dyDescent="0.2">
      <c r="B2527" s="62" t="s">
        <v>3385</v>
      </c>
      <c r="C2527" s="61" t="s">
        <v>989</v>
      </c>
      <c r="D2527" s="60">
        <v>1.2453799999999999</v>
      </c>
      <c r="E2527" s="59">
        <v>3.3869799999999999</v>
      </c>
      <c r="F2527" s="59">
        <v>4.5268199999999998</v>
      </c>
      <c r="G2527" s="56">
        <v>0</v>
      </c>
      <c r="H2527" s="56">
        <v>0</v>
      </c>
      <c r="I2527" s="58">
        <v>0.325123</v>
      </c>
      <c r="J2527" s="57">
        <v>0.35764499999999999</v>
      </c>
      <c r="K2527" s="56"/>
      <c r="L2527" s="56" t="s">
        <v>488</v>
      </c>
    </row>
    <row r="2528" spans="2:12" x14ac:dyDescent="0.2">
      <c r="B2528" s="62" t="s">
        <v>3384</v>
      </c>
      <c r="C2528" s="61" t="s">
        <v>510</v>
      </c>
      <c r="D2528" s="60">
        <v>1.76237</v>
      </c>
      <c r="E2528" s="59">
        <v>2.5964100000000001</v>
      </c>
      <c r="F2528" s="59">
        <v>3.7952900000000001</v>
      </c>
      <c r="G2528" s="56">
        <v>0</v>
      </c>
      <c r="H2528" s="56">
        <v>0</v>
      </c>
      <c r="I2528" s="58">
        <v>0.17630899999999999</v>
      </c>
      <c r="J2528" s="57">
        <v>0.227274</v>
      </c>
      <c r="K2528" s="56"/>
      <c r="L2528" s="56" t="s">
        <v>488</v>
      </c>
    </row>
    <row r="2529" spans="2:12" x14ac:dyDescent="0.2">
      <c r="B2529" s="62" t="s">
        <v>3383</v>
      </c>
      <c r="C2529" s="61" t="s">
        <v>510</v>
      </c>
      <c r="D2529" s="60">
        <v>1.26956</v>
      </c>
      <c r="E2529" s="59">
        <v>4.4187500000000002</v>
      </c>
      <c r="F2529" s="59">
        <v>5.7172499999999999</v>
      </c>
      <c r="G2529" s="56">
        <v>673.51700000000005</v>
      </c>
      <c r="H2529" s="56">
        <v>530.51300000000003</v>
      </c>
      <c r="I2529" s="58">
        <v>0.27836499999999997</v>
      </c>
      <c r="J2529" s="57">
        <v>0.36607400000000001</v>
      </c>
      <c r="K2529" s="56"/>
      <c r="L2529" s="56" t="s">
        <v>492</v>
      </c>
    </row>
    <row r="2530" spans="2:12" x14ac:dyDescent="0.2">
      <c r="B2530" s="62" t="s">
        <v>3382</v>
      </c>
      <c r="C2530" s="61" t="s">
        <v>632</v>
      </c>
      <c r="D2530" s="60">
        <v>1.83144</v>
      </c>
      <c r="E2530" s="59">
        <v>10.41841</v>
      </c>
      <c r="F2530" s="59">
        <v>10.6358</v>
      </c>
      <c r="G2530" s="56">
        <v>1099.8900000000001</v>
      </c>
      <c r="H2530" s="56">
        <v>600.55799999999999</v>
      </c>
      <c r="I2530" s="58">
        <v>0.656088</v>
      </c>
      <c r="J2530" s="57">
        <v>0.314693</v>
      </c>
      <c r="K2530" s="56"/>
      <c r="L2530" s="56" t="s">
        <v>488</v>
      </c>
    </row>
    <row r="2531" spans="2:12" x14ac:dyDescent="0.2">
      <c r="B2531" s="62" t="s">
        <v>3381</v>
      </c>
      <c r="C2531" s="61" t="s">
        <v>2665</v>
      </c>
      <c r="D2531" s="60">
        <v>1.2238500000000001</v>
      </c>
      <c r="E2531" s="59">
        <v>4.8508899999999997</v>
      </c>
      <c r="F2531" s="59">
        <v>5.5969899999999999</v>
      </c>
      <c r="G2531" s="56">
        <v>599.78499999999997</v>
      </c>
      <c r="H2531" s="56">
        <v>490.08100000000002</v>
      </c>
      <c r="I2531" s="58">
        <v>0.23754400000000001</v>
      </c>
      <c r="J2531" s="57">
        <v>0.37937300000000002</v>
      </c>
      <c r="K2531" s="56"/>
      <c r="L2531" s="56" t="s">
        <v>488</v>
      </c>
    </row>
    <row r="2532" spans="2:12" x14ac:dyDescent="0.2">
      <c r="B2532" s="62" t="s">
        <v>3380</v>
      </c>
      <c r="C2532" s="61" t="s">
        <v>1652</v>
      </c>
      <c r="D2532" s="60">
        <v>1.6895</v>
      </c>
      <c r="E2532" s="59">
        <v>6.4220800000000002</v>
      </c>
      <c r="F2532" s="59">
        <v>6.8084899999999999</v>
      </c>
      <c r="G2532" s="56">
        <v>1421.88</v>
      </c>
      <c r="H2532" s="56">
        <v>841.6</v>
      </c>
      <c r="I2532" s="58">
        <v>0.61021599999999998</v>
      </c>
      <c r="J2532" s="57">
        <v>0.33363700000000002</v>
      </c>
      <c r="K2532" s="56"/>
      <c r="L2532" s="56" t="s">
        <v>488</v>
      </c>
    </row>
    <row r="2533" spans="2:12" x14ac:dyDescent="0.2">
      <c r="B2533" s="62" t="s">
        <v>3379</v>
      </c>
      <c r="C2533" s="61" t="s">
        <v>1604</v>
      </c>
      <c r="D2533" s="60">
        <v>1.4864299999999999</v>
      </c>
      <c r="E2533" s="59">
        <v>3.8125900000000001</v>
      </c>
      <c r="F2533" s="59">
        <v>6.20608</v>
      </c>
      <c r="G2533" s="56">
        <v>885.83399999999995</v>
      </c>
      <c r="H2533" s="56">
        <v>595.94799999999998</v>
      </c>
      <c r="I2533" s="58">
        <v>0.41137400000000002</v>
      </c>
      <c r="J2533" s="57">
        <v>0.35941499999999998</v>
      </c>
      <c r="K2533" s="56"/>
      <c r="L2533" s="56" t="s">
        <v>488</v>
      </c>
    </row>
    <row r="2534" spans="2:12" x14ac:dyDescent="0.2">
      <c r="B2534" s="62" t="s">
        <v>3378</v>
      </c>
      <c r="C2534" s="61" t="s">
        <v>1604</v>
      </c>
      <c r="D2534" s="60">
        <v>1.4696199999999999</v>
      </c>
      <c r="E2534" s="59">
        <v>3.7706900000000001</v>
      </c>
      <c r="F2534" s="59">
        <v>6.1639499999999998</v>
      </c>
      <c r="G2534" s="56">
        <v>871.30600000000004</v>
      </c>
      <c r="H2534" s="56">
        <v>592.87900000000002</v>
      </c>
      <c r="I2534" s="58">
        <v>0.40885100000000002</v>
      </c>
      <c r="J2534" s="57">
        <v>0.36622700000000002</v>
      </c>
      <c r="K2534" s="56"/>
      <c r="L2534" s="56" t="s">
        <v>488</v>
      </c>
    </row>
    <row r="2535" spans="2:12" x14ac:dyDescent="0.2">
      <c r="B2535" s="62" t="s">
        <v>3377</v>
      </c>
      <c r="C2535" s="61" t="s">
        <v>1604</v>
      </c>
      <c r="D2535" s="60">
        <v>1.17286</v>
      </c>
      <c r="E2535" s="59">
        <v>4.8811299999999997</v>
      </c>
      <c r="F2535" s="59">
        <v>7.5404900000000001</v>
      </c>
      <c r="G2535" s="56">
        <v>1412</v>
      </c>
      <c r="H2535" s="56">
        <v>1203.8900000000001</v>
      </c>
      <c r="I2535" s="58">
        <v>0.51280999999999999</v>
      </c>
      <c r="J2535" s="57">
        <v>0.50502400000000003</v>
      </c>
      <c r="K2535" s="56"/>
      <c r="L2535" s="56" t="s">
        <v>488</v>
      </c>
    </row>
    <row r="2536" spans="2:12" x14ac:dyDescent="0.2">
      <c r="B2536" s="62" t="s">
        <v>3376</v>
      </c>
      <c r="C2536" s="61" t="s">
        <v>499</v>
      </c>
      <c r="D2536" s="60">
        <v>1.24007</v>
      </c>
      <c r="E2536" s="59">
        <v>3.90943</v>
      </c>
      <c r="F2536" s="59">
        <v>5.5836399999999999</v>
      </c>
      <c r="G2536" s="56">
        <v>576.41</v>
      </c>
      <c r="H2536" s="56">
        <v>464.82</v>
      </c>
      <c r="I2536" s="58">
        <v>0.43168400000000001</v>
      </c>
      <c r="J2536" s="57">
        <v>0.41875899999999999</v>
      </c>
      <c r="K2536" s="56"/>
      <c r="L2536" s="56" t="s">
        <v>488</v>
      </c>
    </row>
    <row r="2537" spans="2:12" x14ac:dyDescent="0.2">
      <c r="B2537" s="62" t="s">
        <v>3375</v>
      </c>
      <c r="C2537" s="61" t="s">
        <v>499</v>
      </c>
      <c r="D2537" s="60">
        <v>1.06941</v>
      </c>
      <c r="E2537" s="59">
        <v>5.1647600000000002</v>
      </c>
      <c r="F2537" s="59">
        <v>6.2571199999999996</v>
      </c>
      <c r="G2537" s="56">
        <v>1201.72</v>
      </c>
      <c r="H2537" s="56">
        <v>1123.73</v>
      </c>
      <c r="I2537" s="58">
        <v>0.55187900000000001</v>
      </c>
      <c r="J2537" s="57">
        <v>0.53329000000000004</v>
      </c>
      <c r="K2537" s="56"/>
      <c r="L2537" s="56" t="s">
        <v>488</v>
      </c>
    </row>
    <row r="2538" spans="2:12" x14ac:dyDescent="0.2">
      <c r="B2538" s="62" t="s">
        <v>3374</v>
      </c>
      <c r="C2538" s="61" t="s">
        <v>499</v>
      </c>
      <c r="D2538" s="60">
        <v>0.87799000000000005</v>
      </c>
      <c r="E2538" s="59">
        <v>5.9090100000000003</v>
      </c>
      <c r="F2538" s="59">
        <v>7.1564300000000003</v>
      </c>
      <c r="G2538" s="56">
        <v>1763.96</v>
      </c>
      <c r="H2538" s="56">
        <v>2009.09</v>
      </c>
      <c r="I2538" s="58">
        <v>0.63193600000000005</v>
      </c>
      <c r="J2538" s="57">
        <v>0.73028499999999996</v>
      </c>
      <c r="K2538" s="56"/>
      <c r="L2538" s="56" t="s">
        <v>488</v>
      </c>
    </row>
    <row r="2539" spans="2:12" x14ac:dyDescent="0.2">
      <c r="B2539" s="62" t="s">
        <v>3373</v>
      </c>
      <c r="C2539" s="61" t="s">
        <v>499</v>
      </c>
      <c r="D2539" s="60">
        <v>0.71601599999999999</v>
      </c>
      <c r="E2539" s="59">
        <v>6.6591399999999998</v>
      </c>
      <c r="F2539" s="59">
        <v>8.5309100000000004</v>
      </c>
      <c r="G2539" s="56">
        <v>2103.34</v>
      </c>
      <c r="H2539" s="56">
        <v>2937.55</v>
      </c>
      <c r="I2539" s="58">
        <v>0.73120600000000002</v>
      </c>
      <c r="J2539" s="57">
        <v>0.97948100000000005</v>
      </c>
      <c r="K2539" s="56"/>
      <c r="L2539" s="56" t="s">
        <v>488</v>
      </c>
    </row>
    <row r="2540" spans="2:12" x14ac:dyDescent="0.2">
      <c r="B2540" s="62" t="s">
        <v>3372</v>
      </c>
      <c r="C2540" s="61" t="s">
        <v>499</v>
      </c>
      <c r="D2540" s="60">
        <v>1.6228100000000001</v>
      </c>
      <c r="E2540" s="59">
        <v>2.6863299999999999</v>
      </c>
      <c r="F2540" s="59">
        <v>3.9640300000000002</v>
      </c>
      <c r="G2540" s="56">
        <v>0</v>
      </c>
      <c r="H2540" s="56">
        <v>0</v>
      </c>
      <c r="I2540" s="58">
        <v>0.221827</v>
      </c>
      <c r="J2540" s="57">
        <v>0.25313200000000002</v>
      </c>
      <c r="K2540" s="56"/>
      <c r="L2540" s="56" t="s">
        <v>488</v>
      </c>
    </row>
    <row r="2541" spans="2:12" x14ac:dyDescent="0.2">
      <c r="B2541" s="62" t="s">
        <v>3371</v>
      </c>
      <c r="C2541" s="61" t="s">
        <v>499</v>
      </c>
      <c r="D2541" s="60">
        <v>1.0089600000000001</v>
      </c>
      <c r="E2541" s="59">
        <v>6.2567500000000003</v>
      </c>
      <c r="F2541" s="59">
        <v>7.5232799999999997</v>
      </c>
      <c r="G2541" s="56">
        <v>1109.74</v>
      </c>
      <c r="H2541" s="56">
        <v>1099.8800000000001</v>
      </c>
      <c r="I2541" s="58">
        <v>0.52831300000000003</v>
      </c>
      <c r="J2541" s="57">
        <v>0.54500899999999997</v>
      </c>
      <c r="K2541" s="56" t="s">
        <v>1816</v>
      </c>
      <c r="L2541" s="56" t="s">
        <v>563</v>
      </c>
    </row>
    <row r="2542" spans="2:12" x14ac:dyDescent="0.2">
      <c r="B2542" s="62" t="s">
        <v>3370</v>
      </c>
      <c r="C2542" s="61" t="s">
        <v>929</v>
      </c>
      <c r="D2542" s="60">
        <v>1.0665100000000001</v>
      </c>
      <c r="E2542" s="59">
        <v>3.8689100000000001</v>
      </c>
      <c r="F2542" s="59">
        <v>5.5324</v>
      </c>
      <c r="G2542" s="56">
        <v>407.524</v>
      </c>
      <c r="H2542" s="56">
        <v>382.11</v>
      </c>
      <c r="I2542" s="58">
        <v>0.27110000000000001</v>
      </c>
      <c r="J2542" s="57">
        <v>0.47130100000000003</v>
      </c>
      <c r="K2542" s="56"/>
      <c r="L2542" s="56" t="s">
        <v>492</v>
      </c>
    </row>
    <row r="2543" spans="2:12" x14ac:dyDescent="0.2">
      <c r="B2543" s="62" t="s">
        <v>3369</v>
      </c>
      <c r="C2543" s="61" t="s">
        <v>625</v>
      </c>
      <c r="D2543" s="60">
        <v>1.29704</v>
      </c>
      <c r="E2543" s="59">
        <v>3.8502399999999999</v>
      </c>
      <c r="F2543" s="59">
        <v>4.61944</v>
      </c>
      <c r="G2543" s="56">
        <v>469.93599999999998</v>
      </c>
      <c r="H2543" s="56">
        <v>362.31299999999999</v>
      </c>
      <c r="I2543" s="58">
        <v>0.50440499999999999</v>
      </c>
      <c r="J2543" s="57">
        <v>0.443357</v>
      </c>
      <c r="K2543" s="56"/>
      <c r="L2543" s="56" t="s">
        <v>492</v>
      </c>
    </row>
    <row r="2544" spans="2:12" x14ac:dyDescent="0.2">
      <c r="B2544" s="62" t="s">
        <v>3368</v>
      </c>
      <c r="C2544" s="61" t="s">
        <v>502</v>
      </c>
      <c r="D2544" s="60">
        <v>0.60330700000000004</v>
      </c>
      <c r="E2544" s="59">
        <v>11.502879999999999</v>
      </c>
      <c r="F2544" s="59">
        <v>12.582179999999999</v>
      </c>
      <c r="G2544" s="56">
        <v>1904.29</v>
      </c>
      <c r="H2544" s="56">
        <v>3156.42</v>
      </c>
      <c r="I2544" s="58">
        <v>0.81480799999999998</v>
      </c>
      <c r="J2544" s="57">
        <v>1.2603800000000001</v>
      </c>
      <c r="K2544" s="56"/>
      <c r="L2544" s="56" t="s">
        <v>488</v>
      </c>
    </row>
    <row r="2545" spans="2:12" x14ac:dyDescent="0.2">
      <c r="B2545" s="62" t="s">
        <v>3367</v>
      </c>
      <c r="C2545" s="61" t="s">
        <v>625</v>
      </c>
      <c r="D2545" s="60">
        <v>2.0289000000000001</v>
      </c>
      <c r="E2545" s="59">
        <v>2.65055</v>
      </c>
      <c r="F2545" s="59">
        <v>4.3095100000000004</v>
      </c>
      <c r="G2545" s="56">
        <v>0</v>
      </c>
      <c r="H2545" s="56">
        <v>0</v>
      </c>
      <c r="I2545" s="58">
        <v>0.21704100000000001</v>
      </c>
      <c r="J2545" s="57">
        <v>0.18434600000000001</v>
      </c>
      <c r="K2545" s="56"/>
      <c r="L2545" s="56" t="s">
        <v>488</v>
      </c>
    </row>
    <row r="2546" spans="2:12" x14ac:dyDescent="0.2">
      <c r="B2546" s="62" t="s">
        <v>3366</v>
      </c>
      <c r="C2546" s="61" t="s">
        <v>859</v>
      </c>
      <c r="D2546" s="60">
        <v>2.3456399999999999</v>
      </c>
      <c r="E2546" s="59">
        <v>2.8869600000000002</v>
      </c>
      <c r="F2546" s="59">
        <v>3.93702</v>
      </c>
      <c r="G2546" s="56">
        <v>0</v>
      </c>
      <c r="H2546" s="56">
        <v>0</v>
      </c>
      <c r="I2546" s="58">
        <v>0.198822</v>
      </c>
      <c r="J2546" s="57">
        <v>0.166572</v>
      </c>
      <c r="K2546" s="56"/>
      <c r="L2546" s="56" t="s">
        <v>488</v>
      </c>
    </row>
    <row r="2547" spans="2:12" x14ac:dyDescent="0.2">
      <c r="B2547" s="62" t="s">
        <v>3365</v>
      </c>
      <c r="C2547" s="61" t="s">
        <v>579</v>
      </c>
      <c r="D2547" s="60">
        <v>1.77725</v>
      </c>
      <c r="E2547" s="59">
        <v>2.96698</v>
      </c>
      <c r="F2547" s="59">
        <v>4.7379100000000003</v>
      </c>
      <c r="G2547" s="56">
        <v>0</v>
      </c>
      <c r="H2547" s="56">
        <v>0</v>
      </c>
      <c r="I2547" s="58">
        <v>0.27749299999999999</v>
      </c>
      <c r="J2547" s="57">
        <v>0.27722000000000002</v>
      </c>
      <c r="K2547" s="56"/>
      <c r="L2547" s="56" t="s">
        <v>488</v>
      </c>
    </row>
    <row r="2548" spans="2:12" x14ac:dyDescent="0.2">
      <c r="B2548" s="62" t="s">
        <v>3364</v>
      </c>
      <c r="C2548" s="61" t="s">
        <v>531</v>
      </c>
      <c r="D2548" s="60">
        <v>1.8670500000000001</v>
      </c>
      <c r="E2548" s="59">
        <v>2.9424999999999999</v>
      </c>
      <c r="F2548" s="59">
        <v>5.8473199999999999</v>
      </c>
      <c r="G2548" s="56">
        <v>0</v>
      </c>
      <c r="H2548" s="56">
        <v>0</v>
      </c>
      <c r="I2548" s="58">
        <v>0.308564</v>
      </c>
      <c r="J2548" s="57">
        <v>0.26061600000000001</v>
      </c>
      <c r="K2548" s="56"/>
      <c r="L2548" s="56" t="s">
        <v>488</v>
      </c>
    </row>
    <row r="2549" spans="2:12" x14ac:dyDescent="0.2">
      <c r="B2549" s="62" t="s">
        <v>3363</v>
      </c>
      <c r="C2549" s="61" t="s">
        <v>533</v>
      </c>
      <c r="D2549" s="60">
        <v>1.9085700000000001</v>
      </c>
      <c r="E2549" s="59">
        <v>2.9329200000000002</v>
      </c>
      <c r="F2549" s="59">
        <v>5.75047</v>
      </c>
      <c r="G2549" s="56">
        <v>0</v>
      </c>
      <c r="H2549" s="56">
        <v>0</v>
      </c>
      <c r="I2549" s="58">
        <v>0.30873899999999999</v>
      </c>
      <c r="J2549" s="57">
        <v>0.25432900000000003</v>
      </c>
      <c r="K2549" s="56"/>
      <c r="L2549" s="56" t="s">
        <v>488</v>
      </c>
    </row>
    <row r="2550" spans="2:12" x14ac:dyDescent="0.2">
      <c r="B2550" s="62" t="s">
        <v>3362</v>
      </c>
      <c r="C2550" s="61" t="s">
        <v>499</v>
      </c>
      <c r="D2550" s="60">
        <v>1.15662</v>
      </c>
      <c r="E2550" s="59">
        <v>3.9308700000000001</v>
      </c>
      <c r="F2550" s="59">
        <v>5.3330700000000002</v>
      </c>
      <c r="G2550" s="56">
        <v>1131.95</v>
      </c>
      <c r="H2550" s="56">
        <v>978.67399999999998</v>
      </c>
      <c r="I2550" s="58">
        <v>0.54449700000000001</v>
      </c>
      <c r="J2550" s="57">
        <v>0.52597099999999997</v>
      </c>
      <c r="K2550" s="56"/>
      <c r="L2550" s="56" t="s">
        <v>488</v>
      </c>
    </row>
    <row r="2551" spans="2:12" x14ac:dyDescent="0.2">
      <c r="B2551" s="62" t="s">
        <v>3361</v>
      </c>
      <c r="C2551" s="61" t="s">
        <v>1814</v>
      </c>
      <c r="D2551" s="60">
        <v>2.20438</v>
      </c>
      <c r="E2551" s="59">
        <v>3.2181299999999999</v>
      </c>
      <c r="F2551" s="59">
        <v>3.4716300000000002</v>
      </c>
      <c r="G2551" s="56">
        <v>0</v>
      </c>
      <c r="H2551" s="56">
        <v>0</v>
      </c>
      <c r="I2551" s="58">
        <v>0.29359400000000002</v>
      </c>
      <c r="J2551" s="57">
        <v>0.183083</v>
      </c>
      <c r="K2551" s="56"/>
      <c r="L2551" s="56" t="s">
        <v>488</v>
      </c>
    </row>
    <row r="2552" spans="2:12" x14ac:dyDescent="0.2">
      <c r="B2552" s="62" t="s">
        <v>3360</v>
      </c>
      <c r="C2552" s="61" t="s">
        <v>548</v>
      </c>
      <c r="D2552" s="60">
        <v>1.7282200000000001</v>
      </c>
      <c r="E2552" s="59">
        <v>2.8557299999999999</v>
      </c>
      <c r="F2552" s="59">
        <v>6.5622299999999996</v>
      </c>
      <c r="G2552" s="56">
        <v>0</v>
      </c>
      <c r="H2552" s="56">
        <v>0</v>
      </c>
      <c r="I2552" s="58">
        <v>0.73808399999999996</v>
      </c>
      <c r="J2552" s="57">
        <v>0.28240700000000002</v>
      </c>
      <c r="K2552" s="56"/>
      <c r="L2552" s="56" t="s">
        <v>488</v>
      </c>
    </row>
    <row r="2553" spans="2:12" x14ac:dyDescent="0.2">
      <c r="B2553" s="62" t="s">
        <v>3359</v>
      </c>
      <c r="C2553" s="61" t="s">
        <v>499</v>
      </c>
      <c r="D2553" s="60">
        <v>0.92110300000000001</v>
      </c>
      <c r="E2553" s="59">
        <v>3.1316999999999999</v>
      </c>
      <c r="F2553" s="59">
        <v>11.42301</v>
      </c>
      <c r="G2553" s="56">
        <v>0</v>
      </c>
      <c r="H2553" s="56">
        <v>0</v>
      </c>
      <c r="I2553" s="58">
        <v>0.51337100000000002</v>
      </c>
      <c r="J2553" s="57">
        <v>0.67987200000000003</v>
      </c>
      <c r="K2553" s="56" t="s">
        <v>1816</v>
      </c>
      <c r="L2553" s="56" t="s">
        <v>563</v>
      </c>
    </row>
    <row r="2554" spans="2:12" x14ac:dyDescent="0.2">
      <c r="B2554" s="62" t="s">
        <v>3358</v>
      </c>
      <c r="C2554" s="61" t="s">
        <v>499</v>
      </c>
      <c r="D2554" s="60">
        <v>1.09108</v>
      </c>
      <c r="E2554" s="59">
        <v>5.0890300000000002</v>
      </c>
      <c r="F2554" s="59">
        <v>7.6873399999999998</v>
      </c>
      <c r="G2554" s="56">
        <v>1462.63</v>
      </c>
      <c r="H2554" s="56">
        <v>1340.54</v>
      </c>
      <c r="I2554" s="58">
        <v>0.54428500000000002</v>
      </c>
      <c r="J2554" s="57">
        <v>0.51208200000000004</v>
      </c>
      <c r="K2554" s="56"/>
      <c r="L2554" s="56" t="s">
        <v>488</v>
      </c>
    </row>
    <row r="2555" spans="2:12" x14ac:dyDescent="0.2">
      <c r="B2555" s="62" t="s">
        <v>3357</v>
      </c>
      <c r="C2555" s="61" t="s">
        <v>499</v>
      </c>
      <c r="D2555" s="60">
        <v>0.94726399999999999</v>
      </c>
      <c r="E2555" s="59">
        <v>3.2346400000000002</v>
      </c>
      <c r="F2555" s="59">
        <v>13.739190000000001</v>
      </c>
      <c r="G2555" s="56">
        <v>0</v>
      </c>
      <c r="H2555" s="56">
        <v>0</v>
      </c>
      <c r="I2555" s="58">
        <v>0.57240400000000002</v>
      </c>
      <c r="J2555" s="57">
        <v>0.64845399999999997</v>
      </c>
      <c r="K2555" s="56"/>
      <c r="L2555" s="56" t="s">
        <v>492</v>
      </c>
    </row>
    <row r="2556" spans="2:12" x14ac:dyDescent="0.2">
      <c r="B2556" s="62" t="s">
        <v>3356</v>
      </c>
      <c r="C2556" s="61" t="s">
        <v>1697</v>
      </c>
      <c r="D2556" s="60">
        <v>0.96941900000000003</v>
      </c>
      <c r="E2556" s="59">
        <v>4.5258200000000004</v>
      </c>
      <c r="F2556" s="59">
        <v>13.646599999999999</v>
      </c>
      <c r="G2556" s="56">
        <v>1823.77</v>
      </c>
      <c r="H2556" s="56">
        <v>1881.3</v>
      </c>
      <c r="I2556" s="58">
        <v>0.70425400000000005</v>
      </c>
      <c r="J2556" s="57">
        <v>0.71442300000000003</v>
      </c>
      <c r="K2556" s="56"/>
      <c r="L2556" s="56" t="s">
        <v>488</v>
      </c>
    </row>
    <row r="2557" spans="2:12" x14ac:dyDescent="0.2">
      <c r="B2557" s="62" t="s">
        <v>3355</v>
      </c>
      <c r="C2557" s="61" t="s">
        <v>499</v>
      </c>
      <c r="D2557" s="60">
        <v>1.19211</v>
      </c>
      <c r="E2557" s="59">
        <v>4.3342200000000002</v>
      </c>
      <c r="F2557" s="59">
        <v>5.7758500000000002</v>
      </c>
      <c r="G2557" s="56">
        <v>1602.39</v>
      </c>
      <c r="H2557" s="56">
        <v>1344.17</v>
      </c>
      <c r="I2557" s="58">
        <v>0.57747800000000005</v>
      </c>
      <c r="J2557" s="57">
        <v>0.51060399999999995</v>
      </c>
      <c r="K2557" s="56"/>
      <c r="L2557" s="56" t="s">
        <v>488</v>
      </c>
    </row>
    <row r="2558" spans="2:12" x14ac:dyDescent="0.2">
      <c r="B2558" s="62" t="s">
        <v>3354</v>
      </c>
      <c r="C2558" s="61" t="s">
        <v>495</v>
      </c>
      <c r="D2558" s="60">
        <v>0.84322699999999995</v>
      </c>
      <c r="E2558" s="59">
        <v>5.60914</v>
      </c>
      <c r="F2558" s="59">
        <v>9.3895599999999995</v>
      </c>
      <c r="G2558" s="56">
        <v>1945.46</v>
      </c>
      <c r="H2558" s="56">
        <v>2307.16</v>
      </c>
      <c r="I2558" s="58">
        <v>0.67717099999999997</v>
      </c>
      <c r="J2558" s="57">
        <v>0.805427</v>
      </c>
      <c r="K2558" s="56" t="s">
        <v>3350</v>
      </c>
      <c r="L2558" s="56" t="s">
        <v>563</v>
      </c>
    </row>
    <row r="2559" spans="2:12" x14ac:dyDescent="0.2">
      <c r="B2559" s="62" t="s">
        <v>3353</v>
      </c>
      <c r="C2559" s="61" t="s">
        <v>3085</v>
      </c>
      <c r="D2559" s="60">
        <v>0.85140700000000002</v>
      </c>
      <c r="E2559" s="59">
        <v>5.7621500000000001</v>
      </c>
      <c r="F2559" s="59">
        <v>9.5162999999999993</v>
      </c>
      <c r="G2559" s="56">
        <v>2016.17</v>
      </c>
      <c r="H2559" s="56">
        <v>2368.04</v>
      </c>
      <c r="I2559" s="58">
        <v>0.68125400000000003</v>
      </c>
      <c r="J2559" s="57">
        <v>0.798763</v>
      </c>
      <c r="K2559" s="56"/>
      <c r="L2559" s="56" t="s">
        <v>488</v>
      </c>
    </row>
    <row r="2560" spans="2:12" x14ac:dyDescent="0.2">
      <c r="B2560" s="62" t="s">
        <v>3352</v>
      </c>
      <c r="C2560" s="61" t="s">
        <v>3351</v>
      </c>
      <c r="D2560" s="60">
        <v>0.99487400000000004</v>
      </c>
      <c r="E2560" s="59">
        <v>6.8157100000000002</v>
      </c>
      <c r="F2560" s="59">
        <v>9.9497</v>
      </c>
      <c r="G2560" s="56">
        <v>1900.81</v>
      </c>
      <c r="H2560" s="56">
        <v>1910.6</v>
      </c>
      <c r="I2560" s="58">
        <v>0.71089400000000003</v>
      </c>
      <c r="J2560" s="57">
        <v>0.70179100000000005</v>
      </c>
      <c r="K2560" s="56" t="s">
        <v>3350</v>
      </c>
      <c r="L2560" s="56" t="s">
        <v>563</v>
      </c>
    </row>
    <row r="2561" spans="2:12" x14ac:dyDescent="0.2">
      <c r="B2561" s="62" t="s">
        <v>3349</v>
      </c>
      <c r="C2561" s="61" t="s">
        <v>495</v>
      </c>
      <c r="D2561" s="60">
        <v>0.84507299999999996</v>
      </c>
      <c r="E2561" s="59">
        <v>8.1180299999999992</v>
      </c>
      <c r="F2561" s="59">
        <v>12.260160000000001</v>
      </c>
      <c r="G2561" s="56">
        <v>1396.69</v>
      </c>
      <c r="H2561" s="56">
        <v>1652.75</v>
      </c>
      <c r="I2561" s="58">
        <v>0.60364899999999999</v>
      </c>
      <c r="J2561" s="57">
        <v>0.76718299999999995</v>
      </c>
      <c r="K2561" s="56"/>
      <c r="L2561" s="56" t="s">
        <v>488</v>
      </c>
    </row>
    <row r="2562" spans="2:12" x14ac:dyDescent="0.2">
      <c r="B2562" s="62" t="s">
        <v>3348</v>
      </c>
      <c r="C2562" s="61" t="s">
        <v>502</v>
      </c>
      <c r="D2562" s="60">
        <v>0.40879599999999999</v>
      </c>
      <c r="E2562" s="59">
        <v>9.0696600000000007</v>
      </c>
      <c r="F2562" s="59">
        <v>21.825310000000002</v>
      </c>
      <c r="G2562" s="56">
        <v>1878.15</v>
      </c>
      <c r="H2562" s="56">
        <v>4594.3500000000004</v>
      </c>
      <c r="I2562" s="58">
        <v>0.88533300000000004</v>
      </c>
      <c r="J2562" s="57">
        <v>2.0621900000000002</v>
      </c>
      <c r="K2562" s="56"/>
      <c r="L2562" s="56" t="s">
        <v>488</v>
      </c>
    </row>
    <row r="2563" spans="2:12" x14ac:dyDescent="0.2">
      <c r="B2563" s="62" t="s">
        <v>3347</v>
      </c>
      <c r="C2563" s="61" t="s">
        <v>502</v>
      </c>
      <c r="D2563" s="60">
        <v>1.6884699999999999</v>
      </c>
      <c r="E2563" s="59">
        <v>2.6404899999999998</v>
      </c>
      <c r="F2563" s="59">
        <v>3.0955400000000002</v>
      </c>
      <c r="G2563" s="56">
        <v>0</v>
      </c>
      <c r="H2563" s="56">
        <v>0</v>
      </c>
      <c r="I2563" s="58">
        <v>8.8995400000000002E-2</v>
      </c>
      <c r="J2563" s="57">
        <v>0.24667900000000001</v>
      </c>
      <c r="K2563" s="56"/>
      <c r="L2563" s="56" t="s">
        <v>488</v>
      </c>
    </row>
    <row r="2564" spans="2:12" x14ac:dyDescent="0.2">
      <c r="B2564" s="62" t="s">
        <v>3346</v>
      </c>
      <c r="C2564" s="61" t="s">
        <v>499</v>
      </c>
      <c r="D2564" s="60">
        <v>1.2693099999999999</v>
      </c>
      <c r="E2564" s="59">
        <v>3.5866799999999999</v>
      </c>
      <c r="F2564" s="59">
        <v>4.7078600000000002</v>
      </c>
      <c r="G2564" s="56">
        <v>0</v>
      </c>
      <c r="H2564" s="56">
        <v>0</v>
      </c>
      <c r="I2564" s="58">
        <v>0.387681</v>
      </c>
      <c r="J2564" s="57">
        <v>0.41001500000000002</v>
      </c>
      <c r="K2564" s="56"/>
      <c r="L2564" s="56" t="s">
        <v>488</v>
      </c>
    </row>
    <row r="2565" spans="2:12" x14ac:dyDescent="0.2">
      <c r="B2565" s="62" t="s">
        <v>3345</v>
      </c>
      <c r="C2565" s="61" t="s">
        <v>499</v>
      </c>
      <c r="D2565" s="60">
        <v>1.21757</v>
      </c>
      <c r="E2565" s="59">
        <v>3.6656900000000001</v>
      </c>
      <c r="F2565" s="59">
        <v>4.9533800000000001</v>
      </c>
      <c r="G2565" s="56">
        <v>0</v>
      </c>
      <c r="H2565" s="56">
        <v>0</v>
      </c>
      <c r="I2565" s="58">
        <v>0.42347299999999999</v>
      </c>
      <c r="J2565" s="57">
        <v>0.44266899999999998</v>
      </c>
      <c r="K2565" s="56"/>
      <c r="L2565" s="56" t="s">
        <v>488</v>
      </c>
    </row>
    <row r="2566" spans="2:12" x14ac:dyDescent="0.2">
      <c r="B2566" s="62" t="s">
        <v>3344</v>
      </c>
      <c r="C2566" s="61" t="s">
        <v>499</v>
      </c>
      <c r="D2566" s="60">
        <v>1.2100500000000001</v>
      </c>
      <c r="E2566" s="59">
        <v>3.6802299999999999</v>
      </c>
      <c r="F2566" s="59">
        <v>5.0732799999999996</v>
      </c>
      <c r="G2566" s="56">
        <v>0</v>
      </c>
      <c r="H2566" s="56">
        <v>0</v>
      </c>
      <c r="I2566" s="58">
        <v>0.43391099999999999</v>
      </c>
      <c r="J2566" s="57">
        <v>0.44763700000000001</v>
      </c>
      <c r="K2566" s="56"/>
      <c r="L2566" s="56" t="s">
        <v>488</v>
      </c>
    </row>
    <row r="2567" spans="2:12" x14ac:dyDescent="0.2">
      <c r="B2567" s="62" t="s">
        <v>3343</v>
      </c>
      <c r="C2567" s="61" t="s">
        <v>641</v>
      </c>
      <c r="D2567" s="60">
        <v>1.6767099999999999</v>
      </c>
      <c r="E2567" s="59">
        <v>3.5361500000000001</v>
      </c>
      <c r="F2567" s="59">
        <v>5.3226699999999996</v>
      </c>
      <c r="G2567" s="56">
        <v>0</v>
      </c>
      <c r="H2567" s="56">
        <v>0</v>
      </c>
      <c r="I2567" s="58">
        <v>0.25550499999999998</v>
      </c>
      <c r="J2567" s="57">
        <v>0.25691399999999998</v>
      </c>
      <c r="K2567" s="56"/>
      <c r="L2567" s="56" t="s">
        <v>488</v>
      </c>
    </row>
    <row r="2568" spans="2:12" x14ac:dyDescent="0.2">
      <c r="B2568" s="62" t="s">
        <v>3342</v>
      </c>
      <c r="C2568" s="61" t="s">
        <v>507</v>
      </c>
      <c r="D2568" s="60">
        <v>1.69384</v>
      </c>
      <c r="E2568" s="59">
        <v>3.5623399999999998</v>
      </c>
      <c r="F2568" s="59">
        <v>5.3333000000000004</v>
      </c>
      <c r="G2568" s="56">
        <v>0</v>
      </c>
      <c r="H2568" s="56">
        <v>0</v>
      </c>
      <c r="I2568" s="58">
        <v>0.25569500000000001</v>
      </c>
      <c r="J2568" s="57">
        <v>0.25283600000000001</v>
      </c>
      <c r="K2568" s="56"/>
      <c r="L2568" s="56" t="s">
        <v>488</v>
      </c>
    </row>
    <row r="2569" spans="2:12" x14ac:dyDescent="0.2">
      <c r="B2569" s="62" t="s">
        <v>3341</v>
      </c>
      <c r="C2569" s="61" t="s">
        <v>579</v>
      </c>
      <c r="D2569" s="60">
        <v>1.7295700000000001</v>
      </c>
      <c r="E2569" s="59">
        <v>3.41703</v>
      </c>
      <c r="F2569" s="59">
        <v>5.2646499999999996</v>
      </c>
      <c r="G2569" s="56">
        <v>0</v>
      </c>
      <c r="H2569" s="56">
        <v>0</v>
      </c>
      <c r="I2569" s="58">
        <v>0.23929400000000001</v>
      </c>
      <c r="J2569" s="57">
        <v>0.24193500000000001</v>
      </c>
      <c r="K2569" s="56"/>
      <c r="L2569" s="56" t="s">
        <v>488</v>
      </c>
    </row>
    <row r="2570" spans="2:12" x14ac:dyDescent="0.2">
      <c r="B2570" s="62" t="s">
        <v>3340</v>
      </c>
      <c r="C2570" s="61" t="s">
        <v>582</v>
      </c>
      <c r="D2570" s="60">
        <v>1.7873000000000001</v>
      </c>
      <c r="E2570" s="59">
        <v>3.4014899999999999</v>
      </c>
      <c r="F2570" s="59">
        <v>5.25291</v>
      </c>
      <c r="G2570" s="56">
        <v>0</v>
      </c>
      <c r="H2570" s="56">
        <v>0</v>
      </c>
      <c r="I2570" s="58">
        <v>0.23686399999999999</v>
      </c>
      <c r="J2570" s="57">
        <v>0.23192499999999999</v>
      </c>
      <c r="K2570" s="56"/>
      <c r="L2570" s="56" t="s">
        <v>488</v>
      </c>
    </row>
    <row r="2571" spans="2:12" x14ac:dyDescent="0.2">
      <c r="B2571" s="62" t="s">
        <v>3339</v>
      </c>
      <c r="C2571" s="61" t="s">
        <v>535</v>
      </c>
      <c r="D2571" s="60">
        <v>1.83571</v>
      </c>
      <c r="E2571" s="59">
        <v>3.40673</v>
      </c>
      <c r="F2571" s="59">
        <v>5.23285</v>
      </c>
      <c r="G2571" s="56">
        <v>0</v>
      </c>
      <c r="H2571" s="56">
        <v>0</v>
      </c>
      <c r="I2571" s="58">
        <v>0.239117</v>
      </c>
      <c r="J2571" s="57">
        <v>0.22461100000000001</v>
      </c>
      <c r="K2571" s="56"/>
      <c r="L2571" s="56" t="s">
        <v>488</v>
      </c>
    </row>
    <row r="2572" spans="2:12" x14ac:dyDescent="0.2">
      <c r="B2572" s="62" t="s">
        <v>3338</v>
      </c>
      <c r="C2572" s="61" t="s">
        <v>550</v>
      </c>
      <c r="D2572" s="60">
        <v>1.4547600000000001</v>
      </c>
      <c r="E2572" s="59">
        <v>3.6888800000000002</v>
      </c>
      <c r="F2572" s="59">
        <v>4.9491800000000001</v>
      </c>
      <c r="G2572" s="56">
        <v>0</v>
      </c>
      <c r="H2572" s="56">
        <v>0</v>
      </c>
      <c r="I2572" s="58">
        <v>0.35728799999999999</v>
      </c>
      <c r="J2572" s="57">
        <v>0.33529300000000001</v>
      </c>
      <c r="K2572" s="56"/>
      <c r="L2572" s="56" t="s">
        <v>488</v>
      </c>
    </row>
    <row r="2573" spans="2:12" x14ac:dyDescent="0.2">
      <c r="B2573" s="62" t="s">
        <v>3337</v>
      </c>
      <c r="C2573" s="61" t="s">
        <v>550</v>
      </c>
      <c r="D2573" s="60">
        <v>1.31027</v>
      </c>
      <c r="E2573" s="59">
        <v>4.8632200000000001</v>
      </c>
      <c r="F2573" s="59">
        <v>7.4610799999999999</v>
      </c>
      <c r="G2573" s="56">
        <v>1100.3699999999999</v>
      </c>
      <c r="H2573" s="56">
        <v>839.80100000000004</v>
      </c>
      <c r="I2573" s="58">
        <v>0.397198</v>
      </c>
      <c r="J2573" s="57">
        <v>0.41310200000000002</v>
      </c>
      <c r="K2573" s="56"/>
      <c r="L2573" s="56" t="s">
        <v>488</v>
      </c>
    </row>
    <row r="2574" spans="2:12" x14ac:dyDescent="0.2">
      <c r="B2574" s="62" t="s">
        <v>3336</v>
      </c>
      <c r="C2574" s="61" t="s">
        <v>1386</v>
      </c>
      <c r="D2574" s="60">
        <v>2.5373600000000001</v>
      </c>
      <c r="E2574" s="59">
        <v>3.6498300000000001</v>
      </c>
      <c r="F2574" s="59">
        <v>5.4251500000000004</v>
      </c>
      <c r="G2574" s="56">
        <v>0</v>
      </c>
      <c r="H2574" s="56">
        <v>0</v>
      </c>
      <c r="I2574" s="58">
        <v>0.22767899999999999</v>
      </c>
      <c r="J2574" s="57">
        <v>0.16347100000000001</v>
      </c>
      <c r="K2574" s="56"/>
      <c r="L2574" s="56" t="s">
        <v>488</v>
      </c>
    </row>
    <row r="2575" spans="2:12" x14ac:dyDescent="0.2">
      <c r="B2575" s="62" t="s">
        <v>3335</v>
      </c>
      <c r="C2575" s="61" t="s">
        <v>582</v>
      </c>
      <c r="D2575" s="60">
        <v>1.7293799999999999</v>
      </c>
      <c r="E2575" s="59">
        <v>4.6577099999999998</v>
      </c>
      <c r="F2575" s="59">
        <v>6.5132599999999998</v>
      </c>
      <c r="G2575" s="56">
        <v>2165.0100000000002</v>
      </c>
      <c r="H2575" s="56">
        <v>1251.9000000000001</v>
      </c>
      <c r="I2575" s="58">
        <v>0.63804099999999997</v>
      </c>
      <c r="J2575" s="57">
        <v>0.37407899999999999</v>
      </c>
      <c r="K2575" s="56"/>
      <c r="L2575" s="56" t="s">
        <v>488</v>
      </c>
    </row>
    <row r="2576" spans="2:12" x14ac:dyDescent="0.2">
      <c r="B2576" s="62" t="s">
        <v>3334</v>
      </c>
      <c r="C2576" s="61" t="s">
        <v>612</v>
      </c>
      <c r="D2576" s="60">
        <v>0.71382199999999996</v>
      </c>
      <c r="E2576" s="59">
        <v>7.7840499999999997</v>
      </c>
      <c r="F2576" s="59">
        <v>8.8075799999999997</v>
      </c>
      <c r="G2576" s="56">
        <v>2119.1999999999998</v>
      </c>
      <c r="H2576" s="56">
        <v>2968.8</v>
      </c>
      <c r="I2576" s="58">
        <v>0.74069499999999999</v>
      </c>
      <c r="J2576" s="57">
        <v>0.99328300000000003</v>
      </c>
      <c r="K2576" s="56"/>
      <c r="L2576" s="56" t="s">
        <v>488</v>
      </c>
    </row>
    <row r="2577" spans="2:12" x14ac:dyDescent="0.2">
      <c r="B2577" s="62" t="s">
        <v>3333</v>
      </c>
      <c r="C2577" s="61" t="s">
        <v>499</v>
      </c>
      <c r="D2577" s="60">
        <v>0.58923499999999995</v>
      </c>
      <c r="E2577" s="59">
        <v>7.9544100000000002</v>
      </c>
      <c r="F2577" s="59">
        <v>15.09334</v>
      </c>
      <c r="G2577" s="56">
        <v>2213.09</v>
      </c>
      <c r="H2577" s="56">
        <v>3751.81</v>
      </c>
      <c r="I2577" s="58">
        <v>0.83008599999999999</v>
      </c>
      <c r="J2577" s="57">
        <v>1.3747199999999999</v>
      </c>
      <c r="K2577" s="56"/>
      <c r="L2577" s="56" t="s">
        <v>488</v>
      </c>
    </row>
    <row r="2578" spans="2:12" x14ac:dyDescent="0.2">
      <c r="B2578" s="62" t="s">
        <v>3332</v>
      </c>
      <c r="C2578" s="61" t="s">
        <v>499</v>
      </c>
      <c r="D2578" s="60">
        <v>0.58987199999999995</v>
      </c>
      <c r="E2578" s="59">
        <v>7.9570499999999997</v>
      </c>
      <c r="F2578" s="59">
        <v>15.07882</v>
      </c>
      <c r="G2578" s="56">
        <v>2210.38</v>
      </c>
      <c r="H2578" s="56">
        <v>3744.03</v>
      </c>
      <c r="I2578" s="58">
        <v>0.83176000000000005</v>
      </c>
      <c r="J2578" s="57">
        <v>1.37368</v>
      </c>
      <c r="K2578" s="56"/>
      <c r="L2578" s="56" t="s">
        <v>488</v>
      </c>
    </row>
    <row r="2579" spans="2:12" x14ac:dyDescent="0.2">
      <c r="B2579" s="62" t="s">
        <v>3331</v>
      </c>
      <c r="C2579" s="61" t="s">
        <v>499</v>
      </c>
      <c r="D2579" s="60">
        <v>0.59037499999999998</v>
      </c>
      <c r="E2579" s="59">
        <v>7.9471499999999997</v>
      </c>
      <c r="F2579" s="59">
        <v>15.08145</v>
      </c>
      <c r="G2579" s="56">
        <v>2212.7600000000002</v>
      </c>
      <c r="H2579" s="56">
        <v>3743.33</v>
      </c>
      <c r="I2579" s="58">
        <v>0.83112600000000003</v>
      </c>
      <c r="J2579" s="57">
        <v>1.3725700000000001</v>
      </c>
      <c r="K2579" s="56"/>
      <c r="L2579" s="56" t="s">
        <v>488</v>
      </c>
    </row>
    <row r="2580" spans="2:12" x14ac:dyDescent="0.2">
      <c r="B2580" s="62" t="s">
        <v>3330</v>
      </c>
      <c r="C2580" s="61" t="s">
        <v>499</v>
      </c>
      <c r="D2580" s="60">
        <v>0.59112100000000001</v>
      </c>
      <c r="E2580" s="59">
        <v>7.9567800000000002</v>
      </c>
      <c r="F2580" s="59">
        <v>15.062810000000001</v>
      </c>
      <c r="G2580" s="56">
        <v>2212.87</v>
      </c>
      <c r="H2580" s="56">
        <v>3741.85</v>
      </c>
      <c r="I2580" s="58">
        <v>0.83061499999999999</v>
      </c>
      <c r="J2580" s="57">
        <v>1.37033</v>
      </c>
      <c r="K2580" s="56"/>
      <c r="L2580" s="56" t="s">
        <v>488</v>
      </c>
    </row>
    <row r="2581" spans="2:12" x14ac:dyDescent="0.2">
      <c r="B2581" s="62" t="s">
        <v>3329</v>
      </c>
      <c r="C2581" s="61" t="s">
        <v>499</v>
      </c>
      <c r="D2581" s="60">
        <v>0.59138299999999999</v>
      </c>
      <c r="E2581" s="59">
        <v>7.9559499999999996</v>
      </c>
      <c r="F2581" s="59">
        <v>15.07878</v>
      </c>
      <c r="G2581" s="56">
        <v>2212.38</v>
      </c>
      <c r="H2581" s="56">
        <v>3736.6</v>
      </c>
      <c r="I2581" s="58">
        <v>0.83196400000000004</v>
      </c>
      <c r="J2581" s="57">
        <v>1.37009</v>
      </c>
      <c r="K2581" s="56"/>
      <c r="L2581" s="56" t="s">
        <v>488</v>
      </c>
    </row>
    <row r="2582" spans="2:12" x14ac:dyDescent="0.2">
      <c r="B2582" s="62" t="s">
        <v>3328</v>
      </c>
      <c r="C2582" s="61" t="s">
        <v>499</v>
      </c>
      <c r="D2582" s="60">
        <v>0.592082</v>
      </c>
      <c r="E2582" s="59">
        <v>7.9565900000000003</v>
      </c>
      <c r="F2582" s="59">
        <v>15.07592</v>
      </c>
      <c r="G2582" s="56">
        <v>2216.14</v>
      </c>
      <c r="H2582" s="56">
        <v>3740.63</v>
      </c>
      <c r="I2582" s="58">
        <v>0.83274400000000004</v>
      </c>
      <c r="J2582" s="57">
        <v>1.3686100000000001</v>
      </c>
      <c r="K2582" s="56"/>
      <c r="L2582" s="56" t="s">
        <v>488</v>
      </c>
    </row>
    <row r="2583" spans="2:12" x14ac:dyDescent="0.2">
      <c r="B2583" s="62" t="s">
        <v>3327</v>
      </c>
      <c r="C2583" s="61" t="s">
        <v>499</v>
      </c>
      <c r="D2583" s="60">
        <v>0.59245199999999998</v>
      </c>
      <c r="E2583" s="59">
        <v>7.9568300000000001</v>
      </c>
      <c r="F2583" s="59">
        <v>15.069039999999999</v>
      </c>
      <c r="G2583" s="56">
        <v>2214.85</v>
      </c>
      <c r="H2583" s="56">
        <v>3735.56</v>
      </c>
      <c r="I2583" s="58">
        <v>0.83534799999999998</v>
      </c>
      <c r="J2583" s="57">
        <v>1.36798</v>
      </c>
      <c r="K2583" s="56"/>
      <c r="L2583" s="56" t="s">
        <v>488</v>
      </c>
    </row>
    <row r="2584" spans="2:12" x14ac:dyDescent="0.2">
      <c r="B2584" s="62" t="s">
        <v>3326</v>
      </c>
      <c r="C2584" s="61" t="s">
        <v>499</v>
      </c>
      <c r="D2584" s="60">
        <v>0.59290900000000002</v>
      </c>
      <c r="E2584" s="59">
        <v>7.9570600000000002</v>
      </c>
      <c r="F2584" s="59">
        <v>15.06405</v>
      </c>
      <c r="G2584" s="56">
        <v>2220.4499999999998</v>
      </c>
      <c r="H2584" s="56">
        <v>3742.42</v>
      </c>
      <c r="I2584" s="58">
        <v>0.832758</v>
      </c>
      <c r="J2584" s="57">
        <v>1.3669100000000001</v>
      </c>
      <c r="K2584" s="56"/>
      <c r="L2584" s="56" t="s">
        <v>488</v>
      </c>
    </row>
    <row r="2585" spans="2:12" x14ac:dyDescent="0.2">
      <c r="B2585" s="62" t="s">
        <v>3325</v>
      </c>
      <c r="C2585" s="61" t="s">
        <v>499</v>
      </c>
      <c r="D2585" s="60">
        <v>0.59331800000000001</v>
      </c>
      <c r="E2585" s="59">
        <v>7.9645599999999996</v>
      </c>
      <c r="F2585" s="59">
        <v>15.040760000000001</v>
      </c>
      <c r="G2585" s="56">
        <v>2220.23</v>
      </c>
      <c r="H2585" s="56">
        <v>3735.17</v>
      </c>
      <c r="I2585" s="58">
        <v>0.834789</v>
      </c>
      <c r="J2585" s="57">
        <v>1.3663000000000001</v>
      </c>
      <c r="K2585" s="56"/>
      <c r="L2585" s="56" t="s">
        <v>488</v>
      </c>
    </row>
    <row r="2586" spans="2:12" x14ac:dyDescent="0.2">
      <c r="B2586" s="62" t="s">
        <v>3324</v>
      </c>
      <c r="C2586" s="61" t="s">
        <v>499</v>
      </c>
      <c r="D2586" s="60">
        <v>0.59441100000000002</v>
      </c>
      <c r="E2586" s="59">
        <v>7.9618700000000002</v>
      </c>
      <c r="F2586" s="59">
        <v>15.035410000000001</v>
      </c>
      <c r="G2586" s="56">
        <v>2219.9499999999998</v>
      </c>
      <c r="H2586" s="56">
        <v>3732.07</v>
      </c>
      <c r="I2586" s="58">
        <v>0.83731999999999995</v>
      </c>
      <c r="J2586" s="57">
        <v>1.3639699999999999</v>
      </c>
      <c r="K2586" s="56"/>
      <c r="L2586" s="56" t="s">
        <v>488</v>
      </c>
    </row>
    <row r="2587" spans="2:12" x14ac:dyDescent="0.2">
      <c r="B2587" s="62" t="s">
        <v>3323</v>
      </c>
      <c r="C2587" s="61" t="s">
        <v>499</v>
      </c>
      <c r="D2587" s="60">
        <v>0.594831</v>
      </c>
      <c r="E2587" s="59">
        <v>7.95939</v>
      </c>
      <c r="F2587" s="59">
        <v>15.03023</v>
      </c>
      <c r="G2587" s="56">
        <v>2219.46</v>
      </c>
      <c r="H2587" s="56">
        <v>3728.06</v>
      </c>
      <c r="I2587" s="58">
        <v>0.837422</v>
      </c>
      <c r="J2587" s="57">
        <v>1.3630199999999999</v>
      </c>
      <c r="K2587" s="56"/>
      <c r="L2587" s="56" t="s">
        <v>488</v>
      </c>
    </row>
    <row r="2588" spans="2:12" x14ac:dyDescent="0.2">
      <c r="B2588" s="62" t="s">
        <v>3322</v>
      </c>
      <c r="C2588" s="61" t="s">
        <v>499</v>
      </c>
      <c r="D2588" s="60">
        <v>0.59533999999999998</v>
      </c>
      <c r="E2588" s="59">
        <v>7.9574199999999999</v>
      </c>
      <c r="F2588" s="59">
        <v>15.02547</v>
      </c>
      <c r="G2588" s="56">
        <v>2219.4699999999998</v>
      </c>
      <c r="H2588" s="56">
        <v>3726.04</v>
      </c>
      <c r="I2588" s="58">
        <v>0.83789400000000003</v>
      </c>
      <c r="J2588" s="57">
        <v>1.36161</v>
      </c>
      <c r="K2588" s="56"/>
      <c r="L2588" s="56" t="s">
        <v>488</v>
      </c>
    </row>
    <row r="2589" spans="2:12" x14ac:dyDescent="0.2">
      <c r="B2589" s="62" t="s">
        <v>3321</v>
      </c>
      <c r="C2589" s="61" t="s">
        <v>499</v>
      </c>
      <c r="D2589" s="60">
        <v>0.59566300000000005</v>
      </c>
      <c r="E2589" s="59">
        <v>7.9607099999999997</v>
      </c>
      <c r="F2589" s="59">
        <v>15.01815</v>
      </c>
      <c r="G2589" s="56">
        <v>2217.3000000000002</v>
      </c>
      <c r="H2589" s="56">
        <v>3718.55</v>
      </c>
      <c r="I2589" s="58">
        <v>0.83715700000000004</v>
      </c>
      <c r="J2589" s="57">
        <v>1.3611</v>
      </c>
      <c r="K2589" s="56"/>
      <c r="L2589" s="56" t="s">
        <v>488</v>
      </c>
    </row>
    <row r="2590" spans="2:12" x14ac:dyDescent="0.2">
      <c r="B2590" s="62" t="s">
        <v>3320</v>
      </c>
      <c r="C2590" s="61" t="s">
        <v>499</v>
      </c>
      <c r="D2590" s="60">
        <v>0.59628099999999995</v>
      </c>
      <c r="E2590" s="59">
        <v>7.9613100000000001</v>
      </c>
      <c r="F2590" s="59">
        <v>15.016310000000001</v>
      </c>
      <c r="G2590" s="56">
        <v>2219.09</v>
      </c>
      <c r="H2590" s="56">
        <v>3720.64</v>
      </c>
      <c r="I2590" s="58">
        <v>0.837897</v>
      </c>
      <c r="J2590" s="57">
        <v>1.3597399999999999</v>
      </c>
      <c r="K2590" s="56"/>
      <c r="L2590" s="56" t="s">
        <v>488</v>
      </c>
    </row>
    <row r="2591" spans="2:12" x14ac:dyDescent="0.2">
      <c r="B2591" s="62" t="s">
        <v>3319</v>
      </c>
      <c r="C2591" s="61" t="s">
        <v>499</v>
      </c>
      <c r="D2591" s="60">
        <v>0.59642799999999996</v>
      </c>
      <c r="E2591" s="59">
        <v>7.9611000000000001</v>
      </c>
      <c r="F2591" s="59">
        <v>15.010249999999999</v>
      </c>
      <c r="G2591" s="56">
        <v>2219.14</v>
      </c>
      <c r="H2591" s="56">
        <v>3716.8</v>
      </c>
      <c r="I2591" s="58">
        <v>0.83921999999999997</v>
      </c>
      <c r="J2591" s="57">
        <v>1.3594900000000001</v>
      </c>
      <c r="K2591" s="56"/>
      <c r="L2591" s="56" t="s">
        <v>488</v>
      </c>
    </row>
    <row r="2592" spans="2:12" x14ac:dyDescent="0.2">
      <c r="B2592" s="62" t="s">
        <v>3318</v>
      </c>
      <c r="C2592" s="61" t="s">
        <v>499</v>
      </c>
      <c r="D2592" s="60">
        <v>0.59705600000000003</v>
      </c>
      <c r="E2592" s="59">
        <v>7.9670800000000002</v>
      </c>
      <c r="F2592" s="59">
        <v>14.9999</v>
      </c>
      <c r="G2592" s="56">
        <v>2220.11</v>
      </c>
      <c r="H2592" s="56">
        <v>3713.84</v>
      </c>
      <c r="I2592" s="58">
        <v>0.83669700000000002</v>
      </c>
      <c r="J2592" s="57">
        <v>1.3577300000000001</v>
      </c>
      <c r="K2592" s="56"/>
      <c r="L2592" s="56" t="s">
        <v>488</v>
      </c>
    </row>
    <row r="2593" spans="2:12" x14ac:dyDescent="0.2">
      <c r="B2593" s="62" t="s">
        <v>3317</v>
      </c>
      <c r="C2593" s="61" t="s">
        <v>499</v>
      </c>
      <c r="D2593" s="60">
        <v>0.59779400000000005</v>
      </c>
      <c r="E2593" s="59">
        <v>7.9671000000000003</v>
      </c>
      <c r="F2593" s="59">
        <v>14.98169</v>
      </c>
      <c r="G2593" s="56">
        <v>2221.02</v>
      </c>
      <c r="H2593" s="56">
        <v>3709.86</v>
      </c>
      <c r="I2593" s="58">
        <v>0.83817299999999995</v>
      </c>
      <c r="J2593" s="57">
        <v>1.3565199999999999</v>
      </c>
      <c r="K2593" s="56"/>
      <c r="L2593" s="56" t="s">
        <v>488</v>
      </c>
    </row>
    <row r="2594" spans="2:12" x14ac:dyDescent="0.2">
      <c r="B2594" s="62" t="s">
        <v>3316</v>
      </c>
      <c r="C2594" s="61" t="s">
        <v>499</v>
      </c>
      <c r="D2594" s="60">
        <v>0.59868100000000002</v>
      </c>
      <c r="E2594" s="59">
        <v>7.94876</v>
      </c>
      <c r="F2594" s="59">
        <v>15.10759</v>
      </c>
      <c r="G2594" s="56">
        <v>2208.42</v>
      </c>
      <c r="H2594" s="56">
        <v>3747.95</v>
      </c>
      <c r="I2594" s="58">
        <v>0.83801099999999995</v>
      </c>
      <c r="J2594" s="57">
        <v>1.3539600000000001</v>
      </c>
      <c r="K2594" s="56"/>
      <c r="L2594" s="56" t="s">
        <v>488</v>
      </c>
    </row>
    <row r="2595" spans="2:12" x14ac:dyDescent="0.2">
      <c r="B2595" s="62" t="s">
        <v>3315</v>
      </c>
      <c r="C2595" s="61" t="s">
        <v>550</v>
      </c>
      <c r="D2595" s="60">
        <v>1.0414099999999999</v>
      </c>
      <c r="E2595" s="59">
        <v>9.7497900000000008</v>
      </c>
      <c r="F2595" s="59">
        <v>10.737399999999999</v>
      </c>
      <c r="G2595" s="56">
        <v>1275.21</v>
      </c>
      <c r="H2595" s="56">
        <v>1224.51</v>
      </c>
      <c r="I2595" s="58">
        <v>0.58533900000000005</v>
      </c>
      <c r="J2595" s="57">
        <v>0.61586700000000005</v>
      </c>
      <c r="K2595" s="56"/>
      <c r="L2595" s="56" t="s">
        <v>488</v>
      </c>
    </row>
    <row r="2596" spans="2:12" x14ac:dyDescent="0.2">
      <c r="B2596" s="62" t="s">
        <v>3314</v>
      </c>
      <c r="C2596" s="61" t="s">
        <v>550</v>
      </c>
      <c r="D2596" s="60">
        <v>1.24004</v>
      </c>
      <c r="E2596" s="59">
        <v>5.65707</v>
      </c>
      <c r="F2596" s="59">
        <v>6.2572200000000002</v>
      </c>
      <c r="G2596" s="56">
        <v>1094.74</v>
      </c>
      <c r="H2596" s="56">
        <v>882.82399999999996</v>
      </c>
      <c r="I2596" s="58">
        <v>0.44331100000000001</v>
      </c>
      <c r="J2596" s="57">
        <v>0.43385800000000002</v>
      </c>
      <c r="K2596" s="56"/>
      <c r="L2596" s="56" t="s">
        <v>488</v>
      </c>
    </row>
    <row r="2597" spans="2:12" x14ac:dyDescent="0.2">
      <c r="B2597" s="62" t="s">
        <v>3313</v>
      </c>
      <c r="C2597" s="61" t="s">
        <v>495</v>
      </c>
      <c r="D2597" s="60">
        <v>1.1804399999999999</v>
      </c>
      <c r="E2597" s="59">
        <v>4.5020899999999999</v>
      </c>
      <c r="F2597" s="59">
        <v>5.4771700000000001</v>
      </c>
      <c r="G2597" s="56">
        <v>961.53499999999997</v>
      </c>
      <c r="H2597" s="56">
        <v>814.55899999999997</v>
      </c>
      <c r="I2597" s="58">
        <v>0.44057600000000002</v>
      </c>
      <c r="J2597" s="57">
        <v>0.437496</v>
      </c>
      <c r="K2597" s="56"/>
      <c r="L2597" s="56" t="s">
        <v>488</v>
      </c>
    </row>
    <row r="2598" spans="2:12" x14ac:dyDescent="0.2">
      <c r="B2598" s="62" t="s">
        <v>3312</v>
      </c>
      <c r="C2598" s="61" t="s">
        <v>550</v>
      </c>
      <c r="D2598" s="60">
        <v>0.97207100000000002</v>
      </c>
      <c r="E2598" s="59">
        <v>3.2273399999999999</v>
      </c>
      <c r="F2598" s="59">
        <v>5.2259599999999997</v>
      </c>
      <c r="G2598" s="56">
        <v>0</v>
      </c>
      <c r="H2598" s="56">
        <v>0</v>
      </c>
      <c r="I2598" s="58">
        <v>0.50942500000000002</v>
      </c>
      <c r="J2598" s="57">
        <v>0.62715500000000002</v>
      </c>
      <c r="K2598" s="56"/>
      <c r="L2598" s="56" t="s">
        <v>488</v>
      </c>
    </row>
    <row r="2599" spans="2:12" x14ac:dyDescent="0.2">
      <c r="B2599" s="62" t="s">
        <v>3311</v>
      </c>
      <c r="C2599" s="61" t="s">
        <v>550</v>
      </c>
      <c r="D2599" s="60">
        <v>1.07613</v>
      </c>
      <c r="E2599" s="59">
        <v>2.7709000000000001</v>
      </c>
      <c r="F2599" s="59">
        <v>4.8216599999999996</v>
      </c>
      <c r="G2599" s="56">
        <v>0</v>
      </c>
      <c r="H2599" s="56">
        <v>0</v>
      </c>
      <c r="I2599" s="58">
        <v>0.44433400000000001</v>
      </c>
      <c r="J2599" s="57">
        <v>0.52678499999999995</v>
      </c>
      <c r="K2599" s="56"/>
      <c r="L2599" s="56" t="s">
        <v>488</v>
      </c>
    </row>
    <row r="2600" spans="2:12" x14ac:dyDescent="0.2">
      <c r="B2600" s="62" t="s">
        <v>3310</v>
      </c>
      <c r="C2600" s="61" t="s">
        <v>550</v>
      </c>
      <c r="D2600" s="60">
        <v>1.0648</v>
      </c>
      <c r="E2600" s="59">
        <v>2.8955899999999999</v>
      </c>
      <c r="F2600" s="59">
        <v>4.78165</v>
      </c>
      <c r="G2600" s="56">
        <v>0</v>
      </c>
      <c r="H2600" s="56">
        <v>0</v>
      </c>
      <c r="I2600" s="58">
        <v>0.419686</v>
      </c>
      <c r="J2600" s="57">
        <v>0.53676999999999997</v>
      </c>
      <c r="K2600" s="56"/>
      <c r="L2600" s="56" t="s">
        <v>488</v>
      </c>
    </row>
    <row r="2601" spans="2:12" x14ac:dyDescent="0.2">
      <c r="B2601" s="62" t="s">
        <v>3309</v>
      </c>
      <c r="C2601" s="61" t="s">
        <v>550</v>
      </c>
      <c r="D2601" s="60">
        <v>1.0826</v>
      </c>
      <c r="E2601" s="59">
        <v>2.8755799999999998</v>
      </c>
      <c r="F2601" s="59">
        <v>4.6684299999999999</v>
      </c>
      <c r="G2601" s="56">
        <v>0</v>
      </c>
      <c r="H2601" s="56">
        <v>0</v>
      </c>
      <c r="I2601" s="58">
        <v>0.42958499999999999</v>
      </c>
      <c r="J2601" s="57">
        <v>0.52153899999999997</v>
      </c>
      <c r="K2601" s="56"/>
      <c r="L2601" s="56" t="s">
        <v>488</v>
      </c>
    </row>
    <row r="2602" spans="2:12" x14ac:dyDescent="0.2">
      <c r="B2602" s="62" t="s">
        <v>3308</v>
      </c>
      <c r="C2602" s="61" t="s">
        <v>550</v>
      </c>
      <c r="D2602" s="60">
        <v>1.0381899999999999</v>
      </c>
      <c r="E2602" s="59">
        <v>2.9921600000000002</v>
      </c>
      <c r="F2602" s="59">
        <v>4.9532600000000002</v>
      </c>
      <c r="G2602" s="56">
        <v>0</v>
      </c>
      <c r="H2602" s="56">
        <v>0</v>
      </c>
      <c r="I2602" s="58">
        <v>0.46415899999999999</v>
      </c>
      <c r="J2602" s="57">
        <v>0.55905899999999997</v>
      </c>
      <c r="K2602" s="56"/>
      <c r="L2602" s="56" t="s">
        <v>488</v>
      </c>
    </row>
    <row r="2603" spans="2:12" x14ac:dyDescent="0.2">
      <c r="B2603" s="62" t="s">
        <v>3307</v>
      </c>
      <c r="C2603" s="61" t="s">
        <v>550</v>
      </c>
      <c r="D2603" s="60">
        <v>1.0587</v>
      </c>
      <c r="E2603" s="59">
        <v>2.9520400000000002</v>
      </c>
      <c r="F2603" s="59">
        <v>5.1290699999999996</v>
      </c>
      <c r="G2603" s="56">
        <v>0</v>
      </c>
      <c r="H2603" s="56">
        <v>0</v>
      </c>
      <c r="I2603" s="58">
        <v>0.45443699999999998</v>
      </c>
      <c r="J2603" s="57">
        <v>0.54395899999999997</v>
      </c>
      <c r="K2603" s="56"/>
      <c r="L2603" s="56" t="s">
        <v>488</v>
      </c>
    </row>
    <row r="2604" spans="2:12" x14ac:dyDescent="0.2">
      <c r="B2604" s="62" t="s">
        <v>3306</v>
      </c>
      <c r="C2604" s="61" t="s">
        <v>499</v>
      </c>
      <c r="D2604" s="60">
        <v>0.85332600000000003</v>
      </c>
      <c r="E2604" s="59">
        <v>9.8382000000000005</v>
      </c>
      <c r="F2604" s="59">
        <v>11.10741</v>
      </c>
      <c r="G2604" s="56">
        <v>1527.42</v>
      </c>
      <c r="H2604" s="56">
        <v>1789.96</v>
      </c>
      <c r="I2604" s="58">
        <v>0.63169299999999995</v>
      </c>
      <c r="J2604" s="57">
        <v>0.78332100000000005</v>
      </c>
      <c r="K2604" s="56"/>
      <c r="L2604" s="56" t="s">
        <v>488</v>
      </c>
    </row>
    <row r="2605" spans="2:12" x14ac:dyDescent="0.2">
      <c r="B2605" s="62" t="s">
        <v>3305</v>
      </c>
      <c r="C2605" s="61" t="s">
        <v>499</v>
      </c>
      <c r="D2605" s="60">
        <v>1.26356</v>
      </c>
      <c r="E2605" s="59">
        <v>3.3383400000000001</v>
      </c>
      <c r="F2605" s="59">
        <v>4.2047999999999996</v>
      </c>
      <c r="G2605" s="56">
        <v>0</v>
      </c>
      <c r="H2605" s="56">
        <v>0</v>
      </c>
      <c r="I2605" s="58">
        <v>0.26096900000000001</v>
      </c>
      <c r="J2605" s="57">
        <v>0.36235800000000001</v>
      </c>
      <c r="K2605" s="56"/>
      <c r="L2605" s="56" t="s">
        <v>488</v>
      </c>
    </row>
    <row r="2606" spans="2:12" x14ac:dyDescent="0.2">
      <c r="B2606" s="62" t="s">
        <v>3304</v>
      </c>
      <c r="C2606" s="61" t="s">
        <v>550</v>
      </c>
      <c r="D2606" s="60">
        <v>1.0206999999999999</v>
      </c>
      <c r="E2606" s="59">
        <v>4.9326999999999996</v>
      </c>
      <c r="F2606" s="59">
        <v>5.9977499999999999</v>
      </c>
      <c r="G2606" s="56">
        <v>1259.33</v>
      </c>
      <c r="H2606" s="56">
        <v>1233.79</v>
      </c>
      <c r="I2606" s="58">
        <v>0.55947100000000005</v>
      </c>
      <c r="J2606" s="57">
        <v>0.58155500000000004</v>
      </c>
      <c r="K2606" s="56"/>
      <c r="L2606" s="56" t="s">
        <v>488</v>
      </c>
    </row>
    <row r="2607" spans="2:12" x14ac:dyDescent="0.2">
      <c r="B2607" s="62" t="s">
        <v>3303</v>
      </c>
      <c r="C2607" s="61" t="s">
        <v>550</v>
      </c>
      <c r="D2607" s="60">
        <v>1.0206999999999999</v>
      </c>
      <c r="E2607" s="59">
        <v>4.9389000000000003</v>
      </c>
      <c r="F2607" s="59">
        <v>5.9966400000000002</v>
      </c>
      <c r="G2607" s="56">
        <v>1242.72</v>
      </c>
      <c r="H2607" s="56">
        <v>1217.52</v>
      </c>
      <c r="I2607" s="58">
        <v>0.56057500000000005</v>
      </c>
      <c r="J2607" s="57">
        <v>0.58169000000000004</v>
      </c>
      <c r="K2607" s="56"/>
      <c r="L2607" s="56" t="s">
        <v>488</v>
      </c>
    </row>
    <row r="2608" spans="2:12" x14ac:dyDescent="0.2">
      <c r="B2608" s="62" t="s">
        <v>3302</v>
      </c>
      <c r="C2608" s="61" t="s">
        <v>499</v>
      </c>
      <c r="D2608" s="60">
        <v>0.91647000000000001</v>
      </c>
      <c r="E2608" s="59">
        <v>4.5802300000000002</v>
      </c>
      <c r="F2608" s="59">
        <v>6.0507900000000001</v>
      </c>
      <c r="G2608" s="56">
        <v>1721.99</v>
      </c>
      <c r="H2608" s="56">
        <v>1878.94</v>
      </c>
      <c r="I2608" s="58">
        <v>0.57167800000000002</v>
      </c>
      <c r="J2608" s="57">
        <v>0.65260899999999999</v>
      </c>
      <c r="K2608" s="56"/>
      <c r="L2608" s="56" t="s">
        <v>488</v>
      </c>
    </row>
    <row r="2609" spans="2:12" x14ac:dyDescent="0.2">
      <c r="B2609" s="62" t="s">
        <v>3301</v>
      </c>
      <c r="C2609" s="61" t="s">
        <v>798</v>
      </c>
      <c r="D2609" s="60">
        <v>0.758162</v>
      </c>
      <c r="E2609" s="59">
        <v>8.8276400000000006</v>
      </c>
      <c r="F2609" s="59">
        <v>9.88279</v>
      </c>
      <c r="G2609" s="56">
        <v>1453.16</v>
      </c>
      <c r="H2609" s="56">
        <v>1916.69</v>
      </c>
      <c r="I2609" s="58">
        <v>0.64927299999999999</v>
      </c>
      <c r="J2609" s="57">
        <v>0.84528999999999999</v>
      </c>
      <c r="K2609" s="56"/>
      <c r="L2609" s="56" t="s">
        <v>488</v>
      </c>
    </row>
    <row r="2610" spans="2:12" x14ac:dyDescent="0.2">
      <c r="B2610" s="62" t="s">
        <v>3300</v>
      </c>
      <c r="C2610" s="61" t="s">
        <v>794</v>
      </c>
      <c r="D2610" s="60">
        <v>1.5530900000000001</v>
      </c>
      <c r="E2610" s="59">
        <v>5.67624</v>
      </c>
      <c r="F2610" s="59">
        <v>6.11585</v>
      </c>
      <c r="G2610" s="56">
        <v>369.87700000000001</v>
      </c>
      <c r="H2610" s="56">
        <v>238.155</v>
      </c>
      <c r="I2610" s="58">
        <v>0.24929799999999999</v>
      </c>
      <c r="J2610" s="57">
        <v>0.292881</v>
      </c>
      <c r="K2610" s="56"/>
      <c r="L2610" s="56" t="s">
        <v>488</v>
      </c>
    </row>
    <row r="2611" spans="2:12" x14ac:dyDescent="0.2">
      <c r="B2611" s="62" t="s">
        <v>3299</v>
      </c>
      <c r="C2611" s="61" t="s">
        <v>708</v>
      </c>
      <c r="D2611" s="60">
        <v>1.13456</v>
      </c>
      <c r="E2611" s="59">
        <v>5.8809199999999997</v>
      </c>
      <c r="F2611" s="59">
        <v>6.70296</v>
      </c>
      <c r="G2611" s="56">
        <v>758.48900000000003</v>
      </c>
      <c r="H2611" s="56">
        <v>668.529</v>
      </c>
      <c r="I2611" s="58">
        <v>0.37827499999999997</v>
      </c>
      <c r="J2611" s="57">
        <v>0.44536500000000001</v>
      </c>
      <c r="K2611" s="56"/>
      <c r="L2611" s="56" t="s">
        <v>488</v>
      </c>
    </row>
    <row r="2612" spans="2:12" x14ac:dyDescent="0.2">
      <c r="B2612" s="62" t="s">
        <v>3298</v>
      </c>
      <c r="C2612" s="61" t="s">
        <v>3297</v>
      </c>
      <c r="D2612" s="60">
        <v>1.6578999999999999</v>
      </c>
      <c r="E2612" s="59">
        <v>2.89785</v>
      </c>
      <c r="F2612" s="59">
        <v>4.5540200000000004</v>
      </c>
      <c r="G2612" s="56">
        <v>0</v>
      </c>
      <c r="H2612" s="56">
        <v>0</v>
      </c>
      <c r="I2612" s="58">
        <v>0.248279</v>
      </c>
      <c r="J2612" s="57">
        <v>0.27683600000000003</v>
      </c>
      <c r="K2612" s="56"/>
      <c r="L2612" s="56" t="s">
        <v>488</v>
      </c>
    </row>
    <row r="2613" spans="2:12" x14ac:dyDescent="0.2">
      <c r="B2613" s="62" t="s">
        <v>3296</v>
      </c>
      <c r="C2613" s="61" t="s">
        <v>495</v>
      </c>
      <c r="D2613" s="60">
        <v>1.0657300000000001</v>
      </c>
      <c r="E2613" s="59">
        <v>6.3959099999999998</v>
      </c>
      <c r="F2613" s="59">
        <v>7.1480499999999996</v>
      </c>
      <c r="G2613" s="56">
        <v>860.62199999999996</v>
      </c>
      <c r="H2613" s="56">
        <v>807.54</v>
      </c>
      <c r="I2613" s="58">
        <v>0.39011400000000002</v>
      </c>
      <c r="J2613" s="57">
        <v>0.492954</v>
      </c>
      <c r="K2613" s="56"/>
      <c r="L2613" s="56" t="s">
        <v>488</v>
      </c>
    </row>
    <row r="2614" spans="2:12" x14ac:dyDescent="0.2">
      <c r="B2614" s="62" t="s">
        <v>3295</v>
      </c>
      <c r="C2614" s="61" t="s">
        <v>1184</v>
      </c>
      <c r="D2614" s="60">
        <v>1.4449799999999999</v>
      </c>
      <c r="E2614" s="59">
        <v>5.7476900000000004</v>
      </c>
      <c r="F2614" s="59">
        <v>6.3068</v>
      </c>
      <c r="G2614" s="56">
        <v>449.31799999999998</v>
      </c>
      <c r="H2614" s="56">
        <v>310.95100000000002</v>
      </c>
      <c r="I2614" s="58">
        <v>0.26374700000000001</v>
      </c>
      <c r="J2614" s="57">
        <v>0.326208</v>
      </c>
      <c r="K2614" s="56"/>
      <c r="L2614" s="56" t="s">
        <v>488</v>
      </c>
    </row>
    <row r="2615" spans="2:12" x14ac:dyDescent="0.2">
      <c r="B2615" s="62" t="s">
        <v>3294</v>
      </c>
      <c r="C2615" s="61" t="s">
        <v>575</v>
      </c>
      <c r="D2615" s="60">
        <v>1.46696</v>
      </c>
      <c r="E2615" s="59">
        <v>5.7761300000000002</v>
      </c>
      <c r="F2615" s="59">
        <v>6.2444899999999999</v>
      </c>
      <c r="G2615" s="56">
        <v>446.35500000000002</v>
      </c>
      <c r="H2615" s="56">
        <v>304.27300000000002</v>
      </c>
      <c r="I2615" s="58">
        <v>0.262293</v>
      </c>
      <c r="J2615" s="57">
        <v>0.31850000000000001</v>
      </c>
      <c r="K2615" s="56"/>
      <c r="L2615" s="56" t="s">
        <v>488</v>
      </c>
    </row>
    <row r="2616" spans="2:12" x14ac:dyDescent="0.2">
      <c r="B2616" s="62" t="s">
        <v>3293</v>
      </c>
      <c r="C2616" s="61" t="s">
        <v>573</v>
      </c>
      <c r="D2616" s="60">
        <v>1.48492</v>
      </c>
      <c r="E2616" s="59">
        <v>5.6765299999999996</v>
      </c>
      <c r="F2616" s="59">
        <v>6.1829299999999998</v>
      </c>
      <c r="G2616" s="56">
        <v>440.25799999999998</v>
      </c>
      <c r="H2616" s="56">
        <v>296.48599999999999</v>
      </c>
      <c r="I2616" s="58">
        <v>0.25799699999999998</v>
      </c>
      <c r="J2616" s="57">
        <v>0.312166</v>
      </c>
      <c r="K2616" s="56"/>
      <c r="L2616" s="56" t="s">
        <v>488</v>
      </c>
    </row>
    <row r="2617" spans="2:12" x14ac:dyDescent="0.2">
      <c r="B2617" s="62" t="s">
        <v>3292</v>
      </c>
      <c r="C2617" s="61" t="s">
        <v>577</v>
      </c>
      <c r="D2617" s="60">
        <v>1.49343</v>
      </c>
      <c r="E2617" s="59">
        <v>5.76844</v>
      </c>
      <c r="F2617" s="59">
        <v>6.2125199999999996</v>
      </c>
      <c r="G2617" s="56">
        <v>440.95600000000002</v>
      </c>
      <c r="H2617" s="56">
        <v>295.26299999999998</v>
      </c>
      <c r="I2617" s="58">
        <v>0.26570500000000002</v>
      </c>
      <c r="J2617" s="57">
        <v>0.312969</v>
      </c>
      <c r="K2617" s="56"/>
      <c r="L2617" s="56" t="s">
        <v>488</v>
      </c>
    </row>
    <row r="2618" spans="2:12" x14ac:dyDescent="0.2">
      <c r="B2618" s="62" t="s">
        <v>3291</v>
      </c>
      <c r="C2618" s="61" t="s">
        <v>1879</v>
      </c>
      <c r="D2618" s="60">
        <v>1.5135099999999999</v>
      </c>
      <c r="E2618" s="59">
        <v>5.7124100000000002</v>
      </c>
      <c r="F2618" s="59">
        <v>6.1695000000000002</v>
      </c>
      <c r="G2618" s="56">
        <v>425.05799999999999</v>
      </c>
      <c r="H2618" s="56">
        <v>280.84300000000002</v>
      </c>
      <c r="I2618" s="58">
        <v>0.25784600000000002</v>
      </c>
      <c r="J2618" s="57">
        <v>0.304533</v>
      </c>
      <c r="K2618" s="56"/>
      <c r="L2618" s="56" t="s">
        <v>488</v>
      </c>
    </row>
    <row r="2619" spans="2:12" x14ac:dyDescent="0.2">
      <c r="B2619" s="62" t="s">
        <v>3290</v>
      </c>
      <c r="C2619" s="61" t="s">
        <v>890</v>
      </c>
      <c r="D2619" s="60">
        <v>1.61833</v>
      </c>
      <c r="E2619" s="59">
        <v>5.6805599999999998</v>
      </c>
      <c r="F2619" s="59">
        <v>6.0496299999999996</v>
      </c>
      <c r="G2619" s="56">
        <v>303.74799999999999</v>
      </c>
      <c r="H2619" s="56">
        <v>187.69200000000001</v>
      </c>
      <c r="I2619" s="58">
        <v>0.24410000000000001</v>
      </c>
      <c r="J2619" s="57">
        <v>0.27155699999999999</v>
      </c>
      <c r="K2619" s="56"/>
      <c r="L2619" s="56" t="s">
        <v>488</v>
      </c>
    </row>
    <row r="2620" spans="2:12" x14ac:dyDescent="0.2">
      <c r="B2620" s="62" t="s">
        <v>3289</v>
      </c>
      <c r="C2620" s="61" t="s">
        <v>796</v>
      </c>
      <c r="D2620" s="60">
        <v>1.5471900000000001</v>
      </c>
      <c r="E2620" s="59">
        <v>5.6432000000000002</v>
      </c>
      <c r="F2620" s="59">
        <v>6.0933900000000003</v>
      </c>
      <c r="G2620" s="56">
        <v>386.86599999999999</v>
      </c>
      <c r="H2620" s="56">
        <v>250.04400000000001</v>
      </c>
      <c r="I2620" s="58">
        <v>0.25389499999999998</v>
      </c>
      <c r="J2620" s="57">
        <v>0.29405999999999999</v>
      </c>
      <c r="K2620" s="56"/>
      <c r="L2620" s="56" t="s">
        <v>488</v>
      </c>
    </row>
    <row r="2621" spans="2:12" x14ac:dyDescent="0.2">
      <c r="B2621" s="62" t="s">
        <v>3288</v>
      </c>
      <c r="C2621" s="61" t="s">
        <v>510</v>
      </c>
      <c r="D2621" s="60">
        <v>1.1025700000000001</v>
      </c>
      <c r="E2621" s="59">
        <v>2.4942799999999998</v>
      </c>
      <c r="F2621" s="59">
        <v>4.84375</v>
      </c>
      <c r="G2621" s="56">
        <v>0</v>
      </c>
      <c r="H2621" s="56">
        <v>0</v>
      </c>
      <c r="I2621" s="58">
        <v>0.28161199999999997</v>
      </c>
      <c r="J2621" s="57">
        <v>0.45972000000000002</v>
      </c>
      <c r="K2621" s="56"/>
      <c r="L2621" s="56" t="s">
        <v>488</v>
      </c>
    </row>
    <row r="2622" spans="2:12" x14ac:dyDescent="0.2">
      <c r="B2622" s="62" t="s">
        <v>3287</v>
      </c>
      <c r="C2622" s="61" t="s">
        <v>495</v>
      </c>
      <c r="D2622" s="60">
        <v>1.2835300000000001</v>
      </c>
      <c r="E2622" s="59">
        <v>2.85433</v>
      </c>
      <c r="F2622" s="59">
        <v>4.7531400000000001</v>
      </c>
      <c r="G2622" s="56">
        <v>0</v>
      </c>
      <c r="H2622" s="56">
        <v>0</v>
      </c>
      <c r="I2622" s="58">
        <v>0.32701400000000003</v>
      </c>
      <c r="J2622" s="57">
        <v>0.38006800000000002</v>
      </c>
      <c r="K2622" s="56"/>
      <c r="L2622" s="56" t="s">
        <v>488</v>
      </c>
    </row>
    <row r="2623" spans="2:12" x14ac:dyDescent="0.2">
      <c r="B2623" s="62" t="s">
        <v>3286</v>
      </c>
      <c r="C2623" s="61" t="s">
        <v>499</v>
      </c>
      <c r="D2623" s="60">
        <v>1.0294700000000001</v>
      </c>
      <c r="E2623" s="59">
        <v>3.2145700000000001</v>
      </c>
      <c r="F2623" s="59">
        <v>15.45068</v>
      </c>
      <c r="G2623" s="56">
        <v>0</v>
      </c>
      <c r="H2623" s="56">
        <v>0</v>
      </c>
      <c r="I2623" s="58">
        <v>0.52198500000000003</v>
      </c>
      <c r="J2623" s="57">
        <v>0.60141699999999998</v>
      </c>
      <c r="K2623" s="56"/>
      <c r="L2623" s="56" t="s">
        <v>488</v>
      </c>
    </row>
    <row r="2624" spans="2:12" x14ac:dyDescent="0.2">
      <c r="B2624" s="62" t="s">
        <v>3285</v>
      </c>
      <c r="C2624" s="61" t="s">
        <v>510</v>
      </c>
      <c r="D2624" s="60">
        <v>1.0075700000000001</v>
      </c>
      <c r="E2624" s="59">
        <v>2.8591899999999999</v>
      </c>
      <c r="F2624" s="59">
        <v>15.93256</v>
      </c>
      <c r="G2624" s="56">
        <v>0</v>
      </c>
      <c r="H2624" s="56">
        <v>0</v>
      </c>
      <c r="I2624" s="58">
        <v>0.51578900000000005</v>
      </c>
      <c r="J2624" s="57">
        <v>0.60020099999999998</v>
      </c>
      <c r="K2624" s="56"/>
      <c r="L2624" s="56" t="s">
        <v>488</v>
      </c>
    </row>
    <row r="2625" spans="2:12" x14ac:dyDescent="0.2">
      <c r="B2625" s="62" t="s">
        <v>3284</v>
      </c>
      <c r="C2625" s="61" t="s">
        <v>550</v>
      </c>
      <c r="D2625" s="60">
        <v>1.2983100000000001</v>
      </c>
      <c r="E2625" s="59">
        <v>3.4906700000000002</v>
      </c>
      <c r="F2625" s="59">
        <v>5.2305900000000003</v>
      </c>
      <c r="G2625" s="56">
        <v>0</v>
      </c>
      <c r="H2625" s="56">
        <v>0</v>
      </c>
      <c r="I2625" s="58">
        <v>0.23805299999999999</v>
      </c>
      <c r="J2625" s="57">
        <v>0.34343400000000002</v>
      </c>
      <c r="K2625" s="56"/>
      <c r="L2625" s="56" t="s">
        <v>488</v>
      </c>
    </row>
    <row r="2626" spans="2:12" x14ac:dyDescent="0.2">
      <c r="B2626" s="62" t="s">
        <v>3283</v>
      </c>
      <c r="C2626" s="61" t="s">
        <v>499</v>
      </c>
      <c r="D2626" s="60">
        <v>1.00756</v>
      </c>
      <c r="E2626" s="59">
        <v>2.9109699999999998</v>
      </c>
      <c r="F2626" s="59">
        <v>15.29838</v>
      </c>
      <c r="G2626" s="56">
        <v>0</v>
      </c>
      <c r="H2626" s="56">
        <v>0</v>
      </c>
      <c r="I2626" s="58">
        <v>0.54688700000000001</v>
      </c>
      <c r="J2626" s="57">
        <v>0.59786499999999998</v>
      </c>
      <c r="K2626" s="56"/>
      <c r="L2626" s="56" t="s">
        <v>488</v>
      </c>
    </row>
    <row r="2627" spans="2:12" x14ac:dyDescent="0.2">
      <c r="B2627" s="62" t="s">
        <v>3282</v>
      </c>
      <c r="C2627" s="61" t="s">
        <v>550</v>
      </c>
      <c r="D2627" s="60">
        <v>1.3146</v>
      </c>
      <c r="E2627" s="59">
        <v>3.21821</v>
      </c>
      <c r="F2627" s="59">
        <v>4.9854700000000003</v>
      </c>
      <c r="G2627" s="56">
        <v>0</v>
      </c>
      <c r="H2627" s="56">
        <v>0</v>
      </c>
      <c r="I2627" s="58">
        <v>0.250388</v>
      </c>
      <c r="J2627" s="57">
        <v>0.33501599999999998</v>
      </c>
      <c r="K2627" s="56"/>
      <c r="L2627" s="56" t="s">
        <v>488</v>
      </c>
    </row>
    <row r="2628" spans="2:12" x14ac:dyDescent="0.2">
      <c r="B2628" s="62" t="s">
        <v>3281</v>
      </c>
      <c r="C2628" s="61" t="s">
        <v>550</v>
      </c>
      <c r="D2628" s="60">
        <v>1.3047500000000001</v>
      </c>
      <c r="E2628" s="59">
        <v>3.2997299999999998</v>
      </c>
      <c r="F2628" s="59">
        <v>5.1593499999999999</v>
      </c>
      <c r="G2628" s="56">
        <v>0</v>
      </c>
      <c r="H2628" s="56">
        <v>0</v>
      </c>
      <c r="I2628" s="58">
        <v>0.25907400000000003</v>
      </c>
      <c r="J2628" s="57">
        <v>0.341034</v>
      </c>
      <c r="K2628" s="56"/>
      <c r="L2628" s="56" t="s">
        <v>488</v>
      </c>
    </row>
    <row r="2629" spans="2:12" x14ac:dyDescent="0.2">
      <c r="B2629" s="62" t="s">
        <v>3280</v>
      </c>
      <c r="C2629" s="61" t="s">
        <v>641</v>
      </c>
      <c r="D2629" s="60">
        <v>1.3352900000000001</v>
      </c>
      <c r="E2629" s="59">
        <v>4.9220600000000001</v>
      </c>
      <c r="F2629" s="59">
        <v>5.7786799999999996</v>
      </c>
      <c r="G2629" s="56">
        <v>579.38300000000004</v>
      </c>
      <c r="H2629" s="56">
        <v>433.9</v>
      </c>
      <c r="I2629" s="58">
        <v>0.24606700000000001</v>
      </c>
      <c r="J2629" s="57">
        <v>0.32917600000000002</v>
      </c>
      <c r="K2629" s="56"/>
      <c r="L2629" s="56" t="s">
        <v>488</v>
      </c>
    </row>
    <row r="2630" spans="2:12" x14ac:dyDescent="0.2">
      <c r="B2630" s="62" t="s">
        <v>3279</v>
      </c>
      <c r="C2630" s="61" t="s">
        <v>579</v>
      </c>
      <c r="D2630" s="60">
        <v>1.3817200000000001</v>
      </c>
      <c r="E2630" s="59">
        <v>3.6998199999999999</v>
      </c>
      <c r="F2630" s="59">
        <v>5.7025199999999998</v>
      </c>
      <c r="G2630" s="56">
        <v>0</v>
      </c>
      <c r="H2630" s="56">
        <v>0</v>
      </c>
      <c r="I2630" s="58">
        <v>0.31781199999999998</v>
      </c>
      <c r="J2630" s="57">
        <v>0.34642200000000001</v>
      </c>
      <c r="K2630" s="56"/>
      <c r="L2630" s="56" t="s">
        <v>488</v>
      </c>
    </row>
    <row r="2631" spans="2:12" x14ac:dyDescent="0.2">
      <c r="B2631" s="62" t="s">
        <v>3278</v>
      </c>
      <c r="C2631" s="61" t="s">
        <v>579</v>
      </c>
      <c r="D2631" s="60">
        <v>1.3438699999999999</v>
      </c>
      <c r="E2631" s="59">
        <v>3.5216500000000002</v>
      </c>
      <c r="F2631" s="59">
        <v>5.2186199999999996</v>
      </c>
      <c r="G2631" s="56">
        <v>0</v>
      </c>
      <c r="H2631" s="56">
        <v>0</v>
      </c>
      <c r="I2631" s="58">
        <v>0.23810600000000001</v>
      </c>
      <c r="J2631" s="57">
        <v>0.32465300000000002</v>
      </c>
      <c r="K2631" s="56"/>
      <c r="L2631" s="56" t="s">
        <v>488</v>
      </c>
    </row>
    <row r="2632" spans="2:12" x14ac:dyDescent="0.2">
      <c r="B2632" s="62" t="s">
        <v>3277</v>
      </c>
      <c r="C2632" s="61" t="s">
        <v>582</v>
      </c>
      <c r="D2632" s="60">
        <v>1.3619699999999999</v>
      </c>
      <c r="E2632" s="59">
        <v>3.7856900000000002</v>
      </c>
      <c r="F2632" s="59">
        <v>5.2609199999999996</v>
      </c>
      <c r="G2632" s="56">
        <v>514.71400000000006</v>
      </c>
      <c r="H2632" s="56">
        <v>377.92</v>
      </c>
      <c r="I2632" s="58">
        <v>0.24140200000000001</v>
      </c>
      <c r="J2632" s="57">
        <v>0.32090099999999999</v>
      </c>
      <c r="K2632" s="56"/>
      <c r="L2632" s="56" t="s">
        <v>488</v>
      </c>
    </row>
    <row r="2633" spans="2:12" x14ac:dyDescent="0.2">
      <c r="B2633" s="62" t="s">
        <v>3276</v>
      </c>
      <c r="C2633" s="61" t="s">
        <v>537</v>
      </c>
      <c r="D2633" s="60">
        <v>1.4207700000000001</v>
      </c>
      <c r="E2633" s="59">
        <v>3.28084</v>
      </c>
      <c r="F2633" s="59">
        <v>4.76281</v>
      </c>
      <c r="G2633" s="56">
        <v>0</v>
      </c>
      <c r="H2633" s="56">
        <v>0</v>
      </c>
      <c r="I2633" s="58">
        <v>0.29685099999999998</v>
      </c>
      <c r="J2633" s="57">
        <v>0.341561</v>
      </c>
      <c r="K2633" s="56"/>
      <c r="L2633" s="56" t="s">
        <v>488</v>
      </c>
    </row>
    <row r="2634" spans="2:12" x14ac:dyDescent="0.2">
      <c r="B2634" s="62" t="s">
        <v>3275</v>
      </c>
      <c r="C2634" s="61" t="s">
        <v>1518</v>
      </c>
      <c r="D2634" s="60">
        <v>1.40367</v>
      </c>
      <c r="E2634" s="59">
        <v>4.10839</v>
      </c>
      <c r="F2634" s="59">
        <v>5.7521500000000003</v>
      </c>
      <c r="G2634" s="56">
        <v>506.77699999999999</v>
      </c>
      <c r="H2634" s="56">
        <v>361.03699999999998</v>
      </c>
      <c r="I2634" s="58">
        <v>0.36348999999999998</v>
      </c>
      <c r="J2634" s="57">
        <v>0.33209699999999998</v>
      </c>
      <c r="K2634" s="56"/>
      <c r="L2634" s="56" t="s">
        <v>488</v>
      </c>
    </row>
    <row r="2635" spans="2:12" x14ac:dyDescent="0.2">
      <c r="B2635" s="62" t="s">
        <v>3274</v>
      </c>
      <c r="C2635" s="61" t="s">
        <v>3273</v>
      </c>
      <c r="D2635" s="60">
        <v>1.4718599999999999</v>
      </c>
      <c r="E2635" s="59">
        <v>3.0367799999999998</v>
      </c>
      <c r="F2635" s="59">
        <v>5.92563</v>
      </c>
      <c r="G2635" s="56">
        <v>0</v>
      </c>
      <c r="H2635" s="56">
        <v>0</v>
      </c>
      <c r="I2635" s="58">
        <v>0.43908999999999998</v>
      </c>
      <c r="J2635" s="57">
        <v>0.34448099999999998</v>
      </c>
      <c r="K2635" s="56"/>
      <c r="L2635" s="56" t="s">
        <v>488</v>
      </c>
    </row>
    <row r="2636" spans="2:12" x14ac:dyDescent="0.2">
      <c r="B2636" s="62" t="s">
        <v>3272</v>
      </c>
      <c r="C2636" s="61" t="s">
        <v>1896</v>
      </c>
      <c r="D2636" s="60">
        <v>1.0970899999999999</v>
      </c>
      <c r="E2636" s="59">
        <v>5.5674900000000003</v>
      </c>
      <c r="F2636" s="59">
        <v>6.6896699999999996</v>
      </c>
      <c r="G2636" s="56">
        <v>1131.46</v>
      </c>
      <c r="H2636" s="56">
        <v>1031.33</v>
      </c>
      <c r="I2636" s="58">
        <v>0.40002399999999999</v>
      </c>
      <c r="J2636" s="57">
        <v>0.494342</v>
      </c>
      <c r="K2636" s="56"/>
      <c r="L2636" s="56" t="s">
        <v>488</v>
      </c>
    </row>
    <row r="2637" spans="2:12" x14ac:dyDescent="0.2">
      <c r="B2637" s="62" t="s">
        <v>3271</v>
      </c>
      <c r="C2637" s="61" t="s">
        <v>641</v>
      </c>
      <c r="D2637" s="60">
        <v>2.4931199999999998</v>
      </c>
      <c r="E2637" s="59">
        <v>3.22254</v>
      </c>
      <c r="F2637" s="59">
        <v>5.3670999999999998</v>
      </c>
      <c r="G2637" s="56">
        <v>0</v>
      </c>
      <c r="H2637" s="56">
        <v>0</v>
      </c>
      <c r="I2637" s="58">
        <v>0.252639</v>
      </c>
      <c r="J2637" s="57">
        <v>0.16681199999999999</v>
      </c>
      <c r="K2637" s="56"/>
      <c r="L2637" s="56" t="s">
        <v>488</v>
      </c>
    </row>
    <row r="2638" spans="2:12" x14ac:dyDescent="0.2">
      <c r="B2638" s="62" t="s">
        <v>3270</v>
      </c>
      <c r="C2638" s="61" t="s">
        <v>632</v>
      </c>
      <c r="D2638" s="60">
        <v>1.9603600000000001</v>
      </c>
      <c r="E2638" s="59">
        <v>4.8513099999999998</v>
      </c>
      <c r="F2638" s="59">
        <v>5.9950200000000002</v>
      </c>
      <c r="G2638" s="56">
        <v>563.33500000000004</v>
      </c>
      <c r="H2638" s="56">
        <v>287.36200000000002</v>
      </c>
      <c r="I2638" s="58">
        <v>0.283142</v>
      </c>
      <c r="J2638" s="57">
        <v>0.20746600000000001</v>
      </c>
      <c r="K2638" s="56"/>
      <c r="L2638" s="56" t="s">
        <v>488</v>
      </c>
    </row>
    <row r="2639" spans="2:12" x14ac:dyDescent="0.2">
      <c r="B2639" s="62" t="s">
        <v>3269</v>
      </c>
      <c r="C2639" s="61" t="s">
        <v>499</v>
      </c>
      <c r="D2639" s="60">
        <v>1.3040499999999999</v>
      </c>
      <c r="E2639" s="59">
        <v>4.2853300000000001</v>
      </c>
      <c r="F2639" s="59">
        <v>4.7167599999999998</v>
      </c>
      <c r="G2639" s="56">
        <v>564.60799999999995</v>
      </c>
      <c r="H2639" s="56">
        <v>432.96300000000002</v>
      </c>
      <c r="I2639" s="58">
        <v>0.46633200000000002</v>
      </c>
      <c r="J2639" s="57">
        <v>0.37753300000000001</v>
      </c>
      <c r="K2639" s="56"/>
      <c r="L2639" s="56" t="s">
        <v>488</v>
      </c>
    </row>
    <row r="2640" spans="2:12" x14ac:dyDescent="0.2">
      <c r="B2640" s="62" t="s">
        <v>3268</v>
      </c>
      <c r="C2640" s="61" t="s">
        <v>587</v>
      </c>
      <c r="D2640" s="60">
        <v>1.9803299999999999</v>
      </c>
      <c r="E2640" s="59">
        <v>3.1483500000000002</v>
      </c>
      <c r="F2640" s="59">
        <v>3.8078500000000002</v>
      </c>
      <c r="G2640" s="56">
        <v>0</v>
      </c>
      <c r="H2640" s="56">
        <v>0</v>
      </c>
      <c r="I2640" s="58">
        <v>0.18909300000000001</v>
      </c>
      <c r="J2640" s="57">
        <v>0.20518900000000001</v>
      </c>
      <c r="K2640" s="56"/>
      <c r="L2640" s="56" t="s">
        <v>488</v>
      </c>
    </row>
    <row r="2641" spans="2:12" x14ac:dyDescent="0.2">
      <c r="B2641" s="62" t="s">
        <v>3267</v>
      </c>
      <c r="C2641" s="61" t="s">
        <v>523</v>
      </c>
      <c r="D2641" s="60">
        <v>1.03739</v>
      </c>
      <c r="E2641" s="59">
        <v>6.5507499999999999</v>
      </c>
      <c r="F2641" s="59">
        <v>6.9627699999999999</v>
      </c>
      <c r="G2641" s="56">
        <v>1487.16</v>
      </c>
      <c r="H2641" s="56">
        <v>1433.56</v>
      </c>
      <c r="I2641" s="58">
        <v>0.59774899999999997</v>
      </c>
      <c r="J2641" s="57">
        <v>0.58431900000000003</v>
      </c>
      <c r="K2641" s="56"/>
      <c r="L2641" s="56" t="s">
        <v>730</v>
      </c>
    </row>
    <row r="2642" spans="2:12" x14ac:dyDescent="0.2">
      <c r="B2642" s="62" t="s">
        <v>3266</v>
      </c>
      <c r="C2642" s="61" t="s">
        <v>523</v>
      </c>
      <c r="D2642" s="60">
        <v>1.03739</v>
      </c>
      <c r="E2642" s="59">
        <v>6.5507499999999999</v>
      </c>
      <c r="F2642" s="59">
        <v>6.9627699999999999</v>
      </c>
      <c r="G2642" s="56">
        <v>1467.72</v>
      </c>
      <c r="H2642" s="56">
        <v>1414.82</v>
      </c>
      <c r="I2642" s="58">
        <v>0.59850599999999998</v>
      </c>
      <c r="J2642" s="57">
        <v>0.58298899999999998</v>
      </c>
      <c r="K2642" s="56"/>
      <c r="L2642" s="56" t="s">
        <v>730</v>
      </c>
    </row>
    <row r="2643" spans="2:12" x14ac:dyDescent="0.2">
      <c r="B2643" s="62" t="s">
        <v>3265</v>
      </c>
      <c r="C2643" s="61" t="s">
        <v>499</v>
      </c>
      <c r="D2643" s="60">
        <v>1.52214</v>
      </c>
      <c r="E2643" s="59">
        <v>2.7750900000000001</v>
      </c>
      <c r="F2643" s="59">
        <v>4.8830499999999999</v>
      </c>
      <c r="G2643" s="56">
        <v>0</v>
      </c>
      <c r="H2643" s="56">
        <v>0</v>
      </c>
      <c r="I2643" s="58">
        <v>0.27500599999999997</v>
      </c>
      <c r="J2643" s="57">
        <v>0.29006999999999999</v>
      </c>
      <c r="K2643" s="56"/>
      <c r="L2643" s="56" t="s">
        <v>492</v>
      </c>
    </row>
    <row r="2644" spans="2:12" x14ac:dyDescent="0.2">
      <c r="B2644" s="62" t="s">
        <v>3264</v>
      </c>
      <c r="C2644" s="61" t="s">
        <v>531</v>
      </c>
      <c r="D2644" s="60">
        <v>2.0211600000000001</v>
      </c>
      <c r="E2644" s="59">
        <v>2.7071399999999999</v>
      </c>
      <c r="F2644" s="59">
        <v>3.74254</v>
      </c>
      <c r="G2644" s="56">
        <v>0</v>
      </c>
      <c r="H2644" s="56">
        <v>0</v>
      </c>
      <c r="I2644" s="58">
        <v>0.19131699999999999</v>
      </c>
      <c r="J2644" s="57">
        <v>0.20688200000000001</v>
      </c>
      <c r="K2644" s="56"/>
      <c r="L2644" s="56" t="s">
        <v>488</v>
      </c>
    </row>
    <row r="2645" spans="2:12" x14ac:dyDescent="0.2">
      <c r="B2645" s="62" t="s">
        <v>3263</v>
      </c>
      <c r="C2645" s="61" t="s">
        <v>1226</v>
      </c>
      <c r="D2645" s="60">
        <v>2.2808799999999998</v>
      </c>
      <c r="E2645" s="59">
        <v>3.10283</v>
      </c>
      <c r="F2645" s="59">
        <v>4.1730299999999998</v>
      </c>
      <c r="G2645" s="56">
        <v>0</v>
      </c>
      <c r="H2645" s="56">
        <v>0</v>
      </c>
      <c r="I2645" s="58">
        <v>0.25687599999999999</v>
      </c>
      <c r="J2645" s="57">
        <v>0.19051899999999999</v>
      </c>
      <c r="K2645" s="56"/>
      <c r="L2645" s="56" t="s">
        <v>488</v>
      </c>
    </row>
    <row r="2646" spans="2:12" x14ac:dyDescent="0.2">
      <c r="B2646" s="62" t="s">
        <v>3262</v>
      </c>
      <c r="C2646" s="61" t="s">
        <v>859</v>
      </c>
      <c r="D2646" s="60">
        <v>2.1960500000000001</v>
      </c>
      <c r="E2646" s="59">
        <v>3.8262100000000001</v>
      </c>
      <c r="F2646" s="59">
        <v>4.7663799999999998</v>
      </c>
      <c r="G2646" s="56">
        <v>593.74900000000002</v>
      </c>
      <c r="H2646" s="56">
        <v>270.37200000000001</v>
      </c>
      <c r="I2646" s="58">
        <v>0.34570000000000001</v>
      </c>
      <c r="J2646" s="57">
        <v>0.203927</v>
      </c>
      <c r="K2646" s="56"/>
      <c r="L2646" s="56" t="s">
        <v>488</v>
      </c>
    </row>
    <row r="2647" spans="2:12" x14ac:dyDescent="0.2">
      <c r="B2647" s="62" t="s">
        <v>3261</v>
      </c>
      <c r="C2647" s="61" t="s">
        <v>535</v>
      </c>
      <c r="D2647" s="60">
        <v>2.0754199999999998</v>
      </c>
      <c r="E2647" s="59">
        <v>2.6814300000000002</v>
      </c>
      <c r="F2647" s="59">
        <v>3.70587</v>
      </c>
      <c r="G2647" s="56">
        <v>0</v>
      </c>
      <c r="H2647" s="56">
        <v>0</v>
      </c>
      <c r="I2647" s="58">
        <v>0.20715</v>
      </c>
      <c r="J2647" s="57">
        <v>0.20082700000000001</v>
      </c>
      <c r="K2647" s="56"/>
      <c r="L2647" s="56" t="s">
        <v>488</v>
      </c>
    </row>
    <row r="2648" spans="2:12" x14ac:dyDescent="0.2">
      <c r="B2648" s="62" t="s">
        <v>3260</v>
      </c>
      <c r="C2648" s="61" t="s">
        <v>535</v>
      </c>
      <c r="D2648" s="60">
        <v>2.0814499999999998</v>
      </c>
      <c r="E2648" s="59">
        <v>2.6981799999999998</v>
      </c>
      <c r="F2648" s="59">
        <v>3.7098499999999999</v>
      </c>
      <c r="G2648" s="56">
        <v>0</v>
      </c>
      <c r="H2648" s="56">
        <v>0</v>
      </c>
      <c r="I2648" s="58">
        <v>0.18662500000000001</v>
      </c>
      <c r="J2648" s="57">
        <v>0.19844600000000001</v>
      </c>
      <c r="K2648" s="56"/>
      <c r="L2648" s="56" t="s">
        <v>488</v>
      </c>
    </row>
    <row r="2649" spans="2:12" x14ac:dyDescent="0.2">
      <c r="B2649" s="62" t="s">
        <v>3259</v>
      </c>
      <c r="C2649" s="61" t="s">
        <v>550</v>
      </c>
      <c r="D2649" s="60">
        <v>1.2529600000000001</v>
      </c>
      <c r="E2649" s="59">
        <v>5.0258399999999996</v>
      </c>
      <c r="F2649" s="59">
        <v>8.8165999999999993</v>
      </c>
      <c r="G2649" s="56">
        <v>1099</v>
      </c>
      <c r="H2649" s="56">
        <v>877.12</v>
      </c>
      <c r="I2649" s="58">
        <v>0.43164000000000002</v>
      </c>
      <c r="J2649" s="57">
        <v>0.43542399999999998</v>
      </c>
      <c r="K2649" s="56"/>
      <c r="L2649" s="56" t="s">
        <v>492</v>
      </c>
    </row>
    <row r="2650" spans="2:12" x14ac:dyDescent="0.2">
      <c r="B2650" s="62" t="s">
        <v>3258</v>
      </c>
      <c r="C2650" s="61" t="s">
        <v>550</v>
      </c>
      <c r="D2650" s="60">
        <v>1.06349</v>
      </c>
      <c r="E2650" s="59">
        <v>6.5202999999999998</v>
      </c>
      <c r="F2650" s="59">
        <v>7.9660399999999996</v>
      </c>
      <c r="G2650" s="56">
        <v>1653.54</v>
      </c>
      <c r="H2650" s="56">
        <v>1554.83</v>
      </c>
      <c r="I2650" s="58">
        <v>0.62231099999999995</v>
      </c>
      <c r="J2650" s="57">
        <v>0.604321</v>
      </c>
      <c r="K2650" s="56"/>
      <c r="L2650" s="56" t="s">
        <v>492</v>
      </c>
    </row>
    <row r="2651" spans="2:12" x14ac:dyDescent="0.2">
      <c r="B2651" s="62" t="s">
        <v>3257</v>
      </c>
      <c r="C2651" s="61" t="s">
        <v>550</v>
      </c>
      <c r="D2651" s="60">
        <v>1.3533599999999999</v>
      </c>
      <c r="E2651" s="59">
        <v>3.9759799999999998</v>
      </c>
      <c r="F2651" s="59">
        <v>4.9877399999999996</v>
      </c>
      <c r="G2651" s="56">
        <v>427.81299999999999</v>
      </c>
      <c r="H2651" s="56">
        <v>316.113</v>
      </c>
      <c r="I2651" s="58">
        <v>0.284553</v>
      </c>
      <c r="J2651" s="57">
        <v>0.37047999999999998</v>
      </c>
      <c r="K2651" s="56"/>
      <c r="L2651" s="56" t="s">
        <v>492</v>
      </c>
    </row>
    <row r="2652" spans="2:12" x14ac:dyDescent="0.2">
      <c r="B2652" s="62" t="s">
        <v>3256</v>
      </c>
      <c r="C2652" s="61" t="s">
        <v>1652</v>
      </c>
      <c r="D2652" s="60">
        <v>2.3297300000000001</v>
      </c>
      <c r="E2652" s="59">
        <v>3.06229</v>
      </c>
      <c r="F2652" s="59">
        <v>3.8426900000000002</v>
      </c>
      <c r="G2652" s="56">
        <v>0</v>
      </c>
      <c r="H2652" s="56">
        <v>0</v>
      </c>
      <c r="I2652" s="58">
        <v>0.14551500000000001</v>
      </c>
      <c r="J2652" s="57">
        <v>0.165468</v>
      </c>
      <c r="K2652" s="56"/>
      <c r="L2652" s="56" t="s">
        <v>488</v>
      </c>
    </row>
    <row r="2653" spans="2:12" x14ac:dyDescent="0.2">
      <c r="B2653" s="62" t="s">
        <v>3255</v>
      </c>
      <c r="C2653" s="61" t="s">
        <v>533</v>
      </c>
      <c r="D2653" s="60">
        <v>2.2113200000000002</v>
      </c>
      <c r="E2653" s="59">
        <v>2.5497700000000001</v>
      </c>
      <c r="F2653" s="59">
        <v>3.25847</v>
      </c>
      <c r="G2653" s="56">
        <v>0</v>
      </c>
      <c r="H2653" s="56">
        <v>0</v>
      </c>
      <c r="I2653" s="58">
        <v>0.115079</v>
      </c>
      <c r="J2653" s="57">
        <v>0.17408699999999999</v>
      </c>
      <c r="K2653" s="56"/>
      <c r="L2653" s="56" t="s">
        <v>488</v>
      </c>
    </row>
    <row r="2654" spans="2:12" x14ac:dyDescent="0.2">
      <c r="B2654" s="62" t="s">
        <v>3254</v>
      </c>
      <c r="C2654" s="61" t="s">
        <v>1386</v>
      </c>
      <c r="D2654" s="60">
        <v>2.3316599999999998</v>
      </c>
      <c r="E2654" s="59">
        <v>2.4975900000000002</v>
      </c>
      <c r="F2654" s="59">
        <v>3.19171</v>
      </c>
      <c r="G2654" s="56">
        <v>0</v>
      </c>
      <c r="H2654" s="56">
        <v>0</v>
      </c>
      <c r="I2654" s="58">
        <v>0.10422099999999999</v>
      </c>
      <c r="J2654" s="57">
        <v>0.16065699999999999</v>
      </c>
      <c r="K2654" s="56"/>
      <c r="L2654" s="56" t="s">
        <v>488</v>
      </c>
    </row>
    <row r="2655" spans="2:12" x14ac:dyDescent="0.2">
      <c r="B2655" s="62" t="s">
        <v>3253</v>
      </c>
      <c r="C2655" s="61" t="s">
        <v>1226</v>
      </c>
      <c r="D2655" s="60">
        <v>2.3549000000000002</v>
      </c>
      <c r="E2655" s="59">
        <v>2.48956</v>
      </c>
      <c r="F2655" s="59">
        <v>3.2189000000000001</v>
      </c>
      <c r="G2655" s="56">
        <v>0</v>
      </c>
      <c r="H2655" s="56">
        <v>0</v>
      </c>
      <c r="I2655" s="58">
        <v>0.110793</v>
      </c>
      <c r="J2655" s="57">
        <v>0.15981999999999999</v>
      </c>
      <c r="K2655" s="56"/>
      <c r="L2655" s="56" t="s">
        <v>488</v>
      </c>
    </row>
    <row r="2656" spans="2:12" x14ac:dyDescent="0.2">
      <c r="B2656" s="62" t="s">
        <v>3252</v>
      </c>
      <c r="C2656" s="61" t="s">
        <v>625</v>
      </c>
      <c r="D2656" s="60">
        <v>1.56979</v>
      </c>
      <c r="E2656" s="59">
        <v>5.3642099999999999</v>
      </c>
      <c r="F2656" s="59">
        <v>7.3871700000000002</v>
      </c>
      <c r="G2656" s="56">
        <v>781.96199999999999</v>
      </c>
      <c r="H2656" s="56">
        <v>498.13299999999998</v>
      </c>
      <c r="I2656" s="58">
        <v>0.37474800000000003</v>
      </c>
      <c r="J2656" s="57">
        <v>0.349576</v>
      </c>
      <c r="K2656" s="56" t="s">
        <v>698</v>
      </c>
      <c r="L2656" s="56" t="s">
        <v>563</v>
      </c>
    </row>
    <row r="2657" spans="2:12" x14ac:dyDescent="0.2">
      <c r="B2657" s="62" t="s">
        <v>3251</v>
      </c>
      <c r="C2657" s="61" t="s">
        <v>745</v>
      </c>
      <c r="D2657" s="60">
        <v>2.60867</v>
      </c>
      <c r="E2657" s="59">
        <v>2.6292900000000001</v>
      </c>
      <c r="F2657" s="59">
        <v>3.3110300000000001</v>
      </c>
      <c r="G2657" s="56">
        <v>0</v>
      </c>
      <c r="H2657" s="56">
        <v>0</v>
      </c>
      <c r="I2657" s="58">
        <v>0.196988</v>
      </c>
      <c r="J2657" s="57">
        <v>0.18240799999999999</v>
      </c>
      <c r="K2657" s="56"/>
      <c r="L2657" s="56" t="s">
        <v>488</v>
      </c>
    </row>
    <row r="2658" spans="2:12" x14ac:dyDescent="0.2">
      <c r="B2658" s="62" t="s">
        <v>3250</v>
      </c>
      <c r="C2658" s="61" t="s">
        <v>625</v>
      </c>
      <c r="D2658" s="60">
        <v>1.61442</v>
      </c>
      <c r="E2658" s="59">
        <v>4.1338200000000001</v>
      </c>
      <c r="F2658" s="59">
        <v>6.6610500000000004</v>
      </c>
      <c r="G2658" s="56">
        <v>868.01400000000001</v>
      </c>
      <c r="H2658" s="56">
        <v>537.66399999999999</v>
      </c>
      <c r="I2658" s="58">
        <v>0.39089400000000002</v>
      </c>
      <c r="J2658" s="57">
        <v>0.33350099999999999</v>
      </c>
      <c r="K2658" s="56"/>
      <c r="L2658" s="56" t="s">
        <v>488</v>
      </c>
    </row>
    <row r="2659" spans="2:12" x14ac:dyDescent="0.2">
      <c r="B2659" s="62" t="s">
        <v>3249</v>
      </c>
      <c r="C2659" s="61" t="s">
        <v>502</v>
      </c>
      <c r="D2659" s="60">
        <v>1.36487</v>
      </c>
      <c r="E2659" s="59">
        <v>3.8903500000000002</v>
      </c>
      <c r="F2659" s="59">
        <v>6.46706</v>
      </c>
      <c r="G2659" s="56">
        <v>670.10199999999998</v>
      </c>
      <c r="H2659" s="56">
        <v>490.964</v>
      </c>
      <c r="I2659" s="58">
        <v>0.32532699999999998</v>
      </c>
      <c r="J2659" s="57">
        <v>0.396069</v>
      </c>
      <c r="K2659" s="56"/>
      <c r="L2659" s="56" t="s">
        <v>488</v>
      </c>
    </row>
    <row r="2660" spans="2:12" x14ac:dyDescent="0.2">
      <c r="B2660" s="62" t="s">
        <v>3248</v>
      </c>
      <c r="C2660" s="61" t="s">
        <v>625</v>
      </c>
      <c r="D2660" s="60">
        <v>1.9307000000000001</v>
      </c>
      <c r="E2660" s="59">
        <v>2.75116</v>
      </c>
      <c r="F2660" s="59">
        <v>4.3757599999999996</v>
      </c>
      <c r="G2660" s="56">
        <v>0</v>
      </c>
      <c r="H2660" s="56">
        <v>0</v>
      </c>
      <c r="I2660" s="58">
        <v>0.118909</v>
      </c>
      <c r="J2660" s="57">
        <v>0.23199900000000001</v>
      </c>
      <c r="K2660" s="56"/>
      <c r="L2660" s="56" t="s">
        <v>488</v>
      </c>
    </row>
    <row r="2661" spans="2:12" x14ac:dyDescent="0.2">
      <c r="B2661" s="62" t="s">
        <v>3247</v>
      </c>
      <c r="C2661" s="61" t="s">
        <v>499</v>
      </c>
      <c r="D2661" s="60">
        <v>0.86759200000000003</v>
      </c>
      <c r="E2661" s="59">
        <v>5.9980000000000002</v>
      </c>
      <c r="F2661" s="59">
        <v>6.3841599999999996</v>
      </c>
      <c r="G2661" s="56">
        <v>1803.37</v>
      </c>
      <c r="H2661" s="56">
        <v>2078.6</v>
      </c>
      <c r="I2661" s="58">
        <v>0.62387300000000001</v>
      </c>
      <c r="J2661" s="57">
        <v>0.772895</v>
      </c>
      <c r="K2661" s="56"/>
      <c r="L2661" s="56" t="s">
        <v>488</v>
      </c>
    </row>
    <row r="2662" spans="2:12" x14ac:dyDescent="0.2">
      <c r="B2662" s="62" t="s">
        <v>3246</v>
      </c>
      <c r="C2662" s="61" t="s">
        <v>875</v>
      </c>
      <c r="D2662" s="60">
        <v>1.9944500000000001</v>
      </c>
      <c r="E2662" s="59">
        <v>3.4347099999999999</v>
      </c>
      <c r="F2662" s="59">
        <v>3.8315999999999999</v>
      </c>
      <c r="G2662" s="56">
        <v>0</v>
      </c>
      <c r="H2662" s="56">
        <v>0</v>
      </c>
      <c r="I2662" s="58">
        <v>0.142399</v>
      </c>
      <c r="J2662" s="57">
        <v>0.189808</v>
      </c>
      <c r="K2662" s="56"/>
      <c r="L2662" s="56" t="s">
        <v>488</v>
      </c>
    </row>
    <row r="2663" spans="2:12" x14ac:dyDescent="0.2">
      <c r="B2663" s="62" t="s">
        <v>3245</v>
      </c>
      <c r="C2663" s="61" t="s">
        <v>561</v>
      </c>
      <c r="D2663" s="60">
        <v>0.98128099999999996</v>
      </c>
      <c r="E2663" s="59">
        <v>4.5156400000000003</v>
      </c>
      <c r="F2663" s="59">
        <v>5.6664399999999997</v>
      </c>
      <c r="G2663" s="56">
        <v>2075.9499999999998</v>
      </c>
      <c r="H2663" s="56">
        <v>2115.5500000000002</v>
      </c>
      <c r="I2663" s="58">
        <v>0.60422500000000001</v>
      </c>
      <c r="J2663" s="57">
        <v>0.69048100000000001</v>
      </c>
      <c r="K2663" s="56"/>
      <c r="L2663" s="56" t="s">
        <v>488</v>
      </c>
    </row>
    <row r="2664" spans="2:12" x14ac:dyDescent="0.2">
      <c r="B2664" s="62" t="s">
        <v>3244</v>
      </c>
      <c r="C2664" s="61" t="s">
        <v>745</v>
      </c>
      <c r="D2664" s="60">
        <v>2.12114</v>
      </c>
      <c r="E2664" s="59">
        <v>2.6449799999999999</v>
      </c>
      <c r="F2664" s="59">
        <v>3.5053999999999998</v>
      </c>
      <c r="G2664" s="56">
        <v>0</v>
      </c>
      <c r="H2664" s="56">
        <v>0</v>
      </c>
      <c r="I2664" s="58">
        <v>0.21244499999999999</v>
      </c>
      <c r="J2664" s="57">
        <v>0.212448</v>
      </c>
      <c r="K2664" s="56"/>
      <c r="L2664" s="56" t="s">
        <v>488</v>
      </c>
    </row>
    <row r="2665" spans="2:12" x14ac:dyDescent="0.2">
      <c r="B2665" s="62" t="s">
        <v>3243</v>
      </c>
      <c r="C2665" s="61" t="s">
        <v>579</v>
      </c>
      <c r="D2665" s="60">
        <v>2.5731799999999998</v>
      </c>
      <c r="E2665" s="59">
        <v>2.54304</v>
      </c>
      <c r="F2665" s="59">
        <v>3.6439599999999999</v>
      </c>
      <c r="G2665" s="56">
        <v>0</v>
      </c>
      <c r="H2665" s="56">
        <v>0</v>
      </c>
      <c r="I2665" s="58">
        <v>0.210233</v>
      </c>
      <c r="J2665" s="57">
        <v>0.17082</v>
      </c>
      <c r="K2665" s="56"/>
      <c r="L2665" s="56" t="s">
        <v>488</v>
      </c>
    </row>
    <row r="2666" spans="2:12" x14ac:dyDescent="0.2">
      <c r="B2666" s="62" t="s">
        <v>3242</v>
      </c>
      <c r="C2666" s="61" t="s">
        <v>541</v>
      </c>
      <c r="D2666" s="60">
        <v>2.6311100000000001</v>
      </c>
      <c r="E2666" s="59">
        <v>2.54535</v>
      </c>
      <c r="F2666" s="59">
        <v>3.6237400000000002</v>
      </c>
      <c r="G2666" s="56">
        <v>0</v>
      </c>
      <c r="H2666" s="56">
        <v>0</v>
      </c>
      <c r="I2666" s="58">
        <v>0.207929</v>
      </c>
      <c r="J2666" s="57">
        <v>0.165655</v>
      </c>
      <c r="K2666" s="56"/>
      <c r="L2666" s="56" t="s">
        <v>488</v>
      </c>
    </row>
    <row r="2667" spans="2:12" x14ac:dyDescent="0.2">
      <c r="B2667" s="62" t="s">
        <v>3241</v>
      </c>
      <c r="C2667" s="61" t="s">
        <v>531</v>
      </c>
      <c r="D2667" s="60">
        <v>2.8067199999999999</v>
      </c>
      <c r="E2667" s="59">
        <v>2.5370900000000001</v>
      </c>
      <c r="F2667" s="59">
        <v>3.5426000000000002</v>
      </c>
      <c r="G2667" s="56">
        <v>0</v>
      </c>
      <c r="H2667" s="56">
        <v>0</v>
      </c>
      <c r="I2667" s="58">
        <v>0.19556299999999999</v>
      </c>
      <c r="J2667" s="57">
        <v>0.15116199999999999</v>
      </c>
      <c r="K2667" s="56"/>
      <c r="L2667" s="56" t="s">
        <v>488</v>
      </c>
    </row>
    <row r="2668" spans="2:12" x14ac:dyDescent="0.2">
      <c r="B2668" s="62" t="s">
        <v>3240</v>
      </c>
      <c r="C2668" s="61" t="s">
        <v>533</v>
      </c>
      <c r="D2668" s="60">
        <v>2.8753099999999998</v>
      </c>
      <c r="E2668" s="59">
        <v>2.5227499999999998</v>
      </c>
      <c r="F2668" s="59">
        <v>3.5374699999999999</v>
      </c>
      <c r="G2668" s="56">
        <v>0</v>
      </c>
      <c r="H2668" s="56">
        <v>0</v>
      </c>
      <c r="I2668" s="58">
        <v>0.19515399999999999</v>
      </c>
      <c r="J2668" s="57">
        <v>0.14688699999999999</v>
      </c>
      <c r="K2668" s="56"/>
      <c r="L2668" s="56" t="s">
        <v>488</v>
      </c>
    </row>
    <row r="2669" spans="2:12" x14ac:dyDescent="0.2">
      <c r="B2669" s="62" t="s">
        <v>3239</v>
      </c>
      <c r="C2669" s="61" t="s">
        <v>558</v>
      </c>
      <c r="D2669" s="60">
        <v>3.0509599999999999</v>
      </c>
      <c r="E2669" s="59">
        <v>2.46916</v>
      </c>
      <c r="F2669" s="59">
        <v>3.4727999999999999</v>
      </c>
      <c r="G2669" s="56">
        <v>0</v>
      </c>
      <c r="H2669" s="56">
        <v>0</v>
      </c>
      <c r="I2669" s="58">
        <v>0.184417</v>
      </c>
      <c r="J2669" s="57">
        <v>0.13524</v>
      </c>
      <c r="K2669" s="56"/>
      <c r="L2669" s="56" t="s">
        <v>488</v>
      </c>
    </row>
    <row r="2670" spans="2:12" x14ac:dyDescent="0.2">
      <c r="B2670" s="62" t="s">
        <v>3238</v>
      </c>
      <c r="C2670" s="61" t="s">
        <v>859</v>
      </c>
      <c r="D2670" s="60">
        <v>3.1030600000000002</v>
      </c>
      <c r="E2670" s="59">
        <v>2.4680499999999999</v>
      </c>
      <c r="F2670" s="59">
        <v>3.4523299999999999</v>
      </c>
      <c r="G2670" s="56">
        <v>0</v>
      </c>
      <c r="H2670" s="56">
        <v>0</v>
      </c>
      <c r="I2670" s="58">
        <v>0.18092800000000001</v>
      </c>
      <c r="J2670" s="57">
        <v>0.13225000000000001</v>
      </c>
      <c r="K2670" s="56"/>
      <c r="L2670" s="56" t="s">
        <v>488</v>
      </c>
    </row>
    <row r="2671" spans="2:12" x14ac:dyDescent="0.2">
      <c r="B2671" s="62" t="s">
        <v>3237</v>
      </c>
      <c r="C2671" s="61" t="s">
        <v>1226</v>
      </c>
      <c r="D2671" s="60">
        <v>3.20113</v>
      </c>
      <c r="E2671" s="59">
        <v>2.4273799999999999</v>
      </c>
      <c r="F2671" s="59">
        <v>3.4325100000000002</v>
      </c>
      <c r="G2671" s="56">
        <v>0</v>
      </c>
      <c r="H2671" s="56">
        <v>0</v>
      </c>
      <c r="I2671" s="58">
        <v>0.203989</v>
      </c>
      <c r="J2671" s="57">
        <v>0.12703999999999999</v>
      </c>
      <c r="K2671" s="56"/>
      <c r="L2671" s="56" t="s">
        <v>488</v>
      </c>
    </row>
    <row r="2672" spans="2:12" x14ac:dyDescent="0.2">
      <c r="B2672" s="62" t="s">
        <v>3236</v>
      </c>
      <c r="C2672" s="61" t="s">
        <v>502</v>
      </c>
      <c r="D2672" s="60">
        <v>0.748614</v>
      </c>
      <c r="E2672" s="59">
        <v>6.7328299999999999</v>
      </c>
      <c r="F2672" s="59">
        <v>10.84435</v>
      </c>
      <c r="G2672" s="56">
        <v>2207.06</v>
      </c>
      <c r="H2672" s="56">
        <v>2948.19</v>
      </c>
      <c r="I2672" s="58">
        <v>0.82769700000000002</v>
      </c>
      <c r="J2672" s="57">
        <v>0.99726599999999999</v>
      </c>
      <c r="K2672" s="56"/>
      <c r="L2672" s="56" t="s">
        <v>488</v>
      </c>
    </row>
    <row r="2673" spans="2:12" x14ac:dyDescent="0.2">
      <c r="B2673" s="62" t="s">
        <v>3235</v>
      </c>
      <c r="C2673" s="61" t="s">
        <v>502</v>
      </c>
      <c r="D2673" s="60">
        <v>0.76782899999999998</v>
      </c>
      <c r="E2673" s="59">
        <v>6.6156199999999998</v>
      </c>
      <c r="F2673" s="59">
        <v>10.91306</v>
      </c>
      <c r="G2673" s="56">
        <v>2185.4299999999998</v>
      </c>
      <c r="H2673" s="56">
        <v>2846.25</v>
      </c>
      <c r="I2673" s="58">
        <v>0.79200300000000001</v>
      </c>
      <c r="J2673" s="57">
        <v>0.96478200000000003</v>
      </c>
      <c r="K2673" s="56"/>
      <c r="L2673" s="56" t="s">
        <v>488</v>
      </c>
    </row>
    <row r="2674" spans="2:12" x14ac:dyDescent="0.2">
      <c r="B2674" s="62" t="s">
        <v>3234</v>
      </c>
      <c r="C2674" s="61" t="s">
        <v>537</v>
      </c>
      <c r="D2674" s="60">
        <v>1.96959</v>
      </c>
      <c r="E2674" s="59">
        <v>2.69903</v>
      </c>
      <c r="F2674" s="59">
        <v>3.3092999999999999</v>
      </c>
      <c r="G2674" s="56">
        <v>0</v>
      </c>
      <c r="H2674" s="56">
        <v>0</v>
      </c>
      <c r="I2674" s="58">
        <v>0.104599</v>
      </c>
      <c r="J2674" s="57">
        <v>0.17959600000000001</v>
      </c>
      <c r="K2674" s="56"/>
      <c r="L2674" s="56" t="s">
        <v>488</v>
      </c>
    </row>
    <row r="2675" spans="2:12" x14ac:dyDescent="0.2">
      <c r="B2675" s="62" t="s">
        <v>3233</v>
      </c>
      <c r="C2675" s="61" t="s">
        <v>550</v>
      </c>
      <c r="D2675" s="60">
        <v>1.66795</v>
      </c>
      <c r="E2675" s="59">
        <v>2.61164</v>
      </c>
      <c r="F2675" s="59">
        <v>4.80016</v>
      </c>
      <c r="G2675" s="56">
        <v>0</v>
      </c>
      <c r="H2675" s="56">
        <v>0</v>
      </c>
      <c r="I2675" s="58">
        <v>0.223047</v>
      </c>
      <c r="J2675" s="57">
        <v>0.29643999999999998</v>
      </c>
      <c r="K2675" s="56"/>
      <c r="L2675" s="56" t="s">
        <v>492</v>
      </c>
    </row>
    <row r="2676" spans="2:12" x14ac:dyDescent="0.2">
      <c r="B2676" s="62" t="s">
        <v>3232</v>
      </c>
      <c r="C2676" s="61" t="s">
        <v>550</v>
      </c>
      <c r="D2676" s="60">
        <v>1.7099</v>
      </c>
      <c r="E2676" s="59">
        <v>2.5584199999999999</v>
      </c>
      <c r="F2676" s="59">
        <v>4.8044500000000001</v>
      </c>
      <c r="G2676" s="56">
        <v>0</v>
      </c>
      <c r="H2676" s="56">
        <v>0</v>
      </c>
      <c r="I2676" s="58">
        <v>0.20796000000000001</v>
      </c>
      <c r="J2676" s="57">
        <v>0.28340700000000002</v>
      </c>
      <c r="K2676" s="56"/>
      <c r="L2676" s="56" t="s">
        <v>492</v>
      </c>
    </row>
    <row r="2677" spans="2:12" x14ac:dyDescent="0.2">
      <c r="B2677" s="62" t="s">
        <v>3231</v>
      </c>
      <c r="C2677" s="61" t="s">
        <v>550</v>
      </c>
      <c r="D2677" s="60">
        <v>1.61768</v>
      </c>
      <c r="E2677" s="59">
        <v>3.5836999999999999</v>
      </c>
      <c r="F2677" s="59">
        <v>4.8696599999999997</v>
      </c>
      <c r="G2677" s="56">
        <v>0</v>
      </c>
      <c r="H2677" s="56">
        <v>0</v>
      </c>
      <c r="I2677" s="58">
        <v>0.27737200000000001</v>
      </c>
      <c r="J2677" s="57">
        <v>0.32887</v>
      </c>
      <c r="K2677" s="56"/>
      <c r="L2677" s="56" t="s">
        <v>492</v>
      </c>
    </row>
    <row r="2678" spans="2:12" x14ac:dyDescent="0.2">
      <c r="B2678" s="62" t="s">
        <v>3230</v>
      </c>
      <c r="C2678" s="61" t="s">
        <v>550</v>
      </c>
      <c r="D2678" s="60">
        <v>1.70651</v>
      </c>
      <c r="E2678" s="59">
        <v>3.5827399999999998</v>
      </c>
      <c r="F2678" s="59">
        <v>4.2446799999999998</v>
      </c>
      <c r="G2678" s="56">
        <v>0</v>
      </c>
      <c r="H2678" s="56">
        <v>0</v>
      </c>
      <c r="I2678" s="58">
        <v>0.17627300000000001</v>
      </c>
      <c r="J2678" s="57">
        <v>0.27515899999999999</v>
      </c>
      <c r="K2678" s="56"/>
      <c r="L2678" s="56" t="s">
        <v>492</v>
      </c>
    </row>
    <row r="2679" spans="2:12" x14ac:dyDescent="0.2">
      <c r="B2679" s="62" t="s">
        <v>3229</v>
      </c>
      <c r="C2679" s="61" t="s">
        <v>550</v>
      </c>
      <c r="D2679" s="60">
        <v>1.3586499999999999</v>
      </c>
      <c r="E2679" s="59">
        <v>3.6952199999999999</v>
      </c>
      <c r="F2679" s="59">
        <v>5.2465700000000002</v>
      </c>
      <c r="G2679" s="56">
        <v>0</v>
      </c>
      <c r="H2679" s="56">
        <v>0</v>
      </c>
      <c r="I2679" s="58">
        <v>0.470889</v>
      </c>
      <c r="J2679" s="57">
        <v>0.49003400000000003</v>
      </c>
      <c r="K2679" s="56"/>
      <c r="L2679" s="56" t="s">
        <v>488</v>
      </c>
    </row>
    <row r="2680" spans="2:12" x14ac:dyDescent="0.2">
      <c r="B2680" s="62" t="s">
        <v>3228</v>
      </c>
      <c r="C2680" s="61" t="s">
        <v>550</v>
      </c>
      <c r="D2680" s="60">
        <v>1.5969199999999999</v>
      </c>
      <c r="E2680" s="59">
        <v>3.7632699999999999</v>
      </c>
      <c r="F2680" s="59">
        <v>4.69367</v>
      </c>
      <c r="G2680" s="56">
        <v>577.60699999999997</v>
      </c>
      <c r="H2680" s="56">
        <v>361.7</v>
      </c>
      <c r="I2680" s="58">
        <v>0.29155599999999998</v>
      </c>
      <c r="J2680" s="57">
        <v>0.33601500000000001</v>
      </c>
      <c r="K2680" s="56"/>
      <c r="L2680" s="56" t="s">
        <v>624</v>
      </c>
    </row>
    <row r="2681" spans="2:12" x14ac:dyDescent="0.2">
      <c r="B2681" s="62" t="s">
        <v>3227</v>
      </c>
      <c r="C2681" s="61" t="s">
        <v>550</v>
      </c>
      <c r="D2681" s="60">
        <v>1.60534</v>
      </c>
      <c r="E2681" s="59">
        <v>3.6973400000000001</v>
      </c>
      <c r="F2681" s="59">
        <v>4.6637199999999996</v>
      </c>
      <c r="G2681" s="56">
        <v>0</v>
      </c>
      <c r="H2681" s="56">
        <v>0</v>
      </c>
      <c r="I2681" s="58">
        <v>0.29126999999999997</v>
      </c>
      <c r="J2681" s="57">
        <v>0.33304099999999998</v>
      </c>
      <c r="K2681" s="56"/>
      <c r="L2681" s="56" t="s">
        <v>624</v>
      </c>
    </row>
    <row r="2682" spans="2:12" x14ac:dyDescent="0.2">
      <c r="B2682" s="62" t="s">
        <v>3226</v>
      </c>
      <c r="C2682" s="61" t="s">
        <v>550</v>
      </c>
      <c r="D2682" s="60">
        <v>1.6794199999999999</v>
      </c>
      <c r="E2682" s="59">
        <v>2.4706299999999999</v>
      </c>
      <c r="F2682" s="59">
        <v>5.25387</v>
      </c>
      <c r="G2682" s="56">
        <v>0</v>
      </c>
      <c r="H2682" s="56">
        <v>0</v>
      </c>
      <c r="I2682" s="58">
        <v>0.21366099999999999</v>
      </c>
      <c r="J2682" s="57">
        <v>0.29492000000000002</v>
      </c>
      <c r="K2682" s="56"/>
      <c r="L2682" s="56" t="s">
        <v>492</v>
      </c>
    </row>
    <row r="2683" spans="2:12" x14ac:dyDescent="0.2">
      <c r="B2683" s="62" t="s">
        <v>3225</v>
      </c>
      <c r="C2683" s="61" t="s">
        <v>550</v>
      </c>
      <c r="D2683" s="60">
        <v>1.6714899999999999</v>
      </c>
      <c r="E2683" s="59">
        <v>2.4623499999999998</v>
      </c>
      <c r="F2683" s="59">
        <v>5.29068</v>
      </c>
      <c r="G2683" s="56">
        <v>0</v>
      </c>
      <c r="H2683" s="56">
        <v>0</v>
      </c>
      <c r="I2683" s="58">
        <v>0.20370099999999999</v>
      </c>
      <c r="J2683" s="57">
        <v>0.297207</v>
      </c>
      <c r="K2683" s="56"/>
      <c r="L2683" s="56" t="s">
        <v>492</v>
      </c>
    </row>
    <row r="2684" spans="2:12" x14ac:dyDescent="0.2">
      <c r="B2684" s="62" t="s">
        <v>3224</v>
      </c>
      <c r="C2684" s="61" t="s">
        <v>502</v>
      </c>
      <c r="D2684" s="60">
        <v>0.775285</v>
      </c>
      <c r="E2684" s="59">
        <v>5.8937200000000001</v>
      </c>
      <c r="F2684" s="59">
        <v>10.066739999999999</v>
      </c>
      <c r="G2684" s="56">
        <v>1541.37</v>
      </c>
      <c r="H2684" s="56">
        <v>1988.14</v>
      </c>
      <c r="I2684" s="58">
        <v>0.57336500000000001</v>
      </c>
      <c r="J2684" s="57">
        <v>0.85653199999999996</v>
      </c>
      <c r="K2684" s="56"/>
      <c r="L2684" s="56" t="s">
        <v>488</v>
      </c>
    </row>
    <row r="2685" spans="2:12" x14ac:dyDescent="0.2">
      <c r="B2685" s="62" t="s">
        <v>3223</v>
      </c>
      <c r="C2685" s="61" t="s">
        <v>502</v>
      </c>
      <c r="D2685" s="60">
        <v>0.79672200000000004</v>
      </c>
      <c r="E2685" s="59">
        <v>3.5734699999999999</v>
      </c>
      <c r="F2685" s="59">
        <v>10.543290000000001</v>
      </c>
      <c r="G2685" s="56">
        <v>0</v>
      </c>
      <c r="H2685" s="56">
        <v>0</v>
      </c>
      <c r="I2685" s="58">
        <v>0.50436800000000004</v>
      </c>
      <c r="J2685" s="57">
        <v>0.805446</v>
      </c>
      <c r="K2685" s="56"/>
      <c r="L2685" s="56" t="s">
        <v>488</v>
      </c>
    </row>
    <row r="2686" spans="2:12" x14ac:dyDescent="0.2">
      <c r="B2686" s="62" t="s">
        <v>3222</v>
      </c>
      <c r="C2686" s="61" t="s">
        <v>641</v>
      </c>
      <c r="D2686" s="60">
        <v>1.80616</v>
      </c>
      <c r="E2686" s="59">
        <v>2.7287699999999999</v>
      </c>
      <c r="F2686" s="59">
        <v>4.3788600000000004</v>
      </c>
      <c r="G2686" s="56">
        <v>0</v>
      </c>
      <c r="H2686" s="56">
        <v>0</v>
      </c>
      <c r="I2686" s="58">
        <v>0.162273</v>
      </c>
      <c r="J2686" s="57">
        <v>0.22436500000000001</v>
      </c>
      <c r="K2686" s="56"/>
      <c r="L2686" s="56" t="s">
        <v>488</v>
      </c>
    </row>
    <row r="2687" spans="2:12" x14ac:dyDescent="0.2">
      <c r="B2687" s="62" t="s">
        <v>3221</v>
      </c>
      <c r="C2687" s="61" t="s">
        <v>535</v>
      </c>
      <c r="D2687" s="60">
        <v>1.4835499999999999</v>
      </c>
      <c r="E2687" s="59">
        <v>4.8263999999999996</v>
      </c>
      <c r="F2687" s="59">
        <v>5.9874599999999996</v>
      </c>
      <c r="G2687" s="56">
        <v>958.48800000000006</v>
      </c>
      <c r="H2687" s="56">
        <v>646.077</v>
      </c>
      <c r="I2687" s="58">
        <v>0.45016699999999998</v>
      </c>
      <c r="J2687" s="57">
        <v>0.35627700000000001</v>
      </c>
      <c r="K2687" s="56"/>
      <c r="L2687" s="56" t="s">
        <v>488</v>
      </c>
    </row>
    <row r="2688" spans="2:12" x14ac:dyDescent="0.2">
      <c r="B2688" s="62" t="s">
        <v>3220</v>
      </c>
      <c r="C2688" s="61" t="s">
        <v>499</v>
      </c>
      <c r="D2688" s="60">
        <v>2.0290400000000002</v>
      </c>
      <c r="E2688" s="59">
        <v>2.6472500000000001</v>
      </c>
      <c r="F2688" s="59">
        <v>3.88706</v>
      </c>
      <c r="G2688" s="56">
        <v>0</v>
      </c>
      <c r="H2688" s="56">
        <v>0</v>
      </c>
      <c r="I2688" s="58">
        <v>0.12784200000000001</v>
      </c>
      <c r="J2688" s="57">
        <v>0.19608999999999999</v>
      </c>
      <c r="K2688" s="56"/>
      <c r="L2688" s="56" t="s">
        <v>488</v>
      </c>
    </row>
    <row r="2689" spans="2:12" x14ac:dyDescent="0.2">
      <c r="B2689" s="62" t="s">
        <v>3219</v>
      </c>
      <c r="C2689" s="61" t="s">
        <v>625</v>
      </c>
      <c r="D2689" s="60">
        <v>2.8376000000000001</v>
      </c>
      <c r="E2689" s="59">
        <v>3.60148</v>
      </c>
      <c r="F2689" s="59">
        <v>4.6669299999999998</v>
      </c>
      <c r="G2689" s="56">
        <v>0</v>
      </c>
      <c r="H2689" s="56">
        <v>0</v>
      </c>
      <c r="I2689" s="58">
        <v>0.20197200000000001</v>
      </c>
      <c r="J2689" s="57">
        <v>0.142876</v>
      </c>
      <c r="K2689" s="56"/>
      <c r="L2689" s="56" t="s">
        <v>488</v>
      </c>
    </row>
    <row r="2690" spans="2:12" x14ac:dyDescent="0.2">
      <c r="B2690" s="62" t="s">
        <v>3218</v>
      </c>
      <c r="C2690" s="61" t="s">
        <v>625</v>
      </c>
      <c r="D2690" s="60">
        <v>3.1055299999999999</v>
      </c>
      <c r="E2690" s="59">
        <v>3.2829299999999999</v>
      </c>
      <c r="F2690" s="59">
        <v>4.7316099999999999</v>
      </c>
      <c r="G2690" s="56">
        <v>0</v>
      </c>
      <c r="H2690" s="56">
        <v>0</v>
      </c>
      <c r="I2690" s="58">
        <v>0.183031</v>
      </c>
      <c r="J2690" s="57">
        <v>0.11643000000000001</v>
      </c>
      <c r="K2690" s="56"/>
      <c r="L2690" s="56" t="s">
        <v>488</v>
      </c>
    </row>
    <row r="2691" spans="2:12" x14ac:dyDescent="0.2">
      <c r="B2691" s="62" t="s">
        <v>3217</v>
      </c>
      <c r="C2691" s="61" t="s">
        <v>1572</v>
      </c>
      <c r="D2691" s="60">
        <v>1.31606</v>
      </c>
      <c r="E2691" s="59">
        <v>3.08683</v>
      </c>
      <c r="F2691" s="59">
        <v>4.3546800000000001</v>
      </c>
      <c r="G2691" s="56">
        <v>0</v>
      </c>
      <c r="H2691" s="56">
        <v>0</v>
      </c>
      <c r="I2691" s="58">
        <v>0.26550800000000002</v>
      </c>
      <c r="J2691" s="57">
        <v>0.37143700000000002</v>
      </c>
      <c r="K2691" s="56"/>
      <c r="L2691" s="56" t="s">
        <v>488</v>
      </c>
    </row>
    <row r="2692" spans="2:12" x14ac:dyDescent="0.2">
      <c r="B2692" s="62" t="s">
        <v>3216</v>
      </c>
      <c r="C2692" s="61" t="s">
        <v>1879</v>
      </c>
      <c r="D2692" s="60">
        <v>2.0105499999999998</v>
      </c>
      <c r="E2692" s="59">
        <v>3.5538400000000001</v>
      </c>
      <c r="F2692" s="59">
        <v>5.5423400000000003</v>
      </c>
      <c r="G2692" s="56">
        <v>0</v>
      </c>
      <c r="H2692" s="56">
        <v>0</v>
      </c>
      <c r="I2692" s="58">
        <v>0.26614599999999999</v>
      </c>
      <c r="J2692" s="57">
        <v>0.20385600000000001</v>
      </c>
      <c r="K2692" s="56"/>
      <c r="L2692" s="56" t="s">
        <v>488</v>
      </c>
    </row>
    <row r="2693" spans="2:12" x14ac:dyDescent="0.2">
      <c r="B2693" s="62" t="s">
        <v>3215</v>
      </c>
      <c r="C2693" s="61" t="s">
        <v>550</v>
      </c>
      <c r="D2693" s="60">
        <v>1.44252</v>
      </c>
      <c r="E2693" s="59">
        <v>2.48387</v>
      </c>
      <c r="F2693" s="59">
        <v>3.8703599999999998</v>
      </c>
      <c r="G2693" s="56">
        <v>0</v>
      </c>
      <c r="H2693" s="56">
        <v>0</v>
      </c>
      <c r="I2693" s="58">
        <v>9.1856199999999999E-2</v>
      </c>
      <c r="J2693" s="57">
        <v>0.284798</v>
      </c>
      <c r="K2693" s="56"/>
      <c r="L2693" s="56" t="s">
        <v>488</v>
      </c>
    </row>
    <row r="2694" spans="2:12" x14ac:dyDescent="0.2">
      <c r="B2694" s="62" t="s">
        <v>3214</v>
      </c>
      <c r="C2694" s="61" t="s">
        <v>510</v>
      </c>
      <c r="D2694" s="60">
        <v>1.1218300000000001</v>
      </c>
      <c r="E2694" s="59">
        <v>4.1723299999999997</v>
      </c>
      <c r="F2694" s="59">
        <v>5.00847</v>
      </c>
      <c r="G2694" s="56">
        <v>1044.81</v>
      </c>
      <c r="H2694" s="56">
        <v>931.34799999999996</v>
      </c>
      <c r="I2694" s="58">
        <v>0.454737</v>
      </c>
      <c r="J2694" s="57">
        <v>0.49967400000000001</v>
      </c>
      <c r="K2694" s="56"/>
      <c r="L2694" s="56" t="s">
        <v>488</v>
      </c>
    </row>
    <row r="2695" spans="2:12" x14ac:dyDescent="0.2">
      <c r="B2695" s="62" t="s">
        <v>3213</v>
      </c>
      <c r="C2695" s="61" t="s">
        <v>569</v>
      </c>
      <c r="D2695" s="60">
        <v>0.99747300000000005</v>
      </c>
      <c r="E2695" s="59">
        <v>5.3259800000000004</v>
      </c>
      <c r="F2695" s="59">
        <v>5.72133</v>
      </c>
      <c r="G2695" s="56">
        <v>1135.3599999999999</v>
      </c>
      <c r="H2695" s="56">
        <v>1138.24</v>
      </c>
      <c r="I2695" s="58">
        <v>0.56243299999999996</v>
      </c>
      <c r="J2695" s="57">
        <v>0.50527699999999998</v>
      </c>
      <c r="K2695" s="56"/>
      <c r="L2695" s="56" t="s">
        <v>488</v>
      </c>
    </row>
    <row r="2696" spans="2:12" x14ac:dyDescent="0.2">
      <c r="B2696" s="62" t="s">
        <v>3212</v>
      </c>
      <c r="C2696" s="61" t="s">
        <v>510</v>
      </c>
      <c r="D2696" s="60">
        <v>0.93910700000000003</v>
      </c>
      <c r="E2696" s="59">
        <v>5.6165000000000003</v>
      </c>
      <c r="F2696" s="59">
        <v>6.8845999999999998</v>
      </c>
      <c r="G2696" s="56">
        <v>1858.34</v>
      </c>
      <c r="H2696" s="56">
        <v>1978.84</v>
      </c>
      <c r="I2696" s="58">
        <v>0.61560599999999999</v>
      </c>
      <c r="J2696" s="57">
        <v>0.68183800000000006</v>
      </c>
      <c r="K2696" s="56"/>
      <c r="L2696" s="56" t="s">
        <v>488</v>
      </c>
    </row>
    <row r="2697" spans="2:12" x14ac:dyDescent="0.2">
      <c r="B2697" s="62" t="s">
        <v>3211</v>
      </c>
      <c r="C2697" s="61" t="s">
        <v>510</v>
      </c>
      <c r="D2697" s="60">
        <v>0.994946</v>
      </c>
      <c r="E2697" s="59">
        <v>4.8857900000000001</v>
      </c>
      <c r="F2697" s="59">
        <v>6.9882400000000002</v>
      </c>
      <c r="G2697" s="56">
        <v>1380.86</v>
      </c>
      <c r="H2697" s="56">
        <v>1500.34</v>
      </c>
      <c r="I2697" s="58">
        <v>0.41997499999999999</v>
      </c>
      <c r="J2697" s="57">
        <v>0.563855</v>
      </c>
      <c r="K2697" s="56"/>
      <c r="L2697" s="56" t="s">
        <v>492</v>
      </c>
    </row>
    <row r="2698" spans="2:12" x14ac:dyDescent="0.2">
      <c r="B2698" s="62" t="s">
        <v>3210</v>
      </c>
      <c r="C2698" s="61" t="s">
        <v>510</v>
      </c>
      <c r="D2698" s="60">
        <v>0.92036700000000005</v>
      </c>
      <c r="E2698" s="59">
        <v>4.90421</v>
      </c>
      <c r="F2698" s="59">
        <v>6.7758399999999996</v>
      </c>
      <c r="G2698" s="56">
        <v>960.45100000000002</v>
      </c>
      <c r="H2698" s="56">
        <v>965.33</v>
      </c>
      <c r="I2698" s="58">
        <v>0.55724200000000002</v>
      </c>
      <c r="J2698" s="57">
        <v>0.66368799999999994</v>
      </c>
      <c r="K2698" s="56"/>
      <c r="L2698" s="56" t="s">
        <v>488</v>
      </c>
    </row>
    <row r="2699" spans="2:12" x14ac:dyDescent="0.2">
      <c r="B2699" s="62" t="s">
        <v>3209</v>
      </c>
      <c r="C2699" s="61" t="s">
        <v>2248</v>
      </c>
      <c r="D2699" s="60">
        <v>0.96658999999999995</v>
      </c>
      <c r="E2699" s="59">
        <v>2.8944899999999998</v>
      </c>
      <c r="F2699" s="59">
        <v>10.23268</v>
      </c>
      <c r="G2699" s="56">
        <v>0</v>
      </c>
      <c r="H2699" s="56">
        <v>0</v>
      </c>
      <c r="I2699" s="58">
        <v>0.52435699999999996</v>
      </c>
      <c r="J2699" s="57">
        <v>0.60149300000000006</v>
      </c>
      <c r="K2699" s="56"/>
      <c r="L2699" s="56" t="s">
        <v>488</v>
      </c>
    </row>
    <row r="2700" spans="2:12" x14ac:dyDescent="0.2">
      <c r="B2700" s="62" t="s">
        <v>3208</v>
      </c>
      <c r="C2700" s="61" t="s">
        <v>502</v>
      </c>
      <c r="D2700" s="60">
        <v>0.74611099999999997</v>
      </c>
      <c r="E2700" s="59">
        <v>7.1355599999999999</v>
      </c>
      <c r="F2700" s="59">
        <v>7.3369200000000001</v>
      </c>
      <c r="G2700" s="56">
        <v>1743.31</v>
      </c>
      <c r="H2700" s="56">
        <v>2336.5300000000002</v>
      </c>
      <c r="I2700" s="58">
        <v>0.64777399999999996</v>
      </c>
      <c r="J2700" s="57">
        <v>0.94166399999999995</v>
      </c>
      <c r="K2700" s="56"/>
      <c r="L2700" s="56" t="s">
        <v>488</v>
      </c>
    </row>
    <row r="2701" spans="2:12" x14ac:dyDescent="0.2">
      <c r="B2701" s="62" t="s">
        <v>3207</v>
      </c>
      <c r="C2701" s="61" t="s">
        <v>502</v>
      </c>
      <c r="D2701" s="60">
        <v>1.1283700000000001</v>
      </c>
      <c r="E2701" s="59">
        <v>3.8024200000000001</v>
      </c>
      <c r="F2701" s="59">
        <v>5.7431999999999999</v>
      </c>
      <c r="G2701" s="56">
        <v>878.697</v>
      </c>
      <c r="H2701" s="56">
        <v>778.73</v>
      </c>
      <c r="I2701" s="58">
        <v>0.392036</v>
      </c>
      <c r="J2701" s="57">
        <v>0.470161</v>
      </c>
      <c r="K2701" s="56"/>
      <c r="L2701" s="56" t="s">
        <v>492</v>
      </c>
    </row>
    <row r="2702" spans="2:12" x14ac:dyDescent="0.2">
      <c r="B2702" s="62" t="s">
        <v>3206</v>
      </c>
      <c r="C2702" s="61" t="s">
        <v>502</v>
      </c>
      <c r="D2702" s="60">
        <v>0.63727599999999995</v>
      </c>
      <c r="E2702" s="59">
        <v>10.12401</v>
      </c>
      <c r="F2702" s="59">
        <v>10.81058</v>
      </c>
      <c r="G2702" s="56">
        <v>1683.06</v>
      </c>
      <c r="H2702" s="56">
        <v>2641.02</v>
      </c>
      <c r="I2702" s="58">
        <v>0.66232500000000005</v>
      </c>
      <c r="J2702" s="57">
        <v>1.1111200000000001</v>
      </c>
      <c r="K2702" s="56"/>
      <c r="L2702" s="56" t="s">
        <v>492</v>
      </c>
    </row>
    <row r="2703" spans="2:12" x14ac:dyDescent="0.2">
      <c r="B2703" s="62" t="s">
        <v>3205</v>
      </c>
      <c r="C2703" s="61" t="s">
        <v>502</v>
      </c>
      <c r="D2703" s="60">
        <v>0.97568999999999995</v>
      </c>
      <c r="E2703" s="59">
        <v>3.2873999999999999</v>
      </c>
      <c r="F2703" s="59">
        <v>6.0058400000000001</v>
      </c>
      <c r="G2703" s="56">
        <v>0</v>
      </c>
      <c r="H2703" s="56">
        <v>0</v>
      </c>
      <c r="I2703" s="58">
        <v>0.48087999999999997</v>
      </c>
      <c r="J2703" s="57">
        <v>0.56724300000000005</v>
      </c>
      <c r="K2703" s="56"/>
      <c r="L2703" s="56" t="s">
        <v>492</v>
      </c>
    </row>
    <row r="2704" spans="2:12" x14ac:dyDescent="0.2">
      <c r="B2704" s="62" t="s">
        <v>3204</v>
      </c>
      <c r="C2704" s="61" t="s">
        <v>502</v>
      </c>
      <c r="D2704" s="60">
        <v>0.74452399999999996</v>
      </c>
      <c r="E2704" s="59">
        <v>11.958130000000001</v>
      </c>
      <c r="F2704" s="59">
        <v>12.294460000000001</v>
      </c>
      <c r="G2704" s="56">
        <v>1486.6</v>
      </c>
      <c r="H2704" s="56">
        <v>1996.71</v>
      </c>
      <c r="I2704" s="58">
        <v>0.62898799999999999</v>
      </c>
      <c r="J2704" s="57">
        <v>0.91719499999999998</v>
      </c>
      <c r="K2704" s="56"/>
      <c r="L2704" s="56" t="s">
        <v>488</v>
      </c>
    </row>
    <row r="2705" spans="2:12" x14ac:dyDescent="0.2">
      <c r="B2705" s="62" t="s">
        <v>3203</v>
      </c>
      <c r="C2705" s="61" t="s">
        <v>510</v>
      </c>
      <c r="D2705" s="60">
        <v>1.0018800000000001</v>
      </c>
      <c r="E2705" s="59">
        <v>8.4459499999999998</v>
      </c>
      <c r="F2705" s="59">
        <v>9.1288599999999995</v>
      </c>
      <c r="G2705" s="56">
        <v>1012.52</v>
      </c>
      <c r="H2705" s="56">
        <v>1010.62</v>
      </c>
      <c r="I2705" s="58">
        <v>0.44977899999999998</v>
      </c>
      <c r="J2705" s="57">
        <v>0.56295300000000004</v>
      </c>
      <c r="K2705" s="56"/>
      <c r="L2705" s="56" t="s">
        <v>488</v>
      </c>
    </row>
    <row r="2706" spans="2:12" x14ac:dyDescent="0.2">
      <c r="B2706" s="62" t="s">
        <v>3202</v>
      </c>
      <c r="C2706" s="61" t="s">
        <v>499</v>
      </c>
      <c r="D2706" s="60">
        <v>1.32924</v>
      </c>
      <c r="E2706" s="59">
        <v>3.3659500000000002</v>
      </c>
      <c r="F2706" s="59">
        <v>4.5496499999999997</v>
      </c>
      <c r="G2706" s="56">
        <v>0</v>
      </c>
      <c r="H2706" s="56">
        <v>0</v>
      </c>
      <c r="I2706" s="58">
        <v>0.19539100000000001</v>
      </c>
      <c r="J2706" s="57">
        <v>0.31698399999999999</v>
      </c>
      <c r="K2706" s="56"/>
      <c r="L2706" s="56" t="s">
        <v>488</v>
      </c>
    </row>
    <row r="2707" spans="2:12" x14ac:dyDescent="0.2">
      <c r="B2707" s="62" t="s">
        <v>3201</v>
      </c>
      <c r="C2707" s="61" t="s">
        <v>502</v>
      </c>
      <c r="D2707" s="60">
        <v>0.95024699999999995</v>
      </c>
      <c r="E2707" s="59">
        <v>7.3638300000000001</v>
      </c>
      <c r="F2707" s="59">
        <v>7.6880300000000004</v>
      </c>
      <c r="G2707" s="56">
        <v>1785.71</v>
      </c>
      <c r="H2707" s="56">
        <v>1879.2</v>
      </c>
      <c r="I2707" s="58">
        <v>0.61479899999999998</v>
      </c>
      <c r="J2707" s="57">
        <v>0.66286599999999996</v>
      </c>
      <c r="K2707" s="56"/>
      <c r="L2707" s="56" t="s">
        <v>488</v>
      </c>
    </row>
    <row r="2708" spans="2:12" x14ac:dyDescent="0.2">
      <c r="B2708" s="62" t="s">
        <v>3200</v>
      </c>
      <c r="C2708" s="61" t="s">
        <v>502</v>
      </c>
      <c r="D2708" s="60">
        <v>0.73059300000000005</v>
      </c>
      <c r="E2708" s="59">
        <v>9.3764699999999994</v>
      </c>
      <c r="F2708" s="59">
        <v>12.420529999999999</v>
      </c>
      <c r="G2708" s="56">
        <v>2077.8200000000002</v>
      </c>
      <c r="H2708" s="56">
        <v>2844.01</v>
      </c>
      <c r="I2708" s="58">
        <v>0.72492299999999998</v>
      </c>
      <c r="J2708" s="57">
        <v>0.98082499999999995</v>
      </c>
      <c r="K2708" s="56"/>
      <c r="L2708" s="56" t="s">
        <v>488</v>
      </c>
    </row>
    <row r="2709" spans="2:12" x14ac:dyDescent="0.2">
      <c r="B2709" s="62" t="s">
        <v>3199</v>
      </c>
      <c r="C2709" s="61" t="s">
        <v>535</v>
      </c>
      <c r="D2709" s="60">
        <v>2.33134</v>
      </c>
      <c r="E2709" s="59">
        <v>2.95905</v>
      </c>
      <c r="F2709" s="59">
        <v>3.9638499999999999</v>
      </c>
      <c r="G2709" s="56">
        <v>0</v>
      </c>
      <c r="H2709" s="56">
        <v>0</v>
      </c>
      <c r="I2709" s="58">
        <v>0.134771</v>
      </c>
      <c r="J2709" s="57">
        <v>0.15330299999999999</v>
      </c>
      <c r="K2709" s="56"/>
      <c r="L2709" s="56" t="s">
        <v>488</v>
      </c>
    </row>
    <row r="2710" spans="2:12" x14ac:dyDescent="0.2">
      <c r="B2710" s="62" t="s">
        <v>3198</v>
      </c>
      <c r="C2710" s="61" t="s">
        <v>3197</v>
      </c>
      <c r="D2710" s="60">
        <v>0.827407</v>
      </c>
      <c r="E2710" s="59">
        <v>2.8557399999999999</v>
      </c>
      <c r="F2710" s="59">
        <v>10.2217</v>
      </c>
      <c r="G2710" s="56">
        <v>0</v>
      </c>
      <c r="H2710" s="56">
        <v>0</v>
      </c>
      <c r="I2710" s="58">
        <v>0.526335</v>
      </c>
      <c r="J2710" s="57">
        <v>0.69527000000000005</v>
      </c>
      <c r="K2710" s="56"/>
      <c r="L2710" s="56" t="s">
        <v>488</v>
      </c>
    </row>
    <row r="2711" spans="2:12" x14ac:dyDescent="0.2">
      <c r="B2711" s="62" t="s">
        <v>3196</v>
      </c>
      <c r="C2711" s="61" t="s">
        <v>550</v>
      </c>
      <c r="D2711" s="60">
        <v>1.99952</v>
      </c>
      <c r="E2711" s="59">
        <v>2.5308099999999998</v>
      </c>
      <c r="F2711" s="59">
        <v>9.95261</v>
      </c>
      <c r="G2711" s="56">
        <v>0</v>
      </c>
      <c r="H2711" s="56">
        <v>0</v>
      </c>
      <c r="I2711" s="58">
        <v>0.29116500000000001</v>
      </c>
      <c r="J2711" s="57">
        <v>0.245007</v>
      </c>
      <c r="K2711" s="56" t="s">
        <v>1816</v>
      </c>
      <c r="L2711" s="56" t="s">
        <v>563</v>
      </c>
    </row>
    <row r="2712" spans="2:12" x14ac:dyDescent="0.2">
      <c r="B2712" s="62" t="s">
        <v>3195</v>
      </c>
      <c r="C2712" s="61" t="s">
        <v>798</v>
      </c>
      <c r="D2712" s="60">
        <v>0.62841100000000005</v>
      </c>
      <c r="E2712" s="59">
        <v>8.3108500000000003</v>
      </c>
      <c r="F2712" s="59">
        <v>10.700799999999999</v>
      </c>
      <c r="G2712" s="56">
        <v>1834.05</v>
      </c>
      <c r="H2712" s="56">
        <v>2918.55</v>
      </c>
      <c r="I2712" s="58">
        <v>0.70630899999999996</v>
      </c>
      <c r="J2712" s="57">
        <v>1.1176999999999999</v>
      </c>
      <c r="K2712" s="56"/>
      <c r="L2712" s="56" t="s">
        <v>488</v>
      </c>
    </row>
    <row r="2713" spans="2:12" x14ac:dyDescent="0.2">
      <c r="B2713" s="62" t="s">
        <v>3194</v>
      </c>
      <c r="C2713" s="61" t="s">
        <v>499</v>
      </c>
      <c r="D2713" s="60">
        <v>0.56219300000000005</v>
      </c>
      <c r="E2713" s="59">
        <v>6.6338600000000003</v>
      </c>
      <c r="F2713" s="59">
        <v>18.893689999999999</v>
      </c>
      <c r="G2713" s="56">
        <v>2076.66</v>
      </c>
      <c r="H2713" s="56">
        <v>3693.85</v>
      </c>
      <c r="I2713" s="58">
        <v>0.85298600000000002</v>
      </c>
      <c r="J2713" s="57">
        <v>1.4118200000000001</v>
      </c>
      <c r="K2713" s="56"/>
      <c r="L2713" s="56" t="s">
        <v>488</v>
      </c>
    </row>
    <row r="2714" spans="2:12" x14ac:dyDescent="0.2">
      <c r="B2714" s="62" t="s">
        <v>3193</v>
      </c>
      <c r="C2714" s="61" t="s">
        <v>502</v>
      </c>
      <c r="D2714" s="60">
        <v>0.55928199999999995</v>
      </c>
      <c r="E2714" s="59">
        <v>6.5927199999999999</v>
      </c>
      <c r="F2714" s="59">
        <v>19.095140000000001</v>
      </c>
      <c r="G2714" s="56">
        <v>2079.8200000000002</v>
      </c>
      <c r="H2714" s="56">
        <v>3718.73</v>
      </c>
      <c r="I2714" s="58">
        <v>0.84784099999999996</v>
      </c>
      <c r="J2714" s="57">
        <v>1.41903</v>
      </c>
      <c r="K2714" s="56"/>
      <c r="L2714" s="56" t="s">
        <v>488</v>
      </c>
    </row>
    <row r="2715" spans="2:12" x14ac:dyDescent="0.2">
      <c r="B2715" s="62" t="s">
        <v>3192</v>
      </c>
      <c r="C2715" s="61" t="s">
        <v>541</v>
      </c>
      <c r="D2715" s="60">
        <v>2.0546000000000002</v>
      </c>
      <c r="E2715" s="59">
        <v>2.6943999999999999</v>
      </c>
      <c r="F2715" s="59">
        <v>3.42</v>
      </c>
      <c r="G2715" s="56">
        <v>0</v>
      </c>
      <c r="H2715" s="56">
        <v>0</v>
      </c>
      <c r="I2715" s="58">
        <v>0.170602</v>
      </c>
      <c r="J2715" s="57">
        <v>0.211428</v>
      </c>
      <c r="K2715" s="56"/>
      <c r="L2715" s="56" t="s">
        <v>488</v>
      </c>
    </row>
    <row r="2716" spans="2:12" x14ac:dyDescent="0.2">
      <c r="B2716" s="62" t="s">
        <v>3191</v>
      </c>
      <c r="C2716" s="61" t="s">
        <v>531</v>
      </c>
      <c r="D2716" s="60">
        <v>2.1353399999999998</v>
      </c>
      <c r="E2716" s="59">
        <v>2.67319</v>
      </c>
      <c r="F2716" s="59">
        <v>3.3905799999999999</v>
      </c>
      <c r="G2716" s="56">
        <v>0</v>
      </c>
      <c r="H2716" s="56">
        <v>0</v>
      </c>
      <c r="I2716" s="58">
        <v>0.14479900000000001</v>
      </c>
      <c r="J2716" s="57">
        <v>0.201235</v>
      </c>
      <c r="K2716" s="56"/>
      <c r="L2716" s="56" t="s">
        <v>488</v>
      </c>
    </row>
    <row r="2717" spans="2:12" x14ac:dyDescent="0.2">
      <c r="B2717" s="62" t="s">
        <v>3190</v>
      </c>
      <c r="C2717" s="61" t="s">
        <v>531</v>
      </c>
      <c r="D2717" s="60">
        <v>2.13517</v>
      </c>
      <c r="E2717" s="59">
        <v>2.4477899999999999</v>
      </c>
      <c r="F2717" s="59">
        <v>3.2991899999999998</v>
      </c>
      <c r="G2717" s="56">
        <v>0</v>
      </c>
      <c r="H2717" s="56">
        <v>0</v>
      </c>
      <c r="I2717" s="58">
        <v>0.15693499999999999</v>
      </c>
      <c r="J2717" s="57">
        <v>0.20080500000000001</v>
      </c>
      <c r="K2717" s="56"/>
      <c r="L2717" s="56" t="s">
        <v>488</v>
      </c>
    </row>
    <row r="2718" spans="2:12" x14ac:dyDescent="0.2">
      <c r="B2718" s="62" t="s">
        <v>3189</v>
      </c>
      <c r="C2718" s="61" t="s">
        <v>859</v>
      </c>
      <c r="D2718" s="60">
        <v>2.2900900000000002</v>
      </c>
      <c r="E2718" s="59">
        <v>2.6706599999999998</v>
      </c>
      <c r="F2718" s="59">
        <v>3.4142100000000002</v>
      </c>
      <c r="G2718" s="56">
        <v>0</v>
      </c>
      <c r="H2718" s="56">
        <v>0</v>
      </c>
      <c r="I2718" s="58">
        <v>0.16378899999999999</v>
      </c>
      <c r="J2718" s="57">
        <v>0.18360299999999999</v>
      </c>
      <c r="K2718" s="56"/>
      <c r="L2718" s="56" t="s">
        <v>488</v>
      </c>
    </row>
    <row r="2719" spans="2:12" x14ac:dyDescent="0.2">
      <c r="B2719" s="62" t="s">
        <v>3188</v>
      </c>
      <c r="C2719" s="61" t="s">
        <v>1658</v>
      </c>
      <c r="D2719" s="60">
        <v>1.0315000000000001</v>
      </c>
      <c r="E2719" s="59">
        <v>4.1656000000000004</v>
      </c>
      <c r="F2719" s="59">
        <v>5.9691799999999997</v>
      </c>
      <c r="G2719" s="56">
        <v>1106.6300000000001</v>
      </c>
      <c r="H2719" s="56">
        <v>1072.8399999999999</v>
      </c>
      <c r="I2719" s="58">
        <v>0.419821</v>
      </c>
      <c r="J2719" s="57">
        <v>0.533412</v>
      </c>
      <c r="K2719" s="56"/>
      <c r="L2719" s="56" t="s">
        <v>488</v>
      </c>
    </row>
    <row r="2720" spans="2:12" x14ac:dyDescent="0.2">
      <c r="B2720" s="62" t="s">
        <v>3187</v>
      </c>
      <c r="C2720" s="61" t="s">
        <v>550</v>
      </c>
      <c r="D2720" s="60">
        <v>1.30647</v>
      </c>
      <c r="E2720" s="59">
        <v>5.1240899999999998</v>
      </c>
      <c r="F2720" s="59">
        <v>6.2494699999999996</v>
      </c>
      <c r="G2720" s="56">
        <v>908.43499999999995</v>
      </c>
      <c r="H2720" s="56">
        <v>695.33799999999997</v>
      </c>
      <c r="I2720" s="58">
        <v>0.37776300000000002</v>
      </c>
      <c r="J2720" s="57">
        <v>0.40077699999999999</v>
      </c>
      <c r="K2720" s="56"/>
      <c r="L2720" s="56" t="s">
        <v>488</v>
      </c>
    </row>
    <row r="2721" spans="2:12" x14ac:dyDescent="0.2">
      <c r="B2721" s="62" t="s">
        <v>3186</v>
      </c>
      <c r="C2721" s="61" t="s">
        <v>625</v>
      </c>
      <c r="D2721" s="60">
        <v>1.7647600000000001</v>
      </c>
      <c r="E2721" s="59">
        <v>2.90645</v>
      </c>
      <c r="F2721" s="59">
        <v>4.8773</v>
      </c>
      <c r="G2721" s="56">
        <v>0</v>
      </c>
      <c r="H2721" s="56">
        <v>0</v>
      </c>
      <c r="I2721" s="58">
        <v>0.19244</v>
      </c>
      <c r="J2721" s="57">
        <v>0.22042200000000001</v>
      </c>
      <c r="K2721" s="56"/>
      <c r="L2721" s="56" t="s">
        <v>488</v>
      </c>
    </row>
    <row r="2722" spans="2:12" x14ac:dyDescent="0.2">
      <c r="B2722" s="62" t="s">
        <v>3185</v>
      </c>
      <c r="C2722" s="61" t="s">
        <v>499</v>
      </c>
      <c r="D2722" s="60">
        <v>1.2920400000000001</v>
      </c>
      <c r="E2722" s="59">
        <v>5.1237199999999996</v>
      </c>
      <c r="F2722" s="59">
        <v>5.8293499999999998</v>
      </c>
      <c r="G2722" s="56">
        <v>1900.61</v>
      </c>
      <c r="H2722" s="56">
        <v>1471.02</v>
      </c>
      <c r="I2722" s="58">
        <v>0.57796899999999996</v>
      </c>
      <c r="J2722" s="57">
        <v>0.48638900000000002</v>
      </c>
      <c r="K2722" s="56"/>
      <c r="L2722" s="56" t="s">
        <v>488</v>
      </c>
    </row>
    <row r="2723" spans="2:12" x14ac:dyDescent="0.2">
      <c r="B2723" s="62" t="s">
        <v>3184</v>
      </c>
      <c r="C2723" s="61" t="s">
        <v>641</v>
      </c>
      <c r="D2723" s="60">
        <v>1.2087600000000001</v>
      </c>
      <c r="E2723" s="59">
        <v>4.1158599999999996</v>
      </c>
      <c r="F2723" s="59">
        <v>5.4037899999999999</v>
      </c>
      <c r="G2723" s="56">
        <v>1329.21</v>
      </c>
      <c r="H2723" s="56">
        <v>1099.6400000000001</v>
      </c>
      <c r="I2723" s="58">
        <v>0.50731000000000004</v>
      </c>
      <c r="J2723" s="57">
        <v>0.48310500000000001</v>
      </c>
      <c r="K2723" s="56"/>
      <c r="L2723" s="56" t="s">
        <v>488</v>
      </c>
    </row>
    <row r="2724" spans="2:12" x14ac:dyDescent="0.2">
      <c r="B2724" s="62" t="s">
        <v>3183</v>
      </c>
      <c r="C2724" s="61" t="s">
        <v>499</v>
      </c>
      <c r="D2724" s="60">
        <v>0.85136199999999995</v>
      </c>
      <c r="E2724" s="59">
        <v>6.4330299999999996</v>
      </c>
      <c r="F2724" s="59">
        <v>7.4288299999999996</v>
      </c>
      <c r="G2724" s="56">
        <v>1753.04</v>
      </c>
      <c r="H2724" s="56">
        <v>2059.1</v>
      </c>
      <c r="I2724" s="58">
        <v>0.65529400000000004</v>
      </c>
      <c r="J2724" s="57">
        <v>0.76247299999999996</v>
      </c>
      <c r="K2724" s="56"/>
      <c r="L2724" s="56" t="s">
        <v>488</v>
      </c>
    </row>
    <row r="2725" spans="2:12" x14ac:dyDescent="0.2">
      <c r="B2725" s="62" t="s">
        <v>3182</v>
      </c>
      <c r="C2725" s="61" t="s">
        <v>550</v>
      </c>
      <c r="D2725" s="60">
        <v>2.41255</v>
      </c>
      <c r="E2725" s="59">
        <v>2.4035099999999998</v>
      </c>
      <c r="F2725" s="59">
        <v>3.4674399999999999</v>
      </c>
      <c r="G2725" s="56">
        <v>0</v>
      </c>
      <c r="H2725" s="56">
        <v>0</v>
      </c>
      <c r="I2725" s="58">
        <v>0.118674</v>
      </c>
      <c r="J2725" s="57">
        <v>0.16006400000000001</v>
      </c>
      <c r="K2725" s="56"/>
      <c r="L2725" s="56" t="s">
        <v>488</v>
      </c>
    </row>
    <row r="2726" spans="2:12" x14ac:dyDescent="0.2">
      <c r="B2726" s="62" t="s">
        <v>3181</v>
      </c>
      <c r="C2726" s="61" t="s">
        <v>550</v>
      </c>
      <c r="D2726" s="60">
        <v>2.2709100000000002</v>
      </c>
      <c r="E2726" s="59">
        <v>2.65632</v>
      </c>
      <c r="F2726" s="59">
        <v>3.4833500000000002</v>
      </c>
      <c r="G2726" s="56">
        <v>0</v>
      </c>
      <c r="H2726" s="56">
        <v>0</v>
      </c>
      <c r="I2726" s="58">
        <v>6.9699999999999998E-2</v>
      </c>
      <c r="J2726" s="57">
        <v>0.18396599999999999</v>
      </c>
      <c r="K2726" s="56"/>
      <c r="L2726" s="56" t="s">
        <v>488</v>
      </c>
    </row>
    <row r="2727" spans="2:12" x14ac:dyDescent="0.2">
      <c r="B2727" s="62" t="s">
        <v>3180</v>
      </c>
      <c r="C2727" s="61" t="s">
        <v>502</v>
      </c>
      <c r="D2727" s="60">
        <v>1.18753</v>
      </c>
      <c r="E2727" s="59">
        <v>3.76823</v>
      </c>
      <c r="F2727" s="59">
        <v>4.6011100000000003</v>
      </c>
      <c r="G2727" s="56">
        <v>844.32600000000002</v>
      </c>
      <c r="H2727" s="56">
        <v>710.99099999999999</v>
      </c>
      <c r="I2727" s="58">
        <v>0.54010199999999997</v>
      </c>
      <c r="J2727" s="57">
        <v>0.48860999999999999</v>
      </c>
      <c r="K2727" s="56"/>
      <c r="L2727" s="56" t="s">
        <v>488</v>
      </c>
    </row>
    <row r="2728" spans="2:12" x14ac:dyDescent="0.2">
      <c r="B2728" s="62" t="s">
        <v>3179</v>
      </c>
      <c r="C2728" s="61" t="s">
        <v>1518</v>
      </c>
      <c r="D2728" s="60">
        <v>1.5444</v>
      </c>
      <c r="E2728" s="59">
        <v>7.1088800000000001</v>
      </c>
      <c r="F2728" s="59">
        <v>8.2991700000000002</v>
      </c>
      <c r="G2728" s="56">
        <v>923.36900000000003</v>
      </c>
      <c r="H2728" s="56">
        <v>597.88</v>
      </c>
      <c r="I2728" s="58">
        <v>0.36530000000000001</v>
      </c>
      <c r="J2728" s="57">
        <v>0.36433300000000002</v>
      </c>
      <c r="K2728" s="56"/>
      <c r="L2728" s="56" t="s">
        <v>488</v>
      </c>
    </row>
    <row r="2729" spans="2:12" x14ac:dyDescent="0.2">
      <c r="B2729" s="62" t="s">
        <v>3178</v>
      </c>
      <c r="C2729" s="61" t="s">
        <v>1668</v>
      </c>
      <c r="D2729" s="60">
        <v>1.58436</v>
      </c>
      <c r="E2729" s="59">
        <v>6.8813399999999998</v>
      </c>
      <c r="F2729" s="59">
        <v>8.1058299999999992</v>
      </c>
      <c r="G2729" s="56">
        <v>895.899</v>
      </c>
      <c r="H2729" s="56">
        <v>565.46400000000006</v>
      </c>
      <c r="I2729" s="58">
        <v>0.35185300000000003</v>
      </c>
      <c r="J2729" s="57">
        <v>0.34981099999999998</v>
      </c>
      <c r="K2729" s="56"/>
      <c r="L2729" s="56" t="s">
        <v>488</v>
      </c>
    </row>
    <row r="2730" spans="2:12" x14ac:dyDescent="0.2">
      <c r="B2730" s="62" t="s">
        <v>3177</v>
      </c>
      <c r="C2730" s="61" t="s">
        <v>878</v>
      </c>
      <c r="D2730" s="60">
        <v>2.3483000000000001</v>
      </c>
      <c r="E2730" s="59">
        <v>2.5632000000000001</v>
      </c>
      <c r="F2730" s="59">
        <v>3.37757</v>
      </c>
      <c r="G2730" s="56">
        <v>0</v>
      </c>
      <c r="H2730" s="56">
        <v>0</v>
      </c>
      <c r="I2730" s="58">
        <v>0.10456600000000001</v>
      </c>
      <c r="J2730" s="57">
        <v>0.15925300000000001</v>
      </c>
      <c r="K2730" s="56"/>
      <c r="L2730" s="56" t="s">
        <v>488</v>
      </c>
    </row>
    <row r="2731" spans="2:12" x14ac:dyDescent="0.2">
      <c r="B2731" s="62" t="s">
        <v>3176</v>
      </c>
      <c r="C2731" s="61" t="s">
        <v>1652</v>
      </c>
      <c r="D2731" s="60">
        <v>1.9519299999999999</v>
      </c>
      <c r="E2731" s="59">
        <v>4.1638900000000003</v>
      </c>
      <c r="F2731" s="59">
        <v>5.3607100000000001</v>
      </c>
      <c r="G2731" s="56">
        <v>687.77</v>
      </c>
      <c r="H2731" s="56">
        <v>352.35500000000002</v>
      </c>
      <c r="I2731" s="58">
        <v>0.28487600000000002</v>
      </c>
      <c r="J2731" s="57">
        <v>0.256075</v>
      </c>
      <c r="K2731" s="56"/>
      <c r="L2731" s="56" t="s">
        <v>488</v>
      </c>
    </row>
    <row r="2732" spans="2:12" x14ac:dyDescent="0.2">
      <c r="B2732" s="62" t="s">
        <v>3175</v>
      </c>
      <c r="C2732" s="61" t="s">
        <v>507</v>
      </c>
      <c r="D2732" s="60">
        <v>0.99316800000000005</v>
      </c>
      <c r="E2732" s="59">
        <v>7.6674100000000003</v>
      </c>
      <c r="F2732" s="59">
        <v>9.3865800000000004</v>
      </c>
      <c r="G2732" s="56">
        <v>1647.22</v>
      </c>
      <c r="H2732" s="56">
        <v>1658.55</v>
      </c>
      <c r="I2732" s="58">
        <v>0.66630100000000003</v>
      </c>
      <c r="J2732" s="57">
        <v>0.65573300000000001</v>
      </c>
      <c r="K2732" s="56"/>
      <c r="L2732" s="56" t="s">
        <v>488</v>
      </c>
    </row>
    <row r="2733" spans="2:12" x14ac:dyDescent="0.2">
      <c r="B2733" s="62" t="s">
        <v>3174</v>
      </c>
      <c r="C2733" s="61" t="s">
        <v>550</v>
      </c>
      <c r="D2733" s="60">
        <v>1.3673200000000001</v>
      </c>
      <c r="E2733" s="59">
        <v>3.7629600000000001</v>
      </c>
      <c r="F2733" s="59">
        <v>4.8146899999999997</v>
      </c>
      <c r="G2733" s="56">
        <v>191.874</v>
      </c>
      <c r="H2733" s="56">
        <v>140.32900000000001</v>
      </c>
      <c r="I2733" s="58">
        <v>0.17274900000000001</v>
      </c>
      <c r="J2733" s="57">
        <v>0.316936</v>
      </c>
      <c r="K2733" s="56"/>
      <c r="L2733" s="56" t="s">
        <v>488</v>
      </c>
    </row>
    <row r="2734" spans="2:12" x14ac:dyDescent="0.2">
      <c r="B2734" s="62" t="s">
        <v>3173</v>
      </c>
      <c r="C2734" s="61" t="s">
        <v>687</v>
      </c>
      <c r="D2734" s="60">
        <v>1.4147799999999999</v>
      </c>
      <c r="E2734" s="59">
        <v>5.7700199999999997</v>
      </c>
      <c r="F2734" s="59">
        <v>6.8634700000000004</v>
      </c>
      <c r="G2734" s="56">
        <v>1728.71</v>
      </c>
      <c r="H2734" s="56">
        <v>1221.8900000000001</v>
      </c>
      <c r="I2734" s="58">
        <v>0.63600999999999996</v>
      </c>
      <c r="J2734" s="57">
        <v>0.46333800000000003</v>
      </c>
      <c r="K2734" s="56"/>
      <c r="L2734" s="56" t="s">
        <v>488</v>
      </c>
    </row>
    <row r="2735" spans="2:12" x14ac:dyDescent="0.2">
      <c r="B2735" s="62" t="s">
        <v>3172</v>
      </c>
      <c r="C2735" s="61" t="s">
        <v>499</v>
      </c>
      <c r="D2735" s="60">
        <v>0.99375500000000005</v>
      </c>
      <c r="E2735" s="59">
        <v>3.5373999999999999</v>
      </c>
      <c r="F2735" s="59">
        <v>5.0383899999999997</v>
      </c>
      <c r="G2735" s="56">
        <v>0</v>
      </c>
      <c r="H2735" s="56">
        <v>0</v>
      </c>
      <c r="I2735" s="58">
        <v>0.495562</v>
      </c>
      <c r="J2735" s="57">
        <v>0.54816100000000001</v>
      </c>
      <c r="K2735" s="56"/>
      <c r="L2735" s="56" t="s">
        <v>488</v>
      </c>
    </row>
    <row r="2736" spans="2:12" x14ac:dyDescent="0.2">
      <c r="B2736" s="62" t="s">
        <v>3171</v>
      </c>
      <c r="C2736" s="61" t="s">
        <v>499</v>
      </c>
      <c r="D2736" s="60">
        <v>0.98025200000000001</v>
      </c>
      <c r="E2736" s="59">
        <v>3.8372000000000002</v>
      </c>
      <c r="F2736" s="59">
        <v>5.3048999999999999</v>
      </c>
      <c r="G2736" s="56">
        <v>506.57900000000001</v>
      </c>
      <c r="H2736" s="56">
        <v>516.78399999999999</v>
      </c>
      <c r="I2736" s="58">
        <v>0.51837900000000003</v>
      </c>
      <c r="J2736" s="57">
        <v>0.56293000000000004</v>
      </c>
      <c r="K2736" s="56"/>
      <c r="L2736" s="56" t="s">
        <v>488</v>
      </c>
    </row>
    <row r="2737" spans="2:12" x14ac:dyDescent="0.2">
      <c r="B2737" s="62" t="s">
        <v>3170</v>
      </c>
      <c r="C2737" s="61" t="s">
        <v>499</v>
      </c>
      <c r="D2737" s="60">
        <v>0.98443700000000001</v>
      </c>
      <c r="E2737" s="59">
        <v>3.6888200000000002</v>
      </c>
      <c r="F2737" s="59">
        <v>5.1952499999999997</v>
      </c>
      <c r="G2737" s="56">
        <v>0</v>
      </c>
      <c r="H2737" s="56">
        <v>0</v>
      </c>
      <c r="I2737" s="58">
        <v>0.51058000000000003</v>
      </c>
      <c r="J2737" s="57">
        <v>0.55796400000000002</v>
      </c>
      <c r="K2737" s="56"/>
      <c r="L2737" s="56" t="s">
        <v>488</v>
      </c>
    </row>
    <row r="2738" spans="2:12" x14ac:dyDescent="0.2">
      <c r="B2738" s="62" t="s">
        <v>3169</v>
      </c>
      <c r="C2738" s="61" t="s">
        <v>499</v>
      </c>
      <c r="D2738" s="60">
        <v>0.97663999999999995</v>
      </c>
      <c r="E2738" s="59">
        <v>3.7317</v>
      </c>
      <c r="F2738" s="59">
        <v>5.2467899999999998</v>
      </c>
      <c r="G2738" s="56">
        <v>445.88200000000001</v>
      </c>
      <c r="H2738" s="56">
        <v>456.54700000000003</v>
      </c>
      <c r="I2738" s="58">
        <v>0.51567700000000005</v>
      </c>
      <c r="J2738" s="57">
        <v>0.56707200000000002</v>
      </c>
      <c r="K2738" s="56"/>
      <c r="L2738" s="56" t="s">
        <v>488</v>
      </c>
    </row>
    <row r="2739" spans="2:12" x14ac:dyDescent="0.2">
      <c r="B2739" s="62" t="s">
        <v>3168</v>
      </c>
      <c r="C2739" s="61" t="s">
        <v>495</v>
      </c>
      <c r="D2739" s="60">
        <v>1.4258999999999999</v>
      </c>
      <c r="E2739" s="59">
        <v>4.9751000000000003</v>
      </c>
      <c r="F2739" s="59">
        <v>5.5756699999999997</v>
      </c>
      <c r="G2739" s="56">
        <v>964.87199999999996</v>
      </c>
      <c r="H2739" s="56">
        <v>676.67700000000002</v>
      </c>
      <c r="I2739" s="58">
        <v>0.41571599999999997</v>
      </c>
      <c r="J2739" s="57">
        <v>0.33551999999999998</v>
      </c>
      <c r="K2739" s="56"/>
      <c r="L2739" s="56" t="s">
        <v>488</v>
      </c>
    </row>
    <row r="2740" spans="2:12" x14ac:dyDescent="0.2">
      <c r="B2740" s="62" t="s">
        <v>3167</v>
      </c>
      <c r="C2740" s="61" t="s">
        <v>612</v>
      </c>
      <c r="D2740" s="60">
        <v>0.72296000000000005</v>
      </c>
      <c r="E2740" s="59">
        <v>9.5774600000000003</v>
      </c>
      <c r="F2740" s="59">
        <v>15.66484</v>
      </c>
      <c r="G2740" s="56">
        <v>1251.9000000000001</v>
      </c>
      <c r="H2740" s="56">
        <v>1731.63</v>
      </c>
      <c r="I2740" s="58">
        <v>0.76566999999999996</v>
      </c>
      <c r="J2740" s="57">
        <v>1.01555</v>
      </c>
      <c r="K2740" s="56"/>
      <c r="L2740" s="56" t="s">
        <v>488</v>
      </c>
    </row>
    <row r="2741" spans="2:12" x14ac:dyDescent="0.2">
      <c r="B2741" s="62" t="s">
        <v>3166</v>
      </c>
      <c r="C2741" s="61" t="s">
        <v>641</v>
      </c>
      <c r="D2741" s="60">
        <v>1.99057</v>
      </c>
      <c r="E2741" s="59">
        <v>2.6840700000000002</v>
      </c>
      <c r="F2741" s="59">
        <v>3.3989400000000001</v>
      </c>
      <c r="G2741" s="56">
        <v>0</v>
      </c>
      <c r="H2741" s="56">
        <v>0</v>
      </c>
      <c r="I2741" s="58">
        <v>0.139625</v>
      </c>
      <c r="J2741" s="57">
        <v>0.203766</v>
      </c>
      <c r="K2741" s="56"/>
      <c r="L2741" s="56" t="s">
        <v>488</v>
      </c>
    </row>
    <row r="2742" spans="2:12" x14ac:dyDescent="0.2">
      <c r="B2742" s="62" t="s">
        <v>3165</v>
      </c>
      <c r="C2742" s="61" t="s">
        <v>541</v>
      </c>
      <c r="D2742" s="60">
        <v>2.0731299999999999</v>
      </c>
      <c r="E2742" s="59">
        <v>2.6213600000000001</v>
      </c>
      <c r="F2742" s="59">
        <v>3.3262700000000001</v>
      </c>
      <c r="G2742" s="56">
        <v>0</v>
      </c>
      <c r="H2742" s="56">
        <v>0</v>
      </c>
      <c r="I2742" s="58">
        <v>0.12689400000000001</v>
      </c>
      <c r="J2742" s="57">
        <v>0.19070999999999999</v>
      </c>
      <c r="K2742" s="56"/>
      <c r="L2742" s="56" t="s">
        <v>488</v>
      </c>
    </row>
    <row r="2743" spans="2:12" x14ac:dyDescent="0.2">
      <c r="B2743" s="62" t="s">
        <v>3164</v>
      </c>
      <c r="C2743" s="61" t="s">
        <v>531</v>
      </c>
      <c r="D2743" s="60">
        <v>2.1639300000000001</v>
      </c>
      <c r="E2743" s="59">
        <v>2.5743399999999999</v>
      </c>
      <c r="F2743" s="59">
        <v>3.2698800000000001</v>
      </c>
      <c r="G2743" s="56">
        <v>0</v>
      </c>
      <c r="H2743" s="56">
        <v>0</v>
      </c>
      <c r="I2743" s="58">
        <v>0.115582</v>
      </c>
      <c r="J2743" s="57">
        <v>0.17871899999999999</v>
      </c>
      <c r="K2743" s="56"/>
      <c r="L2743" s="56" t="s">
        <v>488</v>
      </c>
    </row>
    <row r="2744" spans="2:12" x14ac:dyDescent="0.2">
      <c r="B2744" s="62" t="s">
        <v>3163</v>
      </c>
      <c r="C2744" s="61" t="s">
        <v>531</v>
      </c>
      <c r="D2744" s="60">
        <v>2.1464099999999999</v>
      </c>
      <c r="E2744" s="59">
        <v>2.5969699999999998</v>
      </c>
      <c r="F2744" s="59">
        <v>3.2924699999999998</v>
      </c>
      <c r="G2744" s="56">
        <v>0</v>
      </c>
      <c r="H2744" s="56">
        <v>0</v>
      </c>
      <c r="I2744" s="58">
        <v>0.12012399999999999</v>
      </c>
      <c r="J2744" s="57">
        <v>0.182171</v>
      </c>
      <c r="K2744" s="56"/>
      <c r="L2744" s="56" t="s">
        <v>488</v>
      </c>
    </row>
    <row r="2745" spans="2:12" x14ac:dyDescent="0.2">
      <c r="B2745" s="62" t="s">
        <v>3162</v>
      </c>
      <c r="C2745" s="61" t="s">
        <v>499</v>
      </c>
      <c r="D2745" s="60">
        <v>1.1944999999999999</v>
      </c>
      <c r="E2745" s="59">
        <v>3.8400599999999998</v>
      </c>
      <c r="F2745" s="59">
        <v>4.3267300000000004</v>
      </c>
      <c r="G2745" s="56">
        <v>1121.42</v>
      </c>
      <c r="H2745" s="56">
        <v>938.822</v>
      </c>
      <c r="I2745" s="58">
        <v>0.55963399999999996</v>
      </c>
      <c r="J2745" s="57">
        <v>0.48945300000000003</v>
      </c>
      <c r="K2745" s="56"/>
      <c r="L2745" s="56" t="s">
        <v>492</v>
      </c>
    </row>
    <row r="2746" spans="2:12" x14ac:dyDescent="0.2">
      <c r="B2746" s="62" t="s">
        <v>3161</v>
      </c>
      <c r="C2746" s="61" t="s">
        <v>499</v>
      </c>
      <c r="D2746" s="60">
        <v>1.0589200000000001</v>
      </c>
      <c r="E2746" s="59">
        <v>4.0871199999999996</v>
      </c>
      <c r="F2746" s="59">
        <v>5.4396500000000003</v>
      </c>
      <c r="G2746" s="56">
        <v>784.14200000000005</v>
      </c>
      <c r="H2746" s="56">
        <v>740.51300000000003</v>
      </c>
      <c r="I2746" s="58">
        <v>0.41361500000000001</v>
      </c>
      <c r="J2746" s="57">
        <v>0.53895199999999999</v>
      </c>
      <c r="K2746" s="56"/>
      <c r="L2746" s="56" t="s">
        <v>492</v>
      </c>
    </row>
    <row r="2747" spans="2:12" x14ac:dyDescent="0.2">
      <c r="B2747" s="62" t="s">
        <v>3160</v>
      </c>
      <c r="C2747" s="61" t="s">
        <v>510</v>
      </c>
      <c r="D2747" s="60">
        <v>1.2940100000000001</v>
      </c>
      <c r="E2747" s="59">
        <v>2.5979800000000002</v>
      </c>
      <c r="F2747" s="59">
        <v>3.5562299999999998</v>
      </c>
      <c r="G2747" s="56">
        <v>0</v>
      </c>
      <c r="H2747" s="56">
        <v>0</v>
      </c>
      <c r="I2747" s="58">
        <v>0.147371</v>
      </c>
      <c r="J2747" s="57">
        <v>0.32317000000000001</v>
      </c>
      <c r="K2747" s="56"/>
      <c r="L2747" s="56" t="s">
        <v>488</v>
      </c>
    </row>
    <row r="2748" spans="2:12" x14ac:dyDescent="0.2">
      <c r="B2748" s="62" t="s">
        <v>3159</v>
      </c>
      <c r="C2748" s="61" t="s">
        <v>798</v>
      </c>
      <c r="D2748" s="60">
        <v>1.11938</v>
      </c>
      <c r="E2748" s="59">
        <v>6.06717</v>
      </c>
      <c r="F2748" s="59">
        <v>6.2373200000000004</v>
      </c>
      <c r="G2748" s="56">
        <v>1217.3</v>
      </c>
      <c r="H2748" s="56">
        <v>1084.81</v>
      </c>
      <c r="I2748" s="58">
        <v>0.59599800000000003</v>
      </c>
      <c r="J2748" s="57">
        <v>0.47729899999999997</v>
      </c>
      <c r="K2748" s="56"/>
      <c r="L2748" s="56" t="s">
        <v>488</v>
      </c>
    </row>
    <row r="2749" spans="2:12" x14ac:dyDescent="0.2">
      <c r="B2749" s="62" t="s">
        <v>3158</v>
      </c>
      <c r="C2749" s="61" t="s">
        <v>798</v>
      </c>
      <c r="D2749" s="60">
        <v>1.1221300000000001</v>
      </c>
      <c r="E2749" s="59">
        <v>6.0726199999999997</v>
      </c>
      <c r="F2749" s="59">
        <v>6.2386299999999997</v>
      </c>
      <c r="G2749" s="56">
        <v>1186.3599999999999</v>
      </c>
      <c r="H2749" s="56">
        <v>1059.83</v>
      </c>
      <c r="I2749" s="58">
        <v>0.59870299999999999</v>
      </c>
      <c r="J2749" s="57">
        <v>0.47536600000000001</v>
      </c>
      <c r="K2749" s="56"/>
      <c r="L2749" s="56" t="s">
        <v>488</v>
      </c>
    </row>
    <row r="2750" spans="2:12" x14ac:dyDescent="0.2">
      <c r="B2750" s="62" t="s">
        <v>3157</v>
      </c>
      <c r="C2750" s="61" t="s">
        <v>550</v>
      </c>
      <c r="D2750" s="60">
        <v>1.4356199999999999</v>
      </c>
      <c r="E2750" s="59">
        <v>2.8802099999999999</v>
      </c>
      <c r="F2750" s="59">
        <v>4.4084500000000002</v>
      </c>
      <c r="G2750" s="56">
        <v>0</v>
      </c>
      <c r="H2750" s="56">
        <v>0</v>
      </c>
      <c r="I2750" s="58">
        <v>0.20356099999999999</v>
      </c>
      <c r="J2750" s="57">
        <v>0.31182100000000001</v>
      </c>
      <c r="K2750" s="56"/>
      <c r="L2750" s="56" t="s">
        <v>488</v>
      </c>
    </row>
    <row r="2751" spans="2:12" x14ac:dyDescent="0.2">
      <c r="B2751" s="62" t="s">
        <v>3156</v>
      </c>
      <c r="C2751" s="61" t="s">
        <v>502</v>
      </c>
      <c r="D2751" s="60">
        <v>1.1582699999999999</v>
      </c>
      <c r="E2751" s="59">
        <v>3.8083100000000001</v>
      </c>
      <c r="F2751" s="59">
        <v>4.7752600000000003</v>
      </c>
      <c r="G2751" s="56">
        <v>688.52499999999998</v>
      </c>
      <c r="H2751" s="56">
        <v>594.44200000000001</v>
      </c>
      <c r="I2751" s="58">
        <v>0.40373900000000001</v>
      </c>
      <c r="J2751" s="57">
        <v>0.475912</v>
      </c>
      <c r="K2751" s="56"/>
      <c r="L2751" s="56" t="s">
        <v>488</v>
      </c>
    </row>
    <row r="2752" spans="2:12" x14ac:dyDescent="0.2">
      <c r="B2752" s="62" t="s">
        <v>3155</v>
      </c>
      <c r="C2752" s="61" t="s">
        <v>3154</v>
      </c>
      <c r="D2752" s="60">
        <v>1.46194</v>
      </c>
      <c r="E2752" s="59">
        <v>4.0619699999999996</v>
      </c>
      <c r="F2752" s="59">
        <v>5.7494100000000001</v>
      </c>
      <c r="G2752" s="56">
        <v>819.78499999999997</v>
      </c>
      <c r="H2752" s="56">
        <v>560.75099999999998</v>
      </c>
      <c r="I2752" s="58">
        <v>0.39822299999999999</v>
      </c>
      <c r="J2752" s="57">
        <v>0.33649499999999999</v>
      </c>
      <c r="K2752" s="56"/>
      <c r="L2752" s="56" t="s">
        <v>488</v>
      </c>
    </row>
    <row r="2753" spans="2:12" x14ac:dyDescent="0.2">
      <c r="B2753" s="62" t="s">
        <v>3153</v>
      </c>
      <c r="C2753" s="61" t="s">
        <v>1120</v>
      </c>
      <c r="D2753" s="60">
        <v>1.3865400000000001</v>
      </c>
      <c r="E2753" s="59">
        <v>3.9700600000000001</v>
      </c>
      <c r="F2753" s="59">
        <v>5.5542800000000003</v>
      </c>
      <c r="G2753" s="56">
        <v>745.62400000000002</v>
      </c>
      <c r="H2753" s="56">
        <v>537.75900000000001</v>
      </c>
      <c r="I2753" s="58">
        <v>0.37881500000000001</v>
      </c>
      <c r="J2753" s="57">
        <v>0.33113799999999999</v>
      </c>
      <c r="K2753" s="56"/>
      <c r="L2753" s="56" t="s">
        <v>488</v>
      </c>
    </row>
    <row r="2754" spans="2:12" x14ac:dyDescent="0.2">
      <c r="B2754" s="62" t="s">
        <v>3152</v>
      </c>
      <c r="C2754" s="61" t="s">
        <v>561</v>
      </c>
      <c r="D2754" s="60">
        <v>1.6345099999999999</v>
      </c>
      <c r="E2754" s="59">
        <v>3.99796</v>
      </c>
      <c r="F2754" s="59">
        <v>4.5271499999999998</v>
      </c>
      <c r="G2754" s="56">
        <v>551.90700000000004</v>
      </c>
      <c r="H2754" s="56">
        <v>337.65899999999999</v>
      </c>
      <c r="I2754" s="58">
        <v>0.40592600000000001</v>
      </c>
      <c r="J2754" s="57">
        <v>0.277727</v>
      </c>
      <c r="K2754" s="56"/>
      <c r="L2754" s="56" t="s">
        <v>488</v>
      </c>
    </row>
    <row r="2755" spans="2:12" x14ac:dyDescent="0.2">
      <c r="B2755" s="62" t="s">
        <v>3151</v>
      </c>
      <c r="C2755" s="61" t="s">
        <v>561</v>
      </c>
      <c r="D2755" s="60">
        <v>1.5675399999999999</v>
      </c>
      <c r="E2755" s="59">
        <v>4.70268</v>
      </c>
      <c r="F2755" s="59">
        <v>5.0128899999999996</v>
      </c>
      <c r="G2755" s="56">
        <v>791.49699999999996</v>
      </c>
      <c r="H2755" s="56">
        <v>504.92899999999997</v>
      </c>
      <c r="I2755" s="58">
        <v>0.47035100000000002</v>
      </c>
      <c r="J2755" s="57">
        <v>0.30486099999999999</v>
      </c>
      <c r="K2755" s="56"/>
      <c r="L2755" s="56" t="s">
        <v>488</v>
      </c>
    </row>
    <row r="2756" spans="2:12" x14ac:dyDescent="0.2">
      <c r="B2756" s="62" t="s">
        <v>3150</v>
      </c>
      <c r="C2756" s="61" t="s">
        <v>632</v>
      </c>
      <c r="D2756" s="60">
        <v>1.2256</v>
      </c>
      <c r="E2756" s="59">
        <v>2.6190000000000002</v>
      </c>
      <c r="F2756" s="59">
        <v>10.69449</v>
      </c>
      <c r="G2756" s="56">
        <v>0</v>
      </c>
      <c r="H2756" s="56">
        <v>0</v>
      </c>
      <c r="I2756" s="58">
        <v>0.70618499999999995</v>
      </c>
      <c r="J2756" s="57">
        <v>0.56513500000000005</v>
      </c>
      <c r="K2756" s="56"/>
      <c r="L2756" s="56" t="s">
        <v>488</v>
      </c>
    </row>
    <row r="2757" spans="2:12" x14ac:dyDescent="0.2">
      <c r="B2757" s="62" t="s">
        <v>3149</v>
      </c>
      <c r="C2757" s="61" t="s">
        <v>510</v>
      </c>
      <c r="D2757" s="60">
        <v>1.74664</v>
      </c>
      <c r="E2757" s="59">
        <v>4.18459</v>
      </c>
      <c r="F2757" s="59">
        <v>4.5388700000000002</v>
      </c>
      <c r="G2757" s="56">
        <v>391.41899999999998</v>
      </c>
      <c r="H2757" s="56">
        <v>224.09800000000001</v>
      </c>
      <c r="I2757" s="58">
        <v>0.21279500000000001</v>
      </c>
      <c r="J2757" s="57">
        <v>0.20779400000000001</v>
      </c>
      <c r="K2757" s="56"/>
      <c r="L2757" s="56" t="s">
        <v>488</v>
      </c>
    </row>
    <row r="2758" spans="2:12" x14ac:dyDescent="0.2">
      <c r="B2758" s="62" t="s">
        <v>3148</v>
      </c>
      <c r="C2758" s="61" t="s">
        <v>510</v>
      </c>
      <c r="D2758" s="60">
        <v>1.16822</v>
      </c>
      <c r="E2758" s="59">
        <v>4.1063099999999997</v>
      </c>
      <c r="F2758" s="59">
        <v>6.3273700000000002</v>
      </c>
      <c r="G2758" s="56">
        <v>761.98500000000001</v>
      </c>
      <c r="H2758" s="56">
        <v>652.26099999999997</v>
      </c>
      <c r="I2758" s="58">
        <v>0.35800999999999999</v>
      </c>
      <c r="J2758" s="57">
        <v>0.42254700000000001</v>
      </c>
      <c r="K2758" s="56"/>
      <c r="L2758" s="56" t="s">
        <v>488</v>
      </c>
    </row>
    <row r="2759" spans="2:12" x14ac:dyDescent="0.2">
      <c r="B2759" s="62" t="s">
        <v>3147</v>
      </c>
      <c r="C2759" s="61" t="s">
        <v>541</v>
      </c>
      <c r="D2759" s="60">
        <v>1.8096399999999999</v>
      </c>
      <c r="E2759" s="59">
        <v>2.7031399999999999</v>
      </c>
      <c r="F2759" s="59">
        <v>3.37262</v>
      </c>
      <c r="G2759" s="56">
        <v>0</v>
      </c>
      <c r="H2759" s="56">
        <v>0</v>
      </c>
      <c r="I2759" s="58">
        <v>7.1631399999999998E-2</v>
      </c>
      <c r="J2759" s="57">
        <v>0.19311300000000001</v>
      </c>
      <c r="K2759" s="56"/>
      <c r="L2759" s="56" t="s">
        <v>488</v>
      </c>
    </row>
    <row r="2760" spans="2:12" x14ac:dyDescent="0.2">
      <c r="B2760" s="62" t="s">
        <v>3146</v>
      </c>
      <c r="C2760" s="61" t="s">
        <v>502</v>
      </c>
      <c r="D2760" s="60">
        <v>1.17134</v>
      </c>
      <c r="E2760" s="59">
        <v>4.1675700000000004</v>
      </c>
      <c r="F2760" s="59">
        <v>7.40421</v>
      </c>
      <c r="G2760" s="56">
        <v>346.49400000000003</v>
      </c>
      <c r="H2760" s="56">
        <v>295.81</v>
      </c>
      <c r="I2760" s="58">
        <v>0.33595599999999998</v>
      </c>
      <c r="J2760" s="57">
        <v>0.43323400000000001</v>
      </c>
      <c r="K2760" s="56"/>
      <c r="L2760" s="56" t="s">
        <v>492</v>
      </c>
    </row>
    <row r="2761" spans="2:12" x14ac:dyDescent="0.2">
      <c r="B2761" s="62" t="s">
        <v>3145</v>
      </c>
      <c r="C2761" s="61" t="s">
        <v>499</v>
      </c>
      <c r="D2761" s="60">
        <v>0.88604099999999997</v>
      </c>
      <c r="E2761" s="59">
        <v>5.7147800000000002</v>
      </c>
      <c r="F2761" s="59">
        <v>11.28694</v>
      </c>
      <c r="G2761" s="56">
        <v>2358.12</v>
      </c>
      <c r="H2761" s="56">
        <v>2661.41</v>
      </c>
      <c r="I2761" s="58">
        <v>0.66855600000000004</v>
      </c>
      <c r="J2761" s="57">
        <v>0.81222399999999995</v>
      </c>
      <c r="K2761" s="56"/>
      <c r="L2761" s="56" t="s">
        <v>492</v>
      </c>
    </row>
    <row r="2762" spans="2:12" x14ac:dyDescent="0.2">
      <c r="B2762" s="62" t="s">
        <v>3144</v>
      </c>
      <c r="C2762" s="61" t="s">
        <v>499</v>
      </c>
      <c r="D2762" s="60">
        <v>1.15907</v>
      </c>
      <c r="E2762" s="59">
        <v>4.01579</v>
      </c>
      <c r="F2762" s="59">
        <v>5.0753500000000003</v>
      </c>
      <c r="G2762" s="56">
        <v>1029.6300000000001</v>
      </c>
      <c r="H2762" s="56">
        <v>888.322</v>
      </c>
      <c r="I2762" s="58">
        <v>0.54634400000000005</v>
      </c>
      <c r="J2762" s="57">
        <v>0.53270499999999998</v>
      </c>
      <c r="K2762" s="56"/>
      <c r="L2762" s="56" t="s">
        <v>488</v>
      </c>
    </row>
    <row r="2763" spans="2:12" x14ac:dyDescent="0.2">
      <c r="B2763" s="62" t="s">
        <v>3143</v>
      </c>
      <c r="C2763" s="61" t="s">
        <v>1769</v>
      </c>
      <c r="D2763" s="60">
        <v>1.4253100000000001</v>
      </c>
      <c r="E2763" s="59">
        <v>2.5825399999999998</v>
      </c>
      <c r="F2763" s="59">
        <v>4.2443600000000004</v>
      </c>
      <c r="G2763" s="56">
        <v>0</v>
      </c>
      <c r="H2763" s="56">
        <v>0</v>
      </c>
      <c r="I2763" s="58">
        <v>0.17165900000000001</v>
      </c>
      <c r="J2763" s="57">
        <v>0.29295300000000002</v>
      </c>
      <c r="K2763" s="56"/>
      <c r="L2763" s="56" t="s">
        <v>488</v>
      </c>
    </row>
    <row r="2764" spans="2:12" x14ac:dyDescent="0.2">
      <c r="B2764" s="62" t="s">
        <v>3142</v>
      </c>
      <c r="C2764" s="61" t="s">
        <v>587</v>
      </c>
      <c r="D2764" s="60">
        <v>1.0263500000000001</v>
      </c>
      <c r="E2764" s="59">
        <v>8.7962299999999995</v>
      </c>
      <c r="F2764" s="59">
        <v>9.1616400000000002</v>
      </c>
      <c r="G2764" s="56">
        <v>1300.3399999999999</v>
      </c>
      <c r="H2764" s="56">
        <v>1266.95</v>
      </c>
      <c r="I2764" s="58">
        <v>0.55969899999999995</v>
      </c>
      <c r="J2764" s="57">
        <v>0.57889400000000002</v>
      </c>
      <c r="K2764" s="56"/>
      <c r="L2764" s="56" t="s">
        <v>488</v>
      </c>
    </row>
    <row r="2765" spans="2:12" x14ac:dyDescent="0.2">
      <c r="B2765" s="62" t="s">
        <v>3141</v>
      </c>
      <c r="C2765" s="61" t="s">
        <v>616</v>
      </c>
      <c r="D2765" s="60">
        <v>1.5741000000000001</v>
      </c>
      <c r="E2765" s="59">
        <v>12.88442</v>
      </c>
      <c r="F2765" s="59">
        <v>13.12266</v>
      </c>
      <c r="G2765" s="56">
        <v>1316.33</v>
      </c>
      <c r="H2765" s="56">
        <v>836.24099999999999</v>
      </c>
      <c r="I2765" s="58">
        <v>0.66853200000000002</v>
      </c>
      <c r="J2765" s="57">
        <v>0.40967700000000001</v>
      </c>
      <c r="K2765" s="56"/>
      <c r="L2765" s="56" t="s">
        <v>488</v>
      </c>
    </row>
    <row r="2766" spans="2:12" x14ac:dyDescent="0.2">
      <c r="B2766" s="62" t="s">
        <v>3140</v>
      </c>
      <c r="C2766" s="61" t="s">
        <v>3139</v>
      </c>
      <c r="D2766" s="60">
        <v>3.8299500000000002</v>
      </c>
      <c r="E2766" s="59">
        <v>3.33595</v>
      </c>
      <c r="F2766" s="59">
        <v>4.9107799999999999</v>
      </c>
      <c r="G2766" s="56">
        <v>0</v>
      </c>
      <c r="H2766" s="56">
        <v>0</v>
      </c>
      <c r="I2766" s="58">
        <v>0.35649500000000001</v>
      </c>
      <c r="J2766" s="57">
        <v>0.13311300000000001</v>
      </c>
      <c r="K2766" s="56"/>
      <c r="L2766" s="56" t="s">
        <v>488</v>
      </c>
    </row>
    <row r="2767" spans="2:12" x14ac:dyDescent="0.2">
      <c r="B2767" s="62" t="s">
        <v>3138</v>
      </c>
      <c r="C2767" s="61" t="s">
        <v>3136</v>
      </c>
      <c r="D2767" s="60">
        <v>1.66713</v>
      </c>
      <c r="E2767" s="59">
        <v>2.4582000000000002</v>
      </c>
      <c r="F2767" s="59">
        <v>5.7021899999999999</v>
      </c>
      <c r="G2767" s="56">
        <v>0</v>
      </c>
      <c r="H2767" s="56">
        <v>0</v>
      </c>
      <c r="I2767" s="58">
        <v>0.210589</v>
      </c>
      <c r="J2767" s="57">
        <v>0.266843</v>
      </c>
      <c r="K2767" s="56"/>
      <c r="L2767" s="56" t="s">
        <v>492</v>
      </c>
    </row>
    <row r="2768" spans="2:12" x14ac:dyDescent="0.2">
      <c r="B2768" s="62" t="s">
        <v>3137</v>
      </c>
      <c r="C2768" s="61" t="s">
        <v>3136</v>
      </c>
      <c r="D2768" s="60">
        <v>1.38608</v>
      </c>
      <c r="E2768" s="59">
        <v>3.30498</v>
      </c>
      <c r="F2768" s="59">
        <v>7.1295599999999997</v>
      </c>
      <c r="G2768" s="56">
        <v>0</v>
      </c>
      <c r="H2768" s="56">
        <v>0</v>
      </c>
      <c r="I2768" s="58">
        <v>0.316938</v>
      </c>
      <c r="J2768" s="57">
        <v>0.36298900000000001</v>
      </c>
      <c r="K2768" s="56"/>
      <c r="L2768" s="56" t="s">
        <v>488</v>
      </c>
    </row>
    <row r="2769" spans="2:12" x14ac:dyDescent="0.2">
      <c r="B2769" s="62" t="s">
        <v>3135</v>
      </c>
      <c r="C2769" s="61" t="s">
        <v>499</v>
      </c>
      <c r="D2769" s="60">
        <v>1.2810600000000001</v>
      </c>
      <c r="E2769" s="59">
        <v>2.5727600000000002</v>
      </c>
      <c r="F2769" s="59">
        <v>5.5810399999999998</v>
      </c>
      <c r="G2769" s="56">
        <v>0</v>
      </c>
      <c r="H2769" s="56">
        <v>0</v>
      </c>
      <c r="I2769" s="58">
        <v>0.32879999999999998</v>
      </c>
      <c r="J2769" s="57">
        <v>0.39094200000000001</v>
      </c>
      <c r="K2769" s="56"/>
      <c r="L2769" s="56" t="s">
        <v>492</v>
      </c>
    </row>
    <row r="2770" spans="2:12" x14ac:dyDescent="0.2">
      <c r="B2770" s="62" t="s">
        <v>3134</v>
      </c>
      <c r="C2770" s="61" t="s">
        <v>499</v>
      </c>
      <c r="D2770" s="60">
        <v>1.2062600000000001</v>
      </c>
      <c r="E2770" s="59">
        <v>2.6041599999999998</v>
      </c>
      <c r="F2770" s="59">
        <v>5.5529500000000001</v>
      </c>
      <c r="G2770" s="56">
        <v>0</v>
      </c>
      <c r="H2770" s="56">
        <v>0</v>
      </c>
      <c r="I2770" s="58">
        <v>0.36796299999999998</v>
      </c>
      <c r="J2770" s="57">
        <v>0.44309599999999999</v>
      </c>
      <c r="K2770" s="56"/>
      <c r="L2770" s="56" t="s">
        <v>492</v>
      </c>
    </row>
    <row r="2771" spans="2:12" x14ac:dyDescent="0.2">
      <c r="B2771" s="62" t="s">
        <v>3133</v>
      </c>
      <c r="C2771" s="61" t="s">
        <v>499</v>
      </c>
      <c r="D2771" s="60">
        <v>1.19465</v>
      </c>
      <c r="E2771" s="59">
        <v>3.4286599999999998</v>
      </c>
      <c r="F2771" s="59">
        <v>4.3584100000000001</v>
      </c>
      <c r="G2771" s="56">
        <v>0</v>
      </c>
      <c r="H2771" s="56">
        <v>0</v>
      </c>
      <c r="I2771" s="58">
        <v>0.35999199999999998</v>
      </c>
      <c r="J2771" s="57">
        <v>0.44818799999999998</v>
      </c>
      <c r="K2771" s="56"/>
      <c r="L2771" s="56" t="s">
        <v>492</v>
      </c>
    </row>
    <row r="2772" spans="2:12" x14ac:dyDescent="0.2">
      <c r="B2772" s="62" t="s">
        <v>3132</v>
      </c>
      <c r="C2772" s="61" t="s">
        <v>533</v>
      </c>
      <c r="D2772" s="60">
        <v>2.5207299999999999</v>
      </c>
      <c r="E2772" s="59">
        <v>3.2782499999999999</v>
      </c>
      <c r="F2772" s="59">
        <v>4.9889999999999999</v>
      </c>
      <c r="G2772" s="56">
        <v>0</v>
      </c>
      <c r="H2772" s="56">
        <v>0</v>
      </c>
      <c r="I2772" s="58">
        <v>0.239148</v>
      </c>
      <c r="J2772" s="57">
        <v>0.15612999999999999</v>
      </c>
      <c r="K2772" s="56"/>
      <c r="L2772" s="56" t="s">
        <v>488</v>
      </c>
    </row>
    <row r="2773" spans="2:12" x14ac:dyDescent="0.2">
      <c r="B2773" s="62" t="s">
        <v>3131</v>
      </c>
      <c r="C2773" s="61" t="s">
        <v>499</v>
      </c>
      <c r="D2773" s="60">
        <v>1.71635</v>
      </c>
      <c r="E2773" s="59">
        <v>3.98305</v>
      </c>
      <c r="F2773" s="59">
        <v>5.3137299999999996</v>
      </c>
      <c r="G2773" s="56">
        <v>956.04700000000003</v>
      </c>
      <c r="H2773" s="56">
        <v>550.36400000000003</v>
      </c>
      <c r="I2773" s="58">
        <v>0.54234099999999996</v>
      </c>
      <c r="J2773" s="57">
        <v>0.304394</v>
      </c>
      <c r="K2773" s="56"/>
      <c r="L2773" s="56" t="s">
        <v>488</v>
      </c>
    </row>
    <row r="2774" spans="2:12" x14ac:dyDescent="0.2">
      <c r="B2774" s="62" t="s">
        <v>3130</v>
      </c>
      <c r="C2774" s="61" t="s">
        <v>499</v>
      </c>
      <c r="D2774" s="60">
        <v>1.73712</v>
      </c>
      <c r="E2774" s="59">
        <v>3.9634399999999999</v>
      </c>
      <c r="F2774" s="59">
        <v>5.4077700000000002</v>
      </c>
      <c r="G2774" s="56">
        <v>931.86800000000005</v>
      </c>
      <c r="H2774" s="56">
        <v>542.93499999999995</v>
      </c>
      <c r="I2774" s="58">
        <v>0.55599200000000004</v>
      </c>
      <c r="J2774" s="57">
        <v>0.299288</v>
      </c>
      <c r="K2774" s="56"/>
      <c r="L2774" s="56" t="s">
        <v>488</v>
      </c>
    </row>
    <row r="2775" spans="2:12" x14ac:dyDescent="0.2">
      <c r="B2775" s="62" t="s">
        <v>3129</v>
      </c>
      <c r="C2775" s="61" t="s">
        <v>499</v>
      </c>
      <c r="D2775" s="60">
        <v>1.2140599999999999</v>
      </c>
      <c r="E2775" s="59">
        <v>3.1670199999999999</v>
      </c>
      <c r="F2775" s="59">
        <v>5.0759800000000004</v>
      </c>
      <c r="G2775" s="56">
        <v>0</v>
      </c>
      <c r="H2775" s="56">
        <v>0</v>
      </c>
      <c r="I2775" s="58">
        <v>0.45408199999999999</v>
      </c>
      <c r="J2775" s="57">
        <v>0.461702</v>
      </c>
      <c r="K2775" s="56"/>
      <c r="L2775" s="56" t="s">
        <v>488</v>
      </c>
    </row>
    <row r="2776" spans="2:12" x14ac:dyDescent="0.2">
      <c r="B2776" s="62" t="s">
        <v>3128</v>
      </c>
      <c r="C2776" s="61" t="s">
        <v>550</v>
      </c>
      <c r="D2776" s="60">
        <v>1.47553</v>
      </c>
      <c r="E2776" s="59">
        <v>4.10989</v>
      </c>
      <c r="F2776" s="59">
        <v>5.1552300000000004</v>
      </c>
      <c r="G2776" s="56">
        <v>676.63900000000001</v>
      </c>
      <c r="H2776" s="56">
        <v>458.57400000000001</v>
      </c>
      <c r="I2776" s="58">
        <v>0.40412300000000001</v>
      </c>
      <c r="J2776" s="57">
        <v>0.36374000000000001</v>
      </c>
      <c r="K2776" s="56"/>
      <c r="L2776" s="56" t="s">
        <v>488</v>
      </c>
    </row>
    <row r="2777" spans="2:12" x14ac:dyDescent="0.2">
      <c r="B2777" s="62" t="s">
        <v>3127</v>
      </c>
      <c r="C2777" s="61" t="s">
        <v>550</v>
      </c>
      <c r="D2777" s="60">
        <v>1.5532699999999999</v>
      </c>
      <c r="E2777" s="59">
        <v>3.24993</v>
      </c>
      <c r="F2777" s="59">
        <v>4.37202</v>
      </c>
      <c r="G2777" s="56">
        <v>0</v>
      </c>
      <c r="H2777" s="56">
        <v>0</v>
      </c>
      <c r="I2777" s="58">
        <v>0.31253900000000001</v>
      </c>
      <c r="J2777" s="57">
        <v>0.33039200000000002</v>
      </c>
      <c r="K2777" s="56"/>
      <c r="L2777" s="56" t="s">
        <v>488</v>
      </c>
    </row>
    <row r="2778" spans="2:12" x14ac:dyDescent="0.2">
      <c r="B2778" s="62" t="s">
        <v>3126</v>
      </c>
      <c r="C2778" s="61" t="s">
        <v>499</v>
      </c>
      <c r="D2778" s="60">
        <v>1.2422500000000001</v>
      </c>
      <c r="E2778" s="59">
        <v>3.5385499999999999</v>
      </c>
      <c r="F2778" s="59">
        <v>6.1177999999999999</v>
      </c>
      <c r="G2778" s="56">
        <v>0</v>
      </c>
      <c r="H2778" s="56">
        <v>0</v>
      </c>
      <c r="I2778" s="58">
        <v>0.44715500000000002</v>
      </c>
      <c r="J2778" s="57">
        <v>0.42794700000000002</v>
      </c>
      <c r="K2778" s="56"/>
      <c r="L2778" s="56" t="s">
        <v>488</v>
      </c>
    </row>
    <row r="2779" spans="2:12" x14ac:dyDescent="0.2">
      <c r="B2779" s="62" t="s">
        <v>3125</v>
      </c>
      <c r="C2779" s="61" t="s">
        <v>641</v>
      </c>
      <c r="D2779" s="60">
        <v>2.08873</v>
      </c>
      <c r="E2779" s="59">
        <v>2.47763</v>
      </c>
      <c r="F2779" s="59">
        <v>4.0136799999999999</v>
      </c>
      <c r="G2779" s="56">
        <v>0</v>
      </c>
      <c r="H2779" s="56">
        <v>0</v>
      </c>
      <c r="I2779" s="58">
        <v>0.10129299999999999</v>
      </c>
      <c r="J2779" s="57">
        <v>0.17555200000000001</v>
      </c>
      <c r="K2779" s="56"/>
      <c r="L2779" s="56" t="s">
        <v>492</v>
      </c>
    </row>
    <row r="2780" spans="2:12" x14ac:dyDescent="0.2">
      <c r="B2780" s="62" t="s">
        <v>3124</v>
      </c>
      <c r="C2780" s="61" t="s">
        <v>507</v>
      </c>
      <c r="D2780" s="60">
        <v>2.1272099999999998</v>
      </c>
      <c r="E2780" s="59">
        <v>2.5193300000000001</v>
      </c>
      <c r="F2780" s="59">
        <v>3.9841500000000001</v>
      </c>
      <c r="G2780" s="56">
        <v>0</v>
      </c>
      <c r="H2780" s="56">
        <v>0</v>
      </c>
      <c r="I2780" s="58">
        <v>9.5261600000000002E-2</v>
      </c>
      <c r="J2780" s="57">
        <v>0.16919899999999999</v>
      </c>
      <c r="K2780" s="56"/>
      <c r="L2780" s="56" t="s">
        <v>492</v>
      </c>
    </row>
    <row r="2781" spans="2:12" x14ac:dyDescent="0.2">
      <c r="B2781" s="62" t="s">
        <v>3123</v>
      </c>
      <c r="C2781" s="61" t="s">
        <v>510</v>
      </c>
      <c r="D2781" s="60">
        <v>1.14611</v>
      </c>
      <c r="E2781" s="59">
        <v>3.84842</v>
      </c>
      <c r="F2781" s="59">
        <v>4.48691</v>
      </c>
      <c r="G2781" s="56">
        <v>398.34199999999998</v>
      </c>
      <c r="H2781" s="56">
        <v>347.56</v>
      </c>
      <c r="I2781" s="58">
        <v>0.32995000000000002</v>
      </c>
      <c r="J2781" s="57">
        <v>0.42552200000000001</v>
      </c>
      <c r="K2781" s="56"/>
      <c r="L2781" s="56" t="s">
        <v>488</v>
      </c>
    </row>
    <row r="2782" spans="2:12" x14ac:dyDescent="0.2">
      <c r="B2782" s="62" t="s">
        <v>3122</v>
      </c>
      <c r="C2782" s="61" t="s">
        <v>555</v>
      </c>
      <c r="D2782" s="60">
        <v>1.3997299999999999</v>
      </c>
      <c r="E2782" s="59">
        <v>2.4433099999999999</v>
      </c>
      <c r="F2782" s="59">
        <v>5.0131600000000001</v>
      </c>
      <c r="G2782" s="56">
        <v>0</v>
      </c>
      <c r="H2782" s="56">
        <v>0</v>
      </c>
      <c r="I2782" s="58">
        <v>0.160606</v>
      </c>
      <c r="J2782" s="57">
        <v>0.28277999999999998</v>
      </c>
      <c r="K2782" s="56"/>
      <c r="L2782" s="56" t="s">
        <v>488</v>
      </c>
    </row>
    <row r="2783" spans="2:12" x14ac:dyDescent="0.2">
      <c r="B2783" s="62" t="s">
        <v>3121</v>
      </c>
      <c r="C2783" s="61" t="s">
        <v>550</v>
      </c>
      <c r="D2783" s="60">
        <v>2.1582300000000001</v>
      </c>
      <c r="E2783" s="59">
        <v>2.7954400000000001</v>
      </c>
      <c r="F2783" s="59">
        <v>4.0557299999999996</v>
      </c>
      <c r="G2783" s="56">
        <v>0</v>
      </c>
      <c r="H2783" s="56">
        <v>0</v>
      </c>
      <c r="I2783" s="58">
        <v>9.3506199999999998E-2</v>
      </c>
      <c r="J2783" s="57">
        <v>0.19356499999999999</v>
      </c>
      <c r="K2783" s="56"/>
      <c r="L2783" s="56" t="s">
        <v>488</v>
      </c>
    </row>
    <row r="2784" spans="2:12" x14ac:dyDescent="0.2">
      <c r="B2784" s="62" t="s">
        <v>3120</v>
      </c>
      <c r="C2784" s="61" t="s">
        <v>2455</v>
      </c>
      <c r="D2784" s="60">
        <v>1.52094</v>
      </c>
      <c r="E2784" s="59">
        <v>4.6015600000000001</v>
      </c>
      <c r="F2784" s="59">
        <v>4.9400500000000003</v>
      </c>
      <c r="G2784" s="56">
        <v>1060.28</v>
      </c>
      <c r="H2784" s="56">
        <v>697.12300000000005</v>
      </c>
      <c r="I2784" s="58">
        <v>0.42327300000000001</v>
      </c>
      <c r="J2784" s="57">
        <v>0.29855199999999998</v>
      </c>
      <c r="K2784" s="56"/>
      <c r="L2784" s="56" t="s">
        <v>488</v>
      </c>
    </row>
    <row r="2785" spans="2:12" x14ac:dyDescent="0.2">
      <c r="B2785" s="62" t="s">
        <v>3119</v>
      </c>
      <c r="C2785" s="61" t="s">
        <v>3118</v>
      </c>
      <c r="D2785" s="60">
        <v>1.6733499999999999</v>
      </c>
      <c r="E2785" s="59">
        <v>2.5694499999999998</v>
      </c>
      <c r="F2785" s="59">
        <v>3.4173800000000001</v>
      </c>
      <c r="G2785" s="56">
        <v>0</v>
      </c>
      <c r="H2785" s="56">
        <v>0</v>
      </c>
      <c r="I2785" s="58">
        <v>0.10410899999999999</v>
      </c>
      <c r="J2785" s="57">
        <v>0.22584499999999999</v>
      </c>
      <c r="K2785" s="56"/>
      <c r="L2785" s="56" t="s">
        <v>488</v>
      </c>
    </row>
    <row r="2786" spans="2:12" x14ac:dyDescent="0.2">
      <c r="B2786" s="62" t="s">
        <v>3117</v>
      </c>
      <c r="C2786" s="61" t="s">
        <v>1710</v>
      </c>
      <c r="D2786" s="60">
        <v>1.70025</v>
      </c>
      <c r="E2786" s="59">
        <v>2.5600399999999999</v>
      </c>
      <c r="F2786" s="59">
        <v>3.41553</v>
      </c>
      <c r="G2786" s="56">
        <v>0</v>
      </c>
      <c r="H2786" s="56">
        <v>0</v>
      </c>
      <c r="I2786" s="58">
        <v>0.10180699999999999</v>
      </c>
      <c r="J2786" s="57">
        <v>0.221308</v>
      </c>
      <c r="K2786" s="56"/>
      <c r="L2786" s="56" t="s">
        <v>488</v>
      </c>
    </row>
    <row r="2787" spans="2:12" x14ac:dyDescent="0.2">
      <c r="B2787" s="62" t="s">
        <v>3116</v>
      </c>
      <c r="C2787" s="61" t="s">
        <v>3115</v>
      </c>
      <c r="D2787" s="60">
        <v>2.1732200000000002</v>
      </c>
      <c r="E2787" s="59">
        <v>3.9735100000000001</v>
      </c>
      <c r="F2787" s="59">
        <v>5.4935200000000002</v>
      </c>
      <c r="G2787" s="56">
        <v>748.44200000000001</v>
      </c>
      <c r="H2787" s="56">
        <v>344.39400000000001</v>
      </c>
      <c r="I2787" s="58">
        <v>0.31301499999999999</v>
      </c>
      <c r="J2787" s="57">
        <v>0.21365200000000001</v>
      </c>
      <c r="K2787" s="56"/>
      <c r="L2787" s="56" t="s">
        <v>624</v>
      </c>
    </row>
    <row r="2788" spans="2:12" x14ac:dyDescent="0.2">
      <c r="B2788" s="62" t="s">
        <v>3114</v>
      </c>
      <c r="C2788" s="61" t="s">
        <v>502</v>
      </c>
      <c r="D2788" s="60">
        <v>1.4034800000000001</v>
      </c>
      <c r="E2788" s="59">
        <v>2.4786700000000002</v>
      </c>
      <c r="F2788" s="59">
        <v>3.3345400000000001</v>
      </c>
      <c r="G2788" s="56">
        <v>0</v>
      </c>
      <c r="H2788" s="56">
        <v>0</v>
      </c>
      <c r="I2788" s="58">
        <v>5.4772599999999998E-2</v>
      </c>
      <c r="J2788" s="57">
        <v>0.26447700000000002</v>
      </c>
      <c r="K2788" s="56"/>
      <c r="L2788" s="56" t="s">
        <v>492</v>
      </c>
    </row>
    <row r="2789" spans="2:12" x14ac:dyDescent="0.2">
      <c r="B2789" s="62" t="s">
        <v>3113</v>
      </c>
      <c r="C2789" s="61" t="s">
        <v>502</v>
      </c>
      <c r="D2789" s="60">
        <v>1.05243</v>
      </c>
      <c r="E2789" s="59">
        <v>2.4565600000000001</v>
      </c>
      <c r="F2789" s="59">
        <v>4.6930500000000004</v>
      </c>
      <c r="G2789" s="56">
        <v>0</v>
      </c>
      <c r="H2789" s="56">
        <v>0</v>
      </c>
      <c r="I2789" s="58">
        <v>0.342864</v>
      </c>
      <c r="J2789" s="57">
        <v>0.53162900000000002</v>
      </c>
      <c r="K2789" s="56"/>
      <c r="L2789" s="56" t="s">
        <v>492</v>
      </c>
    </row>
    <row r="2790" spans="2:12" x14ac:dyDescent="0.2">
      <c r="B2790" s="62" t="s">
        <v>3112</v>
      </c>
      <c r="C2790" s="61" t="s">
        <v>859</v>
      </c>
      <c r="D2790" s="60">
        <v>2.2999900000000002</v>
      </c>
      <c r="E2790" s="59">
        <v>3.1830799999999999</v>
      </c>
      <c r="F2790" s="59">
        <v>3.6193200000000001</v>
      </c>
      <c r="G2790" s="56">
        <v>0</v>
      </c>
      <c r="H2790" s="56">
        <v>0</v>
      </c>
      <c r="I2790" s="58">
        <v>0.20644499999999999</v>
      </c>
      <c r="J2790" s="57">
        <v>0.18052299999999999</v>
      </c>
      <c r="K2790" s="56"/>
      <c r="L2790" s="56" t="s">
        <v>488</v>
      </c>
    </row>
    <row r="2791" spans="2:12" x14ac:dyDescent="0.2">
      <c r="B2791" s="62" t="s">
        <v>3111</v>
      </c>
      <c r="C2791" s="61" t="s">
        <v>625</v>
      </c>
      <c r="D2791" s="60">
        <v>2.3706200000000002</v>
      </c>
      <c r="E2791" s="59">
        <v>3.98136</v>
      </c>
      <c r="F2791" s="59">
        <v>6.2775299999999996</v>
      </c>
      <c r="G2791" s="56">
        <v>789.18399999999997</v>
      </c>
      <c r="H2791" s="56">
        <v>332.90199999999999</v>
      </c>
      <c r="I2791" s="58">
        <v>0.34923700000000002</v>
      </c>
      <c r="J2791" s="57">
        <v>0.20859</v>
      </c>
      <c r="K2791" s="56"/>
      <c r="L2791" s="56" t="s">
        <v>488</v>
      </c>
    </row>
    <row r="2792" spans="2:12" x14ac:dyDescent="0.2">
      <c r="B2792" s="62" t="s">
        <v>3110</v>
      </c>
      <c r="C2792" s="61" t="s">
        <v>625</v>
      </c>
      <c r="D2792" s="60">
        <v>2.7357</v>
      </c>
      <c r="E2792" s="59">
        <v>2.7279900000000001</v>
      </c>
      <c r="F2792" s="59">
        <v>5.25875</v>
      </c>
      <c r="G2792" s="56">
        <v>0</v>
      </c>
      <c r="H2792" s="56">
        <v>0</v>
      </c>
      <c r="I2792" s="58">
        <v>0.21130599999999999</v>
      </c>
      <c r="J2792" s="57">
        <v>0.14851</v>
      </c>
      <c r="K2792" s="56"/>
      <c r="L2792" s="56" t="s">
        <v>488</v>
      </c>
    </row>
    <row r="2793" spans="2:12" x14ac:dyDescent="0.2">
      <c r="B2793" s="62" t="s">
        <v>3109</v>
      </c>
      <c r="C2793" s="61" t="s">
        <v>510</v>
      </c>
      <c r="D2793" s="60">
        <v>1.1752400000000001</v>
      </c>
      <c r="E2793" s="59">
        <v>10.646420000000001</v>
      </c>
      <c r="F2793" s="59">
        <v>11.39616</v>
      </c>
      <c r="G2793" s="56">
        <v>1417.5</v>
      </c>
      <c r="H2793" s="56">
        <v>1210.3599999999999</v>
      </c>
      <c r="I2793" s="58">
        <v>0.713978</v>
      </c>
      <c r="J2793" s="57">
        <v>0.54142100000000004</v>
      </c>
      <c r="K2793" s="56"/>
      <c r="L2793" s="56" t="s">
        <v>488</v>
      </c>
    </row>
    <row r="2794" spans="2:12" x14ac:dyDescent="0.2">
      <c r="B2794" s="62" t="s">
        <v>3108</v>
      </c>
      <c r="C2794" s="61" t="s">
        <v>510</v>
      </c>
      <c r="D2794" s="60">
        <v>1.17113</v>
      </c>
      <c r="E2794" s="59">
        <v>10.976649999999999</v>
      </c>
      <c r="F2794" s="59">
        <v>11.35149</v>
      </c>
      <c r="G2794" s="56">
        <v>1413.37</v>
      </c>
      <c r="H2794" s="56">
        <v>1202.6199999999999</v>
      </c>
      <c r="I2794" s="58">
        <v>0.69160100000000002</v>
      </c>
      <c r="J2794" s="57">
        <v>0.54298199999999996</v>
      </c>
      <c r="K2794" s="56"/>
      <c r="L2794" s="56" t="s">
        <v>488</v>
      </c>
    </row>
    <row r="2795" spans="2:12" x14ac:dyDescent="0.2">
      <c r="B2795" s="62" t="s">
        <v>3107</v>
      </c>
      <c r="C2795" s="61" t="s">
        <v>548</v>
      </c>
      <c r="D2795" s="60">
        <v>1.5068999999999999</v>
      </c>
      <c r="E2795" s="59">
        <v>3.16629</v>
      </c>
      <c r="F2795" s="59">
        <v>3.32714</v>
      </c>
      <c r="G2795" s="56">
        <v>0</v>
      </c>
      <c r="H2795" s="56">
        <v>0</v>
      </c>
      <c r="I2795" s="58">
        <v>0.32396399999999997</v>
      </c>
      <c r="J2795" s="57">
        <v>0.25864300000000001</v>
      </c>
      <c r="K2795" s="56"/>
      <c r="L2795" s="56" t="s">
        <v>730</v>
      </c>
    </row>
    <row r="2796" spans="2:12" x14ac:dyDescent="0.2">
      <c r="B2796" s="62" t="s">
        <v>3106</v>
      </c>
      <c r="C2796" s="61" t="s">
        <v>548</v>
      </c>
      <c r="D2796" s="60">
        <v>1.5807199999999999</v>
      </c>
      <c r="E2796" s="59">
        <v>2.4261699999999999</v>
      </c>
      <c r="F2796" s="59">
        <v>2.8952800000000001</v>
      </c>
      <c r="G2796" s="56">
        <v>0</v>
      </c>
      <c r="H2796" s="56">
        <v>0</v>
      </c>
      <c r="I2796" s="58">
        <v>0.11437</v>
      </c>
      <c r="J2796" s="57">
        <v>0.218971</v>
      </c>
      <c r="K2796" s="56"/>
      <c r="L2796" s="56" t="s">
        <v>730</v>
      </c>
    </row>
    <row r="2797" spans="2:12" x14ac:dyDescent="0.2">
      <c r="B2797" s="62" t="s">
        <v>3105</v>
      </c>
      <c r="C2797" s="61" t="s">
        <v>798</v>
      </c>
      <c r="D2797" s="60">
        <v>1.3975599999999999</v>
      </c>
      <c r="E2797" s="59">
        <v>3.6776900000000001</v>
      </c>
      <c r="F2797" s="59">
        <v>4.7505800000000002</v>
      </c>
      <c r="G2797" s="56">
        <v>0</v>
      </c>
      <c r="H2797" s="56">
        <v>0</v>
      </c>
      <c r="I2797" s="58">
        <v>0.27879100000000001</v>
      </c>
      <c r="J2797" s="57">
        <v>0.32731199999999999</v>
      </c>
      <c r="K2797" s="56"/>
      <c r="L2797" s="56" t="s">
        <v>488</v>
      </c>
    </row>
    <row r="2798" spans="2:12" x14ac:dyDescent="0.2">
      <c r="B2798" s="62" t="s">
        <v>3104</v>
      </c>
      <c r="C2798" s="61" t="s">
        <v>798</v>
      </c>
      <c r="D2798" s="60">
        <v>1.3917299999999999</v>
      </c>
      <c r="E2798" s="59">
        <v>3.68126</v>
      </c>
      <c r="F2798" s="59">
        <v>4.7684600000000001</v>
      </c>
      <c r="G2798" s="56">
        <v>0</v>
      </c>
      <c r="H2798" s="56">
        <v>0</v>
      </c>
      <c r="I2798" s="58">
        <v>0.28155000000000002</v>
      </c>
      <c r="J2798" s="57">
        <v>0.330266</v>
      </c>
      <c r="K2798" s="56"/>
      <c r="L2798" s="56" t="s">
        <v>488</v>
      </c>
    </row>
    <row r="2799" spans="2:12" x14ac:dyDescent="0.2">
      <c r="B2799" s="62" t="s">
        <v>3103</v>
      </c>
      <c r="C2799" s="61" t="s">
        <v>798</v>
      </c>
      <c r="D2799" s="60">
        <v>1.4026000000000001</v>
      </c>
      <c r="E2799" s="59">
        <v>3.6592799999999999</v>
      </c>
      <c r="F2799" s="59">
        <v>4.72499</v>
      </c>
      <c r="G2799" s="56">
        <v>0</v>
      </c>
      <c r="H2799" s="56">
        <v>0</v>
      </c>
      <c r="I2799" s="58">
        <v>0.27749600000000002</v>
      </c>
      <c r="J2799" s="57">
        <v>0.32465100000000002</v>
      </c>
      <c r="K2799" s="56"/>
      <c r="L2799" s="56" t="s">
        <v>488</v>
      </c>
    </row>
    <row r="2800" spans="2:12" x14ac:dyDescent="0.2">
      <c r="B2800" s="62" t="s">
        <v>3102</v>
      </c>
      <c r="C2800" s="61" t="s">
        <v>502</v>
      </c>
      <c r="D2800" s="60">
        <v>0.74584600000000001</v>
      </c>
      <c r="E2800" s="59">
        <v>7.0244</v>
      </c>
      <c r="F2800" s="59">
        <v>7.6924000000000001</v>
      </c>
      <c r="G2800" s="56">
        <v>2014.12</v>
      </c>
      <c r="H2800" s="56">
        <v>2700.44</v>
      </c>
      <c r="I2800" s="58">
        <v>0.67538500000000001</v>
      </c>
      <c r="J2800" s="57">
        <v>0.95998899999999998</v>
      </c>
      <c r="K2800" s="56"/>
      <c r="L2800" s="56" t="s">
        <v>823</v>
      </c>
    </row>
    <row r="2801" spans="2:12" x14ac:dyDescent="0.2">
      <c r="B2801" s="62" t="s">
        <v>3101</v>
      </c>
      <c r="C2801" s="61" t="s">
        <v>502</v>
      </c>
      <c r="D2801" s="60">
        <v>1.0457399999999999</v>
      </c>
      <c r="E2801" s="59">
        <v>7.54223</v>
      </c>
      <c r="F2801" s="59">
        <v>9.4303100000000004</v>
      </c>
      <c r="G2801" s="56">
        <v>1726.49</v>
      </c>
      <c r="H2801" s="56">
        <v>1650.97</v>
      </c>
      <c r="I2801" s="58">
        <v>0.63190500000000005</v>
      </c>
      <c r="J2801" s="57">
        <v>0.63486299999999996</v>
      </c>
      <c r="K2801" s="56"/>
      <c r="L2801" s="56" t="s">
        <v>488</v>
      </c>
    </row>
    <row r="2802" spans="2:12" x14ac:dyDescent="0.2">
      <c r="B2802" s="62" t="s">
        <v>3100</v>
      </c>
      <c r="C2802" s="61" t="s">
        <v>2371</v>
      </c>
      <c r="D2802" s="60">
        <v>1.1588400000000001</v>
      </c>
      <c r="E2802" s="59">
        <v>3.69021</v>
      </c>
      <c r="F2802" s="59">
        <v>7.5483599999999997</v>
      </c>
      <c r="G2802" s="56">
        <v>0</v>
      </c>
      <c r="H2802" s="56">
        <v>0</v>
      </c>
      <c r="I2802" s="58">
        <v>0.38393899999999997</v>
      </c>
      <c r="J2802" s="57">
        <v>0.45938299999999999</v>
      </c>
      <c r="K2802" s="56"/>
      <c r="L2802" s="56" t="s">
        <v>492</v>
      </c>
    </row>
    <row r="2803" spans="2:12" x14ac:dyDescent="0.2">
      <c r="B2803" s="62" t="s">
        <v>3099</v>
      </c>
      <c r="C2803" s="61" t="s">
        <v>1174</v>
      </c>
      <c r="D2803" s="60">
        <v>1.20973</v>
      </c>
      <c r="E2803" s="59">
        <v>3.4953699999999999</v>
      </c>
      <c r="F2803" s="59">
        <v>4.0419999999999998</v>
      </c>
      <c r="G2803" s="56">
        <v>0</v>
      </c>
      <c r="H2803" s="56">
        <v>0</v>
      </c>
      <c r="I2803" s="58">
        <v>0.166188</v>
      </c>
      <c r="J2803" s="57">
        <v>0.31927800000000001</v>
      </c>
      <c r="K2803" s="56"/>
      <c r="L2803" s="56" t="s">
        <v>488</v>
      </c>
    </row>
    <row r="2804" spans="2:12" x14ac:dyDescent="0.2">
      <c r="B2804" s="62" t="s">
        <v>3098</v>
      </c>
      <c r="C2804" s="61" t="s">
        <v>535</v>
      </c>
      <c r="D2804" s="60">
        <v>1.10978</v>
      </c>
      <c r="E2804" s="59">
        <v>4.3916199999999996</v>
      </c>
      <c r="F2804" s="59">
        <v>8.1586700000000008</v>
      </c>
      <c r="G2804" s="56">
        <v>1528.46</v>
      </c>
      <c r="H2804" s="56">
        <v>1377.27</v>
      </c>
      <c r="I2804" s="58">
        <v>0.62451999999999996</v>
      </c>
      <c r="J2804" s="57">
        <v>0.552956</v>
      </c>
      <c r="K2804" s="56"/>
      <c r="L2804" s="56" t="s">
        <v>488</v>
      </c>
    </row>
    <row r="2805" spans="2:12" x14ac:dyDescent="0.2">
      <c r="B2805" s="62" t="s">
        <v>3097</v>
      </c>
      <c r="C2805" s="61" t="s">
        <v>502</v>
      </c>
      <c r="D2805" s="60">
        <v>0.49891799999999997</v>
      </c>
      <c r="E2805" s="59">
        <v>6.5255299999999998</v>
      </c>
      <c r="F2805" s="59">
        <v>15.817069999999999</v>
      </c>
      <c r="G2805" s="56">
        <v>2314.94</v>
      </c>
      <c r="H2805" s="56">
        <v>4639.93</v>
      </c>
      <c r="I2805" s="58">
        <v>0.85675999999999997</v>
      </c>
      <c r="J2805" s="57">
        <v>1.62429</v>
      </c>
      <c r="K2805" s="56"/>
      <c r="L2805" s="56" t="s">
        <v>488</v>
      </c>
    </row>
    <row r="2806" spans="2:12" x14ac:dyDescent="0.2">
      <c r="B2806" s="62" t="s">
        <v>3096</v>
      </c>
      <c r="C2806" s="61" t="s">
        <v>526</v>
      </c>
      <c r="D2806" s="60">
        <v>1.3314999999999999</v>
      </c>
      <c r="E2806" s="59">
        <v>7.59917</v>
      </c>
      <c r="F2806" s="59">
        <v>9.7129100000000008</v>
      </c>
      <c r="G2806" s="56">
        <v>896.60500000000002</v>
      </c>
      <c r="H2806" s="56">
        <v>673.37900000000002</v>
      </c>
      <c r="I2806" s="58">
        <v>0.53731899999999999</v>
      </c>
      <c r="J2806" s="57">
        <v>0.42155399999999998</v>
      </c>
      <c r="K2806" s="56"/>
      <c r="L2806" s="56" t="s">
        <v>488</v>
      </c>
    </row>
    <row r="2807" spans="2:12" x14ac:dyDescent="0.2">
      <c r="B2807" s="62" t="s">
        <v>3095</v>
      </c>
      <c r="C2807" s="61" t="s">
        <v>526</v>
      </c>
      <c r="D2807" s="60">
        <v>1.0328200000000001</v>
      </c>
      <c r="E2807" s="59">
        <v>4.6196799999999998</v>
      </c>
      <c r="F2807" s="59">
        <v>6.8900600000000001</v>
      </c>
      <c r="G2807" s="56">
        <v>1018.66</v>
      </c>
      <c r="H2807" s="56">
        <v>986.29600000000005</v>
      </c>
      <c r="I2807" s="58">
        <v>0.68553299999999995</v>
      </c>
      <c r="J2807" s="57">
        <v>0.58961699999999995</v>
      </c>
      <c r="K2807" s="56"/>
      <c r="L2807" s="56" t="s">
        <v>488</v>
      </c>
    </row>
    <row r="2808" spans="2:12" x14ac:dyDescent="0.2">
      <c r="B2808" s="62" t="s">
        <v>3094</v>
      </c>
      <c r="C2808" s="61" t="s">
        <v>582</v>
      </c>
      <c r="D2808" s="60">
        <v>1.0200899999999999</v>
      </c>
      <c r="E2808" s="59">
        <v>8.0486299999999993</v>
      </c>
      <c r="F2808" s="59">
        <v>9.6856200000000001</v>
      </c>
      <c r="G2808" s="56">
        <v>1543.64</v>
      </c>
      <c r="H2808" s="56">
        <v>1513.23</v>
      </c>
      <c r="I2808" s="58">
        <v>0.68639300000000003</v>
      </c>
      <c r="J2808" s="57">
        <v>0.63529000000000002</v>
      </c>
      <c r="K2808" s="56"/>
      <c r="L2808" s="56" t="s">
        <v>488</v>
      </c>
    </row>
    <row r="2809" spans="2:12" x14ac:dyDescent="0.2">
      <c r="B2809" s="62" t="s">
        <v>3093</v>
      </c>
      <c r="C2809" s="61" t="s">
        <v>3092</v>
      </c>
      <c r="D2809" s="60">
        <v>1.83663</v>
      </c>
      <c r="E2809" s="59">
        <v>2.9880599999999999</v>
      </c>
      <c r="F2809" s="59">
        <v>5.2209700000000003</v>
      </c>
      <c r="G2809" s="56">
        <v>0</v>
      </c>
      <c r="H2809" s="56">
        <v>0</v>
      </c>
      <c r="I2809" s="58">
        <v>0.34332499999999999</v>
      </c>
      <c r="J2809" s="57">
        <v>0.26487100000000002</v>
      </c>
      <c r="K2809" s="56"/>
      <c r="L2809" s="56" t="s">
        <v>488</v>
      </c>
    </row>
    <row r="2810" spans="2:12" x14ac:dyDescent="0.2">
      <c r="B2810" s="62" t="s">
        <v>3091</v>
      </c>
      <c r="C2810" s="61" t="s">
        <v>495</v>
      </c>
      <c r="D2810" s="60">
        <v>0.91872299999999996</v>
      </c>
      <c r="E2810" s="59">
        <v>4.6993400000000003</v>
      </c>
      <c r="F2810" s="59">
        <v>5.9610099999999999</v>
      </c>
      <c r="G2810" s="56">
        <v>1579.21</v>
      </c>
      <c r="H2810" s="56">
        <v>1718.91</v>
      </c>
      <c r="I2810" s="58">
        <v>0.55713699999999999</v>
      </c>
      <c r="J2810" s="57">
        <v>0.64556899999999995</v>
      </c>
      <c r="K2810" s="56"/>
      <c r="L2810" s="56" t="s">
        <v>492</v>
      </c>
    </row>
    <row r="2811" spans="2:12" x14ac:dyDescent="0.2">
      <c r="B2811" s="62" t="s">
        <v>3090</v>
      </c>
      <c r="C2811" s="61" t="s">
        <v>929</v>
      </c>
      <c r="D2811" s="60">
        <v>0.88317900000000005</v>
      </c>
      <c r="E2811" s="59">
        <v>5.2751599999999996</v>
      </c>
      <c r="F2811" s="59">
        <v>7.1023100000000001</v>
      </c>
      <c r="G2811" s="56">
        <v>1832.42</v>
      </c>
      <c r="H2811" s="56">
        <v>2074.8000000000002</v>
      </c>
      <c r="I2811" s="58">
        <v>0.64281600000000005</v>
      </c>
      <c r="J2811" s="57">
        <v>0.729657</v>
      </c>
      <c r="K2811" s="56"/>
      <c r="L2811" s="56" t="s">
        <v>488</v>
      </c>
    </row>
    <row r="2812" spans="2:12" x14ac:dyDescent="0.2">
      <c r="B2812" s="62" t="s">
        <v>3089</v>
      </c>
      <c r="C2812" s="61" t="s">
        <v>495</v>
      </c>
      <c r="D2812" s="60">
        <v>0.756185</v>
      </c>
      <c r="E2812" s="59">
        <v>5.9967100000000002</v>
      </c>
      <c r="F2812" s="59">
        <v>8.2175200000000004</v>
      </c>
      <c r="G2812" s="56">
        <v>1891.44</v>
      </c>
      <c r="H2812" s="56">
        <v>2501.29</v>
      </c>
      <c r="I2812" s="58">
        <v>0.67470600000000003</v>
      </c>
      <c r="J2812" s="57">
        <v>0.89196699999999995</v>
      </c>
      <c r="K2812" s="56"/>
      <c r="L2812" s="56" t="s">
        <v>488</v>
      </c>
    </row>
    <row r="2813" spans="2:12" x14ac:dyDescent="0.2">
      <c r="B2813" s="62" t="s">
        <v>3088</v>
      </c>
      <c r="C2813" s="61" t="s">
        <v>3087</v>
      </c>
      <c r="D2813" s="60">
        <v>0.85731199999999996</v>
      </c>
      <c r="E2813" s="59">
        <v>5.4992200000000002</v>
      </c>
      <c r="F2813" s="59">
        <v>7.2319300000000002</v>
      </c>
      <c r="G2813" s="56">
        <v>1884.91</v>
      </c>
      <c r="H2813" s="56">
        <v>2198.63</v>
      </c>
      <c r="I2813" s="58">
        <v>0.65183400000000002</v>
      </c>
      <c r="J2813" s="57">
        <v>0.74895500000000004</v>
      </c>
      <c r="K2813" s="56"/>
      <c r="L2813" s="56" t="s">
        <v>488</v>
      </c>
    </row>
    <row r="2814" spans="2:12" x14ac:dyDescent="0.2">
      <c r="B2814" s="62" t="s">
        <v>3086</v>
      </c>
      <c r="C2814" s="61" t="s">
        <v>3085</v>
      </c>
      <c r="D2814" s="60">
        <v>0.68279900000000004</v>
      </c>
      <c r="E2814" s="59">
        <v>6.4349299999999996</v>
      </c>
      <c r="F2814" s="59">
        <v>8.9903099999999991</v>
      </c>
      <c r="G2814" s="56">
        <v>2041.06</v>
      </c>
      <c r="H2814" s="56">
        <v>2989.25</v>
      </c>
      <c r="I2814" s="58">
        <v>0.72015899999999999</v>
      </c>
      <c r="J2814" s="57">
        <v>1.0505500000000001</v>
      </c>
      <c r="K2814" s="56"/>
      <c r="L2814" s="56" t="s">
        <v>488</v>
      </c>
    </row>
    <row r="2815" spans="2:12" x14ac:dyDescent="0.2">
      <c r="B2815" s="62" t="s">
        <v>3084</v>
      </c>
      <c r="C2815" s="61" t="s">
        <v>502</v>
      </c>
      <c r="D2815" s="60">
        <v>1.0944700000000001</v>
      </c>
      <c r="E2815" s="59">
        <v>3.6534499999999999</v>
      </c>
      <c r="F2815" s="59">
        <v>4.6994699999999998</v>
      </c>
      <c r="G2815" s="56">
        <v>0</v>
      </c>
      <c r="H2815" s="56">
        <v>0</v>
      </c>
      <c r="I2815" s="58">
        <v>0.58886700000000003</v>
      </c>
      <c r="J2815" s="57">
        <v>0.55325500000000005</v>
      </c>
      <c r="K2815" s="56"/>
      <c r="L2815" s="56" t="s">
        <v>488</v>
      </c>
    </row>
    <row r="2816" spans="2:12" x14ac:dyDescent="0.2">
      <c r="B2816" s="62" t="s">
        <v>3083</v>
      </c>
      <c r="C2816" s="61" t="s">
        <v>495</v>
      </c>
      <c r="D2816" s="60">
        <v>1.0465100000000001</v>
      </c>
      <c r="E2816" s="59">
        <v>4.7911999999999999</v>
      </c>
      <c r="F2816" s="59">
        <v>5.9579500000000003</v>
      </c>
      <c r="G2816" s="56">
        <v>1436.17</v>
      </c>
      <c r="H2816" s="56">
        <v>1372.36</v>
      </c>
      <c r="I2816" s="58">
        <v>0.46872900000000001</v>
      </c>
      <c r="J2816" s="57">
        <v>0.58717600000000003</v>
      </c>
      <c r="K2816" s="56"/>
      <c r="L2816" s="56" t="s">
        <v>488</v>
      </c>
    </row>
    <row r="2817" spans="2:12" x14ac:dyDescent="0.2">
      <c r="B2817" s="62" t="s">
        <v>3082</v>
      </c>
      <c r="C2817" s="61" t="s">
        <v>3081</v>
      </c>
      <c r="D2817" s="60">
        <v>1.7083299999999999</v>
      </c>
      <c r="E2817" s="59">
        <v>3.5747599999999999</v>
      </c>
      <c r="F2817" s="59">
        <v>6.4352900000000002</v>
      </c>
      <c r="G2817" s="56">
        <v>0</v>
      </c>
      <c r="H2817" s="56">
        <v>0</v>
      </c>
      <c r="I2817" s="58">
        <v>0.332094</v>
      </c>
      <c r="J2817" s="57">
        <v>0.29456100000000002</v>
      </c>
      <c r="K2817" s="56"/>
      <c r="L2817" s="56" t="s">
        <v>488</v>
      </c>
    </row>
    <row r="2818" spans="2:12" x14ac:dyDescent="0.2">
      <c r="B2818" s="62" t="s">
        <v>3080</v>
      </c>
      <c r="C2818" s="61" t="s">
        <v>3079</v>
      </c>
      <c r="D2818" s="60">
        <v>1.40591</v>
      </c>
      <c r="E2818" s="59">
        <v>5.7553200000000002</v>
      </c>
      <c r="F2818" s="59">
        <v>6.5273199999999996</v>
      </c>
      <c r="G2818" s="56">
        <v>1762.12</v>
      </c>
      <c r="H2818" s="56">
        <v>1253.3599999999999</v>
      </c>
      <c r="I2818" s="58">
        <v>0.53961000000000003</v>
      </c>
      <c r="J2818" s="57">
        <v>0.45009700000000002</v>
      </c>
      <c r="K2818" s="56"/>
      <c r="L2818" s="56" t="s">
        <v>488</v>
      </c>
    </row>
    <row r="2819" spans="2:12" x14ac:dyDescent="0.2">
      <c r="B2819" s="62" t="s">
        <v>3078</v>
      </c>
      <c r="C2819" s="61" t="s">
        <v>499</v>
      </c>
      <c r="D2819" s="60">
        <v>0.97456900000000002</v>
      </c>
      <c r="E2819" s="59">
        <v>3.67388</v>
      </c>
      <c r="F2819" s="59">
        <v>5.0057999999999998</v>
      </c>
      <c r="G2819" s="56">
        <v>0</v>
      </c>
      <c r="H2819" s="56">
        <v>0</v>
      </c>
      <c r="I2819" s="58">
        <v>0.55785099999999999</v>
      </c>
      <c r="J2819" s="57">
        <v>0.61019800000000002</v>
      </c>
      <c r="K2819" s="56"/>
      <c r="L2819" s="56" t="s">
        <v>488</v>
      </c>
    </row>
    <row r="2820" spans="2:12" x14ac:dyDescent="0.2">
      <c r="B2820" s="62" t="s">
        <v>3077</v>
      </c>
      <c r="C2820" s="61" t="s">
        <v>499</v>
      </c>
      <c r="D2820" s="60">
        <v>1.3823000000000001</v>
      </c>
      <c r="E2820" s="59">
        <v>4.6170099999999996</v>
      </c>
      <c r="F2820" s="59">
        <v>5.9286399999999997</v>
      </c>
      <c r="G2820" s="56">
        <v>1483.32</v>
      </c>
      <c r="H2820" s="56">
        <v>1522.03</v>
      </c>
      <c r="I2820" s="58">
        <v>0.211892</v>
      </c>
      <c r="J2820" s="57">
        <v>0.30377700000000002</v>
      </c>
      <c r="K2820" s="56"/>
      <c r="L2820" s="56" t="s">
        <v>488</v>
      </c>
    </row>
    <row r="2821" spans="2:12" x14ac:dyDescent="0.2">
      <c r="B2821" s="62" t="s">
        <v>3076</v>
      </c>
      <c r="C2821" s="61" t="s">
        <v>499</v>
      </c>
      <c r="D2821" s="60">
        <v>1.2014800000000001</v>
      </c>
      <c r="E2821" s="59">
        <v>4.7782099999999996</v>
      </c>
      <c r="F2821" s="59">
        <v>7.3401899999999998</v>
      </c>
      <c r="G2821" s="56">
        <v>1089.3399999999999</v>
      </c>
      <c r="H2821" s="56">
        <v>906.66399999999999</v>
      </c>
      <c r="I2821" s="58">
        <v>0.395368</v>
      </c>
      <c r="J2821" s="57">
        <v>0.44173600000000002</v>
      </c>
      <c r="K2821" s="56"/>
      <c r="L2821" s="56" t="s">
        <v>488</v>
      </c>
    </row>
    <row r="2822" spans="2:12" x14ac:dyDescent="0.2">
      <c r="B2822" s="62" t="s">
        <v>3075</v>
      </c>
      <c r="C2822" s="61" t="s">
        <v>502</v>
      </c>
      <c r="D2822" s="60">
        <v>1.2394000000000001</v>
      </c>
      <c r="E2822" s="59">
        <v>3.8182900000000002</v>
      </c>
      <c r="F2822" s="59">
        <v>4.6894200000000001</v>
      </c>
      <c r="G2822" s="56">
        <v>594.54100000000005</v>
      </c>
      <c r="H2822" s="56">
        <v>479.70100000000002</v>
      </c>
      <c r="I2822" s="58">
        <v>0.42685499999999998</v>
      </c>
      <c r="J2822" s="57">
        <v>0.41988900000000001</v>
      </c>
      <c r="K2822" s="56"/>
      <c r="L2822" s="56" t="s">
        <v>488</v>
      </c>
    </row>
    <row r="2823" spans="2:12" x14ac:dyDescent="0.2">
      <c r="B2823" s="62" t="s">
        <v>3074</v>
      </c>
      <c r="C2823" s="61" t="s">
        <v>502</v>
      </c>
      <c r="D2823" s="60">
        <v>1.24034</v>
      </c>
      <c r="E2823" s="59">
        <v>3.7325699999999999</v>
      </c>
      <c r="F2823" s="59">
        <v>4.50943</v>
      </c>
      <c r="G2823" s="56">
        <v>255.26</v>
      </c>
      <c r="H2823" s="56">
        <v>205.79900000000001</v>
      </c>
      <c r="I2823" s="58">
        <v>0.42611100000000002</v>
      </c>
      <c r="J2823" s="57">
        <v>0.41925200000000001</v>
      </c>
      <c r="K2823" s="56"/>
      <c r="L2823" s="56" t="s">
        <v>488</v>
      </c>
    </row>
    <row r="2824" spans="2:12" x14ac:dyDescent="0.2">
      <c r="B2824" s="62" t="s">
        <v>3073</v>
      </c>
      <c r="C2824" s="61" t="s">
        <v>502</v>
      </c>
      <c r="D2824" s="60">
        <v>1.24255</v>
      </c>
      <c r="E2824" s="59">
        <v>3.9830399999999999</v>
      </c>
      <c r="F2824" s="59">
        <v>5.8164499999999997</v>
      </c>
      <c r="G2824" s="56">
        <v>608.72799999999995</v>
      </c>
      <c r="H2824" s="56">
        <v>489.90199999999999</v>
      </c>
      <c r="I2824" s="58">
        <v>0.41096500000000002</v>
      </c>
      <c r="J2824" s="57">
        <v>0.41775200000000001</v>
      </c>
      <c r="K2824" s="56"/>
      <c r="L2824" s="56" t="s">
        <v>488</v>
      </c>
    </row>
    <row r="2825" spans="2:12" x14ac:dyDescent="0.2">
      <c r="B2825" s="62" t="s">
        <v>3072</v>
      </c>
      <c r="C2825" s="61" t="s">
        <v>502</v>
      </c>
      <c r="D2825" s="60">
        <v>1.4731399999999999</v>
      </c>
      <c r="E2825" s="59">
        <v>2.69394</v>
      </c>
      <c r="F2825" s="59">
        <v>3.5207700000000002</v>
      </c>
      <c r="G2825" s="56">
        <v>0</v>
      </c>
      <c r="H2825" s="56">
        <v>0</v>
      </c>
      <c r="I2825" s="58">
        <v>0.17614199999999999</v>
      </c>
      <c r="J2825" s="57">
        <v>0.29291600000000001</v>
      </c>
      <c r="K2825" s="56"/>
      <c r="L2825" s="56" t="s">
        <v>488</v>
      </c>
    </row>
    <row r="2826" spans="2:12" x14ac:dyDescent="0.2">
      <c r="B2826" s="62" t="s">
        <v>3071</v>
      </c>
      <c r="C2826" s="61" t="s">
        <v>502</v>
      </c>
      <c r="D2826" s="60">
        <v>1.12052</v>
      </c>
      <c r="E2826" s="59">
        <v>4.5385499999999999</v>
      </c>
      <c r="F2826" s="59">
        <v>5.4148500000000004</v>
      </c>
      <c r="G2826" s="56">
        <v>1177.57</v>
      </c>
      <c r="H2826" s="56">
        <v>1050.92</v>
      </c>
      <c r="I2826" s="58">
        <v>0.50532900000000003</v>
      </c>
      <c r="J2826" s="57">
        <v>0.497859</v>
      </c>
      <c r="K2826" s="56"/>
      <c r="L2826" s="56" t="s">
        <v>488</v>
      </c>
    </row>
    <row r="2827" spans="2:12" x14ac:dyDescent="0.2">
      <c r="B2827" s="62" t="s">
        <v>3070</v>
      </c>
      <c r="C2827" s="61" t="s">
        <v>550</v>
      </c>
      <c r="D2827" s="60">
        <v>1.0376799999999999</v>
      </c>
      <c r="E2827" s="59">
        <v>5.7471199999999998</v>
      </c>
      <c r="F2827" s="59">
        <v>6.5881100000000004</v>
      </c>
      <c r="G2827" s="56">
        <v>1884.52</v>
      </c>
      <c r="H2827" s="56">
        <v>1816.09</v>
      </c>
      <c r="I2827" s="58">
        <v>0.61446299999999998</v>
      </c>
      <c r="J2827" s="57">
        <v>0.61359699999999995</v>
      </c>
      <c r="K2827" s="56"/>
      <c r="L2827" s="56" t="s">
        <v>488</v>
      </c>
    </row>
    <row r="2828" spans="2:12" x14ac:dyDescent="0.2">
      <c r="B2828" s="62" t="s">
        <v>3069</v>
      </c>
      <c r="C2828" s="61" t="s">
        <v>1463</v>
      </c>
      <c r="D2828" s="60">
        <v>1.6012500000000001</v>
      </c>
      <c r="E2828" s="59">
        <v>3.8907400000000001</v>
      </c>
      <c r="F2828" s="59">
        <v>4.9074600000000004</v>
      </c>
      <c r="G2828" s="56">
        <v>579.04100000000005</v>
      </c>
      <c r="H2828" s="56">
        <v>361.61700000000002</v>
      </c>
      <c r="I2828" s="58">
        <v>0.30103099999999999</v>
      </c>
      <c r="J2828" s="57">
        <v>0.32009100000000001</v>
      </c>
      <c r="K2828" s="56"/>
      <c r="L2828" s="56" t="s">
        <v>488</v>
      </c>
    </row>
    <row r="2829" spans="2:12" x14ac:dyDescent="0.2">
      <c r="B2829" s="62" t="s">
        <v>3068</v>
      </c>
      <c r="C2829" s="61" t="s">
        <v>502</v>
      </c>
      <c r="D2829" s="60">
        <v>1.68506</v>
      </c>
      <c r="E2829" s="59">
        <v>2.9036900000000001</v>
      </c>
      <c r="F2829" s="59">
        <v>3.5833200000000001</v>
      </c>
      <c r="G2829" s="56">
        <v>0</v>
      </c>
      <c r="H2829" s="56">
        <v>0</v>
      </c>
      <c r="I2829" s="58">
        <v>0.11898599999999999</v>
      </c>
      <c r="J2829" s="57">
        <v>0.24189099999999999</v>
      </c>
      <c r="K2829" s="56"/>
      <c r="L2829" s="56" t="s">
        <v>488</v>
      </c>
    </row>
    <row r="2830" spans="2:12" x14ac:dyDescent="0.2">
      <c r="B2830" s="62" t="s">
        <v>3067</v>
      </c>
      <c r="C2830" s="61" t="s">
        <v>550</v>
      </c>
      <c r="D2830" s="60">
        <v>0.81249000000000005</v>
      </c>
      <c r="E2830" s="59">
        <v>9.48231</v>
      </c>
      <c r="F2830" s="59">
        <v>10.301869999999999</v>
      </c>
      <c r="G2830" s="56">
        <v>1759.72</v>
      </c>
      <c r="H2830" s="56">
        <v>2165.83</v>
      </c>
      <c r="I2830" s="58">
        <v>0.763625</v>
      </c>
      <c r="J2830" s="57">
        <v>0.90051599999999998</v>
      </c>
      <c r="K2830" s="56"/>
      <c r="L2830" s="56" t="s">
        <v>488</v>
      </c>
    </row>
    <row r="2831" spans="2:12" x14ac:dyDescent="0.2">
      <c r="B2831" s="62" t="s">
        <v>3066</v>
      </c>
      <c r="C2831" s="61" t="s">
        <v>859</v>
      </c>
      <c r="D2831" s="60">
        <v>2.1455799999999998</v>
      </c>
      <c r="E2831" s="59">
        <v>3.9226800000000002</v>
      </c>
      <c r="F2831" s="59">
        <v>4.3411999999999997</v>
      </c>
      <c r="G2831" s="56">
        <v>389.53100000000001</v>
      </c>
      <c r="H2831" s="56">
        <v>181.55099999999999</v>
      </c>
      <c r="I2831" s="58">
        <v>0.341721</v>
      </c>
      <c r="J2831" s="57">
        <v>0.224859</v>
      </c>
      <c r="K2831" s="56"/>
      <c r="L2831" s="56" t="s">
        <v>488</v>
      </c>
    </row>
    <row r="2832" spans="2:12" x14ac:dyDescent="0.2">
      <c r="B2832" s="62" t="s">
        <v>3065</v>
      </c>
      <c r="C2832" s="61" t="s">
        <v>859</v>
      </c>
      <c r="D2832" s="60">
        <v>1.84917</v>
      </c>
      <c r="E2832" s="59">
        <v>4.6921400000000002</v>
      </c>
      <c r="F2832" s="59">
        <v>5.2124499999999996</v>
      </c>
      <c r="G2832" s="56">
        <v>742.21500000000003</v>
      </c>
      <c r="H2832" s="56">
        <v>401.37700000000001</v>
      </c>
      <c r="I2832" s="58">
        <v>0.25320900000000002</v>
      </c>
      <c r="J2832" s="57">
        <v>0.236954</v>
      </c>
      <c r="K2832" s="56"/>
      <c r="L2832" s="56" t="s">
        <v>488</v>
      </c>
    </row>
    <row r="2833" spans="2:12" x14ac:dyDescent="0.2">
      <c r="B2833" s="62" t="s">
        <v>3064</v>
      </c>
      <c r="C2833" s="61" t="s">
        <v>3063</v>
      </c>
      <c r="D2833" s="60">
        <v>1.1566000000000001</v>
      </c>
      <c r="E2833" s="59">
        <v>3.79738</v>
      </c>
      <c r="F2833" s="59">
        <v>6.3529200000000001</v>
      </c>
      <c r="G2833" s="56">
        <v>911.89300000000003</v>
      </c>
      <c r="H2833" s="56">
        <v>788.42600000000004</v>
      </c>
      <c r="I2833" s="58">
        <v>0.44173200000000001</v>
      </c>
      <c r="J2833" s="57">
        <v>0.47628500000000001</v>
      </c>
      <c r="K2833" s="56"/>
      <c r="L2833" s="56" t="s">
        <v>492</v>
      </c>
    </row>
    <row r="2834" spans="2:12" x14ac:dyDescent="0.2">
      <c r="B2834" s="62" t="s">
        <v>3062</v>
      </c>
      <c r="C2834" s="61" t="s">
        <v>502</v>
      </c>
      <c r="D2834" s="60">
        <v>0.98117699999999997</v>
      </c>
      <c r="E2834" s="59">
        <v>6.6838300000000004</v>
      </c>
      <c r="F2834" s="59">
        <v>7.0956599999999996</v>
      </c>
      <c r="G2834" s="56">
        <v>1675.97</v>
      </c>
      <c r="H2834" s="56">
        <v>1708.13</v>
      </c>
      <c r="I2834" s="58">
        <v>0.59180200000000005</v>
      </c>
      <c r="J2834" s="57">
        <v>0.63323300000000005</v>
      </c>
      <c r="K2834" s="56"/>
      <c r="L2834" s="56" t="s">
        <v>488</v>
      </c>
    </row>
    <row r="2835" spans="2:12" x14ac:dyDescent="0.2">
      <c r="B2835" s="62" t="s">
        <v>3061</v>
      </c>
      <c r="C2835" s="61" t="s">
        <v>502</v>
      </c>
      <c r="D2835" s="60">
        <v>1.3343</v>
      </c>
      <c r="E2835" s="59">
        <v>3.4699499999999999</v>
      </c>
      <c r="F2835" s="59">
        <v>4.5488200000000001</v>
      </c>
      <c r="G2835" s="56">
        <v>0</v>
      </c>
      <c r="H2835" s="56">
        <v>0</v>
      </c>
      <c r="I2835" s="58">
        <v>0.31553399999999998</v>
      </c>
      <c r="J2835" s="57">
        <v>0.35873699999999997</v>
      </c>
      <c r="K2835" s="56"/>
      <c r="L2835" s="56" t="s">
        <v>488</v>
      </c>
    </row>
    <row r="2836" spans="2:12" x14ac:dyDescent="0.2">
      <c r="B2836" s="62" t="s">
        <v>3060</v>
      </c>
      <c r="C2836" s="61" t="s">
        <v>499</v>
      </c>
      <c r="D2836" s="60">
        <v>1.0127699999999999</v>
      </c>
      <c r="E2836" s="59">
        <v>5.4651800000000001</v>
      </c>
      <c r="F2836" s="59">
        <v>12.53445</v>
      </c>
      <c r="G2836" s="56">
        <v>1294.5</v>
      </c>
      <c r="H2836" s="56">
        <v>1278.18</v>
      </c>
      <c r="I2836" s="58">
        <v>0.46640199999999998</v>
      </c>
      <c r="J2836" s="57">
        <v>0.56448399999999999</v>
      </c>
      <c r="K2836" s="56"/>
      <c r="L2836" s="56" t="s">
        <v>488</v>
      </c>
    </row>
    <row r="2837" spans="2:12" x14ac:dyDescent="0.2">
      <c r="B2837" s="62" t="s">
        <v>3059</v>
      </c>
      <c r="C2837" s="61" t="s">
        <v>510</v>
      </c>
      <c r="D2837" s="60">
        <v>1.41245</v>
      </c>
      <c r="E2837" s="59">
        <v>2.5064199999999999</v>
      </c>
      <c r="F2837" s="59">
        <v>4.9179399999999998</v>
      </c>
      <c r="G2837" s="56">
        <v>0</v>
      </c>
      <c r="H2837" s="56">
        <v>0</v>
      </c>
      <c r="I2837" s="58">
        <v>0.26655099999999998</v>
      </c>
      <c r="J2837" s="57">
        <v>0.30766199999999999</v>
      </c>
      <c r="K2837" s="56"/>
      <c r="L2837" s="56" t="s">
        <v>488</v>
      </c>
    </row>
    <row r="2838" spans="2:12" x14ac:dyDescent="0.2">
      <c r="B2838" s="62" t="s">
        <v>3058</v>
      </c>
      <c r="C2838" s="61" t="s">
        <v>550</v>
      </c>
      <c r="D2838" s="60">
        <v>1.0803499999999999</v>
      </c>
      <c r="E2838" s="59">
        <v>5.7620300000000002</v>
      </c>
      <c r="F2838" s="59">
        <v>12.251390000000001</v>
      </c>
      <c r="G2838" s="56">
        <v>1267.8499999999999</v>
      </c>
      <c r="H2838" s="56">
        <v>1173.56</v>
      </c>
      <c r="I2838" s="58">
        <v>0.46059600000000001</v>
      </c>
      <c r="J2838" s="57">
        <v>0.53386599999999995</v>
      </c>
      <c r="K2838" s="56"/>
      <c r="L2838" s="56" t="s">
        <v>488</v>
      </c>
    </row>
    <row r="2839" spans="2:12" x14ac:dyDescent="0.2">
      <c r="B2839" s="62" t="s">
        <v>3057</v>
      </c>
      <c r="C2839" s="61" t="s">
        <v>510</v>
      </c>
      <c r="D2839" s="60">
        <v>1.42058</v>
      </c>
      <c r="E2839" s="59">
        <v>2.5176699999999999</v>
      </c>
      <c r="F2839" s="59">
        <v>4.1306200000000004</v>
      </c>
      <c r="G2839" s="56">
        <v>0</v>
      </c>
      <c r="H2839" s="56">
        <v>0</v>
      </c>
      <c r="I2839" s="58">
        <v>0.258409</v>
      </c>
      <c r="J2839" s="57">
        <v>0.30404199999999998</v>
      </c>
      <c r="K2839" s="56"/>
      <c r="L2839" s="56" t="s">
        <v>488</v>
      </c>
    </row>
    <row r="2840" spans="2:12" x14ac:dyDescent="0.2">
      <c r="B2840" s="62" t="s">
        <v>3056</v>
      </c>
      <c r="C2840" s="61" t="s">
        <v>510</v>
      </c>
      <c r="D2840" s="60">
        <v>1.47167</v>
      </c>
      <c r="E2840" s="59">
        <v>2.4041899999999998</v>
      </c>
      <c r="F2840" s="59">
        <v>4.8291899999999996</v>
      </c>
      <c r="G2840" s="56">
        <v>0</v>
      </c>
      <c r="H2840" s="56">
        <v>0</v>
      </c>
      <c r="I2840" s="58">
        <v>0.133858</v>
      </c>
      <c r="J2840" s="57">
        <v>0.279167</v>
      </c>
      <c r="K2840" s="56"/>
      <c r="L2840" s="56" t="s">
        <v>488</v>
      </c>
    </row>
    <row r="2841" spans="2:12" x14ac:dyDescent="0.2">
      <c r="B2841" s="62" t="s">
        <v>3055</v>
      </c>
      <c r="C2841" s="61" t="s">
        <v>510</v>
      </c>
      <c r="D2841" s="60">
        <v>1.3784400000000001</v>
      </c>
      <c r="E2841" s="59">
        <v>2.7755899999999998</v>
      </c>
      <c r="F2841" s="59">
        <v>5.2055499999999997</v>
      </c>
      <c r="G2841" s="56">
        <v>0</v>
      </c>
      <c r="H2841" s="56">
        <v>0</v>
      </c>
      <c r="I2841" s="58">
        <v>0.29198000000000002</v>
      </c>
      <c r="J2841" s="57">
        <v>0.323631</v>
      </c>
      <c r="K2841" s="56"/>
      <c r="L2841" s="56" t="s">
        <v>488</v>
      </c>
    </row>
    <row r="2842" spans="2:12" x14ac:dyDescent="0.2">
      <c r="B2842" s="62" t="s">
        <v>3054</v>
      </c>
      <c r="C2842" s="61" t="s">
        <v>510</v>
      </c>
      <c r="D2842" s="60">
        <v>1.0314000000000001</v>
      </c>
      <c r="E2842" s="59">
        <v>3.9211900000000002</v>
      </c>
      <c r="F2842" s="59">
        <v>6.2449300000000001</v>
      </c>
      <c r="G2842" s="56">
        <v>948.84900000000005</v>
      </c>
      <c r="H2842" s="56">
        <v>919.96</v>
      </c>
      <c r="I2842" s="58">
        <v>0.52322100000000005</v>
      </c>
      <c r="J2842" s="57">
        <v>0.53598999999999997</v>
      </c>
      <c r="K2842" s="56"/>
      <c r="L2842" s="56" t="s">
        <v>488</v>
      </c>
    </row>
    <row r="2843" spans="2:12" x14ac:dyDescent="0.2">
      <c r="B2843" s="62" t="s">
        <v>3053</v>
      </c>
      <c r="C2843" s="61" t="s">
        <v>708</v>
      </c>
      <c r="D2843" s="60">
        <v>0.904447</v>
      </c>
      <c r="E2843" s="59">
        <v>5.6517400000000002</v>
      </c>
      <c r="F2843" s="59">
        <v>6.8093899999999996</v>
      </c>
      <c r="G2843" s="56">
        <v>1290.29</v>
      </c>
      <c r="H2843" s="56">
        <v>1426.61</v>
      </c>
      <c r="I2843" s="58">
        <v>0.59026800000000001</v>
      </c>
      <c r="J2843" s="57">
        <v>0.66973000000000005</v>
      </c>
      <c r="K2843" s="56"/>
      <c r="L2843" s="56" t="s">
        <v>488</v>
      </c>
    </row>
    <row r="2844" spans="2:12" x14ac:dyDescent="0.2">
      <c r="B2844" s="62" t="s">
        <v>3052</v>
      </c>
      <c r="C2844" s="61" t="s">
        <v>550</v>
      </c>
      <c r="D2844" s="60">
        <v>0.99628799999999995</v>
      </c>
      <c r="E2844" s="59">
        <v>4.2860199999999997</v>
      </c>
      <c r="F2844" s="59">
        <v>11.02589</v>
      </c>
      <c r="G2844" s="56">
        <v>1983.39</v>
      </c>
      <c r="H2844" s="56">
        <v>1990.77</v>
      </c>
      <c r="I2844" s="58">
        <v>0.71061300000000005</v>
      </c>
      <c r="J2844" s="57">
        <v>0.703013</v>
      </c>
      <c r="K2844" s="56"/>
      <c r="L2844" s="56" t="s">
        <v>492</v>
      </c>
    </row>
    <row r="2845" spans="2:12" x14ac:dyDescent="0.2">
      <c r="B2845" s="62" t="s">
        <v>3051</v>
      </c>
      <c r="C2845" s="61" t="s">
        <v>499</v>
      </c>
      <c r="D2845" s="60">
        <v>0.90471800000000002</v>
      </c>
      <c r="E2845" s="59">
        <v>4.3215500000000002</v>
      </c>
      <c r="F2845" s="59">
        <v>10.203060000000001</v>
      </c>
      <c r="G2845" s="56">
        <v>2149.65</v>
      </c>
      <c r="H2845" s="56">
        <v>2376.04</v>
      </c>
      <c r="I2845" s="58">
        <v>0.69866399999999995</v>
      </c>
      <c r="J2845" s="57">
        <v>0.75922699999999999</v>
      </c>
      <c r="K2845" s="56"/>
      <c r="L2845" s="56" t="s">
        <v>492</v>
      </c>
    </row>
    <row r="2846" spans="2:12" x14ac:dyDescent="0.2">
      <c r="B2846" s="62" t="s">
        <v>3050</v>
      </c>
      <c r="C2846" s="61" t="s">
        <v>3049</v>
      </c>
      <c r="D2846" s="60">
        <v>1.6457200000000001</v>
      </c>
      <c r="E2846" s="59">
        <v>3.3725200000000002</v>
      </c>
      <c r="F2846" s="59">
        <v>5.9814999999999996</v>
      </c>
      <c r="G2846" s="56">
        <v>0</v>
      </c>
      <c r="H2846" s="56">
        <v>0</v>
      </c>
      <c r="I2846" s="58">
        <v>0.31870799999999999</v>
      </c>
      <c r="J2846" s="57">
        <v>0.31930500000000001</v>
      </c>
      <c r="K2846" s="56"/>
      <c r="L2846" s="56" t="s">
        <v>488</v>
      </c>
    </row>
    <row r="2847" spans="2:12" x14ac:dyDescent="0.2">
      <c r="B2847" s="62" t="s">
        <v>3048</v>
      </c>
      <c r="C2847" s="61" t="s">
        <v>537</v>
      </c>
      <c r="D2847" s="60">
        <v>1.6833199999999999</v>
      </c>
      <c r="E2847" s="59">
        <v>4.0456700000000003</v>
      </c>
      <c r="F2847" s="59">
        <v>4.9764900000000001</v>
      </c>
      <c r="G2847" s="56">
        <v>1131.03</v>
      </c>
      <c r="H2847" s="56">
        <v>671.90599999999995</v>
      </c>
      <c r="I2847" s="58">
        <v>0.48269699999999999</v>
      </c>
      <c r="J2847" s="57">
        <v>0.33093699999999998</v>
      </c>
      <c r="K2847" s="56"/>
      <c r="L2847" s="56" t="s">
        <v>730</v>
      </c>
    </row>
    <row r="2848" spans="2:12" x14ac:dyDescent="0.2">
      <c r="B2848" s="62" t="s">
        <v>3047</v>
      </c>
      <c r="C2848" s="61" t="s">
        <v>776</v>
      </c>
      <c r="D2848" s="60">
        <v>2.1482700000000001</v>
      </c>
      <c r="E2848" s="59">
        <v>2.4935299999999998</v>
      </c>
      <c r="F2848" s="59">
        <v>2.92259</v>
      </c>
      <c r="G2848" s="56">
        <v>0</v>
      </c>
      <c r="H2848" s="56">
        <v>0</v>
      </c>
      <c r="I2848" s="58">
        <v>2.0493999999999998E-2</v>
      </c>
      <c r="J2848" s="57">
        <v>0.158447</v>
      </c>
      <c r="K2848" s="56"/>
      <c r="L2848" s="56" t="s">
        <v>488</v>
      </c>
    </row>
    <row r="2849" spans="2:12" x14ac:dyDescent="0.2">
      <c r="B2849" s="62" t="s">
        <v>3046</v>
      </c>
      <c r="C2849" s="61" t="s">
        <v>550</v>
      </c>
      <c r="D2849" s="60">
        <v>1.61189</v>
      </c>
      <c r="E2849" s="59">
        <v>3.4796399999999998</v>
      </c>
      <c r="F2849" s="59">
        <v>6.9310600000000004</v>
      </c>
      <c r="G2849" s="56">
        <v>0</v>
      </c>
      <c r="H2849" s="56">
        <v>0</v>
      </c>
      <c r="I2849" s="58">
        <v>0.38131599999999999</v>
      </c>
      <c r="J2849" s="57">
        <v>0.31184899999999999</v>
      </c>
      <c r="K2849" s="56"/>
      <c r="L2849" s="56" t="s">
        <v>488</v>
      </c>
    </row>
    <row r="2850" spans="2:12" x14ac:dyDescent="0.2">
      <c r="B2850" s="62" t="s">
        <v>3045</v>
      </c>
      <c r="C2850" s="61" t="s">
        <v>502</v>
      </c>
      <c r="D2850" s="60">
        <v>1.6050599999999999</v>
      </c>
      <c r="E2850" s="59">
        <v>5.2052399999999999</v>
      </c>
      <c r="F2850" s="59">
        <v>6.3764599999999998</v>
      </c>
      <c r="G2850" s="56">
        <v>897.85699999999997</v>
      </c>
      <c r="H2850" s="56">
        <v>559.39099999999996</v>
      </c>
      <c r="I2850" s="58">
        <v>0.35989300000000002</v>
      </c>
      <c r="J2850" s="57">
        <v>0.302367</v>
      </c>
      <c r="K2850" s="56"/>
      <c r="L2850" s="56" t="s">
        <v>492</v>
      </c>
    </row>
    <row r="2851" spans="2:12" x14ac:dyDescent="0.2">
      <c r="B2851" s="62" t="s">
        <v>3044</v>
      </c>
      <c r="C2851" s="61" t="s">
        <v>502</v>
      </c>
      <c r="D2851" s="60">
        <v>1.7630999999999999</v>
      </c>
      <c r="E2851" s="59">
        <v>5.1720100000000002</v>
      </c>
      <c r="F2851" s="59">
        <v>6.33826</v>
      </c>
      <c r="G2851" s="56">
        <v>867.495</v>
      </c>
      <c r="H2851" s="56">
        <v>492.029</v>
      </c>
      <c r="I2851" s="58">
        <v>0.360041</v>
      </c>
      <c r="J2851" s="57">
        <v>0.272843</v>
      </c>
      <c r="K2851" s="56"/>
      <c r="L2851" s="56" t="s">
        <v>492</v>
      </c>
    </row>
    <row r="2852" spans="2:12" x14ac:dyDescent="0.2">
      <c r="B2852" s="62" t="s">
        <v>3043</v>
      </c>
      <c r="C2852" s="61" t="s">
        <v>510</v>
      </c>
      <c r="D2852" s="60">
        <v>1.4202999999999999</v>
      </c>
      <c r="E2852" s="59">
        <v>5.93133</v>
      </c>
      <c r="F2852" s="59">
        <v>6.9812700000000003</v>
      </c>
      <c r="G2852" s="56">
        <v>1191.8399999999999</v>
      </c>
      <c r="H2852" s="56">
        <v>839.15200000000004</v>
      </c>
      <c r="I2852" s="58">
        <v>0.51338300000000003</v>
      </c>
      <c r="J2852" s="57">
        <v>0.37395099999999998</v>
      </c>
      <c r="K2852" s="56"/>
      <c r="L2852" s="56" t="s">
        <v>488</v>
      </c>
    </row>
    <row r="2853" spans="2:12" x14ac:dyDescent="0.2">
      <c r="B2853" s="62" t="s">
        <v>3042</v>
      </c>
      <c r="C2853" s="61" t="s">
        <v>510</v>
      </c>
      <c r="D2853" s="60">
        <v>1.5691299999999999</v>
      </c>
      <c r="E2853" s="59">
        <v>3.7961399999999998</v>
      </c>
      <c r="F2853" s="59">
        <v>4.8058100000000001</v>
      </c>
      <c r="G2853" s="56">
        <v>398.18200000000002</v>
      </c>
      <c r="H2853" s="56">
        <v>253.75899999999999</v>
      </c>
      <c r="I2853" s="58">
        <v>0.35709000000000002</v>
      </c>
      <c r="J2853" s="57">
        <v>0.28574899999999998</v>
      </c>
      <c r="K2853" s="56"/>
      <c r="L2853" s="56" t="s">
        <v>488</v>
      </c>
    </row>
    <row r="2854" spans="2:12" x14ac:dyDescent="0.2">
      <c r="B2854" s="62" t="s">
        <v>3041</v>
      </c>
      <c r="C2854" s="61" t="s">
        <v>510</v>
      </c>
      <c r="D2854" s="60">
        <v>1.45682</v>
      </c>
      <c r="E2854" s="59">
        <v>5.5643799999999999</v>
      </c>
      <c r="F2854" s="59">
        <v>6.3671100000000003</v>
      </c>
      <c r="G2854" s="56">
        <v>1200.78</v>
      </c>
      <c r="H2854" s="56">
        <v>824.24900000000002</v>
      </c>
      <c r="I2854" s="58">
        <v>0.47518300000000002</v>
      </c>
      <c r="J2854" s="57">
        <v>0.35633799999999999</v>
      </c>
      <c r="K2854" s="56"/>
      <c r="L2854" s="56" t="s">
        <v>488</v>
      </c>
    </row>
    <row r="2855" spans="2:12" x14ac:dyDescent="0.2">
      <c r="B2855" s="62" t="s">
        <v>3040</v>
      </c>
      <c r="C2855" s="61" t="s">
        <v>2081</v>
      </c>
      <c r="D2855" s="60">
        <v>1.0729</v>
      </c>
      <c r="E2855" s="59">
        <v>3.56969</v>
      </c>
      <c r="F2855" s="59">
        <v>7.1512599999999997</v>
      </c>
      <c r="G2855" s="56">
        <v>0</v>
      </c>
      <c r="H2855" s="56">
        <v>0</v>
      </c>
      <c r="I2855" s="58">
        <v>0.418657</v>
      </c>
      <c r="J2855" s="57">
        <v>0.48125400000000002</v>
      </c>
      <c r="K2855" s="56"/>
      <c r="L2855" s="56" t="s">
        <v>492</v>
      </c>
    </row>
    <row r="2856" spans="2:12" x14ac:dyDescent="0.2">
      <c r="B2856" s="62" t="s">
        <v>3039</v>
      </c>
      <c r="C2856" s="61" t="s">
        <v>550</v>
      </c>
      <c r="D2856" s="60">
        <v>1.35917</v>
      </c>
      <c r="E2856" s="59">
        <v>8.9507999999999992</v>
      </c>
      <c r="F2856" s="59">
        <v>9.07531</v>
      </c>
      <c r="G2856" s="56">
        <v>616.79399999999998</v>
      </c>
      <c r="H2856" s="56">
        <v>453.8</v>
      </c>
      <c r="I2856" s="58">
        <v>0.35650900000000002</v>
      </c>
      <c r="J2856" s="57">
        <v>0.39038400000000001</v>
      </c>
      <c r="K2856" s="56"/>
      <c r="L2856" s="56" t="s">
        <v>488</v>
      </c>
    </row>
    <row r="2857" spans="2:12" x14ac:dyDescent="0.2">
      <c r="B2857" s="62" t="s">
        <v>3038</v>
      </c>
      <c r="C2857" s="61" t="s">
        <v>569</v>
      </c>
      <c r="D2857" s="60">
        <v>0.70194199999999995</v>
      </c>
      <c r="E2857" s="59">
        <v>9.6010200000000001</v>
      </c>
      <c r="F2857" s="59">
        <v>10.14339</v>
      </c>
      <c r="G2857" s="56">
        <v>1556.66</v>
      </c>
      <c r="H2857" s="56">
        <v>2217.64</v>
      </c>
      <c r="I2857" s="58">
        <v>0.68051700000000004</v>
      </c>
      <c r="J2857" s="57">
        <v>0.91820500000000005</v>
      </c>
      <c r="K2857" s="56"/>
      <c r="L2857" s="56" t="s">
        <v>488</v>
      </c>
    </row>
    <row r="2858" spans="2:12" x14ac:dyDescent="0.2">
      <c r="B2858" s="62" t="s">
        <v>3037</v>
      </c>
      <c r="C2858" s="61" t="s">
        <v>569</v>
      </c>
      <c r="D2858" s="60">
        <v>0.70928500000000005</v>
      </c>
      <c r="E2858" s="59">
        <v>9.2234599999999993</v>
      </c>
      <c r="F2858" s="59">
        <v>9.7330100000000002</v>
      </c>
      <c r="G2858" s="56">
        <v>1539.59</v>
      </c>
      <c r="H2858" s="56">
        <v>2170.63</v>
      </c>
      <c r="I2858" s="58">
        <v>0.67997200000000002</v>
      </c>
      <c r="J2858" s="57">
        <v>0.902671</v>
      </c>
      <c r="K2858" s="56"/>
      <c r="L2858" s="56" t="s">
        <v>488</v>
      </c>
    </row>
    <row r="2859" spans="2:12" x14ac:dyDescent="0.2">
      <c r="B2859" s="62" t="s">
        <v>3036</v>
      </c>
      <c r="C2859" s="61" t="s">
        <v>510</v>
      </c>
      <c r="D2859" s="60">
        <v>1.53728</v>
      </c>
      <c r="E2859" s="59">
        <v>3.8906000000000001</v>
      </c>
      <c r="F2859" s="59">
        <v>4.9520600000000004</v>
      </c>
      <c r="G2859" s="56">
        <v>457.08699999999999</v>
      </c>
      <c r="H2859" s="56">
        <v>297.33499999999998</v>
      </c>
      <c r="I2859" s="58">
        <v>0.36911699999999997</v>
      </c>
      <c r="J2859" s="57">
        <v>0.29865799999999998</v>
      </c>
      <c r="K2859" s="56"/>
      <c r="L2859" s="56" t="s">
        <v>488</v>
      </c>
    </row>
    <row r="2860" spans="2:12" x14ac:dyDescent="0.2">
      <c r="B2860" s="62" t="s">
        <v>3035</v>
      </c>
      <c r="C2860" s="61" t="s">
        <v>502</v>
      </c>
      <c r="D2860" s="60">
        <v>2.2987799999999998</v>
      </c>
      <c r="E2860" s="59">
        <v>10.67498</v>
      </c>
      <c r="F2860" s="59">
        <v>12.400740000000001</v>
      </c>
      <c r="G2860" s="56">
        <v>591.39400000000001</v>
      </c>
      <c r="H2860" s="56">
        <v>257.26400000000001</v>
      </c>
      <c r="I2860" s="58">
        <v>0.26152500000000001</v>
      </c>
      <c r="J2860" s="57">
        <v>0.218774</v>
      </c>
      <c r="K2860" s="56"/>
      <c r="L2860" s="56" t="s">
        <v>488</v>
      </c>
    </row>
    <row r="2861" spans="2:12" x14ac:dyDescent="0.2">
      <c r="B2861" s="62" t="s">
        <v>3034</v>
      </c>
      <c r="C2861" s="61" t="s">
        <v>641</v>
      </c>
      <c r="D2861" s="60">
        <v>1.7136400000000001</v>
      </c>
      <c r="E2861" s="59">
        <v>4.9406699999999999</v>
      </c>
      <c r="F2861" s="59">
        <v>6.1508099999999999</v>
      </c>
      <c r="G2861" s="56">
        <v>1310.47</v>
      </c>
      <c r="H2861" s="56">
        <v>777.12199999999996</v>
      </c>
      <c r="I2861" s="58">
        <v>0.43507699999999999</v>
      </c>
      <c r="J2861" s="57">
        <v>0.31961000000000001</v>
      </c>
      <c r="K2861" s="56"/>
      <c r="L2861" s="56" t="s">
        <v>488</v>
      </c>
    </row>
    <row r="2862" spans="2:12" x14ac:dyDescent="0.2">
      <c r="B2862" s="62" t="s">
        <v>3033</v>
      </c>
      <c r="C2862" s="61" t="s">
        <v>641</v>
      </c>
      <c r="D2862" s="60">
        <v>1.68632</v>
      </c>
      <c r="E2862" s="59">
        <v>5.1812100000000001</v>
      </c>
      <c r="F2862" s="59">
        <v>6.4214599999999997</v>
      </c>
      <c r="G2862" s="56">
        <v>1317.01</v>
      </c>
      <c r="H2862" s="56">
        <v>768.548</v>
      </c>
      <c r="I2862" s="58">
        <v>0.43345899999999998</v>
      </c>
      <c r="J2862" s="57">
        <v>0.32946500000000001</v>
      </c>
      <c r="K2862" s="56"/>
      <c r="L2862" s="56" t="s">
        <v>488</v>
      </c>
    </row>
    <row r="2863" spans="2:12" x14ac:dyDescent="0.2">
      <c r="B2863" s="62" t="s">
        <v>3032</v>
      </c>
      <c r="C2863" s="61" t="s">
        <v>499</v>
      </c>
      <c r="D2863" s="60">
        <v>1.53975</v>
      </c>
      <c r="E2863" s="59">
        <v>2.9401799999999998</v>
      </c>
      <c r="F2863" s="59">
        <v>3.4081399999999999</v>
      </c>
      <c r="G2863" s="56">
        <v>0</v>
      </c>
      <c r="H2863" s="56">
        <v>0</v>
      </c>
      <c r="I2863" s="58">
        <v>7.6790999999999998E-2</v>
      </c>
      <c r="J2863" s="57">
        <v>0.23400199999999999</v>
      </c>
      <c r="K2863" s="56"/>
      <c r="L2863" s="56" t="s">
        <v>730</v>
      </c>
    </row>
    <row r="2864" spans="2:12" x14ac:dyDescent="0.2">
      <c r="B2864" s="62" t="s">
        <v>3031</v>
      </c>
      <c r="C2864" s="61" t="s">
        <v>3024</v>
      </c>
      <c r="D2864" s="60">
        <v>2.0285000000000002</v>
      </c>
      <c r="E2864" s="59">
        <v>2.4706899999999998</v>
      </c>
      <c r="F2864" s="59">
        <v>4.7694099999999997</v>
      </c>
      <c r="G2864" s="56">
        <v>0</v>
      </c>
      <c r="H2864" s="56">
        <v>0</v>
      </c>
      <c r="I2864" s="58">
        <v>0.106126</v>
      </c>
      <c r="J2864" s="57">
        <v>0.18734999999999999</v>
      </c>
      <c r="K2864" s="56"/>
      <c r="L2864" s="56" t="s">
        <v>488</v>
      </c>
    </row>
    <row r="2865" spans="2:12" x14ac:dyDescent="0.2">
      <c r="B2865" s="62" t="s">
        <v>3030</v>
      </c>
      <c r="C2865" s="61" t="s">
        <v>502</v>
      </c>
      <c r="D2865" s="60">
        <v>0.27959499999999998</v>
      </c>
      <c r="E2865" s="59">
        <v>14.884589999999999</v>
      </c>
      <c r="F2865" s="59">
        <v>27.512229999999999</v>
      </c>
      <c r="G2865" s="56">
        <v>1426.75</v>
      </c>
      <c r="H2865" s="56">
        <v>5102.9399999999996</v>
      </c>
      <c r="I2865" s="58">
        <v>0.922072</v>
      </c>
      <c r="J2865" s="57">
        <v>3.1859500000000001</v>
      </c>
      <c r="K2865" s="56"/>
      <c r="L2865" s="56" t="s">
        <v>488</v>
      </c>
    </row>
    <row r="2866" spans="2:12" x14ac:dyDescent="0.2">
      <c r="B2866" s="62" t="s">
        <v>3029</v>
      </c>
      <c r="C2866" s="61" t="s">
        <v>502</v>
      </c>
      <c r="D2866" s="60">
        <v>0.449382</v>
      </c>
      <c r="E2866" s="59">
        <v>11.8721</v>
      </c>
      <c r="F2866" s="59">
        <v>18.86769</v>
      </c>
      <c r="G2866" s="56">
        <v>1913.16</v>
      </c>
      <c r="H2866" s="56">
        <v>4257.32</v>
      </c>
      <c r="I2866" s="58">
        <v>0.86960099999999996</v>
      </c>
      <c r="J2866" s="57">
        <v>1.83779</v>
      </c>
      <c r="K2866" s="56"/>
      <c r="L2866" s="56" t="s">
        <v>488</v>
      </c>
    </row>
    <row r="2867" spans="2:12" x14ac:dyDescent="0.2">
      <c r="B2867" s="62" t="s">
        <v>3028</v>
      </c>
      <c r="C2867" s="61" t="s">
        <v>502</v>
      </c>
      <c r="D2867" s="60">
        <v>0.22343299999999999</v>
      </c>
      <c r="E2867" s="59">
        <v>17.551749999999998</v>
      </c>
      <c r="F2867" s="59">
        <v>32.001899999999999</v>
      </c>
      <c r="G2867" s="56">
        <v>1210.3800000000001</v>
      </c>
      <c r="H2867" s="56">
        <v>5417.2</v>
      </c>
      <c r="I2867" s="58">
        <v>0.94237800000000005</v>
      </c>
      <c r="J2867" s="57">
        <v>4.0898099999999999</v>
      </c>
      <c r="K2867" s="56"/>
      <c r="L2867" s="56" t="s">
        <v>488</v>
      </c>
    </row>
    <row r="2868" spans="2:12" x14ac:dyDescent="0.2">
      <c r="B2868" s="62" t="s">
        <v>3027</v>
      </c>
      <c r="C2868" s="61" t="s">
        <v>533</v>
      </c>
      <c r="D2868" s="60">
        <v>1.9388000000000001</v>
      </c>
      <c r="E2868" s="59">
        <v>5.1807400000000001</v>
      </c>
      <c r="F2868" s="59">
        <v>6.2111700000000001</v>
      </c>
      <c r="G2868" s="56">
        <v>1258.5999999999999</v>
      </c>
      <c r="H2868" s="56">
        <v>649.16399999999999</v>
      </c>
      <c r="I2868" s="58">
        <v>0.43829200000000001</v>
      </c>
      <c r="J2868" s="57">
        <v>0.27085199999999998</v>
      </c>
      <c r="K2868" s="56"/>
      <c r="L2868" s="56" t="s">
        <v>488</v>
      </c>
    </row>
    <row r="2869" spans="2:12" x14ac:dyDescent="0.2">
      <c r="B2869" s="62" t="s">
        <v>3026</v>
      </c>
      <c r="C2869" s="61" t="s">
        <v>3024</v>
      </c>
      <c r="D2869" s="60">
        <v>2.06216</v>
      </c>
      <c r="E2869" s="59">
        <v>4.2026599999999998</v>
      </c>
      <c r="F2869" s="59">
        <v>5.2364300000000004</v>
      </c>
      <c r="G2869" s="56">
        <v>250.36199999999999</v>
      </c>
      <c r="H2869" s="56">
        <v>121.408</v>
      </c>
      <c r="I2869" s="58">
        <v>0.14537800000000001</v>
      </c>
      <c r="J2869" s="57">
        <v>0.173563</v>
      </c>
      <c r="K2869" s="56"/>
      <c r="L2869" s="56" t="s">
        <v>488</v>
      </c>
    </row>
    <row r="2870" spans="2:12" x14ac:dyDescent="0.2">
      <c r="B2870" s="62" t="s">
        <v>3025</v>
      </c>
      <c r="C2870" s="61" t="s">
        <v>3024</v>
      </c>
      <c r="D2870" s="60">
        <v>1.72542</v>
      </c>
      <c r="E2870" s="59">
        <v>3.3604099999999999</v>
      </c>
      <c r="F2870" s="59">
        <v>4.8996199999999996</v>
      </c>
      <c r="G2870" s="56">
        <v>0</v>
      </c>
      <c r="H2870" s="56">
        <v>0</v>
      </c>
      <c r="I2870" s="58">
        <v>0.129436</v>
      </c>
      <c r="J2870" s="57">
        <v>0.25880999999999998</v>
      </c>
      <c r="K2870" s="56"/>
      <c r="L2870" s="56" t="s">
        <v>488</v>
      </c>
    </row>
    <row r="2871" spans="2:12" x14ac:dyDescent="0.2">
      <c r="B2871" s="62" t="s">
        <v>3023</v>
      </c>
      <c r="C2871" s="61" t="s">
        <v>550</v>
      </c>
      <c r="D2871" s="60">
        <v>1.11886</v>
      </c>
      <c r="E2871" s="59">
        <v>3.15639</v>
      </c>
      <c r="F2871" s="59">
        <v>4.0051600000000001</v>
      </c>
      <c r="G2871" s="56">
        <v>0</v>
      </c>
      <c r="H2871" s="56">
        <v>0</v>
      </c>
      <c r="I2871" s="58">
        <v>0.36860700000000002</v>
      </c>
      <c r="J2871" s="57">
        <v>0.47830899999999998</v>
      </c>
      <c r="K2871" s="56"/>
      <c r="L2871" s="56" t="s">
        <v>492</v>
      </c>
    </row>
    <row r="2872" spans="2:12" x14ac:dyDescent="0.2">
      <c r="B2872" s="62" t="s">
        <v>3022</v>
      </c>
      <c r="C2872" s="61" t="s">
        <v>550</v>
      </c>
      <c r="D2872" s="60">
        <v>1.37616</v>
      </c>
      <c r="E2872" s="59">
        <v>3.6570100000000001</v>
      </c>
      <c r="F2872" s="59">
        <v>4.9097499999999998</v>
      </c>
      <c r="G2872" s="56">
        <v>0</v>
      </c>
      <c r="H2872" s="56">
        <v>0</v>
      </c>
      <c r="I2872" s="58">
        <v>0.39508399999999999</v>
      </c>
      <c r="J2872" s="57">
        <v>0.37761</v>
      </c>
      <c r="K2872" s="56"/>
      <c r="L2872" s="56" t="s">
        <v>488</v>
      </c>
    </row>
    <row r="2873" spans="2:12" x14ac:dyDescent="0.2">
      <c r="B2873" s="62" t="s">
        <v>3021</v>
      </c>
      <c r="C2873" s="61" t="s">
        <v>3020</v>
      </c>
      <c r="D2873" s="60">
        <v>1.87595</v>
      </c>
      <c r="E2873" s="59">
        <v>2.53939</v>
      </c>
      <c r="F2873" s="59">
        <v>4.2401600000000004</v>
      </c>
      <c r="G2873" s="56">
        <v>0</v>
      </c>
      <c r="H2873" s="56">
        <v>0</v>
      </c>
      <c r="I2873" s="58">
        <v>0.11475</v>
      </c>
      <c r="J2873" s="57">
        <v>0.19428699999999999</v>
      </c>
      <c r="K2873" s="56"/>
      <c r="L2873" s="56" t="s">
        <v>492</v>
      </c>
    </row>
    <row r="2874" spans="2:12" x14ac:dyDescent="0.2">
      <c r="B2874" s="62" t="s">
        <v>3019</v>
      </c>
      <c r="C2874" s="61" t="s">
        <v>3018</v>
      </c>
      <c r="D2874" s="60">
        <v>1.90598</v>
      </c>
      <c r="E2874" s="59">
        <v>2.5140600000000002</v>
      </c>
      <c r="F2874" s="59">
        <v>4.1566900000000002</v>
      </c>
      <c r="G2874" s="56">
        <v>0</v>
      </c>
      <c r="H2874" s="56">
        <v>0</v>
      </c>
      <c r="I2874" s="58">
        <v>0.100077</v>
      </c>
      <c r="J2874" s="57">
        <v>0.18498600000000001</v>
      </c>
      <c r="K2874" s="56"/>
      <c r="L2874" s="56" t="s">
        <v>492</v>
      </c>
    </row>
    <row r="2875" spans="2:12" x14ac:dyDescent="0.2">
      <c r="B2875" s="62" t="s">
        <v>3017</v>
      </c>
      <c r="C2875" s="61" t="s">
        <v>788</v>
      </c>
      <c r="D2875" s="60">
        <v>1.85067</v>
      </c>
      <c r="E2875" s="59">
        <v>2.4555500000000001</v>
      </c>
      <c r="F2875" s="59">
        <v>4.1725300000000001</v>
      </c>
      <c r="G2875" s="56">
        <v>0</v>
      </c>
      <c r="H2875" s="56">
        <v>0</v>
      </c>
      <c r="I2875" s="58">
        <v>0.10778500000000001</v>
      </c>
      <c r="J2875" s="57">
        <v>0.20010900000000001</v>
      </c>
      <c r="K2875" s="56"/>
      <c r="L2875" s="56" t="s">
        <v>492</v>
      </c>
    </row>
    <row r="2876" spans="2:12" x14ac:dyDescent="0.2">
      <c r="B2876" s="62" t="s">
        <v>3016</v>
      </c>
      <c r="C2876" s="61" t="s">
        <v>794</v>
      </c>
      <c r="D2876" s="60">
        <v>1.87</v>
      </c>
      <c r="E2876" s="59">
        <v>2.4089100000000001</v>
      </c>
      <c r="F2876" s="59">
        <v>4.1217499999999996</v>
      </c>
      <c r="G2876" s="56">
        <v>0</v>
      </c>
      <c r="H2876" s="56">
        <v>0</v>
      </c>
      <c r="I2876" s="58">
        <v>0.10000100000000001</v>
      </c>
      <c r="J2876" s="57">
        <v>0.191301</v>
      </c>
      <c r="K2876" s="56"/>
      <c r="L2876" s="56" t="s">
        <v>492</v>
      </c>
    </row>
    <row r="2877" spans="2:12" x14ac:dyDescent="0.2">
      <c r="B2877" s="62" t="s">
        <v>3015</v>
      </c>
      <c r="C2877" s="61" t="s">
        <v>796</v>
      </c>
      <c r="D2877" s="60">
        <v>1.85544</v>
      </c>
      <c r="E2877" s="59">
        <v>2.51288</v>
      </c>
      <c r="F2877" s="59">
        <v>4.1841799999999996</v>
      </c>
      <c r="G2877" s="56">
        <v>0</v>
      </c>
      <c r="H2877" s="56">
        <v>0</v>
      </c>
      <c r="I2877" s="58">
        <v>0.101645</v>
      </c>
      <c r="J2877" s="57">
        <v>0.194935</v>
      </c>
      <c r="K2877" s="56"/>
      <c r="L2877" s="56" t="s">
        <v>492</v>
      </c>
    </row>
    <row r="2878" spans="2:12" x14ac:dyDescent="0.2">
      <c r="B2878" s="62" t="s">
        <v>3014</v>
      </c>
      <c r="C2878" s="61" t="s">
        <v>890</v>
      </c>
      <c r="D2878" s="60">
        <v>1.74021</v>
      </c>
      <c r="E2878" s="59">
        <v>2.4532699999999998</v>
      </c>
      <c r="F2878" s="59">
        <v>4.5170899999999996</v>
      </c>
      <c r="G2878" s="56">
        <v>0</v>
      </c>
      <c r="H2878" s="56">
        <v>0</v>
      </c>
      <c r="I2878" s="58">
        <v>0.165492</v>
      </c>
      <c r="J2878" s="57">
        <v>0.22792200000000001</v>
      </c>
      <c r="K2878" s="56"/>
      <c r="L2878" s="56" t="s">
        <v>492</v>
      </c>
    </row>
    <row r="2879" spans="2:12" x14ac:dyDescent="0.2">
      <c r="B2879" s="62" t="s">
        <v>3013</v>
      </c>
      <c r="C2879" s="61" t="s">
        <v>1006</v>
      </c>
      <c r="D2879" s="60">
        <v>0.64739899999999995</v>
      </c>
      <c r="E2879" s="59">
        <v>11.5525</v>
      </c>
      <c r="F2879" s="59">
        <v>11.78532</v>
      </c>
      <c r="G2879" s="56">
        <v>1570.15</v>
      </c>
      <c r="H2879" s="56">
        <v>2425.3200000000002</v>
      </c>
      <c r="I2879" s="58">
        <v>0.71651399999999998</v>
      </c>
      <c r="J2879" s="57">
        <v>1.12656</v>
      </c>
      <c r="K2879" s="56"/>
      <c r="L2879" s="56" t="s">
        <v>488</v>
      </c>
    </row>
    <row r="2880" spans="2:12" x14ac:dyDescent="0.2">
      <c r="B2880" s="62" t="s">
        <v>3012</v>
      </c>
      <c r="C2880" s="61" t="s">
        <v>502</v>
      </c>
      <c r="D2880" s="60">
        <v>0.63353499999999996</v>
      </c>
      <c r="E2880" s="59">
        <v>7.4206799999999999</v>
      </c>
      <c r="F2880" s="59">
        <v>13.940200000000001</v>
      </c>
      <c r="G2880" s="56">
        <v>2003.11</v>
      </c>
      <c r="H2880" s="56">
        <v>3161.79</v>
      </c>
      <c r="I2880" s="58">
        <v>0.81892600000000004</v>
      </c>
      <c r="J2880" s="57">
        <v>1.20156</v>
      </c>
      <c r="K2880" s="56"/>
      <c r="L2880" s="56" t="s">
        <v>488</v>
      </c>
    </row>
    <row r="2881" spans="2:12" x14ac:dyDescent="0.2">
      <c r="B2881" s="62" t="s">
        <v>3011</v>
      </c>
      <c r="C2881" s="61" t="s">
        <v>502</v>
      </c>
      <c r="D2881" s="60">
        <v>0.62268100000000004</v>
      </c>
      <c r="E2881" s="59">
        <v>7.3642300000000001</v>
      </c>
      <c r="F2881" s="59">
        <v>14.031639999999999</v>
      </c>
      <c r="G2881" s="56">
        <v>2081.11</v>
      </c>
      <c r="H2881" s="56">
        <v>3342.18</v>
      </c>
      <c r="I2881" s="58">
        <v>0.83283399999999996</v>
      </c>
      <c r="J2881" s="57">
        <v>1.2333700000000001</v>
      </c>
      <c r="K2881" s="56"/>
      <c r="L2881" s="56" t="s">
        <v>488</v>
      </c>
    </row>
    <row r="2882" spans="2:12" x14ac:dyDescent="0.2">
      <c r="B2882" s="62" t="s">
        <v>3010</v>
      </c>
      <c r="C2882" s="61" t="s">
        <v>859</v>
      </c>
      <c r="D2882" s="60">
        <v>1.2325999999999999</v>
      </c>
      <c r="E2882" s="59">
        <v>4.6436500000000001</v>
      </c>
      <c r="F2882" s="59">
        <v>7.4378000000000002</v>
      </c>
      <c r="G2882" s="56">
        <v>2320.88</v>
      </c>
      <c r="H2882" s="56">
        <v>1882.91</v>
      </c>
      <c r="I2882" s="58">
        <v>0.71730700000000003</v>
      </c>
      <c r="J2882" s="57">
        <v>0.54071800000000003</v>
      </c>
      <c r="K2882" s="56"/>
      <c r="L2882" s="56" t="s">
        <v>488</v>
      </c>
    </row>
    <row r="2883" spans="2:12" x14ac:dyDescent="0.2">
      <c r="B2883" s="62" t="s">
        <v>3009</v>
      </c>
      <c r="C2883" s="61" t="s">
        <v>535</v>
      </c>
      <c r="D2883" s="60">
        <v>1.19407</v>
      </c>
      <c r="E2883" s="59">
        <v>4.6445999999999996</v>
      </c>
      <c r="F2883" s="59">
        <v>7.4982300000000004</v>
      </c>
      <c r="G2883" s="56">
        <v>2259.71</v>
      </c>
      <c r="H2883" s="56">
        <v>1892.45</v>
      </c>
      <c r="I2883" s="58">
        <v>0.71480500000000002</v>
      </c>
      <c r="J2883" s="57">
        <v>0.55990899999999999</v>
      </c>
      <c r="K2883" s="56"/>
      <c r="L2883" s="56" t="s">
        <v>488</v>
      </c>
    </row>
    <row r="2884" spans="2:12" x14ac:dyDescent="0.2">
      <c r="B2884" s="62" t="s">
        <v>3008</v>
      </c>
      <c r="C2884" s="61" t="s">
        <v>537</v>
      </c>
      <c r="D2884" s="60">
        <v>1.23037</v>
      </c>
      <c r="E2884" s="59">
        <v>4.6282100000000002</v>
      </c>
      <c r="F2884" s="59">
        <v>7.4585499999999998</v>
      </c>
      <c r="G2884" s="56">
        <v>2282.67</v>
      </c>
      <c r="H2884" s="56">
        <v>1855.27</v>
      </c>
      <c r="I2884" s="58">
        <v>0.71848800000000002</v>
      </c>
      <c r="J2884" s="57">
        <v>0.540489</v>
      </c>
      <c r="K2884" s="56"/>
      <c r="L2884" s="56" t="s">
        <v>488</v>
      </c>
    </row>
    <row r="2885" spans="2:12" x14ac:dyDescent="0.2">
      <c r="B2885" s="62" t="s">
        <v>3007</v>
      </c>
      <c r="C2885" s="61" t="s">
        <v>558</v>
      </c>
      <c r="D2885" s="60">
        <v>1.22204</v>
      </c>
      <c r="E2885" s="59">
        <v>4.6398299999999999</v>
      </c>
      <c r="F2885" s="59">
        <v>7.4448800000000004</v>
      </c>
      <c r="G2885" s="56">
        <v>2291.37</v>
      </c>
      <c r="H2885" s="56">
        <v>1875.04</v>
      </c>
      <c r="I2885" s="58">
        <v>0.71587400000000001</v>
      </c>
      <c r="J2885" s="57">
        <v>0.54622499999999996</v>
      </c>
      <c r="K2885" s="56"/>
      <c r="L2885" s="56" t="s">
        <v>488</v>
      </c>
    </row>
    <row r="2886" spans="2:12" x14ac:dyDescent="0.2">
      <c r="B2886" s="62" t="s">
        <v>3006</v>
      </c>
      <c r="C2886" s="61" t="s">
        <v>1386</v>
      </c>
      <c r="D2886" s="60">
        <v>1.2492099999999999</v>
      </c>
      <c r="E2886" s="59">
        <v>4.6297600000000001</v>
      </c>
      <c r="F2886" s="59">
        <v>7.37601</v>
      </c>
      <c r="G2886" s="56">
        <v>2283.92</v>
      </c>
      <c r="H2886" s="56">
        <v>1828.29</v>
      </c>
      <c r="I2886" s="58">
        <v>0.71458900000000003</v>
      </c>
      <c r="J2886" s="57">
        <v>0.53191200000000005</v>
      </c>
      <c r="K2886" s="56"/>
      <c r="L2886" s="56" t="s">
        <v>488</v>
      </c>
    </row>
    <row r="2887" spans="2:12" x14ac:dyDescent="0.2">
      <c r="B2887" s="62" t="s">
        <v>3005</v>
      </c>
      <c r="C2887" s="61" t="s">
        <v>1226</v>
      </c>
      <c r="D2887" s="60">
        <v>1.2730399999999999</v>
      </c>
      <c r="E2887" s="59">
        <v>4.5983499999999999</v>
      </c>
      <c r="F2887" s="59">
        <v>7.3331</v>
      </c>
      <c r="G2887" s="56">
        <v>2323.5100000000002</v>
      </c>
      <c r="H2887" s="56">
        <v>1825.16</v>
      </c>
      <c r="I2887" s="58">
        <v>0.74492199999999997</v>
      </c>
      <c r="J2887" s="57">
        <v>0.52152100000000001</v>
      </c>
      <c r="K2887" s="56"/>
      <c r="L2887" s="56" t="s">
        <v>488</v>
      </c>
    </row>
    <row r="2888" spans="2:12" x14ac:dyDescent="0.2">
      <c r="B2888" s="62" t="s">
        <v>3004</v>
      </c>
      <c r="C2888" s="61" t="s">
        <v>502</v>
      </c>
      <c r="D2888" s="60">
        <v>1.47773</v>
      </c>
      <c r="E2888" s="59">
        <v>2.8496999999999999</v>
      </c>
      <c r="F2888" s="59">
        <v>3.7110699999999999</v>
      </c>
      <c r="G2888" s="56">
        <v>0</v>
      </c>
      <c r="H2888" s="56">
        <v>0</v>
      </c>
      <c r="I2888" s="58">
        <v>9.1243900000000003E-2</v>
      </c>
      <c r="J2888" s="57">
        <v>0.27059899999999998</v>
      </c>
      <c r="K2888" s="56"/>
      <c r="L2888" s="56" t="s">
        <v>492</v>
      </c>
    </row>
    <row r="2889" spans="2:12" x14ac:dyDescent="0.2">
      <c r="B2889" s="62" t="s">
        <v>3003</v>
      </c>
      <c r="C2889" s="61" t="s">
        <v>510</v>
      </c>
      <c r="D2889" s="60">
        <v>0.77373099999999995</v>
      </c>
      <c r="E2889" s="59">
        <v>3.7263199999999999</v>
      </c>
      <c r="F2889" s="59">
        <v>16.895759999999999</v>
      </c>
      <c r="G2889" s="56">
        <v>1665.6</v>
      </c>
      <c r="H2889" s="56">
        <v>2152.6799999999998</v>
      </c>
      <c r="I2889" s="58">
        <v>0.70284100000000005</v>
      </c>
      <c r="J2889" s="57">
        <v>0.89088100000000003</v>
      </c>
      <c r="K2889" s="56"/>
      <c r="L2889" s="56" t="s">
        <v>488</v>
      </c>
    </row>
    <row r="2890" spans="2:12" x14ac:dyDescent="0.2">
      <c r="B2890" s="62" t="s">
        <v>3002</v>
      </c>
      <c r="C2890" s="61" t="s">
        <v>612</v>
      </c>
      <c r="D2890" s="60">
        <v>1.76393</v>
      </c>
      <c r="E2890" s="59">
        <v>3.6837200000000001</v>
      </c>
      <c r="F2890" s="59">
        <v>4.8796299999999997</v>
      </c>
      <c r="G2890" s="56">
        <v>0</v>
      </c>
      <c r="H2890" s="56">
        <v>0</v>
      </c>
      <c r="I2890" s="58">
        <v>0.25559300000000001</v>
      </c>
      <c r="J2890" s="57">
        <v>0.25098199999999998</v>
      </c>
      <c r="K2890" s="56"/>
      <c r="L2890" s="56" t="s">
        <v>488</v>
      </c>
    </row>
    <row r="2891" spans="2:12" x14ac:dyDescent="0.2">
      <c r="B2891" s="62" t="s">
        <v>3001</v>
      </c>
      <c r="C2891" s="61" t="s">
        <v>612</v>
      </c>
      <c r="D2891" s="60">
        <v>1.74048</v>
      </c>
      <c r="E2891" s="59">
        <v>3.7843200000000001</v>
      </c>
      <c r="F2891" s="59">
        <v>5.01891</v>
      </c>
      <c r="G2891" s="56">
        <v>532.923</v>
      </c>
      <c r="H2891" s="56">
        <v>312.95699999999999</v>
      </c>
      <c r="I2891" s="58">
        <v>0.26232499999999997</v>
      </c>
      <c r="J2891" s="57">
        <v>0.25836100000000001</v>
      </c>
      <c r="K2891" s="56"/>
      <c r="L2891" s="56" t="s">
        <v>488</v>
      </c>
    </row>
    <row r="2892" spans="2:12" x14ac:dyDescent="0.2">
      <c r="B2892" s="62" t="s">
        <v>3000</v>
      </c>
      <c r="C2892" s="61" t="s">
        <v>612</v>
      </c>
      <c r="D2892" s="60">
        <v>1.7028700000000001</v>
      </c>
      <c r="E2892" s="59">
        <v>3.6633200000000001</v>
      </c>
      <c r="F2892" s="59">
        <v>4.8247099999999996</v>
      </c>
      <c r="G2892" s="56">
        <v>0</v>
      </c>
      <c r="H2892" s="56">
        <v>0</v>
      </c>
      <c r="I2892" s="58">
        <v>0.28190399999999999</v>
      </c>
      <c r="J2892" s="57">
        <v>0.27150200000000002</v>
      </c>
      <c r="K2892" s="56"/>
      <c r="L2892" s="56" t="s">
        <v>488</v>
      </c>
    </row>
    <row r="2893" spans="2:12" x14ac:dyDescent="0.2">
      <c r="B2893" s="62" t="s">
        <v>2999</v>
      </c>
      <c r="C2893" s="61" t="s">
        <v>612</v>
      </c>
      <c r="D2893" s="60">
        <v>1.6695500000000001</v>
      </c>
      <c r="E2893" s="59">
        <v>3.8927100000000001</v>
      </c>
      <c r="F2893" s="59">
        <v>5.3013300000000001</v>
      </c>
      <c r="G2893" s="56">
        <v>620.59100000000001</v>
      </c>
      <c r="H2893" s="56">
        <v>374.988</v>
      </c>
      <c r="I2893" s="58">
        <v>0.29333700000000001</v>
      </c>
      <c r="J2893" s="57">
        <v>0.28262300000000001</v>
      </c>
      <c r="K2893" s="56"/>
      <c r="L2893" s="56" t="s">
        <v>488</v>
      </c>
    </row>
    <row r="2894" spans="2:12" x14ac:dyDescent="0.2">
      <c r="B2894" s="62" t="s">
        <v>2998</v>
      </c>
      <c r="C2894" s="61" t="s">
        <v>612</v>
      </c>
      <c r="D2894" s="60">
        <v>1.65496</v>
      </c>
      <c r="E2894" s="59">
        <v>3.95166</v>
      </c>
      <c r="F2894" s="59">
        <v>5.3818400000000004</v>
      </c>
      <c r="G2894" s="56">
        <v>665.37800000000004</v>
      </c>
      <c r="H2894" s="56">
        <v>408.58199999999999</v>
      </c>
      <c r="I2894" s="58">
        <v>0.29574099999999998</v>
      </c>
      <c r="J2894" s="57">
        <v>0.28771000000000002</v>
      </c>
      <c r="K2894" s="56"/>
      <c r="L2894" s="56" t="s">
        <v>488</v>
      </c>
    </row>
    <row r="2895" spans="2:12" x14ac:dyDescent="0.2">
      <c r="B2895" s="62" t="s">
        <v>2997</v>
      </c>
      <c r="C2895" s="61" t="s">
        <v>612</v>
      </c>
      <c r="D2895" s="60">
        <v>1.6285000000000001</v>
      </c>
      <c r="E2895" s="59">
        <v>3.8896799999999998</v>
      </c>
      <c r="F2895" s="59">
        <v>5.25122</v>
      </c>
      <c r="G2895" s="56">
        <v>605.93299999999999</v>
      </c>
      <c r="H2895" s="56">
        <v>362.93099999999998</v>
      </c>
      <c r="I2895" s="58">
        <v>0.31120599999999998</v>
      </c>
      <c r="J2895" s="57">
        <v>0.29730299999999998</v>
      </c>
      <c r="K2895" s="56"/>
      <c r="L2895" s="56" t="s">
        <v>488</v>
      </c>
    </row>
    <row r="2896" spans="2:12" x14ac:dyDescent="0.2">
      <c r="B2896" s="62" t="s">
        <v>2996</v>
      </c>
      <c r="C2896" s="61" t="s">
        <v>1100</v>
      </c>
      <c r="D2896" s="60">
        <v>1.42787</v>
      </c>
      <c r="E2896" s="59">
        <v>7.3686499999999997</v>
      </c>
      <c r="F2896" s="59">
        <v>8.5082699999999996</v>
      </c>
      <c r="G2896" s="56">
        <v>945.01400000000001</v>
      </c>
      <c r="H2896" s="56">
        <v>648.76800000000003</v>
      </c>
      <c r="I2896" s="58">
        <v>0.396511</v>
      </c>
      <c r="J2896" s="57">
        <v>0.40877999999999998</v>
      </c>
      <c r="K2896" s="56"/>
      <c r="L2896" s="56" t="s">
        <v>488</v>
      </c>
    </row>
    <row r="2897" spans="2:12" x14ac:dyDescent="0.2">
      <c r="B2897" s="62" t="s">
        <v>2995</v>
      </c>
      <c r="C2897" s="61" t="s">
        <v>1100</v>
      </c>
      <c r="D2897" s="60">
        <v>1.4566300000000001</v>
      </c>
      <c r="E2897" s="59">
        <v>7.5621200000000002</v>
      </c>
      <c r="F2897" s="59">
        <v>9.0454000000000008</v>
      </c>
      <c r="G2897" s="56">
        <v>1024.19</v>
      </c>
      <c r="H2897" s="56">
        <v>717.28800000000001</v>
      </c>
      <c r="I2897" s="58">
        <v>0.37788500000000003</v>
      </c>
      <c r="J2897" s="57">
        <v>0.39272200000000002</v>
      </c>
      <c r="K2897" s="56"/>
      <c r="L2897" s="56" t="s">
        <v>488</v>
      </c>
    </row>
    <row r="2898" spans="2:12" x14ac:dyDescent="0.2">
      <c r="B2898" s="62" t="s">
        <v>2994</v>
      </c>
      <c r="C2898" s="61" t="s">
        <v>1516</v>
      </c>
      <c r="D2898" s="60">
        <v>1.5406</v>
      </c>
      <c r="E2898" s="59">
        <v>7.0816100000000004</v>
      </c>
      <c r="F2898" s="59">
        <v>8.6260899999999996</v>
      </c>
      <c r="G2898" s="56">
        <v>942.20799999999997</v>
      </c>
      <c r="H2898" s="56">
        <v>611.58500000000004</v>
      </c>
      <c r="I2898" s="58">
        <v>0.37120799999999998</v>
      </c>
      <c r="J2898" s="57">
        <v>0.37127399999999999</v>
      </c>
      <c r="K2898" s="56"/>
      <c r="L2898" s="56" t="s">
        <v>488</v>
      </c>
    </row>
    <row r="2899" spans="2:12" x14ac:dyDescent="0.2">
      <c r="B2899" s="62" t="s">
        <v>2993</v>
      </c>
      <c r="C2899" s="61" t="s">
        <v>507</v>
      </c>
      <c r="D2899" s="60">
        <v>0.95836299999999996</v>
      </c>
      <c r="E2899" s="59">
        <v>7.1449800000000003</v>
      </c>
      <c r="F2899" s="59">
        <v>7.96983</v>
      </c>
      <c r="G2899" s="56">
        <v>1264.0899999999999</v>
      </c>
      <c r="H2899" s="56">
        <v>1319.01</v>
      </c>
      <c r="I2899" s="58">
        <v>0.52377200000000002</v>
      </c>
      <c r="J2899" s="57">
        <v>0.63012500000000005</v>
      </c>
      <c r="K2899" s="56"/>
      <c r="L2899" s="56" t="s">
        <v>488</v>
      </c>
    </row>
    <row r="2900" spans="2:12" x14ac:dyDescent="0.2">
      <c r="B2900" s="62" t="s">
        <v>2992</v>
      </c>
      <c r="C2900" s="61" t="s">
        <v>533</v>
      </c>
      <c r="D2900" s="60">
        <v>1.3931500000000001</v>
      </c>
      <c r="E2900" s="59">
        <v>2.6427700000000001</v>
      </c>
      <c r="F2900" s="59">
        <v>3.6156600000000001</v>
      </c>
      <c r="G2900" s="56">
        <v>0</v>
      </c>
      <c r="H2900" s="56">
        <v>0</v>
      </c>
      <c r="I2900" s="58">
        <v>0.111503</v>
      </c>
      <c r="J2900" s="57">
        <v>0.30497099999999999</v>
      </c>
      <c r="K2900" s="56"/>
      <c r="L2900" s="56" t="s">
        <v>488</v>
      </c>
    </row>
    <row r="2901" spans="2:12" x14ac:dyDescent="0.2">
      <c r="B2901" s="62" t="s">
        <v>2991</v>
      </c>
      <c r="C2901" s="61" t="s">
        <v>531</v>
      </c>
      <c r="D2901" s="60">
        <v>1.3995599999999999</v>
      </c>
      <c r="E2901" s="59">
        <v>2.5208900000000001</v>
      </c>
      <c r="F2901" s="59">
        <v>3.5737299999999999</v>
      </c>
      <c r="G2901" s="56">
        <v>0</v>
      </c>
      <c r="H2901" s="56">
        <v>0</v>
      </c>
      <c r="I2901" s="58">
        <v>9.6040899999999998E-2</v>
      </c>
      <c r="J2901" s="57">
        <v>0.29903600000000002</v>
      </c>
      <c r="K2901" s="56"/>
      <c r="L2901" s="56" t="s">
        <v>488</v>
      </c>
    </row>
    <row r="2902" spans="2:12" x14ac:dyDescent="0.2">
      <c r="B2902" s="62" t="s">
        <v>2990</v>
      </c>
      <c r="C2902" s="61" t="s">
        <v>859</v>
      </c>
      <c r="D2902" s="60">
        <v>1.1508100000000001</v>
      </c>
      <c r="E2902" s="59">
        <v>3.6113200000000001</v>
      </c>
      <c r="F2902" s="59">
        <v>7.2367499999999998</v>
      </c>
      <c r="G2902" s="56">
        <v>0</v>
      </c>
      <c r="H2902" s="56">
        <v>0</v>
      </c>
      <c r="I2902" s="58">
        <v>0.41942299999999999</v>
      </c>
      <c r="J2902" s="57">
        <v>0.46665499999999999</v>
      </c>
      <c r="K2902" s="56"/>
      <c r="L2902" s="56" t="s">
        <v>488</v>
      </c>
    </row>
    <row r="2903" spans="2:12" x14ac:dyDescent="0.2">
      <c r="B2903" s="62" t="s">
        <v>2989</v>
      </c>
      <c r="C2903" s="61" t="s">
        <v>582</v>
      </c>
      <c r="D2903" s="60">
        <v>1.25543</v>
      </c>
      <c r="E2903" s="59">
        <v>3.00956</v>
      </c>
      <c r="F2903" s="59">
        <v>5.9261400000000002</v>
      </c>
      <c r="G2903" s="56">
        <v>0</v>
      </c>
      <c r="H2903" s="56">
        <v>0</v>
      </c>
      <c r="I2903" s="58">
        <v>0.429066</v>
      </c>
      <c r="J2903" s="57">
        <v>0.40168199999999998</v>
      </c>
      <c r="K2903" s="56"/>
      <c r="L2903" s="56" t="s">
        <v>488</v>
      </c>
    </row>
    <row r="2904" spans="2:12" x14ac:dyDescent="0.2">
      <c r="B2904" s="62" t="s">
        <v>2988</v>
      </c>
      <c r="C2904" s="61" t="s">
        <v>1518</v>
      </c>
      <c r="D2904" s="60">
        <v>1.3786799999999999</v>
      </c>
      <c r="E2904" s="59">
        <v>2.84267</v>
      </c>
      <c r="F2904" s="59">
        <v>5.9710099999999997</v>
      </c>
      <c r="G2904" s="56">
        <v>0</v>
      </c>
      <c r="H2904" s="56">
        <v>0</v>
      </c>
      <c r="I2904" s="58">
        <v>0.426427</v>
      </c>
      <c r="J2904" s="57">
        <v>0.36003400000000002</v>
      </c>
      <c r="K2904" s="56"/>
      <c r="L2904" s="56" t="s">
        <v>488</v>
      </c>
    </row>
    <row r="2905" spans="2:12" x14ac:dyDescent="0.2">
      <c r="B2905" s="62" t="s">
        <v>2987</v>
      </c>
      <c r="C2905" s="61" t="s">
        <v>612</v>
      </c>
      <c r="D2905" s="60">
        <v>1.8022100000000001</v>
      </c>
      <c r="E2905" s="59">
        <v>3.58405</v>
      </c>
      <c r="F2905" s="59">
        <v>4.6116099999999998</v>
      </c>
      <c r="G2905" s="56">
        <v>0</v>
      </c>
      <c r="H2905" s="56">
        <v>0</v>
      </c>
      <c r="I2905" s="58">
        <v>0.23314699999999999</v>
      </c>
      <c r="J2905" s="57">
        <v>0.239451</v>
      </c>
      <c r="K2905" s="56"/>
      <c r="L2905" s="56" t="s">
        <v>488</v>
      </c>
    </row>
    <row r="2906" spans="2:12" x14ac:dyDescent="0.2">
      <c r="B2906" s="62" t="s">
        <v>2986</v>
      </c>
      <c r="C2906" s="61" t="s">
        <v>612</v>
      </c>
      <c r="D2906" s="60">
        <v>1.78633</v>
      </c>
      <c r="E2906" s="59">
        <v>3.68194</v>
      </c>
      <c r="F2906" s="59">
        <v>4.7246300000000003</v>
      </c>
      <c r="G2906" s="56">
        <v>0</v>
      </c>
      <c r="H2906" s="56">
        <v>0</v>
      </c>
      <c r="I2906" s="58">
        <v>0.240564</v>
      </c>
      <c r="J2906" s="57">
        <v>0.244451</v>
      </c>
      <c r="K2906" s="56"/>
      <c r="L2906" s="56" t="s">
        <v>488</v>
      </c>
    </row>
    <row r="2907" spans="2:12" x14ac:dyDescent="0.2">
      <c r="B2907" s="62" t="s">
        <v>2985</v>
      </c>
      <c r="C2907" s="61" t="s">
        <v>612</v>
      </c>
      <c r="D2907" s="60">
        <v>1.7515099999999999</v>
      </c>
      <c r="E2907" s="59">
        <v>3.54704</v>
      </c>
      <c r="F2907" s="59">
        <v>4.5680699999999996</v>
      </c>
      <c r="G2907" s="56">
        <v>0</v>
      </c>
      <c r="H2907" s="56">
        <v>0</v>
      </c>
      <c r="I2907" s="58">
        <v>0.25569399999999998</v>
      </c>
      <c r="J2907" s="57">
        <v>0.25597799999999998</v>
      </c>
      <c r="K2907" s="56"/>
      <c r="L2907" s="56" t="s">
        <v>488</v>
      </c>
    </row>
    <row r="2908" spans="2:12" x14ac:dyDescent="0.2">
      <c r="B2908" s="62" t="s">
        <v>2984</v>
      </c>
      <c r="C2908" s="61" t="s">
        <v>612</v>
      </c>
      <c r="D2908" s="60">
        <v>1.7317</v>
      </c>
      <c r="E2908" s="59">
        <v>3.68791</v>
      </c>
      <c r="F2908" s="59">
        <v>4.9475899999999999</v>
      </c>
      <c r="G2908" s="56">
        <v>0</v>
      </c>
      <c r="H2908" s="56">
        <v>0</v>
      </c>
      <c r="I2908" s="58">
        <v>0.26733699999999999</v>
      </c>
      <c r="J2908" s="57">
        <v>0.26130100000000001</v>
      </c>
      <c r="K2908" s="56"/>
      <c r="L2908" s="56" t="s">
        <v>488</v>
      </c>
    </row>
    <row r="2909" spans="2:12" x14ac:dyDescent="0.2">
      <c r="B2909" s="62" t="s">
        <v>2983</v>
      </c>
      <c r="C2909" s="61" t="s">
        <v>612</v>
      </c>
      <c r="D2909" s="60">
        <v>1.7116400000000001</v>
      </c>
      <c r="E2909" s="59">
        <v>3.78234</v>
      </c>
      <c r="F2909" s="59">
        <v>5.0685599999999997</v>
      </c>
      <c r="G2909" s="56">
        <v>569.39400000000001</v>
      </c>
      <c r="H2909" s="56">
        <v>340.33699999999999</v>
      </c>
      <c r="I2909" s="58">
        <v>0.27260299999999998</v>
      </c>
      <c r="J2909" s="57">
        <v>0.26806999999999997</v>
      </c>
      <c r="K2909" s="56"/>
      <c r="L2909" s="56" t="s">
        <v>488</v>
      </c>
    </row>
    <row r="2910" spans="2:12" x14ac:dyDescent="0.2">
      <c r="B2910" s="62" t="s">
        <v>2982</v>
      </c>
      <c r="C2910" s="61" t="s">
        <v>612</v>
      </c>
      <c r="D2910" s="60">
        <v>1.67303</v>
      </c>
      <c r="E2910" s="59">
        <v>3.6437599999999999</v>
      </c>
      <c r="F2910" s="59">
        <v>4.9017999999999997</v>
      </c>
      <c r="G2910" s="56">
        <v>0</v>
      </c>
      <c r="H2910" s="56">
        <v>0</v>
      </c>
      <c r="I2910" s="58">
        <v>0.287823</v>
      </c>
      <c r="J2910" s="57">
        <v>0.28162900000000002</v>
      </c>
      <c r="K2910" s="56"/>
      <c r="L2910" s="56" t="s">
        <v>488</v>
      </c>
    </row>
    <row r="2911" spans="2:12" x14ac:dyDescent="0.2">
      <c r="B2911" s="62" t="s">
        <v>2981</v>
      </c>
      <c r="C2911" s="61" t="s">
        <v>612</v>
      </c>
      <c r="D2911" s="60">
        <v>1.8134600000000001</v>
      </c>
      <c r="E2911" s="59">
        <v>3.61538</v>
      </c>
      <c r="F2911" s="59">
        <v>4.6088300000000002</v>
      </c>
      <c r="G2911" s="56">
        <v>0</v>
      </c>
      <c r="H2911" s="56">
        <v>0</v>
      </c>
      <c r="I2911" s="58">
        <v>0.23563100000000001</v>
      </c>
      <c r="J2911" s="57">
        <v>0.23599100000000001</v>
      </c>
      <c r="K2911" s="56"/>
      <c r="L2911" s="56" t="s">
        <v>488</v>
      </c>
    </row>
    <row r="2912" spans="2:12" x14ac:dyDescent="0.2">
      <c r="B2912" s="62" t="s">
        <v>2980</v>
      </c>
      <c r="C2912" s="61" t="s">
        <v>612</v>
      </c>
      <c r="D2912" s="60">
        <v>1.79637</v>
      </c>
      <c r="E2912" s="59">
        <v>3.6893799999999999</v>
      </c>
      <c r="F2912" s="59">
        <v>4.6738200000000001</v>
      </c>
      <c r="G2912" s="56">
        <v>0</v>
      </c>
      <c r="H2912" s="56">
        <v>0</v>
      </c>
      <c r="I2912" s="58">
        <v>0.240837</v>
      </c>
      <c r="J2912" s="57">
        <v>0.24113599999999999</v>
      </c>
      <c r="K2912" s="56"/>
      <c r="L2912" s="56" t="s">
        <v>488</v>
      </c>
    </row>
    <row r="2913" spans="2:12" x14ac:dyDescent="0.2">
      <c r="B2913" s="62" t="s">
        <v>2979</v>
      </c>
      <c r="C2913" s="61" t="s">
        <v>612</v>
      </c>
      <c r="D2913" s="60">
        <v>1.76633</v>
      </c>
      <c r="E2913" s="59">
        <v>3.5842200000000002</v>
      </c>
      <c r="F2913" s="59">
        <v>4.5609799999999998</v>
      </c>
      <c r="G2913" s="56">
        <v>0</v>
      </c>
      <c r="H2913" s="56">
        <v>0</v>
      </c>
      <c r="I2913" s="58">
        <v>0.254357</v>
      </c>
      <c r="J2913" s="57">
        <v>0.25126500000000002</v>
      </c>
      <c r="K2913" s="56"/>
      <c r="L2913" s="56" t="s">
        <v>488</v>
      </c>
    </row>
    <row r="2914" spans="2:12" x14ac:dyDescent="0.2">
      <c r="B2914" s="62" t="s">
        <v>2978</v>
      </c>
      <c r="C2914" s="61" t="s">
        <v>612</v>
      </c>
      <c r="D2914" s="60">
        <v>1.74152</v>
      </c>
      <c r="E2914" s="59">
        <v>3.7116400000000001</v>
      </c>
      <c r="F2914" s="59">
        <v>4.8646399999999996</v>
      </c>
      <c r="G2914" s="56">
        <v>0</v>
      </c>
      <c r="H2914" s="56">
        <v>0</v>
      </c>
      <c r="I2914" s="58">
        <v>0.26635300000000001</v>
      </c>
      <c r="J2914" s="57">
        <v>0.25917000000000001</v>
      </c>
      <c r="K2914" s="56"/>
      <c r="L2914" s="56" t="s">
        <v>488</v>
      </c>
    </row>
    <row r="2915" spans="2:12" x14ac:dyDescent="0.2">
      <c r="B2915" s="62" t="s">
        <v>2977</v>
      </c>
      <c r="C2915" s="61" t="s">
        <v>612</v>
      </c>
      <c r="D2915" s="60">
        <v>1.72603</v>
      </c>
      <c r="E2915" s="59">
        <v>3.7869899999999999</v>
      </c>
      <c r="F2915" s="59">
        <v>4.9473799999999999</v>
      </c>
      <c r="G2915" s="56">
        <v>540.24900000000002</v>
      </c>
      <c r="H2915" s="56">
        <v>317.72399999999999</v>
      </c>
      <c r="I2915" s="58">
        <v>0.27019799999999999</v>
      </c>
      <c r="J2915" s="57">
        <v>0.26369500000000001</v>
      </c>
      <c r="K2915" s="56"/>
      <c r="L2915" s="56" t="s">
        <v>488</v>
      </c>
    </row>
    <row r="2916" spans="2:12" x14ac:dyDescent="0.2">
      <c r="B2916" s="62" t="s">
        <v>2976</v>
      </c>
      <c r="C2916" s="61" t="s">
        <v>612</v>
      </c>
      <c r="D2916" s="60">
        <v>1.7003699999999999</v>
      </c>
      <c r="E2916" s="59">
        <v>3.7075100000000001</v>
      </c>
      <c r="F2916" s="59">
        <v>4.82301</v>
      </c>
      <c r="G2916" s="56">
        <v>0</v>
      </c>
      <c r="H2916" s="56">
        <v>0</v>
      </c>
      <c r="I2916" s="58">
        <v>0.279387</v>
      </c>
      <c r="J2916" s="57">
        <v>0.273065</v>
      </c>
      <c r="K2916" s="56"/>
      <c r="L2916" s="56" t="s">
        <v>488</v>
      </c>
    </row>
    <row r="2917" spans="2:12" x14ac:dyDescent="0.2">
      <c r="B2917" s="62" t="s">
        <v>2975</v>
      </c>
      <c r="C2917" s="61" t="s">
        <v>880</v>
      </c>
      <c r="D2917" s="60">
        <v>2.1571699999999998</v>
      </c>
      <c r="E2917" s="59">
        <v>2.4799500000000001</v>
      </c>
      <c r="F2917" s="59">
        <v>3.06948</v>
      </c>
      <c r="G2917" s="56">
        <v>0</v>
      </c>
      <c r="H2917" s="56">
        <v>0</v>
      </c>
      <c r="I2917" s="58">
        <v>3.9184700000000003E-2</v>
      </c>
      <c r="J2917" s="57">
        <v>0.15377099999999999</v>
      </c>
      <c r="K2917" s="56"/>
      <c r="L2917" s="56" t="s">
        <v>488</v>
      </c>
    </row>
    <row r="2918" spans="2:12" x14ac:dyDescent="0.2">
      <c r="B2918" s="62" t="s">
        <v>2974</v>
      </c>
      <c r="C2918" s="61" t="s">
        <v>875</v>
      </c>
      <c r="D2918" s="60">
        <v>2.13889</v>
      </c>
      <c r="E2918" s="59">
        <v>2.4320499999999998</v>
      </c>
      <c r="F2918" s="59">
        <v>3.05226</v>
      </c>
      <c r="G2918" s="56">
        <v>0</v>
      </c>
      <c r="H2918" s="56">
        <v>0</v>
      </c>
      <c r="I2918" s="58">
        <v>3.6263900000000002E-2</v>
      </c>
      <c r="J2918" s="57">
        <v>0.15568100000000001</v>
      </c>
      <c r="K2918" s="56"/>
      <c r="L2918" s="56" t="s">
        <v>488</v>
      </c>
    </row>
    <row r="2919" spans="2:12" x14ac:dyDescent="0.2">
      <c r="B2919" s="62" t="s">
        <v>2973</v>
      </c>
      <c r="C2919" s="61" t="s">
        <v>1192</v>
      </c>
      <c r="D2919" s="60">
        <v>2.1800799999999998</v>
      </c>
      <c r="E2919" s="59">
        <v>2.4756499999999999</v>
      </c>
      <c r="F2919" s="59">
        <v>3.0638399999999999</v>
      </c>
      <c r="G2919" s="56">
        <v>0</v>
      </c>
      <c r="H2919" s="56">
        <v>0</v>
      </c>
      <c r="I2919" s="58">
        <v>3.71142E-2</v>
      </c>
      <c r="J2919" s="57">
        <v>0.150478</v>
      </c>
      <c r="K2919" s="56"/>
      <c r="L2919" s="56" t="s">
        <v>488</v>
      </c>
    </row>
    <row r="2920" spans="2:12" x14ac:dyDescent="0.2">
      <c r="B2920" s="62" t="s">
        <v>2972</v>
      </c>
      <c r="C2920" s="61" t="s">
        <v>550</v>
      </c>
      <c r="D2920" s="60">
        <v>1.0490200000000001</v>
      </c>
      <c r="E2920" s="59">
        <v>5.3974599999999997</v>
      </c>
      <c r="F2920" s="59">
        <v>6.4997199999999999</v>
      </c>
      <c r="G2920" s="56">
        <v>2537.2600000000002</v>
      </c>
      <c r="H2920" s="56">
        <v>2418.69</v>
      </c>
      <c r="I2920" s="58">
        <v>0.643208</v>
      </c>
      <c r="J2920" s="57">
        <v>0.72334200000000004</v>
      </c>
      <c r="K2920" s="56"/>
      <c r="L2920" s="56" t="s">
        <v>488</v>
      </c>
    </row>
    <row r="2921" spans="2:12" x14ac:dyDescent="0.2">
      <c r="B2921" s="62" t="s">
        <v>2971</v>
      </c>
      <c r="C2921" s="61" t="s">
        <v>612</v>
      </c>
      <c r="D2921" s="60">
        <v>0.81822300000000003</v>
      </c>
      <c r="E2921" s="59">
        <v>6.4074799999999996</v>
      </c>
      <c r="F2921" s="59">
        <v>11.856059999999999</v>
      </c>
      <c r="G2921" s="56">
        <v>1984.7</v>
      </c>
      <c r="H2921" s="56">
        <v>2425.63</v>
      </c>
      <c r="I2921" s="58">
        <v>0.75221899999999997</v>
      </c>
      <c r="J2921" s="57">
        <v>0.86344799999999999</v>
      </c>
      <c r="K2921" s="56"/>
      <c r="L2921" s="56" t="s">
        <v>488</v>
      </c>
    </row>
    <row r="2922" spans="2:12" x14ac:dyDescent="0.2">
      <c r="B2922" s="62" t="s">
        <v>2970</v>
      </c>
      <c r="C2922" s="61" t="s">
        <v>2969</v>
      </c>
      <c r="D2922" s="60">
        <v>2.0840299999999998</v>
      </c>
      <c r="E2922" s="59">
        <v>2.97363</v>
      </c>
      <c r="F2922" s="59">
        <v>3.13727</v>
      </c>
      <c r="G2922" s="56">
        <v>0</v>
      </c>
      <c r="H2922" s="56">
        <v>0</v>
      </c>
      <c r="I2922" s="58">
        <v>0.243866</v>
      </c>
      <c r="J2922" s="57">
        <v>0.236291</v>
      </c>
      <c r="K2922" s="56"/>
      <c r="L2922" s="56" t="s">
        <v>488</v>
      </c>
    </row>
    <row r="2923" spans="2:12" x14ac:dyDescent="0.2">
      <c r="B2923" s="62" t="s">
        <v>2968</v>
      </c>
      <c r="C2923" s="61" t="s">
        <v>499</v>
      </c>
      <c r="D2923" s="60">
        <v>1.48024</v>
      </c>
      <c r="E2923" s="59">
        <v>2.7475299999999998</v>
      </c>
      <c r="F2923" s="59">
        <v>3.7251699999999999</v>
      </c>
      <c r="G2923" s="56">
        <v>0</v>
      </c>
      <c r="H2923" s="56">
        <v>0</v>
      </c>
      <c r="I2923" s="58">
        <v>0.11047700000000001</v>
      </c>
      <c r="J2923" s="57">
        <v>0.268876</v>
      </c>
      <c r="K2923" s="56"/>
      <c r="L2923" s="56" t="s">
        <v>488</v>
      </c>
    </row>
    <row r="2924" spans="2:12" x14ac:dyDescent="0.2">
      <c r="B2924" s="62" t="s">
        <v>2967</v>
      </c>
      <c r="C2924" s="61" t="s">
        <v>587</v>
      </c>
      <c r="D2924" s="60">
        <v>1.9678</v>
      </c>
      <c r="E2924" s="59">
        <v>3.0139100000000001</v>
      </c>
      <c r="F2924" s="59">
        <v>4.2888700000000002</v>
      </c>
      <c r="G2924" s="56">
        <v>0</v>
      </c>
      <c r="H2924" s="56">
        <v>0</v>
      </c>
      <c r="I2924" s="58">
        <v>0.28010600000000002</v>
      </c>
      <c r="J2924" s="57">
        <v>0.19725899999999999</v>
      </c>
      <c r="K2924" s="56"/>
      <c r="L2924" s="56" t="s">
        <v>488</v>
      </c>
    </row>
    <row r="2925" spans="2:12" x14ac:dyDescent="0.2">
      <c r="B2925" s="62" t="s">
        <v>2966</v>
      </c>
      <c r="C2925" s="61" t="s">
        <v>529</v>
      </c>
      <c r="D2925" s="60">
        <v>1.77484</v>
      </c>
      <c r="E2925" s="59">
        <v>3.23786</v>
      </c>
      <c r="F2925" s="59">
        <v>4.2539100000000003</v>
      </c>
      <c r="G2925" s="56">
        <v>0</v>
      </c>
      <c r="H2925" s="56">
        <v>0</v>
      </c>
      <c r="I2925" s="58">
        <v>0.27737000000000001</v>
      </c>
      <c r="J2925" s="57">
        <v>0.20684900000000001</v>
      </c>
      <c r="K2925" s="56"/>
      <c r="L2925" s="56" t="s">
        <v>488</v>
      </c>
    </row>
    <row r="2926" spans="2:12" x14ac:dyDescent="0.2">
      <c r="B2926" s="62" t="s">
        <v>2965</v>
      </c>
      <c r="C2926" s="61" t="s">
        <v>641</v>
      </c>
      <c r="D2926" s="60">
        <v>1.4450400000000001</v>
      </c>
      <c r="E2926" s="59">
        <v>3.41744</v>
      </c>
      <c r="F2926" s="59">
        <v>4.3189799999999998</v>
      </c>
      <c r="G2926" s="56">
        <v>0</v>
      </c>
      <c r="H2926" s="56">
        <v>0</v>
      </c>
      <c r="I2926" s="58">
        <v>0.29621700000000001</v>
      </c>
      <c r="J2926" s="57">
        <v>0.32871400000000001</v>
      </c>
      <c r="K2926" s="56"/>
      <c r="L2926" s="56" t="s">
        <v>488</v>
      </c>
    </row>
    <row r="2927" spans="2:12" x14ac:dyDescent="0.2">
      <c r="B2927" s="62" t="s">
        <v>2964</v>
      </c>
      <c r="C2927" s="61" t="s">
        <v>499</v>
      </c>
      <c r="D2927" s="60">
        <v>1.18763</v>
      </c>
      <c r="E2927" s="59">
        <v>2.9797899999999999</v>
      </c>
      <c r="F2927" s="59">
        <v>4.58385</v>
      </c>
      <c r="G2927" s="56">
        <v>0</v>
      </c>
      <c r="H2927" s="56">
        <v>0</v>
      </c>
      <c r="I2927" s="58">
        <v>0.292661</v>
      </c>
      <c r="J2927" s="57">
        <v>0.408941</v>
      </c>
      <c r="K2927" s="56"/>
      <c r="L2927" s="56" t="s">
        <v>488</v>
      </c>
    </row>
    <row r="2928" spans="2:12" x14ac:dyDescent="0.2">
      <c r="B2928" s="62" t="s">
        <v>2963</v>
      </c>
      <c r="C2928" s="61" t="s">
        <v>499</v>
      </c>
      <c r="D2928" s="60">
        <v>1.3279099999999999</v>
      </c>
      <c r="E2928" s="59">
        <v>3.9194200000000001</v>
      </c>
      <c r="F2928" s="59">
        <v>5.6942500000000003</v>
      </c>
      <c r="G2928" s="56">
        <v>856.85900000000004</v>
      </c>
      <c r="H2928" s="56">
        <v>645.26900000000001</v>
      </c>
      <c r="I2928" s="58">
        <v>0.38919900000000002</v>
      </c>
      <c r="J2928" s="57">
        <v>0.399536</v>
      </c>
      <c r="K2928" s="56"/>
      <c r="L2928" s="56" t="s">
        <v>492</v>
      </c>
    </row>
    <row r="2929" spans="2:12" x14ac:dyDescent="0.2">
      <c r="B2929" s="62" t="s">
        <v>2962</v>
      </c>
      <c r="C2929" s="61" t="s">
        <v>537</v>
      </c>
      <c r="D2929" s="60">
        <v>1.93204</v>
      </c>
      <c r="E2929" s="59">
        <v>2.5253299999999999</v>
      </c>
      <c r="F2929" s="59">
        <v>3.7638400000000001</v>
      </c>
      <c r="G2929" s="56">
        <v>0</v>
      </c>
      <c r="H2929" s="56">
        <v>0</v>
      </c>
      <c r="I2929" s="58">
        <v>0.21665499999999999</v>
      </c>
      <c r="J2929" s="57">
        <v>0.25189699999999998</v>
      </c>
      <c r="K2929" s="56"/>
      <c r="L2929" s="56" t="s">
        <v>488</v>
      </c>
    </row>
    <row r="2930" spans="2:12" x14ac:dyDescent="0.2">
      <c r="B2930" s="62" t="s">
        <v>2961</v>
      </c>
      <c r="C2930" s="61" t="s">
        <v>1637</v>
      </c>
      <c r="D2930" s="60">
        <v>1.7608699999999999</v>
      </c>
      <c r="E2930" s="59">
        <v>3.10602</v>
      </c>
      <c r="F2930" s="59">
        <v>4.9885999999999999</v>
      </c>
      <c r="G2930" s="56">
        <v>0</v>
      </c>
      <c r="H2930" s="56">
        <v>0</v>
      </c>
      <c r="I2930" s="58">
        <v>0.27352900000000002</v>
      </c>
      <c r="J2930" s="57">
        <v>0.28139500000000001</v>
      </c>
      <c r="K2930" s="56"/>
      <c r="L2930" s="56" t="s">
        <v>488</v>
      </c>
    </row>
    <row r="2931" spans="2:12" x14ac:dyDescent="0.2">
      <c r="B2931" s="62" t="s">
        <v>2960</v>
      </c>
      <c r="C2931" s="61" t="s">
        <v>1637</v>
      </c>
      <c r="D2931" s="60">
        <v>1.7487699999999999</v>
      </c>
      <c r="E2931" s="59">
        <v>3.1560800000000002</v>
      </c>
      <c r="F2931" s="59">
        <v>5.0234899999999998</v>
      </c>
      <c r="G2931" s="56">
        <v>0</v>
      </c>
      <c r="H2931" s="56">
        <v>0</v>
      </c>
      <c r="I2931" s="58">
        <v>0.27731499999999998</v>
      </c>
      <c r="J2931" s="57">
        <v>0.28525299999999998</v>
      </c>
      <c r="K2931" s="56"/>
      <c r="L2931" s="56" t="s">
        <v>488</v>
      </c>
    </row>
    <row r="2932" spans="2:12" x14ac:dyDescent="0.2">
      <c r="B2932" s="62" t="s">
        <v>2959</v>
      </c>
      <c r="C2932" s="61" t="s">
        <v>533</v>
      </c>
      <c r="D2932" s="60">
        <v>3.0319099999999999</v>
      </c>
      <c r="E2932" s="59">
        <v>2.6419600000000001</v>
      </c>
      <c r="F2932" s="59">
        <v>4.3936000000000002</v>
      </c>
      <c r="G2932" s="56">
        <v>0</v>
      </c>
      <c r="H2932" s="56">
        <v>0</v>
      </c>
      <c r="I2932" s="58">
        <v>0.20295199999999999</v>
      </c>
      <c r="J2932" s="57">
        <v>0.13526199999999999</v>
      </c>
      <c r="K2932" s="56"/>
      <c r="L2932" s="56" t="s">
        <v>488</v>
      </c>
    </row>
    <row r="2933" spans="2:12" x14ac:dyDescent="0.2">
      <c r="B2933" s="62" t="s">
        <v>2958</v>
      </c>
      <c r="C2933" s="61" t="s">
        <v>499</v>
      </c>
      <c r="D2933" s="60">
        <v>1.2112000000000001</v>
      </c>
      <c r="E2933" s="59">
        <v>7.7851600000000003</v>
      </c>
      <c r="F2933" s="59">
        <v>8.4165700000000001</v>
      </c>
      <c r="G2933" s="56">
        <v>1634.09</v>
      </c>
      <c r="H2933" s="56">
        <v>1349.14</v>
      </c>
      <c r="I2933" s="58">
        <v>0.63982099999999997</v>
      </c>
      <c r="J2933" s="57">
        <v>0.55338900000000002</v>
      </c>
      <c r="K2933" s="56"/>
      <c r="L2933" s="56" t="s">
        <v>488</v>
      </c>
    </row>
    <row r="2934" spans="2:12" x14ac:dyDescent="0.2">
      <c r="B2934" s="62" t="s">
        <v>2957</v>
      </c>
      <c r="C2934" s="61" t="s">
        <v>499</v>
      </c>
      <c r="D2934" s="60">
        <v>1.20763</v>
      </c>
      <c r="E2934" s="59">
        <v>7.6320600000000001</v>
      </c>
      <c r="F2934" s="59">
        <v>8.3208000000000002</v>
      </c>
      <c r="G2934" s="56">
        <v>1606.29</v>
      </c>
      <c r="H2934" s="56">
        <v>1330.11</v>
      </c>
      <c r="I2934" s="58">
        <v>0.64538300000000004</v>
      </c>
      <c r="J2934" s="57">
        <v>0.55549400000000004</v>
      </c>
      <c r="K2934" s="56"/>
      <c r="L2934" s="56" t="s">
        <v>488</v>
      </c>
    </row>
    <row r="2935" spans="2:12" x14ac:dyDescent="0.2">
      <c r="B2935" s="62" t="s">
        <v>2956</v>
      </c>
      <c r="C2935" s="61" t="s">
        <v>499</v>
      </c>
      <c r="D2935" s="60">
        <v>1.1976199999999999</v>
      </c>
      <c r="E2935" s="59">
        <v>7.6886799999999997</v>
      </c>
      <c r="F2935" s="59">
        <v>8.3892100000000003</v>
      </c>
      <c r="G2935" s="56">
        <v>1655.5</v>
      </c>
      <c r="H2935" s="56">
        <v>1382.33</v>
      </c>
      <c r="I2935" s="58">
        <v>0.64084099999999999</v>
      </c>
      <c r="J2935" s="57">
        <v>0.56216100000000002</v>
      </c>
      <c r="K2935" s="56"/>
      <c r="L2935" s="56" t="s">
        <v>488</v>
      </c>
    </row>
    <row r="2936" spans="2:12" x14ac:dyDescent="0.2">
      <c r="B2936" s="62" t="s">
        <v>2955</v>
      </c>
      <c r="C2936" s="61" t="s">
        <v>499</v>
      </c>
      <c r="D2936" s="60">
        <v>1.1812</v>
      </c>
      <c r="E2936" s="59">
        <v>7.7717499999999999</v>
      </c>
      <c r="F2936" s="59">
        <v>8.5250699999999995</v>
      </c>
      <c r="G2936" s="56">
        <v>1700.75</v>
      </c>
      <c r="H2936" s="56">
        <v>1439.84</v>
      </c>
      <c r="I2936" s="58">
        <v>0.648698</v>
      </c>
      <c r="J2936" s="57">
        <v>0.57346699999999995</v>
      </c>
      <c r="K2936" s="56"/>
      <c r="L2936" s="56" t="s">
        <v>488</v>
      </c>
    </row>
    <row r="2937" spans="2:12" x14ac:dyDescent="0.2">
      <c r="B2937" s="62" t="s">
        <v>2954</v>
      </c>
      <c r="C2937" s="61" t="s">
        <v>798</v>
      </c>
      <c r="D2937" s="60">
        <v>1.04593</v>
      </c>
      <c r="E2937" s="59">
        <v>5.0180800000000003</v>
      </c>
      <c r="F2937" s="59">
        <v>5.6267300000000002</v>
      </c>
      <c r="G2937" s="56">
        <v>1060.3</v>
      </c>
      <c r="H2937" s="56">
        <v>1013.74</v>
      </c>
      <c r="I2937" s="58">
        <v>0.51355799999999996</v>
      </c>
      <c r="J2937" s="57">
        <v>0.525644</v>
      </c>
      <c r="K2937" s="56"/>
      <c r="L2937" s="56" t="s">
        <v>488</v>
      </c>
    </row>
    <row r="2938" spans="2:12" x14ac:dyDescent="0.2">
      <c r="B2938" s="62" t="s">
        <v>2953</v>
      </c>
      <c r="C2938" s="61" t="s">
        <v>555</v>
      </c>
      <c r="D2938" s="60">
        <v>1.0732600000000001</v>
      </c>
      <c r="E2938" s="59">
        <v>5.1021999999999998</v>
      </c>
      <c r="F2938" s="59">
        <v>6.0075799999999999</v>
      </c>
      <c r="G2938" s="56">
        <v>1061.3</v>
      </c>
      <c r="H2938" s="56">
        <v>988.85900000000004</v>
      </c>
      <c r="I2938" s="58">
        <v>0.51617800000000003</v>
      </c>
      <c r="J2938" s="57">
        <v>0.50895900000000005</v>
      </c>
      <c r="K2938" s="56"/>
      <c r="L2938" s="56" t="s">
        <v>488</v>
      </c>
    </row>
    <row r="2939" spans="2:12" x14ac:dyDescent="0.2">
      <c r="B2939" s="62" t="s">
        <v>2952</v>
      </c>
      <c r="C2939" s="61" t="s">
        <v>529</v>
      </c>
      <c r="D2939" s="60">
        <v>1.3145100000000001</v>
      </c>
      <c r="E2939" s="59">
        <v>4.8254099999999998</v>
      </c>
      <c r="F2939" s="59">
        <v>5.4838199999999997</v>
      </c>
      <c r="G2939" s="56">
        <v>929.97799999999995</v>
      </c>
      <c r="H2939" s="56">
        <v>710.90499999999997</v>
      </c>
      <c r="I2939" s="58">
        <v>0.49291499999999999</v>
      </c>
      <c r="J2939" s="57">
        <v>0.40985199999999999</v>
      </c>
      <c r="K2939" s="56"/>
      <c r="L2939" s="56" t="s">
        <v>488</v>
      </c>
    </row>
    <row r="2940" spans="2:12" x14ac:dyDescent="0.2">
      <c r="B2940" s="62" t="s">
        <v>2951</v>
      </c>
      <c r="C2940" s="61" t="s">
        <v>529</v>
      </c>
      <c r="D2940" s="60">
        <v>1.30816</v>
      </c>
      <c r="E2940" s="59">
        <v>4.83636</v>
      </c>
      <c r="F2940" s="59">
        <v>5.5001499999999997</v>
      </c>
      <c r="G2940" s="56">
        <v>935.64700000000005</v>
      </c>
      <c r="H2940" s="56">
        <v>717.23699999999997</v>
      </c>
      <c r="I2940" s="58">
        <v>0.49915799999999999</v>
      </c>
      <c r="J2940" s="57">
        <v>0.414024</v>
      </c>
      <c r="K2940" s="56"/>
      <c r="L2940" s="56" t="s">
        <v>488</v>
      </c>
    </row>
    <row r="2941" spans="2:12" x14ac:dyDescent="0.2">
      <c r="B2941" s="62" t="s">
        <v>2950</v>
      </c>
      <c r="C2941" s="61" t="s">
        <v>529</v>
      </c>
      <c r="D2941" s="60">
        <v>1.3045199999999999</v>
      </c>
      <c r="E2941" s="59">
        <v>4.8792299999999997</v>
      </c>
      <c r="F2941" s="59">
        <v>5.5377400000000003</v>
      </c>
      <c r="G2941" s="56">
        <v>939.20299999999997</v>
      </c>
      <c r="H2941" s="56">
        <v>724.90099999999995</v>
      </c>
      <c r="I2941" s="58">
        <v>0.50060899999999997</v>
      </c>
      <c r="J2941" s="57">
        <v>0.41608299999999998</v>
      </c>
      <c r="K2941" s="56"/>
      <c r="L2941" s="56" t="s">
        <v>488</v>
      </c>
    </row>
    <row r="2942" spans="2:12" x14ac:dyDescent="0.2">
      <c r="B2942" s="62" t="s">
        <v>2949</v>
      </c>
      <c r="C2942" s="61" t="s">
        <v>529</v>
      </c>
      <c r="D2942" s="60">
        <v>1.2956300000000001</v>
      </c>
      <c r="E2942" s="59">
        <v>4.7889699999999999</v>
      </c>
      <c r="F2942" s="59">
        <v>5.4394</v>
      </c>
      <c r="G2942" s="56">
        <v>899.14</v>
      </c>
      <c r="H2942" s="56">
        <v>684.01199999999994</v>
      </c>
      <c r="I2942" s="58">
        <v>0.50587599999999999</v>
      </c>
      <c r="J2942" s="57">
        <v>0.42108000000000001</v>
      </c>
      <c r="K2942" s="56"/>
      <c r="L2942" s="56" t="s">
        <v>488</v>
      </c>
    </row>
    <row r="2943" spans="2:12" x14ac:dyDescent="0.2">
      <c r="B2943" s="62" t="s">
        <v>2948</v>
      </c>
      <c r="C2943" s="61" t="s">
        <v>529</v>
      </c>
      <c r="D2943" s="60">
        <v>1.0744100000000001</v>
      </c>
      <c r="E2943" s="59">
        <v>5.7720900000000004</v>
      </c>
      <c r="F2943" s="59">
        <v>6.2676400000000001</v>
      </c>
      <c r="G2943" s="56">
        <v>1404.1</v>
      </c>
      <c r="H2943" s="56">
        <v>1306.8499999999999</v>
      </c>
      <c r="I2943" s="58">
        <v>0.59007100000000001</v>
      </c>
      <c r="J2943" s="57">
        <v>0.57394599999999996</v>
      </c>
      <c r="K2943" s="56"/>
      <c r="L2943" s="56" t="s">
        <v>488</v>
      </c>
    </row>
    <row r="2944" spans="2:12" x14ac:dyDescent="0.2">
      <c r="B2944" s="62" t="s">
        <v>2947</v>
      </c>
      <c r="C2944" s="61" t="s">
        <v>531</v>
      </c>
      <c r="D2944" s="60">
        <v>0.82282599999999995</v>
      </c>
      <c r="E2944" s="59">
        <v>5.0934799999999996</v>
      </c>
      <c r="F2944" s="59">
        <v>6.6567499999999997</v>
      </c>
      <c r="G2944" s="56">
        <v>2447.9899999999998</v>
      </c>
      <c r="H2944" s="56">
        <v>2975.09</v>
      </c>
      <c r="I2944" s="58">
        <v>0.73824599999999996</v>
      </c>
      <c r="J2944" s="57">
        <v>0.84318400000000004</v>
      </c>
      <c r="K2944" s="56"/>
      <c r="L2944" s="56" t="s">
        <v>488</v>
      </c>
    </row>
    <row r="2945" spans="2:12" x14ac:dyDescent="0.2">
      <c r="B2945" s="62" t="s">
        <v>2946</v>
      </c>
      <c r="C2945" s="61" t="s">
        <v>499</v>
      </c>
      <c r="D2945" s="60">
        <v>1.17276</v>
      </c>
      <c r="E2945" s="59">
        <v>3.71651</v>
      </c>
      <c r="F2945" s="59">
        <v>4.52799</v>
      </c>
      <c r="G2945" s="56">
        <v>0</v>
      </c>
      <c r="H2945" s="56">
        <v>0</v>
      </c>
      <c r="I2945" s="58">
        <v>0.399955</v>
      </c>
      <c r="J2945" s="57">
        <v>0.44926300000000002</v>
      </c>
      <c r="K2945" s="56"/>
      <c r="L2945" s="56" t="s">
        <v>488</v>
      </c>
    </row>
    <row r="2946" spans="2:12" x14ac:dyDescent="0.2">
      <c r="B2946" s="62" t="s">
        <v>2945</v>
      </c>
      <c r="C2946" s="61" t="s">
        <v>2944</v>
      </c>
      <c r="D2946" s="60">
        <v>1.72407</v>
      </c>
      <c r="E2946" s="59">
        <v>3.2553399999999999</v>
      </c>
      <c r="F2946" s="59">
        <v>6.1941199999999998</v>
      </c>
      <c r="G2946" s="56">
        <v>0</v>
      </c>
      <c r="H2946" s="56">
        <v>0</v>
      </c>
      <c r="I2946" s="58">
        <v>0.35175600000000001</v>
      </c>
      <c r="J2946" s="57">
        <v>0.29802699999999999</v>
      </c>
      <c r="K2946" s="56"/>
      <c r="L2946" s="56" t="s">
        <v>488</v>
      </c>
    </row>
    <row r="2947" spans="2:12" x14ac:dyDescent="0.2">
      <c r="B2947" s="62" t="s">
        <v>2943</v>
      </c>
      <c r="C2947" s="61" t="s">
        <v>2942</v>
      </c>
      <c r="D2947" s="60">
        <v>2.1199400000000002</v>
      </c>
      <c r="E2947" s="59">
        <v>3.8085399999999998</v>
      </c>
      <c r="F2947" s="59">
        <v>6.0541099999999997</v>
      </c>
      <c r="G2947" s="56">
        <v>1646.65</v>
      </c>
      <c r="H2947" s="56">
        <v>776.74599999999998</v>
      </c>
      <c r="I2947" s="58">
        <v>0.62459600000000004</v>
      </c>
      <c r="J2947" s="57">
        <v>0.29413899999999998</v>
      </c>
      <c r="K2947" s="56"/>
      <c r="L2947" s="56" t="s">
        <v>488</v>
      </c>
    </row>
    <row r="2948" spans="2:12" x14ac:dyDescent="0.2">
      <c r="B2948" s="62" t="s">
        <v>2941</v>
      </c>
      <c r="C2948" s="61" t="s">
        <v>859</v>
      </c>
      <c r="D2948" s="60">
        <v>1.66638</v>
      </c>
      <c r="E2948" s="59">
        <v>4.5410700000000004</v>
      </c>
      <c r="F2948" s="59">
        <v>5.4085799999999997</v>
      </c>
      <c r="G2948" s="56">
        <v>1236.4000000000001</v>
      </c>
      <c r="H2948" s="56">
        <v>741.97</v>
      </c>
      <c r="I2948" s="58">
        <v>0.48741600000000002</v>
      </c>
      <c r="J2948" s="57">
        <v>0.32349099999999997</v>
      </c>
      <c r="K2948" s="56"/>
      <c r="L2948" s="56" t="s">
        <v>488</v>
      </c>
    </row>
    <row r="2949" spans="2:12" x14ac:dyDescent="0.2">
      <c r="B2949" s="62" t="s">
        <v>2940</v>
      </c>
      <c r="C2949" s="61" t="s">
        <v>708</v>
      </c>
      <c r="D2949" s="60">
        <v>1.1983299999999999</v>
      </c>
      <c r="E2949" s="59">
        <v>10.66621</v>
      </c>
      <c r="F2949" s="59">
        <v>11.48526</v>
      </c>
      <c r="G2949" s="56">
        <v>1484.51</v>
      </c>
      <c r="H2949" s="56">
        <v>1238.82</v>
      </c>
      <c r="I2949" s="58">
        <v>0.71003099999999997</v>
      </c>
      <c r="J2949" s="57">
        <v>0.54286400000000001</v>
      </c>
      <c r="K2949" s="56"/>
      <c r="L2949" s="56" t="s">
        <v>488</v>
      </c>
    </row>
    <row r="2950" spans="2:12" x14ac:dyDescent="0.2">
      <c r="B2950" s="62" t="s">
        <v>2939</v>
      </c>
      <c r="C2950" s="61" t="s">
        <v>550</v>
      </c>
      <c r="D2950" s="60">
        <v>1.6407</v>
      </c>
      <c r="E2950" s="59">
        <v>3.7102200000000001</v>
      </c>
      <c r="F2950" s="59">
        <v>4.4921800000000003</v>
      </c>
      <c r="G2950" s="56">
        <v>0</v>
      </c>
      <c r="H2950" s="56">
        <v>0</v>
      </c>
      <c r="I2950" s="58">
        <v>0.30570700000000001</v>
      </c>
      <c r="J2950" s="57">
        <v>0.327816</v>
      </c>
      <c r="K2950" s="56"/>
      <c r="L2950" s="56" t="s">
        <v>488</v>
      </c>
    </row>
    <row r="2951" spans="2:12" x14ac:dyDescent="0.2">
      <c r="B2951" s="62" t="s">
        <v>2938</v>
      </c>
      <c r="C2951" s="61" t="s">
        <v>526</v>
      </c>
      <c r="D2951" s="60">
        <v>1.99902</v>
      </c>
      <c r="E2951" s="59">
        <v>2.6831800000000001</v>
      </c>
      <c r="F2951" s="59">
        <v>3.28043</v>
      </c>
      <c r="G2951" s="56">
        <v>0</v>
      </c>
      <c r="H2951" s="56">
        <v>0</v>
      </c>
      <c r="I2951" s="58">
        <v>0.194825</v>
      </c>
      <c r="J2951" s="57">
        <v>0.20738699999999999</v>
      </c>
      <c r="K2951" s="56"/>
      <c r="L2951" s="56" t="s">
        <v>492</v>
      </c>
    </row>
    <row r="2952" spans="2:12" x14ac:dyDescent="0.2">
      <c r="B2952" s="62" t="s">
        <v>2937</v>
      </c>
      <c r="C2952" s="61" t="s">
        <v>526</v>
      </c>
      <c r="D2952" s="60">
        <v>1.9766699999999999</v>
      </c>
      <c r="E2952" s="59">
        <v>2.6081099999999999</v>
      </c>
      <c r="F2952" s="59">
        <v>3.2822900000000002</v>
      </c>
      <c r="G2952" s="56">
        <v>0</v>
      </c>
      <c r="H2952" s="56">
        <v>0</v>
      </c>
      <c r="I2952" s="58">
        <v>0.19231000000000001</v>
      </c>
      <c r="J2952" s="57">
        <v>0.21473200000000001</v>
      </c>
      <c r="K2952" s="56"/>
      <c r="L2952" s="56" t="s">
        <v>492</v>
      </c>
    </row>
    <row r="2953" spans="2:12" x14ac:dyDescent="0.2">
      <c r="B2953" s="62" t="s">
        <v>2936</v>
      </c>
      <c r="C2953" s="61" t="s">
        <v>499</v>
      </c>
      <c r="D2953" s="60">
        <v>1.63646</v>
      </c>
      <c r="E2953" s="59">
        <v>3.3573499999999998</v>
      </c>
      <c r="F2953" s="59">
        <v>4.1330799999999996</v>
      </c>
      <c r="G2953" s="56">
        <v>0</v>
      </c>
      <c r="H2953" s="56">
        <v>0</v>
      </c>
      <c r="I2953" s="58">
        <v>0.14360700000000001</v>
      </c>
      <c r="J2953" s="57">
        <v>0.26349</v>
      </c>
      <c r="K2953" s="56"/>
      <c r="L2953" s="56" t="s">
        <v>488</v>
      </c>
    </row>
    <row r="2954" spans="2:12" x14ac:dyDescent="0.2">
      <c r="B2954" s="62" t="s">
        <v>2935</v>
      </c>
      <c r="C2954" s="61" t="s">
        <v>499</v>
      </c>
      <c r="D2954" s="60">
        <v>1.0231699999999999</v>
      </c>
      <c r="E2954" s="59">
        <v>9.8976799999999994</v>
      </c>
      <c r="F2954" s="59">
        <v>10.10563</v>
      </c>
      <c r="G2954" s="56">
        <v>1313.57</v>
      </c>
      <c r="H2954" s="56">
        <v>1283.83</v>
      </c>
      <c r="I2954" s="58">
        <v>0.588287</v>
      </c>
      <c r="J2954" s="57">
        <v>0.593028</v>
      </c>
      <c r="K2954" s="56"/>
      <c r="L2954" s="56" t="s">
        <v>488</v>
      </c>
    </row>
    <row r="2955" spans="2:12" x14ac:dyDescent="0.2">
      <c r="B2955" s="62" t="s">
        <v>2934</v>
      </c>
      <c r="C2955" s="61" t="s">
        <v>526</v>
      </c>
      <c r="D2955" s="60">
        <v>0.98238700000000001</v>
      </c>
      <c r="E2955" s="59">
        <v>8.3675200000000007</v>
      </c>
      <c r="F2955" s="59">
        <v>9.32517</v>
      </c>
      <c r="G2955" s="56">
        <v>682.47500000000002</v>
      </c>
      <c r="H2955" s="56">
        <v>694.71100000000001</v>
      </c>
      <c r="I2955" s="58">
        <v>0.58372900000000005</v>
      </c>
      <c r="J2955" s="57">
        <v>0.610599</v>
      </c>
      <c r="K2955" s="56"/>
      <c r="L2955" s="56" t="s">
        <v>492</v>
      </c>
    </row>
    <row r="2956" spans="2:12" x14ac:dyDescent="0.2">
      <c r="B2956" s="62" t="s">
        <v>2933</v>
      </c>
      <c r="C2956" s="61" t="s">
        <v>1637</v>
      </c>
      <c r="D2956" s="60">
        <v>1.28478</v>
      </c>
      <c r="E2956" s="59">
        <v>6.3994999999999997</v>
      </c>
      <c r="F2956" s="59">
        <v>8.7040199999999999</v>
      </c>
      <c r="G2956" s="56">
        <v>1726.67</v>
      </c>
      <c r="H2956" s="56">
        <v>1343.95</v>
      </c>
      <c r="I2956" s="58">
        <v>0.60967199999999999</v>
      </c>
      <c r="J2956" s="57">
        <v>0.50222800000000001</v>
      </c>
      <c r="K2956" s="56"/>
      <c r="L2956" s="56" t="s">
        <v>488</v>
      </c>
    </row>
    <row r="2957" spans="2:12" x14ac:dyDescent="0.2">
      <c r="B2957" s="62" t="s">
        <v>2932</v>
      </c>
      <c r="C2957" s="61" t="s">
        <v>1637</v>
      </c>
      <c r="D2957" s="60">
        <v>1.24187</v>
      </c>
      <c r="E2957" s="59">
        <v>6.3097799999999999</v>
      </c>
      <c r="F2957" s="59">
        <v>7.9131600000000004</v>
      </c>
      <c r="G2957" s="56">
        <v>1784.75</v>
      </c>
      <c r="H2957" s="56">
        <v>1437.15</v>
      </c>
      <c r="I2957" s="58">
        <v>0.60979000000000005</v>
      </c>
      <c r="J2957" s="57">
        <v>0.52041899999999996</v>
      </c>
      <c r="K2957" s="56"/>
      <c r="L2957" s="56" t="s">
        <v>488</v>
      </c>
    </row>
    <row r="2958" spans="2:12" x14ac:dyDescent="0.2">
      <c r="B2958" s="62" t="s">
        <v>2931</v>
      </c>
      <c r="C2958" s="61" t="s">
        <v>499</v>
      </c>
      <c r="D2958" s="60">
        <v>0.87186799999999998</v>
      </c>
      <c r="E2958" s="59">
        <v>3.9307599999999998</v>
      </c>
      <c r="F2958" s="59">
        <v>5.9216699999999998</v>
      </c>
      <c r="G2958" s="56">
        <v>328.99700000000001</v>
      </c>
      <c r="H2958" s="56">
        <v>377.34699999999998</v>
      </c>
      <c r="I2958" s="58">
        <v>0.46863100000000002</v>
      </c>
      <c r="J2958" s="57">
        <v>0.67099699999999995</v>
      </c>
      <c r="K2958" s="56"/>
      <c r="L2958" s="56" t="s">
        <v>488</v>
      </c>
    </row>
    <row r="2959" spans="2:12" x14ac:dyDescent="0.2">
      <c r="B2959" s="62" t="s">
        <v>2930</v>
      </c>
      <c r="C2959" s="61" t="s">
        <v>489</v>
      </c>
      <c r="D2959" s="60">
        <v>1.58392</v>
      </c>
      <c r="E2959" s="59">
        <v>3.82734</v>
      </c>
      <c r="F2959" s="59">
        <v>5.0315399999999997</v>
      </c>
      <c r="G2959" s="56">
        <v>307.76799999999997</v>
      </c>
      <c r="H2959" s="56">
        <v>194.30799999999999</v>
      </c>
      <c r="I2959" s="58">
        <v>0.18254500000000001</v>
      </c>
      <c r="J2959" s="57">
        <v>0.31591999999999998</v>
      </c>
      <c r="K2959" s="56"/>
      <c r="L2959" s="56" t="s">
        <v>488</v>
      </c>
    </row>
    <row r="2960" spans="2:12" x14ac:dyDescent="0.2">
      <c r="B2960" s="62" t="s">
        <v>2929</v>
      </c>
      <c r="C2960" s="61" t="s">
        <v>1658</v>
      </c>
      <c r="D2960" s="60">
        <v>0.89203500000000002</v>
      </c>
      <c r="E2960" s="59">
        <v>4.4070499999999999</v>
      </c>
      <c r="F2960" s="59">
        <v>5.0322899999999997</v>
      </c>
      <c r="G2960" s="56">
        <v>1243.8800000000001</v>
      </c>
      <c r="H2960" s="56">
        <v>1394.43</v>
      </c>
      <c r="I2960" s="58">
        <v>0.45596399999999998</v>
      </c>
      <c r="J2960" s="57">
        <v>0.69020999999999999</v>
      </c>
      <c r="K2960" s="56"/>
      <c r="L2960" s="56" t="s">
        <v>488</v>
      </c>
    </row>
    <row r="2961" spans="2:12" x14ac:dyDescent="0.2">
      <c r="B2961" s="62" t="s">
        <v>2928</v>
      </c>
      <c r="C2961" s="61" t="s">
        <v>499</v>
      </c>
      <c r="D2961" s="60">
        <v>1.2007300000000001</v>
      </c>
      <c r="E2961" s="59">
        <v>3.6485699999999999</v>
      </c>
      <c r="F2961" s="59">
        <v>4.3942399999999999</v>
      </c>
      <c r="G2961" s="56">
        <v>0</v>
      </c>
      <c r="H2961" s="56">
        <v>0</v>
      </c>
      <c r="I2961" s="58">
        <v>0.56432300000000002</v>
      </c>
      <c r="J2961" s="57">
        <v>0.51378699999999999</v>
      </c>
      <c r="K2961" s="56"/>
      <c r="L2961" s="56" t="s">
        <v>488</v>
      </c>
    </row>
    <row r="2962" spans="2:12" x14ac:dyDescent="0.2">
      <c r="B2962" s="62" t="s">
        <v>2927</v>
      </c>
      <c r="C2962" s="61" t="s">
        <v>502</v>
      </c>
      <c r="D2962" s="60">
        <v>0.72273699999999996</v>
      </c>
      <c r="E2962" s="59">
        <v>6.8727200000000002</v>
      </c>
      <c r="F2962" s="59">
        <v>10.892010000000001</v>
      </c>
      <c r="G2962" s="56">
        <v>2183.4</v>
      </c>
      <c r="H2962" s="56">
        <v>3021.01</v>
      </c>
      <c r="I2962" s="58">
        <v>0.80558200000000002</v>
      </c>
      <c r="J2962" s="57">
        <v>1.03775</v>
      </c>
      <c r="K2962" s="56"/>
      <c r="L2962" s="56" t="s">
        <v>488</v>
      </c>
    </row>
    <row r="2963" spans="2:12" x14ac:dyDescent="0.2">
      <c r="B2963" s="62" t="s">
        <v>2926</v>
      </c>
      <c r="C2963" s="61" t="s">
        <v>502</v>
      </c>
      <c r="D2963" s="60">
        <v>0.76421099999999997</v>
      </c>
      <c r="E2963" s="59">
        <v>8.3203700000000005</v>
      </c>
      <c r="F2963" s="59">
        <v>11.703060000000001</v>
      </c>
      <c r="G2963" s="56">
        <v>2139.12</v>
      </c>
      <c r="H2963" s="56">
        <v>2799.12</v>
      </c>
      <c r="I2963" s="58">
        <v>0.78953399999999996</v>
      </c>
      <c r="J2963" s="57">
        <v>0.96593399999999996</v>
      </c>
      <c r="K2963" s="56"/>
      <c r="L2963" s="56" t="s">
        <v>488</v>
      </c>
    </row>
    <row r="2964" spans="2:12" x14ac:dyDescent="0.2">
      <c r="B2964" s="62" t="s">
        <v>2925</v>
      </c>
      <c r="C2964" s="61" t="s">
        <v>641</v>
      </c>
      <c r="D2964" s="60">
        <v>1.5029999999999999</v>
      </c>
      <c r="E2964" s="59">
        <v>3.8529499999999999</v>
      </c>
      <c r="F2964" s="59">
        <v>5.8401399999999999</v>
      </c>
      <c r="G2964" s="56">
        <v>885.58600000000001</v>
      </c>
      <c r="H2964" s="56">
        <v>589.21100000000001</v>
      </c>
      <c r="I2964" s="58">
        <v>0.35255399999999998</v>
      </c>
      <c r="J2964" s="57">
        <v>0.347331</v>
      </c>
      <c r="K2964" s="56"/>
      <c r="L2964" s="56" t="s">
        <v>488</v>
      </c>
    </row>
    <row r="2965" spans="2:12" x14ac:dyDescent="0.2">
      <c r="B2965" s="62" t="s">
        <v>2924</v>
      </c>
      <c r="C2965" s="61" t="s">
        <v>2923</v>
      </c>
      <c r="D2965" s="60">
        <v>1.3596699999999999</v>
      </c>
      <c r="E2965" s="59">
        <v>7.6321399999999997</v>
      </c>
      <c r="F2965" s="59">
        <v>8.8174299999999999</v>
      </c>
      <c r="G2965" s="56">
        <v>998.18200000000002</v>
      </c>
      <c r="H2965" s="56">
        <v>734.13300000000004</v>
      </c>
      <c r="I2965" s="58">
        <v>0.40112399999999998</v>
      </c>
      <c r="J2965" s="57">
        <v>0.43613800000000003</v>
      </c>
      <c r="K2965" s="56"/>
      <c r="L2965" s="56" t="s">
        <v>488</v>
      </c>
    </row>
    <row r="2966" spans="2:12" x14ac:dyDescent="0.2">
      <c r="B2966" s="62" t="s">
        <v>2922</v>
      </c>
      <c r="C2966" s="61" t="s">
        <v>708</v>
      </c>
      <c r="D2966" s="60">
        <v>1.1775599999999999</v>
      </c>
      <c r="E2966" s="59">
        <v>3.3985799999999999</v>
      </c>
      <c r="F2966" s="59">
        <v>5.0646500000000003</v>
      </c>
      <c r="G2966" s="56">
        <v>0</v>
      </c>
      <c r="H2966" s="56">
        <v>0</v>
      </c>
      <c r="I2966" s="58">
        <v>0.34547899999999998</v>
      </c>
      <c r="J2966" s="57">
        <v>0.42720200000000003</v>
      </c>
      <c r="K2966" s="56"/>
      <c r="L2966" s="56" t="s">
        <v>488</v>
      </c>
    </row>
    <row r="2967" spans="2:12" x14ac:dyDescent="0.2">
      <c r="B2967" s="62" t="s">
        <v>2921</v>
      </c>
      <c r="C2967" s="61" t="s">
        <v>708</v>
      </c>
      <c r="D2967" s="60">
        <v>1.15218</v>
      </c>
      <c r="E2967" s="59">
        <v>3.5938599999999998</v>
      </c>
      <c r="F2967" s="59">
        <v>4.9993100000000004</v>
      </c>
      <c r="G2967" s="56">
        <v>0</v>
      </c>
      <c r="H2967" s="56">
        <v>0</v>
      </c>
      <c r="I2967" s="58">
        <v>0.350684</v>
      </c>
      <c r="J2967" s="57">
        <v>0.44056699999999999</v>
      </c>
      <c r="K2967" s="56"/>
      <c r="L2967" s="56" t="s">
        <v>488</v>
      </c>
    </row>
    <row r="2968" spans="2:12" x14ac:dyDescent="0.2">
      <c r="B2968" s="62" t="s">
        <v>2920</v>
      </c>
      <c r="C2968" s="61" t="s">
        <v>502</v>
      </c>
      <c r="D2968" s="60">
        <v>2.1039099999999999</v>
      </c>
      <c r="E2968" s="59">
        <v>2.85025</v>
      </c>
      <c r="F2968" s="59">
        <v>3.84897</v>
      </c>
      <c r="G2968" s="56">
        <v>0</v>
      </c>
      <c r="H2968" s="56">
        <v>0</v>
      </c>
      <c r="I2968" s="58">
        <v>0.27696500000000002</v>
      </c>
      <c r="J2968" s="57">
        <v>0.216221</v>
      </c>
      <c r="K2968" s="56"/>
      <c r="L2968" s="56" t="s">
        <v>488</v>
      </c>
    </row>
    <row r="2969" spans="2:12" x14ac:dyDescent="0.2">
      <c r="B2969" s="62" t="s">
        <v>2919</v>
      </c>
      <c r="C2969" s="61" t="s">
        <v>550</v>
      </c>
      <c r="D2969" s="60">
        <v>1.4383600000000001</v>
      </c>
      <c r="E2969" s="59">
        <v>2.4424899999999998</v>
      </c>
      <c r="F2969" s="59">
        <v>4.3508599999999999</v>
      </c>
      <c r="G2969" s="56">
        <v>0</v>
      </c>
      <c r="H2969" s="56">
        <v>0</v>
      </c>
      <c r="I2969" s="58">
        <v>0.19184699999999999</v>
      </c>
      <c r="J2969" s="57">
        <v>0.31312800000000002</v>
      </c>
      <c r="K2969" s="56"/>
      <c r="L2969" s="56" t="s">
        <v>488</v>
      </c>
    </row>
    <row r="2970" spans="2:12" x14ac:dyDescent="0.2">
      <c r="B2970" s="62" t="s">
        <v>2918</v>
      </c>
      <c r="C2970" s="61" t="s">
        <v>550</v>
      </c>
      <c r="D2970" s="60">
        <v>1.2945899999999999</v>
      </c>
      <c r="E2970" s="59">
        <v>2.5108000000000001</v>
      </c>
      <c r="F2970" s="59">
        <v>4.7288100000000002</v>
      </c>
      <c r="G2970" s="56">
        <v>0</v>
      </c>
      <c r="H2970" s="56">
        <v>0</v>
      </c>
      <c r="I2970" s="58">
        <v>0.33222099999999999</v>
      </c>
      <c r="J2970" s="57">
        <v>0.36419800000000002</v>
      </c>
      <c r="K2970" s="56"/>
      <c r="L2970" s="56" t="s">
        <v>488</v>
      </c>
    </row>
    <row r="2971" spans="2:12" x14ac:dyDescent="0.2">
      <c r="B2971" s="62" t="s">
        <v>2917</v>
      </c>
      <c r="C2971" s="61" t="s">
        <v>625</v>
      </c>
      <c r="D2971" s="60">
        <v>1.17021</v>
      </c>
      <c r="E2971" s="59">
        <v>3.8306399999999998</v>
      </c>
      <c r="F2971" s="59">
        <v>4.6886700000000001</v>
      </c>
      <c r="G2971" s="56">
        <v>630.65499999999997</v>
      </c>
      <c r="H2971" s="56">
        <v>538.92499999999995</v>
      </c>
      <c r="I2971" s="58">
        <v>0.42317300000000002</v>
      </c>
      <c r="J2971" s="57">
        <v>0.45453100000000002</v>
      </c>
      <c r="K2971" s="56"/>
      <c r="L2971" s="56" t="s">
        <v>492</v>
      </c>
    </row>
    <row r="2972" spans="2:12" x14ac:dyDescent="0.2">
      <c r="B2972" s="62" t="s">
        <v>2916</v>
      </c>
      <c r="C2972" s="61" t="s">
        <v>625</v>
      </c>
      <c r="D2972" s="60">
        <v>0.93243100000000001</v>
      </c>
      <c r="E2972" s="59">
        <v>4.9725200000000003</v>
      </c>
      <c r="F2972" s="59">
        <v>5.8375599999999999</v>
      </c>
      <c r="G2972" s="56">
        <v>1477.2</v>
      </c>
      <c r="H2972" s="56">
        <v>1584.25</v>
      </c>
      <c r="I2972" s="58">
        <v>0.57149799999999995</v>
      </c>
      <c r="J2972" s="57">
        <v>0.66586999999999996</v>
      </c>
      <c r="K2972" s="56"/>
      <c r="L2972" s="56" t="s">
        <v>488</v>
      </c>
    </row>
    <row r="2973" spans="2:12" x14ac:dyDescent="0.2">
      <c r="B2973" s="62" t="s">
        <v>2915</v>
      </c>
      <c r="C2973" s="61" t="s">
        <v>533</v>
      </c>
      <c r="D2973" s="60">
        <v>2.04759</v>
      </c>
      <c r="E2973" s="59">
        <v>3.1918000000000002</v>
      </c>
      <c r="F2973" s="59">
        <v>3.75075</v>
      </c>
      <c r="G2973" s="56">
        <v>0</v>
      </c>
      <c r="H2973" s="56">
        <v>0</v>
      </c>
      <c r="I2973" s="58">
        <v>0.15753800000000001</v>
      </c>
      <c r="J2973" s="57">
        <v>0.201542</v>
      </c>
      <c r="K2973" s="56"/>
      <c r="L2973" s="56" t="s">
        <v>488</v>
      </c>
    </row>
    <row r="2974" spans="2:12" x14ac:dyDescent="0.2">
      <c r="B2974" s="62" t="s">
        <v>2914</v>
      </c>
      <c r="C2974" s="61" t="s">
        <v>1386</v>
      </c>
      <c r="D2974" s="60">
        <v>2.1618200000000001</v>
      </c>
      <c r="E2974" s="59">
        <v>2.59822</v>
      </c>
      <c r="F2974" s="59">
        <v>3.21976</v>
      </c>
      <c r="G2974" s="56">
        <v>0</v>
      </c>
      <c r="H2974" s="56">
        <v>0</v>
      </c>
      <c r="I2974" s="58">
        <v>0.127749</v>
      </c>
      <c r="J2974" s="57">
        <v>0.180058</v>
      </c>
      <c r="K2974" s="56"/>
      <c r="L2974" s="56" t="s">
        <v>488</v>
      </c>
    </row>
    <row r="2975" spans="2:12" x14ac:dyDescent="0.2">
      <c r="B2975" s="62" t="s">
        <v>2913</v>
      </c>
      <c r="C2975" s="61" t="s">
        <v>541</v>
      </c>
      <c r="D2975" s="60">
        <v>1.36036</v>
      </c>
      <c r="E2975" s="59">
        <v>4.4671500000000002</v>
      </c>
      <c r="F2975" s="59">
        <v>5.1335800000000003</v>
      </c>
      <c r="G2975" s="56">
        <v>1512.02</v>
      </c>
      <c r="H2975" s="56">
        <v>1111.48</v>
      </c>
      <c r="I2975" s="58">
        <v>0.60680900000000004</v>
      </c>
      <c r="J2975" s="57">
        <v>0.44202999999999998</v>
      </c>
      <c r="K2975" s="56"/>
      <c r="L2975" s="56" t="s">
        <v>488</v>
      </c>
    </row>
    <row r="2976" spans="2:12" x14ac:dyDescent="0.2">
      <c r="B2976" s="62" t="s">
        <v>2912</v>
      </c>
      <c r="C2976" s="61" t="s">
        <v>502</v>
      </c>
      <c r="D2976" s="60">
        <v>1.08466</v>
      </c>
      <c r="E2976" s="59">
        <v>4.3586600000000004</v>
      </c>
      <c r="F2976" s="59">
        <v>8.6265400000000003</v>
      </c>
      <c r="G2976" s="56">
        <v>1163.67</v>
      </c>
      <c r="H2976" s="56">
        <v>1072.8399999999999</v>
      </c>
      <c r="I2976" s="58">
        <v>0.45230100000000001</v>
      </c>
      <c r="J2976" s="57">
        <v>0.50034699999999999</v>
      </c>
      <c r="K2976" s="56"/>
      <c r="L2976" s="56" t="s">
        <v>492</v>
      </c>
    </row>
    <row r="2977" spans="2:12" x14ac:dyDescent="0.2">
      <c r="B2977" s="62" t="s">
        <v>2911</v>
      </c>
      <c r="C2977" s="61" t="s">
        <v>880</v>
      </c>
      <c r="D2977" s="60">
        <v>1.4604200000000001</v>
      </c>
      <c r="E2977" s="59">
        <v>7.4686300000000001</v>
      </c>
      <c r="F2977" s="59">
        <v>8.4557699999999993</v>
      </c>
      <c r="G2977" s="56">
        <v>984.54200000000003</v>
      </c>
      <c r="H2977" s="56">
        <v>674.15099999999995</v>
      </c>
      <c r="I2977" s="58">
        <v>0.40069700000000003</v>
      </c>
      <c r="J2977" s="57">
        <v>0.38580799999999998</v>
      </c>
      <c r="K2977" s="56" t="s">
        <v>2910</v>
      </c>
      <c r="L2977" s="56" t="s">
        <v>563</v>
      </c>
    </row>
    <row r="2978" spans="2:12" x14ac:dyDescent="0.2">
      <c r="B2978" s="62" t="s">
        <v>2909</v>
      </c>
      <c r="C2978" s="61" t="s">
        <v>499</v>
      </c>
      <c r="D2978" s="60">
        <v>1.0998699999999999</v>
      </c>
      <c r="E2978" s="59">
        <v>4.3593799999999998</v>
      </c>
      <c r="F2978" s="59">
        <v>5.1475900000000001</v>
      </c>
      <c r="G2978" s="56">
        <v>1126.3499999999999</v>
      </c>
      <c r="H2978" s="56">
        <v>1024.08</v>
      </c>
      <c r="I2978" s="58">
        <v>0.45860699999999999</v>
      </c>
      <c r="J2978" s="57">
        <v>0.50563000000000002</v>
      </c>
      <c r="K2978" s="56"/>
      <c r="L2978" s="56" t="s">
        <v>488</v>
      </c>
    </row>
    <row r="2979" spans="2:12" x14ac:dyDescent="0.2">
      <c r="B2979" s="62" t="s">
        <v>2908</v>
      </c>
      <c r="C2979" s="61" t="s">
        <v>499</v>
      </c>
      <c r="D2979" s="60">
        <v>1.5650999999999999</v>
      </c>
      <c r="E2979" s="59">
        <v>3.9496600000000002</v>
      </c>
      <c r="F2979" s="59">
        <v>4.6970400000000003</v>
      </c>
      <c r="G2979" s="56">
        <v>462.66800000000001</v>
      </c>
      <c r="H2979" s="56">
        <v>295.61799999999999</v>
      </c>
      <c r="I2979" s="58">
        <v>0.29589900000000002</v>
      </c>
      <c r="J2979" s="57">
        <v>0.283028</v>
      </c>
      <c r="K2979" s="56"/>
      <c r="L2979" s="56" t="s">
        <v>488</v>
      </c>
    </row>
    <row r="2980" spans="2:12" x14ac:dyDescent="0.2">
      <c r="B2980" s="62" t="s">
        <v>2907</v>
      </c>
      <c r="C2980" s="61" t="s">
        <v>510</v>
      </c>
      <c r="D2980" s="60">
        <v>1.2512799999999999</v>
      </c>
      <c r="E2980" s="59">
        <v>4.8906099999999997</v>
      </c>
      <c r="F2980" s="59">
        <v>5.5074500000000004</v>
      </c>
      <c r="G2980" s="56">
        <v>1409.33</v>
      </c>
      <c r="H2980" s="56">
        <v>1126.32</v>
      </c>
      <c r="I2980" s="58">
        <v>0.616313</v>
      </c>
      <c r="J2980" s="57">
        <v>0.466914</v>
      </c>
      <c r="K2980" s="56"/>
      <c r="L2980" s="56" t="s">
        <v>488</v>
      </c>
    </row>
    <row r="2981" spans="2:12" x14ac:dyDescent="0.2">
      <c r="B2981" s="62" t="s">
        <v>2906</v>
      </c>
      <c r="C2981" s="61" t="s">
        <v>871</v>
      </c>
      <c r="D2981" s="60">
        <v>1.6093500000000001</v>
      </c>
      <c r="E2981" s="59">
        <v>3.8064100000000001</v>
      </c>
      <c r="F2981" s="59">
        <v>4.5368599999999999</v>
      </c>
      <c r="G2981" s="56">
        <v>276.14400000000001</v>
      </c>
      <c r="H2981" s="56">
        <v>171.58799999999999</v>
      </c>
      <c r="I2981" s="58">
        <v>0.233353</v>
      </c>
      <c r="J2981" s="57">
        <v>0.237404</v>
      </c>
      <c r="K2981" s="56"/>
      <c r="L2981" s="56" t="s">
        <v>488</v>
      </c>
    </row>
    <row r="2982" spans="2:12" x14ac:dyDescent="0.2">
      <c r="B2982" s="62" t="s">
        <v>2905</v>
      </c>
      <c r="C2982" s="61" t="s">
        <v>575</v>
      </c>
      <c r="D2982" s="60">
        <v>1.52336</v>
      </c>
      <c r="E2982" s="59">
        <v>3.2240899999999999</v>
      </c>
      <c r="F2982" s="59">
        <v>7.0453299999999999</v>
      </c>
      <c r="G2982" s="56">
        <v>0</v>
      </c>
      <c r="H2982" s="56">
        <v>0</v>
      </c>
      <c r="I2982" s="58">
        <v>0.31262299999999998</v>
      </c>
      <c r="J2982" s="57">
        <v>0.319517</v>
      </c>
      <c r="K2982" s="56"/>
      <c r="L2982" s="56" t="s">
        <v>488</v>
      </c>
    </row>
    <row r="2983" spans="2:12" x14ac:dyDescent="0.2">
      <c r="B2983" s="62" t="s">
        <v>2904</v>
      </c>
      <c r="C2983" s="61" t="s">
        <v>625</v>
      </c>
      <c r="D2983" s="60">
        <v>1.78935</v>
      </c>
      <c r="E2983" s="59">
        <v>6.5825399999999998</v>
      </c>
      <c r="F2983" s="59">
        <v>8.8023100000000003</v>
      </c>
      <c r="G2983" s="56">
        <v>807.47400000000005</v>
      </c>
      <c r="H2983" s="56">
        <v>451.267</v>
      </c>
      <c r="I2983" s="58">
        <v>0.33663900000000002</v>
      </c>
      <c r="J2983" s="57">
        <v>0.26918799999999998</v>
      </c>
      <c r="K2983" s="56"/>
      <c r="L2983" s="56" t="s">
        <v>492</v>
      </c>
    </row>
    <row r="2984" spans="2:12" x14ac:dyDescent="0.2">
      <c r="B2984" s="62" t="s">
        <v>2903</v>
      </c>
      <c r="C2984" s="61" t="s">
        <v>499</v>
      </c>
      <c r="D2984" s="60">
        <v>1.3386100000000001</v>
      </c>
      <c r="E2984" s="59">
        <v>3.7234099999999999</v>
      </c>
      <c r="F2984" s="59">
        <v>4.7903700000000002</v>
      </c>
      <c r="G2984" s="56">
        <v>115.27800000000001</v>
      </c>
      <c r="H2984" s="56">
        <v>86.117699999999999</v>
      </c>
      <c r="I2984" s="58">
        <v>0.193526</v>
      </c>
      <c r="J2984" s="57">
        <v>0.30496699999999999</v>
      </c>
      <c r="K2984" s="56"/>
      <c r="L2984" s="56" t="s">
        <v>488</v>
      </c>
    </row>
    <row r="2985" spans="2:12" x14ac:dyDescent="0.2">
      <c r="B2985" s="62" t="s">
        <v>2902</v>
      </c>
      <c r="C2985" s="61" t="s">
        <v>541</v>
      </c>
      <c r="D2985" s="60">
        <v>1.32226</v>
      </c>
      <c r="E2985" s="59">
        <v>4.1846500000000004</v>
      </c>
      <c r="F2985" s="59">
        <v>5.7662000000000004</v>
      </c>
      <c r="G2985" s="56">
        <v>1136.83</v>
      </c>
      <c r="H2985" s="56">
        <v>873.61099999999999</v>
      </c>
      <c r="I2985" s="58">
        <v>0.48611500000000002</v>
      </c>
      <c r="J2985" s="57">
        <v>0.43282100000000001</v>
      </c>
      <c r="K2985" s="56"/>
      <c r="L2985" s="56" t="s">
        <v>488</v>
      </c>
    </row>
    <row r="2986" spans="2:12" x14ac:dyDescent="0.2">
      <c r="B2986" s="62" t="s">
        <v>2901</v>
      </c>
      <c r="C2986" s="61" t="s">
        <v>541</v>
      </c>
      <c r="D2986" s="60">
        <v>1.3012999999999999</v>
      </c>
      <c r="E2986" s="59">
        <v>4.1473699999999996</v>
      </c>
      <c r="F2986" s="59">
        <v>5.7167399999999997</v>
      </c>
      <c r="G2986" s="56">
        <v>1100.3499999999999</v>
      </c>
      <c r="H2986" s="56">
        <v>832.17499999999995</v>
      </c>
      <c r="I2986" s="58">
        <v>0.49066399999999999</v>
      </c>
      <c r="J2986" s="57">
        <v>0.44339099999999998</v>
      </c>
      <c r="K2986" s="56"/>
      <c r="L2986" s="56" t="s">
        <v>488</v>
      </c>
    </row>
    <row r="2987" spans="2:12" x14ac:dyDescent="0.2">
      <c r="B2987" s="62" t="s">
        <v>2900</v>
      </c>
      <c r="C2987" s="61" t="s">
        <v>523</v>
      </c>
      <c r="D2987" s="60">
        <v>0.42751699999999998</v>
      </c>
      <c r="E2987" s="59">
        <v>14.04664</v>
      </c>
      <c r="F2987" s="59">
        <v>36.150599999999997</v>
      </c>
      <c r="G2987" s="56">
        <v>1345.1</v>
      </c>
      <c r="H2987" s="56">
        <v>3146.31</v>
      </c>
      <c r="I2987" s="58">
        <v>0.84486899999999998</v>
      </c>
      <c r="J2987" s="57">
        <v>1.96082</v>
      </c>
      <c r="K2987" s="56" t="s">
        <v>2899</v>
      </c>
      <c r="L2987" s="56" t="s">
        <v>563</v>
      </c>
    </row>
    <row r="2988" spans="2:12" x14ac:dyDescent="0.2">
      <c r="B2988" s="62" t="s">
        <v>2898</v>
      </c>
      <c r="C2988" s="61" t="s">
        <v>1006</v>
      </c>
      <c r="D2988" s="60">
        <v>1.66699</v>
      </c>
      <c r="E2988" s="59">
        <v>3.9702600000000001</v>
      </c>
      <c r="F2988" s="59">
        <v>4.3891900000000001</v>
      </c>
      <c r="G2988" s="56">
        <v>394.07900000000001</v>
      </c>
      <c r="H2988" s="56">
        <v>236.40299999999999</v>
      </c>
      <c r="I2988" s="58">
        <v>0.36523800000000001</v>
      </c>
      <c r="J2988" s="57">
        <v>0.26922600000000002</v>
      </c>
      <c r="K2988" s="56"/>
      <c r="L2988" s="56" t="s">
        <v>488</v>
      </c>
    </row>
    <row r="2989" spans="2:12" x14ac:dyDescent="0.2">
      <c r="B2989" s="62" t="s">
        <v>2897</v>
      </c>
      <c r="C2989" s="61" t="s">
        <v>1006</v>
      </c>
      <c r="D2989" s="60">
        <v>1.5202500000000001</v>
      </c>
      <c r="E2989" s="59">
        <v>4.0481800000000003</v>
      </c>
      <c r="F2989" s="59">
        <v>4.6530800000000001</v>
      </c>
      <c r="G2989" s="56">
        <v>643.47900000000004</v>
      </c>
      <c r="H2989" s="56">
        <v>423.27600000000001</v>
      </c>
      <c r="I2989" s="58">
        <v>0.40521200000000002</v>
      </c>
      <c r="J2989" s="57">
        <v>0.31472699999999998</v>
      </c>
      <c r="K2989" s="56"/>
      <c r="L2989" s="56" t="s">
        <v>488</v>
      </c>
    </row>
    <row r="2990" spans="2:12" x14ac:dyDescent="0.2">
      <c r="B2990" s="62" t="s">
        <v>2896</v>
      </c>
      <c r="C2990" s="61" t="s">
        <v>502</v>
      </c>
      <c r="D2990" s="60">
        <v>1.07382</v>
      </c>
      <c r="E2990" s="59">
        <v>3.6887599999999998</v>
      </c>
      <c r="F2990" s="59">
        <v>5.1964499999999996</v>
      </c>
      <c r="G2990" s="56">
        <v>0</v>
      </c>
      <c r="H2990" s="56">
        <v>0</v>
      </c>
      <c r="I2990" s="58">
        <v>0.28011399999999997</v>
      </c>
      <c r="J2990" s="57">
        <v>0.454428</v>
      </c>
      <c r="K2990" s="56"/>
      <c r="L2990" s="56" t="s">
        <v>492</v>
      </c>
    </row>
    <row r="2991" spans="2:12" x14ac:dyDescent="0.2">
      <c r="B2991" s="62" t="s">
        <v>2895</v>
      </c>
      <c r="C2991" s="61" t="s">
        <v>541</v>
      </c>
      <c r="D2991" s="60">
        <v>2.0966300000000002</v>
      </c>
      <c r="E2991" s="59">
        <v>3.2515100000000001</v>
      </c>
      <c r="F2991" s="59">
        <v>4.1767700000000003</v>
      </c>
      <c r="G2991" s="56">
        <v>0</v>
      </c>
      <c r="H2991" s="56">
        <v>0</v>
      </c>
      <c r="I2991" s="58">
        <v>0.22075900000000001</v>
      </c>
      <c r="J2991" s="57">
        <v>0.20513600000000001</v>
      </c>
      <c r="K2991" s="56"/>
      <c r="L2991" s="56" t="s">
        <v>488</v>
      </c>
    </row>
    <row r="2992" spans="2:12" x14ac:dyDescent="0.2">
      <c r="B2992" s="62" t="s">
        <v>2894</v>
      </c>
      <c r="C2992" s="61" t="s">
        <v>1006</v>
      </c>
      <c r="D2992" s="60">
        <v>2.1010599999999999</v>
      </c>
      <c r="E2992" s="59">
        <v>2.4085399999999999</v>
      </c>
      <c r="F2992" s="59">
        <v>3.0638800000000002</v>
      </c>
      <c r="G2992" s="56">
        <v>0</v>
      </c>
      <c r="H2992" s="56">
        <v>0</v>
      </c>
      <c r="I2992" s="58">
        <v>0.167792</v>
      </c>
      <c r="J2992" s="57">
        <v>0.171434</v>
      </c>
      <c r="K2992" s="56"/>
      <c r="L2992" s="56" t="s">
        <v>488</v>
      </c>
    </row>
    <row r="2993" spans="2:12" x14ac:dyDescent="0.2">
      <c r="B2993" s="62" t="s">
        <v>2893</v>
      </c>
      <c r="C2993" s="61" t="s">
        <v>864</v>
      </c>
      <c r="D2993" s="60">
        <v>1.44329</v>
      </c>
      <c r="E2993" s="59">
        <v>7.2672499999999998</v>
      </c>
      <c r="F2993" s="59">
        <v>8.5207300000000004</v>
      </c>
      <c r="G2993" s="56">
        <v>926.27</v>
      </c>
      <c r="H2993" s="56">
        <v>641.77800000000002</v>
      </c>
      <c r="I2993" s="58">
        <v>0.38109900000000002</v>
      </c>
      <c r="J2993" s="57">
        <v>0.40145599999999998</v>
      </c>
      <c r="K2993" s="56"/>
      <c r="L2993" s="56" t="s">
        <v>488</v>
      </c>
    </row>
    <row r="2994" spans="2:12" x14ac:dyDescent="0.2">
      <c r="B2994" s="62" t="s">
        <v>2892</v>
      </c>
      <c r="C2994" s="61" t="s">
        <v>2887</v>
      </c>
      <c r="D2994" s="60">
        <v>1.4261200000000001</v>
      </c>
      <c r="E2994" s="59">
        <v>2.89974</v>
      </c>
      <c r="F2994" s="59">
        <v>5.2317600000000004</v>
      </c>
      <c r="G2994" s="56">
        <v>0</v>
      </c>
      <c r="H2994" s="56">
        <v>0</v>
      </c>
      <c r="I2994" s="58">
        <v>0.23094899999999999</v>
      </c>
      <c r="J2994" s="57">
        <v>0.308585</v>
      </c>
      <c r="K2994" s="56"/>
      <c r="L2994" s="56" t="s">
        <v>492</v>
      </c>
    </row>
    <row r="2995" spans="2:12" x14ac:dyDescent="0.2">
      <c r="B2995" s="62" t="s">
        <v>2891</v>
      </c>
      <c r="C2995" s="61" t="s">
        <v>553</v>
      </c>
      <c r="D2995" s="60">
        <v>0.55217300000000002</v>
      </c>
      <c r="E2995" s="59">
        <v>7.4709700000000003</v>
      </c>
      <c r="F2995" s="59">
        <v>10.36031</v>
      </c>
      <c r="G2995" s="56">
        <v>2258.5500000000002</v>
      </c>
      <c r="H2995" s="56">
        <v>4090.3</v>
      </c>
      <c r="I2995" s="58">
        <v>0.83654700000000004</v>
      </c>
      <c r="J2995" s="57">
        <v>1.42075</v>
      </c>
      <c r="K2995" s="56"/>
      <c r="L2995" s="56" t="s">
        <v>488</v>
      </c>
    </row>
    <row r="2996" spans="2:12" x14ac:dyDescent="0.2">
      <c r="B2996" s="62" t="s">
        <v>2890</v>
      </c>
      <c r="C2996" s="61" t="s">
        <v>553</v>
      </c>
      <c r="D2996" s="60">
        <v>0.99346800000000002</v>
      </c>
      <c r="E2996" s="59">
        <v>4.52515</v>
      </c>
      <c r="F2996" s="59">
        <v>6.1387499999999999</v>
      </c>
      <c r="G2996" s="56">
        <v>1413.28</v>
      </c>
      <c r="H2996" s="56">
        <v>1422.57</v>
      </c>
      <c r="I2996" s="58">
        <v>0.55077600000000004</v>
      </c>
      <c r="J2996" s="57">
        <v>0.59832300000000005</v>
      </c>
      <c r="K2996" s="56"/>
      <c r="L2996" s="56" t="s">
        <v>488</v>
      </c>
    </row>
    <row r="2997" spans="2:12" x14ac:dyDescent="0.2">
      <c r="B2997" s="62" t="s">
        <v>2889</v>
      </c>
      <c r="C2997" s="61" t="s">
        <v>553</v>
      </c>
      <c r="D2997" s="60">
        <v>0.96596300000000002</v>
      </c>
      <c r="E2997" s="59">
        <v>4.5937299999999999</v>
      </c>
      <c r="F2997" s="59">
        <v>7.2261800000000003</v>
      </c>
      <c r="G2997" s="56">
        <v>1725.46</v>
      </c>
      <c r="H2997" s="56">
        <v>1786.26</v>
      </c>
      <c r="I2997" s="58">
        <v>0.64097199999999999</v>
      </c>
      <c r="J2997" s="57">
        <v>0.65661499999999995</v>
      </c>
      <c r="K2997" s="56"/>
      <c r="L2997" s="56" t="s">
        <v>488</v>
      </c>
    </row>
    <row r="2998" spans="2:12" x14ac:dyDescent="0.2">
      <c r="B2998" s="62" t="s">
        <v>2888</v>
      </c>
      <c r="C2998" s="61" t="s">
        <v>2887</v>
      </c>
      <c r="D2998" s="60">
        <v>1.05423</v>
      </c>
      <c r="E2998" s="59">
        <v>4.8412199999999999</v>
      </c>
      <c r="F2998" s="59">
        <v>7.0026200000000003</v>
      </c>
      <c r="G2998" s="56">
        <v>1461.47</v>
      </c>
      <c r="H2998" s="56">
        <v>1386.29</v>
      </c>
      <c r="I2998" s="58">
        <v>0.57620700000000002</v>
      </c>
      <c r="J2998" s="57">
        <v>0.57660400000000001</v>
      </c>
      <c r="K2998" s="56"/>
      <c r="L2998" s="56" t="s">
        <v>488</v>
      </c>
    </row>
    <row r="2999" spans="2:12" x14ac:dyDescent="0.2">
      <c r="B2999" s="62" t="s">
        <v>2886</v>
      </c>
      <c r="C2999" s="61" t="s">
        <v>553</v>
      </c>
      <c r="D2999" s="60">
        <v>0.61836599999999997</v>
      </c>
      <c r="E2999" s="59">
        <v>7.6444000000000001</v>
      </c>
      <c r="F2999" s="59">
        <v>11.002140000000001</v>
      </c>
      <c r="G2999" s="56">
        <v>2106.06</v>
      </c>
      <c r="H2999" s="56">
        <v>3405.84</v>
      </c>
      <c r="I2999" s="58">
        <v>0.80283800000000005</v>
      </c>
      <c r="J2999" s="57">
        <v>1.2342200000000001</v>
      </c>
      <c r="K2999" s="56"/>
      <c r="L2999" s="56" t="s">
        <v>488</v>
      </c>
    </row>
    <row r="3000" spans="2:12" x14ac:dyDescent="0.2">
      <c r="B3000" s="62" t="s">
        <v>2885</v>
      </c>
      <c r="C3000" s="61" t="s">
        <v>708</v>
      </c>
      <c r="D3000" s="60">
        <v>1.2959799999999999</v>
      </c>
      <c r="E3000" s="59">
        <v>3.0708000000000002</v>
      </c>
      <c r="F3000" s="59">
        <v>4.0314500000000004</v>
      </c>
      <c r="G3000" s="56">
        <v>0</v>
      </c>
      <c r="H3000" s="56">
        <v>0</v>
      </c>
      <c r="I3000" s="58">
        <v>0.114921</v>
      </c>
      <c r="J3000" s="57">
        <v>0.33650799999999997</v>
      </c>
      <c r="K3000" s="56"/>
      <c r="L3000" s="56" t="s">
        <v>488</v>
      </c>
    </row>
    <row r="3001" spans="2:12" x14ac:dyDescent="0.2">
      <c r="B3001" s="62" t="s">
        <v>2884</v>
      </c>
      <c r="C3001" s="61" t="s">
        <v>510</v>
      </c>
      <c r="D3001" s="60">
        <v>1.28373</v>
      </c>
      <c r="E3001" s="59">
        <v>3.2084000000000001</v>
      </c>
      <c r="F3001" s="59">
        <v>3.9005899999999998</v>
      </c>
      <c r="G3001" s="56">
        <v>0</v>
      </c>
      <c r="H3001" s="56">
        <v>0</v>
      </c>
      <c r="I3001" s="58">
        <v>0.119461</v>
      </c>
      <c r="J3001" s="57">
        <v>0.33631100000000003</v>
      </c>
      <c r="K3001" s="56"/>
      <c r="L3001" s="56" t="s">
        <v>488</v>
      </c>
    </row>
    <row r="3002" spans="2:12" x14ac:dyDescent="0.2">
      <c r="B3002" s="62" t="s">
        <v>2883</v>
      </c>
      <c r="C3002" s="61" t="s">
        <v>550</v>
      </c>
      <c r="D3002" s="60">
        <v>1.8672299999999999</v>
      </c>
      <c r="E3002" s="59">
        <v>4.2442399999999996</v>
      </c>
      <c r="F3002" s="59">
        <v>5.2317400000000003</v>
      </c>
      <c r="G3002" s="56">
        <v>175.268</v>
      </c>
      <c r="H3002" s="56">
        <v>93.865099999999998</v>
      </c>
      <c r="I3002" s="58">
        <v>0.27727099999999999</v>
      </c>
      <c r="J3002" s="57">
        <v>0.23016600000000001</v>
      </c>
      <c r="K3002" s="56"/>
      <c r="L3002" s="56" t="s">
        <v>488</v>
      </c>
    </row>
    <row r="3003" spans="2:12" x14ac:dyDescent="0.2">
      <c r="B3003" s="62" t="s">
        <v>2882</v>
      </c>
      <c r="C3003" s="61" t="s">
        <v>499</v>
      </c>
      <c r="D3003" s="60">
        <v>0.96491400000000005</v>
      </c>
      <c r="E3003" s="59">
        <v>5.0484799999999996</v>
      </c>
      <c r="F3003" s="59">
        <v>6.6600200000000003</v>
      </c>
      <c r="G3003" s="56">
        <v>1744.62</v>
      </c>
      <c r="H3003" s="56">
        <v>1808.05</v>
      </c>
      <c r="I3003" s="58">
        <v>0.621027</v>
      </c>
      <c r="J3003" s="57">
        <v>0.65997399999999995</v>
      </c>
      <c r="K3003" s="56"/>
      <c r="L3003" s="56" t="s">
        <v>488</v>
      </c>
    </row>
    <row r="3004" spans="2:12" x14ac:dyDescent="0.2">
      <c r="B3004" s="62" t="s">
        <v>2881</v>
      </c>
      <c r="C3004" s="61" t="s">
        <v>918</v>
      </c>
      <c r="D3004" s="60">
        <v>0.96851200000000004</v>
      </c>
      <c r="E3004" s="59">
        <v>8.9043899999999994</v>
      </c>
      <c r="F3004" s="59">
        <v>11.429130000000001</v>
      </c>
      <c r="G3004" s="56">
        <v>2122.0100000000002</v>
      </c>
      <c r="H3004" s="56">
        <v>2191</v>
      </c>
      <c r="I3004" s="58">
        <v>0.80774299999999999</v>
      </c>
      <c r="J3004" s="57">
        <v>0.79163899999999998</v>
      </c>
      <c r="K3004" s="56"/>
      <c r="L3004" s="56" t="s">
        <v>488</v>
      </c>
    </row>
    <row r="3005" spans="2:12" x14ac:dyDescent="0.2">
      <c r="B3005" s="62" t="s">
        <v>2880</v>
      </c>
      <c r="C3005" s="61" t="s">
        <v>918</v>
      </c>
      <c r="D3005" s="60">
        <v>0.97519900000000004</v>
      </c>
      <c r="E3005" s="59">
        <v>9.0767500000000005</v>
      </c>
      <c r="F3005" s="59">
        <v>10.66695</v>
      </c>
      <c r="G3005" s="56">
        <v>2137.7199999999998</v>
      </c>
      <c r="H3005" s="56">
        <v>2192.09</v>
      </c>
      <c r="I3005" s="58">
        <v>0.80979199999999996</v>
      </c>
      <c r="J3005" s="57">
        <v>0.78516799999999998</v>
      </c>
      <c r="K3005" s="56"/>
      <c r="L3005" s="56" t="s">
        <v>488</v>
      </c>
    </row>
    <row r="3006" spans="2:12" x14ac:dyDescent="0.2">
      <c r="B3006" s="62" t="s">
        <v>2879</v>
      </c>
      <c r="C3006" s="61" t="s">
        <v>550</v>
      </c>
      <c r="D3006" s="60">
        <v>1.2609900000000001</v>
      </c>
      <c r="E3006" s="59">
        <v>4.3072800000000004</v>
      </c>
      <c r="F3006" s="59">
        <v>6.5723799999999999</v>
      </c>
      <c r="G3006" s="56">
        <v>1291.19</v>
      </c>
      <c r="H3006" s="56">
        <v>1023.95</v>
      </c>
      <c r="I3006" s="58">
        <v>0.49659500000000001</v>
      </c>
      <c r="J3006" s="57">
        <v>0.45777000000000001</v>
      </c>
      <c r="K3006" s="56"/>
      <c r="L3006" s="56" t="s">
        <v>488</v>
      </c>
    </row>
    <row r="3007" spans="2:12" x14ac:dyDescent="0.2">
      <c r="B3007" s="62" t="s">
        <v>2878</v>
      </c>
      <c r="C3007" s="61" t="s">
        <v>550</v>
      </c>
      <c r="D3007" s="60">
        <v>1.4467399999999999</v>
      </c>
      <c r="E3007" s="59">
        <v>3.3008099999999998</v>
      </c>
      <c r="F3007" s="59">
        <v>5.40015</v>
      </c>
      <c r="G3007" s="56">
        <v>0</v>
      </c>
      <c r="H3007" s="56">
        <v>0</v>
      </c>
      <c r="I3007" s="58">
        <v>0.31687199999999999</v>
      </c>
      <c r="J3007" s="57">
        <v>0.32407000000000002</v>
      </c>
      <c r="K3007" s="56"/>
      <c r="L3007" s="56" t="s">
        <v>488</v>
      </c>
    </row>
    <row r="3008" spans="2:12" x14ac:dyDescent="0.2">
      <c r="B3008" s="62" t="s">
        <v>2877</v>
      </c>
      <c r="C3008" s="61" t="s">
        <v>531</v>
      </c>
      <c r="D3008" s="60">
        <v>1.5679099999999999</v>
      </c>
      <c r="E3008" s="59">
        <v>6.7076099999999999</v>
      </c>
      <c r="F3008" s="59">
        <v>6.9911700000000003</v>
      </c>
      <c r="G3008" s="56">
        <v>1417.31</v>
      </c>
      <c r="H3008" s="56">
        <v>903.95299999999997</v>
      </c>
      <c r="I3008" s="58">
        <v>0.60534900000000003</v>
      </c>
      <c r="J3008" s="57">
        <v>0.36218499999999998</v>
      </c>
      <c r="K3008" s="56"/>
      <c r="L3008" s="56" t="s">
        <v>488</v>
      </c>
    </row>
    <row r="3009" spans="2:12" x14ac:dyDescent="0.2">
      <c r="B3009" s="62" t="s">
        <v>2876</v>
      </c>
      <c r="C3009" s="61" t="s">
        <v>499</v>
      </c>
      <c r="D3009" s="60">
        <v>0.92467600000000005</v>
      </c>
      <c r="E3009" s="59">
        <v>3.1269100000000001</v>
      </c>
      <c r="F3009" s="59">
        <v>11.42938</v>
      </c>
      <c r="G3009" s="56">
        <v>0</v>
      </c>
      <c r="H3009" s="56">
        <v>0</v>
      </c>
      <c r="I3009" s="58">
        <v>0.52480800000000005</v>
      </c>
      <c r="J3009" s="57">
        <v>0.68538399999999999</v>
      </c>
      <c r="K3009" s="56"/>
      <c r="L3009" s="56" t="s">
        <v>488</v>
      </c>
    </row>
    <row r="3010" spans="2:12" x14ac:dyDescent="0.2">
      <c r="B3010" s="62" t="s">
        <v>2875</v>
      </c>
      <c r="C3010" s="61" t="s">
        <v>499</v>
      </c>
      <c r="D3010" s="60">
        <v>0.92152999999999996</v>
      </c>
      <c r="E3010" s="59">
        <v>3.4096199999999999</v>
      </c>
      <c r="F3010" s="59">
        <v>11.46292</v>
      </c>
      <c r="G3010" s="56">
        <v>0</v>
      </c>
      <c r="H3010" s="56">
        <v>0</v>
      </c>
      <c r="I3010" s="58">
        <v>0.52065700000000004</v>
      </c>
      <c r="J3010" s="57">
        <v>0.67900099999999997</v>
      </c>
      <c r="K3010" s="56"/>
      <c r="L3010" s="56" t="s">
        <v>730</v>
      </c>
    </row>
    <row r="3011" spans="2:12" x14ac:dyDescent="0.2">
      <c r="B3011" s="62" t="s">
        <v>2874</v>
      </c>
      <c r="C3011" s="61" t="s">
        <v>499</v>
      </c>
      <c r="D3011" s="60">
        <v>0.92414799999999997</v>
      </c>
      <c r="E3011" s="59">
        <v>3.48468</v>
      </c>
      <c r="F3011" s="59">
        <v>11.441190000000001</v>
      </c>
      <c r="G3011" s="56">
        <v>0</v>
      </c>
      <c r="H3011" s="56">
        <v>0</v>
      </c>
      <c r="I3011" s="58">
        <v>0.53844800000000004</v>
      </c>
      <c r="J3011" s="57">
        <v>0.69296199999999997</v>
      </c>
      <c r="K3011" s="56"/>
      <c r="L3011" s="56" t="s">
        <v>488</v>
      </c>
    </row>
    <row r="3012" spans="2:12" x14ac:dyDescent="0.2">
      <c r="B3012" s="62" t="s">
        <v>2873</v>
      </c>
      <c r="C3012" s="61" t="s">
        <v>499</v>
      </c>
      <c r="D3012" s="60">
        <v>0.91425400000000001</v>
      </c>
      <c r="E3012" s="59">
        <v>3.43919</v>
      </c>
      <c r="F3012" s="59">
        <v>11.517659999999999</v>
      </c>
      <c r="G3012" s="56">
        <v>0</v>
      </c>
      <c r="H3012" s="56">
        <v>0</v>
      </c>
      <c r="I3012" s="58">
        <v>0.55121900000000001</v>
      </c>
      <c r="J3012" s="57">
        <v>0.705847</v>
      </c>
      <c r="K3012" s="56"/>
      <c r="L3012" s="56" t="s">
        <v>488</v>
      </c>
    </row>
    <row r="3013" spans="2:12" x14ac:dyDescent="0.2">
      <c r="B3013" s="62" t="s">
        <v>2872</v>
      </c>
      <c r="C3013" s="61" t="s">
        <v>940</v>
      </c>
      <c r="D3013" s="60">
        <v>1.9167799999999999</v>
      </c>
      <c r="E3013" s="59">
        <v>4.9999000000000002</v>
      </c>
      <c r="F3013" s="59">
        <v>7.1869300000000003</v>
      </c>
      <c r="G3013" s="56">
        <v>694.98099999999999</v>
      </c>
      <c r="H3013" s="56">
        <v>362.577</v>
      </c>
      <c r="I3013" s="58">
        <v>0.316664</v>
      </c>
      <c r="J3013" s="57">
        <v>0.226433</v>
      </c>
      <c r="K3013" s="56"/>
      <c r="L3013" s="56" t="s">
        <v>488</v>
      </c>
    </row>
    <row r="3014" spans="2:12" x14ac:dyDescent="0.2">
      <c r="B3014" s="62" t="s">
        <v>2871</v>
      </c>
      <c r="C3014" s="61" t="s">
        <v>1100</v>
      </c>
      <c r="D3014" s="60">
        <v>1.8342000000000001</v>
      </c>
      <c r="E3014" s="59">
        <v>5.0768800000000001</v>
      </c>
      <c r="F3014" s="59">
        <v>7.30457</v>
      </c>
      <c r="G3014" s="56">
        <v>722.96799999999996</v>
      </c>
      <c r="H3014" s="56">
        <v>394.15899999999999</v>
      </c>
      <c r="I3014" s="58">
        <v>0.32142300000000001</v>
      </c>
      <c r="J3014" s="57">
        <v>0.242697</v>
      </c>
      <c r="K3014" s="56"/>
      <c r="L3014" s="56" t="s">
        <v>488</v>
      </c>
    </row>
    <row r="3015" spans="2:12" x14ac:dyDescent="0.2">
      <c r="B3015" s="62" t="s">
        <v>2870</v>
      </c>
      <c r="C3015" s="61" t="s">
        <v>878</v>
      </c>
      <c r="D3015" s="60">
        <v>1.82236</v>
      </c>
      <c r="E3015" s="59">
        <v>5.0903999999999998</v>
      </c>
      <c r="F3015" s="59">
        <v>7.3647600000000004</v>
      </c>
      <c r="G3015" s="56">
        <v>726.30899999999997</v>
      </c>
      <c r="H3015" s="56">
        <v>398.55399999999997</v>
      </c>
      <c r="I3015" s="58">
        <v>0.31884400000000002</v>
      </c>
      <c r="J3015" s="57">
        <v>0.24676999999999999</v>
      </c>
      <c r="K3015" s="56"/>
      <c r="L3015" s="56" t="s">
        <v>488</v>
      </c>
    </row>
    <row r="3016" spans="2:12" x14ac:dyDescent="0.2">
      <c r="B3016" s="62" t="s">
        <v>2869</v>
      </c>
      <c r="C3016" s="61" t="s">
        <v>499</v>
      </c>
      <c r="D3016" s="60">
        <v>1.8670199999999999</v>
      </c>
      <c r="E3016" s="59">
        <v>2.8644400000000001</v>
      </c>
      <c r="F3016" s="59">
        <v>5.1900300000000001</v>
      </c>
      <c r="G3016" s="56">
        <v>0</v>
      </c>
      <c r="H3016" s="56">
        <v>0</v>
      </c>
      <c r="I3016" s="58">
        <v>5.2971699999999997E-2</v>
      </c>
      <c r="J3016" s="57">
        <v>0.20686599999999999</v>
      </c>
      <c r="K3016" s="56"/>
      <c r="L3016" s="56" t="s">
        <v>492</v>
      </c>
    </row>
    <row r="3017" spans="2:12" x14ac:dyDescent="0.2">
      <c r="B3017" s="62" t="s">
        <v>2868</v>
      </c>
      <c r="C3017" s="61" t="s">
        <v>499</v>
      </c>
      <c r="D3017" s="60">
        <v>1.71356</v>
      </c>
      <c r="E3017" s="59">
        <v>3.1441599999999998</v>
      </c>
      <c r="F3017" s="59">
        <v>4.1978200000000001</v>
      </c>
      <c r="G3017" s="56">
        <v>0</v>
      </c>
      <c r="H3017" s="56">
        <v>0</v>
      </c>
      <c r="I3017" s="58">
        <v>7.3316599999999996E-2</v>
      </c>
      <c r="J3017" s="57">
        <v>0.24612300000000001</v>
      </c>
      <c r="K3017" s="56"/>
      <c r="L3017" s="56" t="s">
        <v>492</v>
      </c>
    </row>
    <row r="3018" spans="2:12" x14ac:dyDescent="0.2">
      <c r="B3018" s="62" t="s">
        <v>2867</v>
      </c>
      <c r="C3018" s="61" t="s">
        <v>499</v>
      </c>
      <c r="D3018" s="60">
        <v>1.8402700000000001</v>
      </c>
      <c r="E3018" s="59">
        <v>3.5726100000000001</v>
      </c>
      <c r="F3018" s="59">
        <v>4.8603500000000004</v>
      </c>
      <c r="G3018" s="56">
        <v>0</v>
      </c>
      <c r="H3018" s="56">
        <v>0</v>
      </c>
      <c r="I3018" s="58">
        <v>7.7057600000000004E-2</v>
      </c>
      <c r="J3018" s="57">
        <v>0.21560399999999999</v>
      </c>
      <c r="K3018" s="56"/>
      <c r="L3018" s="56" t="s">
        <v>492</v>
      </c>
    </row>
    <row r="3019" spans="2:12" x14ac:dyDescent="0.2">
      <c r="B3019" s="62" t="s">
        <v>2866</v>
      </c>
      <c r="C3019" s="61" t="s">
        <v>502</v>
      </c>
      <c r="D3019" s="60">
        <v>0.78927400000000003</v>
      </c>
      <c r="E3019" s="59">
        <v>7.7796200000000004</v>
      </c>
      <c r="F3019" s="59">
        <v>11.39371</v>
      </c>
      <c r="G3019" s="56">
        <v>2182.54</v>
      </c>
      <c r="H3019" s="56">
        <v>2765.25</v>
      </c>
      <c r="I3019" s="58">
        <v>0.78254900000000005</v>
      </c>
      <c r="J3019" s="57">
        <v>0.928732</v>
      </c>
      <c r="K3019" s="56"/>
      <c r="L3019" s="56" t="s">
        <v>488</v>
      </c>
    </row>
    <row r="3020" spans="2:12" x14ac:dyDescent="0.2">
      <c r="B3020" s="62" t="s">
        <v>2865</v>
      </c>
      <c r="C3020" s="61" t="s">
        <v>550</v>
      </c>
      <c r="D3020" s="60">
        <v>0.84112500000000001</v>
      </c>
      <c r="E3020" s="59">
        <v>6.7037199999999997</v>
      </c>
      <c r="F3020" s="59">
        <v>8.0713100000000004</v>
      </c>
      <c r="G3020" s="56">
        <v>2372.59</v>
      </c>
      <c r="H3020" s="56">
        <v>2820.73</v>
      </c>
      <c r="I3020" s="58">
        <v>0.79572299999999996</v>
      </c>
      <c r="J3020" s="57">
        <v>0.89495999999999998</v>
      </c>
      <c r="K3020" s="56"/>
      <c r="L3020" s="56" t="s">
        <v>488</v>
      </c>
    </row>
    <row r="3021" spans="2:12" x14ac:dyDescent="0.2">
      <c r="B3021" s="62" t="s">
        <v>2864</v>
      </c>
      <c r="C3021" s="61" t="s">
        <v>495</v>
      </c>
      <c r="D3021" s="60">
        <v>1.1538200000000001</v>
      </c>
      <c r="E3021" s="59">
        <v>4.5731299999999999</v>
      </c>
      <c r="F3021" s="59">
        <v>6.2995900000000002</v>
      </c>
      <c r="G3021" s="56">
        <v>1113.8900000000001</v>
      </c>
      <c r="H3021" s="56">
        <v>965.39599999999996</v>
      </c>
      <c r="I3021" s="58">
        <v>0.46796700000000002</v>
      </c>
      <c r="J3021" s="57">
        <v>0.45865699999999998</v>
      </c>
      <c r="K3021" s="56"/>
      <c r="L3021" s="56" t="s">
        <v>488</v>
      </c>
    </row>
    <row r="3022" spans="2:12" x14ac:dyDescent="0.2">
      <c r="B3022" s="62" t="s">
        <v>2863</v>
      </c>
      <c r="C3022" s="61" t="s">
        <v>1613</v>
      </c>
      <c r="D3022" s="60">
        <v>1.56223</v>
      </c>
      <c r="E3022" s="59">
        <v>5.0629099999999996</v>
      </c>
      <c r="F3022" s="59">
        <v>5.5384500000000001</v>
      </c>
      <c r="G3022" s="56">
        <v>413.59199999999998</v>
      </c>
      <c r="H3022" s="56">
        <v>264.745</v>
      </c>
      <c r="I3022" s="58">
        <v>0.22806399999999999</v>
      </c>
      <c r="J3022" s="57">
        <v>0.26376899999999998</v>
      </c>
      <c r="K3022" s="56"/>
      <c r="L3022" s="56" t="s">
        <v>488</v>
      </c>
    </row>
    <row r="3023" spans="2:12" x14ac:dyDescent="0.2">
      <c r="B3023" s="62" t="s">
        <v>2862</v>
      </c>
      <c r="C3023" s="61" t="s">
        <v>507</v>
      </c>
      <c r="D3023" s="60">
        <v>1.8757600000000001</v>
      </c>
      <c r="E3023" s="59">
        <v>3.4600599999999999</v>
      </c>
      <c r="F3023" s="59">
        <v>4.3726799999999999</v>
      </c>
      <c r="G3023" s="56">
        <v>0</v>
      </c>
      <c r="H3023" s="56">
        <v>0</v>
      </c>
      <c r="I3023" s="58">
        <v>0.327156</v>
      </c>
      <c r="J3023" s="57">
        <v>0.25884600000000002</v>
      </c>
      <c r="K3023" s="56"/>
      <c r="L3023" s="56" t="s">
        <v>488</v>
      </c>
    </row>
    <row r="3024" spans="2:12" x14ac:dyDescent="0.2">
      <c r="B3024" s="62" t="s">
        <v>2861</v>
      </c>
      <c r="C3024" s="61" t="s">
        <v>510</v>
      </c>
      <c r="D3024" s="60">
        <v>1.5673299999999999</v>
      </c>
      <c r="E3024" s="59">
        <v>3.0795599999999999</v>
      </c>
      <c r="F3024" s="59">
        <v>3.67442</v>
      </c>
      <c r="G3024" s="56">
        <v>0</v>
      </c>
      <c r="H3024" s="56">
        <v>0</v>
      </c>
      <c r="I3024" s="58">
        <v>8.6030200000000001E-2</v>
      </c>
      <c r="J3024" s="57">
        <v>0.241788</v>
      </c>
      <c r="K3024" s="56"/>
      <c r="L3024" s="56" t="s">
        <v>488</v>
      </c>
    </row>
    <row r="3025" spans="2:12" x14ac:dyDescent="0.2">
      <c r="B3025" s="62" t="s">
        <v>2860</v>
      </c>
      <c r="C3025" s="61" t="s">
        <v>625</v>
      </c>
      <c r="D3025" s="60">
        <v>1.7345999999999999</v>
      </c>
      <c r="E3025" s="59">
        <v>2.8045599999999999</v>
      </c>
      <c r="F3025" s="59">
        <v>3.6124999999999998</v>
      </c>
      <c r="G3025" s="56">
        <v>0</v>
      </c>
      <c r="H3025" s="56">
        <v>0</v>
      </c>
      <c r="I3025" s="58">
        <v>0.20185400000000001</v>
      </c>
      <c r="J3025" s="57">
        <v>0.25784400000000002</v>
      </c>
      <c r="K3025" s="56"/>
      <c r="L3025" s="56" t="s">
        <v>488</v>
      </c>
    </row>
    <row r="3026" spans="2:12" x14ac:dyDescent="0.2">
      <c r="B3026" s="62" t="s">
        <v>2859</v>
      </c>
      <c r="C3026" s="61" t="s">
        <v>625</v>
      </c>
      <c r="D3026" s="60">
        <v>1.98367</v>
      </c>
      <c r="E3026" s="59">
        <v>2.4539</v>
      </c>
      <c r="F3026" s="59">
        <v>4.1890900000000002</v>
      </c>
      <c r="G3026" s="56">
        <v>0</v>
      </c>
      <c r="H3026" s="56">
        <v>0</v>
      </c>
      <c r="I3026" s="58">
        <v>0.29836099999999999</v>
      </c>
      <c r="J3026" s="57">
        <v>0.24451700000000001</v>
      </c>
      <c r="K3026" s="56"/>
      <c r="L3026" s="56" t="s">
        <v>488</v>
      </c>
    </row>
    <row r="3027" spans="2:12" x14ac:dyDescent="0.2">
      <c r="B3027" s="62" t="s">
        <v>2858</v>
      </c>
      <c r="C3027" s="61" t="s">
        <v>499</v>
      </c>
      <c r="D3027" s="60">
        <v>1.08508</v>
      </c>
      <c r="E3027" s="59">
        <v>4.2104699999999999</v>
      </c>
      <c r="F3027" s="59">
        <v>6.5797499999999998</v>
      </c>
      <c r="G3027" s="56">
        <v>1410.11</v>
      </c>
      <c r="H3027" s="56">
        <v>1299.55</v>
      </c>
      <c r="I3027" s="58">
        <v>0.60559399999999997</v>
      </c>
      <c r="J3027" s="57">
        <v>0.58139300000000005</v>
      </c>
      <c r="K3027" s="56"/>
      <c r="L3027" s="56" t="s">
        <v>488</v>
      </c>
    </row>
    <row r="3028" spans="2:12" x14ac:dyDescent="0.2">
      <c r="B3028" s="62" t="s">
        <v>2857</v>
      </c>
      <c r="C3028" s="61" t="s">
        <v>499</v>
      </c>
      <c r="D3028" s="60">
        <v>1.4054599999999999</v>
      </c>
      <c r="E3028" s="59">
        <v>3.9125000000000001</v>
      </c>
      <c r="F3028" s="59">
        <v>4.9258100000000002</v>
      </c>
      <c r="G3028" s="56">
        <v>614.90099999999995</v>
      </c>
      <c r="H3028" s="56">
        <v>437.50799999999998</v>
      </c>
      <c r="I3028" s="58">
        <v>0.29723300000000002</v>
      </c>
      <c r="J3028" s="57">
        <v>0.36175600000000002</v>
      </c>
      <c r="K3028" s="56"/>
      <c r="L3028" s="56" t="s">
        <v>488</v>
      </c>
    </row>
    <row r="3029" spans="2:12" x14ac:dyDescent="0.2">
      <c r="B3029" s="62" t="s">
        <v>2856</v>
      </c>
      <c r="C3029" s="61" t="s">
        <v>499</v>
      </c>
      <c r="D3029" s="60">
        <v>1.05864</v>
      </c>
      <c r="E3029" s="59">
        <v>5.2189899999999998</v>
      </c>
      <c r="F3029" s="59">
        <v>5.6449199999999999</v>
      </c>
      <c r="G3029" s="56">
        <v>1509.26</v>
      </c>
      <c r="H3029" s="56">
        <v>1425.66</v>
      </c>
      <c r="I3029" s="58">
        <v>0.54770799999999997</v>
      </c>
      <c r="J3029" s="57">
        <v>0.59318099999999996</v>
      </c>
      <c r="K3029" s="56"/>
      <c r="L3029" s="56" t="s">
        <v>488</v>
      </c>
    </row>
    <row r="3030" spans="2:12" x14ac:dyDescent="0.2">
      <c r="B3030" s="62" t="s">
        <v>2855</v>
      </c>
      <c r="C3030" s="61" t="s">
        <v>499</v>
      </c>
      <c r="D3030" s="60">
        <v>1.45357</v>
      </c>
      <c r="E3030" s="59">
        <v>3.6815500000000001</v>
      </c>
      <c r="F3030" s="59">
        <v>5.1769600000000002</v>
      </c>
      <c r="G3030" s="56">
        <v>0</v>
      </c>
      <c r="H3030" s="56">
        <v>0</v>
      </c>
      <c r="I3030" s="58">
        <v>0.28726200000000002</v>
      </c>
      <c r="J3030" s="57">
        <v>0.33638200000000001</v>
      </c>
      <c r="K3030" s="56"/>
      <c r="L3030" s="56" t="s">
        <v>488</v>
      </c>
    </row>
    <row r="3031" spans="2:12" x14ac:dyDescent="0.2">
      <c r="B3031" s="62" t="s">
        <v>2854</v>
      </c>
      <c r="C3031" s="61" t="s">
        <v>510</v>
      </c>
      <c r="D3031" s="60">
        <v>1.24359</v>
      </c>
      <c r="E3031" s="59">
        <v>5.9560199999999996</v>
      </c>
      <c r="F3031" s="59">
        <v>6.21326</v>
      </c>
      <c r="G3031" s="56">
        <v>864.18100000000004</v>
      </c>
      <c r="H3031" s="56">
        <v>694.90599999999995</v>
      </c>
      <c r="I3031" s="58">
        <v>0.42553800000000003</v>
      </c>
      <c r="J3031" s="57">
        <v>0.40046300000000001</v>
      </c>
      <c r="K3031" s="56"/>
      <c r="L3031" s="56" t="s">
        <v>488</v>
      </c>
    </row>
    <row r="3032" spans="2:12" x14ac:dyDescent="0.2">
      <c r="B3032" s="62" t="s">
        <v>2853</v>
      </c>
      <c r="C3032" s="61" t="s">
        <v>502</v>
      </c>
      <c r="D3032" s="60">
        <v>0.41086400000000001</v>
      </c>
      <c r="E3032" s="59">
        <v>10.64936</v>
      </c>
      <c r="F3032" s="59">
        <v>14.90715</v>
      </c>
      <c r="G3032" s="56">
        <v>2121.46</v>
      </c>
      <c r="H3032" s="56">
        <v>5163.42</v>
      </c>
      <c r="I3032" s="58">
        <v>0.86169600000000002</v>
      </c>
      <c r="J3032" s="57">
        <v>2.0333999999999999</v>
      </c>
      <c r="K3032" s="56"/>
      <c r="L3032" s="56" t="s">
        <v>488</v>
      </c>
    </row>
    <row r="3033" spans="2:12" x14ac:dyDescent="0.2">
      <c r="B3033" s="62" t="s">
        <v>2852</v>
      </c>
      <c r="C3033" s="61" t="s">
        <v>708</v>
      </c>
      <c r="D3033" s="60">
        <v>1.2702100000000001</v>
      </c>
      <c r="E3033" s="59">
        <v>5.9632100000000001</v>
      </c>
      <c r="F3033" s="59">
        <v>6.2102899999999996</v>
      </c>
      <c r="G3033" s="56">
        <v>893.40899999999999</v>
      </c>
      <c r="H3033" s="56">
        <v>703.35900000000004</v>
      </c>
      <c r="I3033" s="58">
        <v>0.43474499999999999</v>
      </c>
      <c r="J3033" s="57">
        <v>0.39440999999999998</v>
      </c>
      <c r="K3033" s="56"/>
      <c r="L3033" s="56" t="s">
        <v>488</v>
      </c>
    </row>
    <row r="3034" spans="2:12" x14ac:dyDescent="0.2">
      <c r="B3034" s="62" t="s">
        <v>2851</v>
      </c>
      <c r="C3034" s="61" t="s">
        <v>502</v>
      </c>
      <c r="D3034" s="60">
        <v>0.95098400000000005</v>
      </c>
      <c r="E3034" s="59">
        <v>5.4347399999999997</v>
      </c>
      <c r="F3034" s="59">
        <v>10.462120000000001</v>
      </c>
      <c r="G3034" s="56">
        <v>1475.04</v>
      </c>
      <c r="H3034" s="56">
        <v>1551.06</v>
      </c>
      <c r="I3034" s="58">
        <v>0.61461200000000005</v>
      </c>
      <c r="J3034" s="57">
        <v>0.65031700000000003</v>
      </c>
      <c r="K3034" s="56"/>
      <c r="L3034" s="56" t="s">
        <v>488</v>
      </c>
    </row>
    <row r="3035" spans="2:12" x14ac:dyDescent="0.2">
      <c r="B3035" s="62" t="s">
        <v>2850</v>
      </c>
      <c r="C3035" s="61" t="s">
        <v>510</v>
      </c>
      <c r="D3035" s="60">
        <v>1.53003</v>
      </c>
      <c r="E3035" s="59">
        <v>2.6563599999999998</v>
      </c>
      <c r="F3035" s="59">
        <v>4.1302199999999996</v>
      </c>
      <c r="G3035" s="56">
        <v>0</v>
      </c>
      <c r="H3035" s="56">
        <v>0</v>
      </c>
      <c r="I3035" s="58">
        <v>0.22960800000000001</v>
      </c>
      <c r="J3035" s="57">
        <v>0.31578800000000001</v>
      </c>
      <c r="K3035" s="56"/>
      <c r="L3035" s="56" t="s">
        <v>488</v>
      </c>
    </row>
    <row r="3036" spans="2:12" x14ac:dyDescent="0.2">
      <c r="B3036" s="62" t="s">
        <v>2849</v>
      </c>
      <c r="C3036" s="61" t="s">
        <v>541</v>
      </c>
      <c r="D3036" s="60">
        <v>1.0961700000000001</v>
      </c>
      <c r="E3036" s="59">
        <v>8.6885999999999992</v>
      </c>
      <c r="F3036" s="59">
        <v>9.6000899999999998</v>
      </c>
      <c r="G3036" s="56">
        <v>953.53</v>
      </c>
      <c r="H3036" s="56">
        <v>869.87800000000004</v>
      </c>
      <c r="I3036" s="58">
        <v>0.47704099999999999</v>
      </c>
      <c r="J3036" s="57">
        <v>0.51424899999999996</v>
      </c>
      <c r="K3036" s="56"/>
      <c r="L3036" s="56" t="s">
        <v>492</v>
      </c>
    </row>
    <row r="3037" spans="2:12" x14ac:dyDescent="0.2">
      <c r="B3037" s="62" t="s">
        <v>2848</v>
      </c>
      <c r="C3037" s="61" t="s">
        <v>531</v>
      </c>
      <c r="D3037" s="60">
        <v>1.0736399999999999</v>
      </c>
      <c r="E3037" s="59">
        <v>8.8711599999999997</v>
      </c>
      <c r="F3037" s="59">
        <v>9.8373000000000008</v>
      </c>
      <c r="G3037" s="56">
        <v>1014.42</v>
      </c>
      <c r="H3037" s="56">
        <v>944.83900000000006</v>
      </c>
      <c r="I3037" s="58">
        <v>0.49596699999999999</v>
      </c>
      <c r="J3037" s="57">
        <v>0.53581699999999999</v>
      </c>
      <c r="K3037" s="56"/>
      <c r="L3037" s="56" t="s">
        <v>492</v>
      </c>
    </row>
    <row r="3038" spans="2:12" x14ac:dyDescent="0.2">
      <c r="B3038" s="62" t="s">
        <v>2847</v>
      </c>
      <c r="C3038" s="61" t="s">
        <v>502</v>
      </c>
      <c r="D3038" s="60">
        <v>1.42933</v>
      </c>
      <c r="E3038" s="59">
        <v>4.0238100000000001</v>
      </c>
      <c r="F3038" s="59">
        <v>6.4812200000000004</v>
      </c>
      <c r="G3038" s="56">
        <v>416.22899999999998</v>
      </c>
      <c r="H3038" s="56">
        <v>291.20499999999998</v>
      </c>
      <c r="I3038" s="58">
        <v>0.17347199999999999</v>
      </c>
      <c r="J3038" s="57">
        <v>0.33519599999999999</v>
      </c>
      <c r="K3038" s="56"/>
      <c r="L3038" s="56" t="s">
        <v>492</v>
      </c>
    </row>
    <row r="3039" spans="2:12" x14ac:dyDescent="0.2">
      <c r="B3039" s="62" t="s">
        <v>2846</v>
      </c>
      <c r="C3039" s="61" t="s">
        <v>499</v>
      </c>
      <c r="D3039" s="60">
        <v>0.90890400000000005</v>
      </c>
      <c r="E3039" s="59">
        <v>6.2484299999999999</v>
      </c>
      <c r="F3039" s="59">
        <v>7.3423699999999998</v>
      </c>
      <c r="G3039" s="56">
        <v>1424.82</v>
      </c>
      <c r="H3039" s="56">
        <v>1567.63</v>
      </c>
      <c r="I3039" s="58">
        <v>0.57941799999999999</v>
      </c>
      <c r="J3039" s="57">
        <v>0.67874100000000004</v>
      </c>
      <c r="K3039" s="56"/>
      <c r="L3039" s="56" t="s">
        <v>488</v>
      </c>
    </row>
    <row r="3040" spans="2:12" x14ac:dyDescent="0.2">
      <c r="B3040" s="62" t="s">
        <v>2845</v>
      </c>
      <c r="C3040" s="61" t="s">
        <v>510</v>
      </c>
      <c r="D3040" s="60">
        <v>1.63754</v>
      </c>
      <c r="E3040" s="59">
        <v>3.53796</v>
      </c>
      <c r="F3040" s="59">
        <v>5.8345599999999997</v>
      </c>
      <c r="G3040" s="56">
        <v>0</v>
      </c>
      <c r="H3040" s="56">
        <v>0</v>
      </c>
      <c r="I3040" s="58">
        <v>0.329038</v>
      </c>
      <c r="J3040" s="57">
        <v>0.25106699999999998</v>
      </c>
      <c r="K3040" s="56"/>
      <c r="L3040" s="56" t="s">
        <v>488</v>
      </c>
    </row>
    <row r="3041" spans="2:12" x14ac:dyDescent="0.2">
      <c r="B3041" s="62" t="s">
        <v>2844</v>
      </c>
      <c r="C3041" s="61" t="s">
        <v>502</v>
      </c>
      <c r="D3041" s="60">
        <v>0.96898499999999999</v>
      </c>
      <c r="E3041" s="59">
        <v>5.2298900000000001</v>
      </c>
      <c r="F3041" s="59">
        <v>9.4890500000000007</v>
      </c>
      <c r="G3041" s="56">
        <v>1709.48</v>
      </c>
      <c r="H3041" s="56">
        <v>1764.19</v>
      </c>
      <c r="I3041" s="58">
        <v>0.66962299999999997</v>
      </c>
      <c r="J3041" s="57">
        <v>0.68652800000000003</v>
      </c>
      <c r="K3041" s="56"/>
      <c r="L3041" s="56" t="s">
        <v>492</v>
      </c>
    </row>
    <row r="3042" spans="2:12" x14ac:dyDescent="0.2">
      <c r="B3042" s="62" t="s">
        <v>2843</v>
      </c>
      <c r="C3042" s="61" t="s">
        <v>550</v>
      </c>
      <c r="D3042" s="60">
        <v>1.15127</v>
      </c>
      <c r="E3042" s="59">
        <v>4.8868</v>
      </c>
      <c r="F3042" s="59">
        <v>5.9184200000000002</v>
      </c>
      <c r="G3042" s="56">
        <v>1012.45</v>
      </c>
      <c r="H3042" s="56">
        <v>879.41399999999999</v>
      </c>
      <c r="I3042" s="58">
        <v>0.49428299999999997</v>
      </c>
      <c r="J3042" s="57">
        <v>0.48205399999999998</v>
      </c>
      <c r="K3042" s="56"/>
      <c r="L3042" s="56" t="s">
        <v>488</v>
      </c>
    </row>
    <row r="3043" spans="2:12" x14ac:dyDescent="0.2">
      <c r="B3043" s="62" t="s">
        <v>2842</v>
      </c>
      <c r="C3043" s="61" t="s">
        <v>550</v>
      </c>
      <c r="D3043" s="60">
        <v>1.2283999999999999</v>
      </c>
      <c r="E3043" s="59">
        <v>4.4324399999999997</v>
      </c>
      <c r="F3043" s="59">
        <v>5.2245100000000004</v>
      </c>
      <c r="G3043" s="56">
        <v>796.07899999999995</v>
      </c>
      <c r="H3043" s="56">
        <v>648.06399999999996</v>
      </c>
      <c r="I3043" s="58">
        <v>0.46192899999999998</v>
      </c>
      <c r="J3043" s="57">
        <v>0.430255</v>
      </c>
      <c r="K3043" s="56"/>
      <c r="L3043" s="56" t="s">
        <v>488</v>
      </c>
    </row>
    <row r="3044" spans="2:12" x14ac:dyDescent="0.2">
      <c r="B3044" s="62" t="s">
        <v>2841</v>
      </c>
      <c r="C3044" s="61" t="s">
        <v>1103</v>
      </c>
      <c r="D3044" s="60">
        <v>1.4409099999999999</v>
      </c>
      <c r="E3044" s="59">
        <v>3.3407300000000002</v>
      </c>
      <c r="F3044" s="59">
        <v>4.7229200000000002</v>
      </c>
      <c r="G3044" s="56">
        <v>0</v>
      </c>
      <c r="H3044" s="56">
        <v>0</v>
      </c>
      <c r="I3044" s="58">
        <v>0.32832899999999998</v>
      </c>
      <c r="J3044" s="57">
        <v>0.35095900000000002</v>
      </c>
      <c r="K3044" s="56"/>
      <c r="L3044" s="56" t="s">
        <v>488</v>
      </c>
    </row>
    <row r="3045" spans="2:12" x14ac:dyDescent="0.2">
      <c r="B3045" s="62" t="s">
        <v>2840</v>
      </c>
      <c r="C3045" s="61" t="s">
        <v>533</v>
      </c>
      <c r="D3045" s="60">
        <v>1.4525699999999999</v>
      </c>
      <c r="E3045" s="59">
        <v>2.6623199999999998</v>
      </c>
      <c r="F3045" s="59">
        <v>4.53803</v>
      </c>
      <c r="G3045" s="56">
        <v>0</v>
      </c>
      <c r="H3045" s="56">
        <v>0</v>
      </c>
      <c r="I3045" s="58">
        <v>0.43146400000000001</v>
      </c>
      <c r="J3045" s="57">
        <v>0.36844199999999999</v>
      </c>
      <c r="K3045" s="56"/>
      <c r="L3045" s="56" t="s">
        <v>488</v>
      </c>
    </row>
    <row r="3046" spans="2:12" x14ac:dyDescent="0.2">
      <c r="B3046" s="62" t="s">
        <v>2839</v>
      </c>
      <c r="C3046" s="61" t="s">
        <v>510</v>
      </c>
      <c r="D3046" s="60">
        <v>0.87127100000000002</v>
      </c>
      <c r="E3046" s="59">
        <v>6.3317899999999998</v>
      </c>
      <c r="F3046" s="59">
        <v>7.3085800000000001</v>
      </c>
      <c r="G3046" s="56">
        <v>772.91800000000001</v>
      </c>
      <c r="H3046" s="56">
        <v>887.11599999999999</v>
      </c>
      <c r="I3046" s="58">
        <v>0.365504</v>
      </c>
      <c r="J3046" s="57">
        <v>0.67679800000000001</v>
      </c>
      <c r="K3046" s="56"/>
      <c r="L3046" s="56" t="s">
        <v>488</v>
      </c>
    </row>
    <row r="3047" spans="2:12" x14ac:dyDescent="0.2">
      <c r="B3047" s="62" t="s">
        <v>2838</v>
      </c>
      <c r="C3047" s="61" t="s">
        <v>510</v>
      </c>
      <c r="D3047" s="60">
        <v>0.87214800000000003</v>
      </c>
      <c r="E3047" s="59">
        <v>6.8207500000000003</v>
      </c>
      <c r="F3047" s="59">
        <v>7.8528599999999997</v>
      </c>
      <c r="G3047" s="56">
        <v>757.52700000000004</v>
      </c>
      <c r="H3047" s="56">
        <v>868.577</v>
      </c>
      <c r="I3047" s="58">
        <v>0.38897999999999999</v>
      </c>
      <c r="J3047" s="57">
        <v>0.67552100000000004</v>
      </c>
      <c r="K3047" s="56"/>
      <c r="L3047" s="56" t="s">
        <v>488</v>
      </c>
    </row>
    <row r="3048" spans="2:12" x14ac:dyDescent="0.2">
      <c r="B3048" s="62" t="s">
        <v>2837</v>
      </c>
      <c r="C3048" s="61" t="s">
        <v>499</v>
      </c>
      <c r="D3048" s="60">
        <v>1.2698400000000001</v>
      </c>
      <c r="E3048" s="59">
        <v>5.2120499999999996</v>
      </c>
      <c r="F3048" s="59">
        <v>5.7090399999999999</v>
      </c>
      <c r="G3048" s="56">
        <v>1107.92</v>
      </c>
      <c r="H3048" s="56">
        <v>872.49199999999996</v>
      </c>
      <c r="I3048" s="58">
        <v>0.50395500000000004</v>
      </c>
      <c r="J3048" s="57">
        <v>0.41519099999999998</v>
      </c>
      <c r="K3048" s="56"/>
      <c r="L3048" s="56" t="s">
        <v>488</v>
      </c>
    </row>
    <row r="3049" spans="2:12" x14ac:dyDescent="0.2">
      <c r="B3049" s="62" t="s">
        <v>2836</v>
      </c>
      <c r="C3049" s="61" t="s">
        <v>502</v>
      </c>
      <c r="D3049" s="60">
        <v>1.97594</v>
      </c>
      <c r="E3049" s="59">
        <v>4.3012199999999998</v>
      </c>
      <c r="F3049" s="59">
        <v>4.60907</v>
      </c>
      <c r="G3049" s="56">
        <v>519.40800000000002</v>
      </c>
      <c r="H3049" s="56">
        <v>262.86599999999999</v>
      </c>
      <c r="I3049" s="58">
        <v>0.27798200000000001</v>
      </c>
      <c r="J3049" s="57">
        <v>0.201123</v>
      </c>
      <c r="K3049" s="56"/>
      <c r="L3049" s="56" t="s">
        <v>488</v>
      </c>
    </row>
    <row r="3050" spans="2:12" x14ac:dyDescent="0.2">
      <c r="B3050" s="62" t="s">
        <v>2835</v>
      </c>
      <c r="C3050" s="61" t="s">
        <v>1211</v>
      </c>
      <c r="D3050" s="60">
        <v>0.423321</v>
      </c>
      <c r="E3050" s="59">
        <v>8.2968799999999998</v>
      </c>
      <c r="F3050" s="59">
        <v>14.711880000000001</v>
      </c>
      <c r="G3050" s="56">
        <v>1965.11</v>
      </c>
      <c r="H3050" s="56">
        <v>4642.13</v>
      </c>
      <c r="I3050" s="58">
        <v>0.84644399999999997</v>
      </c>
      <c r="J3050" s="57">
        <v>1.8915299999999999</v>
      </c>
      <c r="K3050" s="56"/>
      <c r="L3050" s="56" t="s">
        <v>488</v>
      </c>
    </row>
    <row r="3051" spans="2:12" x14ac:dyDescent="0.2">
      <c r="B3051" s="62" t="s">
        <v>2834</v>
      </c>
      <c r="C3051" s="61" t="s">
        <v>579</v>
      </c>
      <c r="D3051" s="60">
        <v>1.7347399999999999</v>
      </c>
      <c r="E3051" s="59">
        <v>3.3713199999999999</v>
      </c>
      <c r="F3051" s="59">
        <v>4.1356099999999998</v>
      </c>
      <c r="G3051" s="56">
        <v>0</v>
      </c>
      <c r="H3051" s="56">
        <v>0</v>
      </c>
      <c r="I3051" s="58">
        <v>0.193241</v>
      </c>
      <c r="J3051" s="57">
        <v>0.219661</v>
      </c>
      <c r="K3051" s="56"/>
      <c r="L3051" s="56" t="s">
        <v>488</v>
      </c>
    </row>
    <row r="3052" spans="2:12" x14ac:dyDescent="0.2">
      <c r="B3052" s="62" t="s">
        <v>2833</v>
      </c>
      <c r="C3052" s="61" t="s">
        <v>531</v>
      </c>
      <c r="D3052" s="60">
        <v>1.8147500000000001</v>
      </c>
      <c r="E3052" s="59">
        <v>3.1747100000000001</v>
      </c>
      <c r="F3052" s="59">
        <v>3.99498</v>
      </c>
      <c r="G3052" s="56">
        <v>0</v>
      </c>
      <c r="H3052" s="56">
        <v>0</v>
      </c>
      <c r="I3052" s="58">
        <v>0.16977</v>
      </c>
      <c r="J3052" s="57">
        <v>0.20425699999999999</v>
      </c>
      <c r="K3052" s="56"/>
      <c r="L3052" s="56" t="s">
        <v>488</v>
      </c>
    </row>
    <row r="3053" spans="2:12" x14ac:dyDescent="0.2">
      <c r="B3053" s="62" t="s">
        <v>2832</v>
      </c>
      <c r="C3053" s="61" t="s">
        <v>499</v>
      </c>
      <c r="D3053" s="60">
        <v>0.83690200000000003</v>
      </c>
      <c r="E3053" s="59">
        <v>11.06718</v>
      </c>
      <c r="F3053" s="59">
        <v>11.968920000000001</v>
      </c>
      <c r="G3053" s="56">
        <v>1168.08</v>
      </c>
      <c r="H3053" s="56">
        <v>1395.72</v>
      </c>
      <c r="I3053" s="58">
        <v>0.56735100000000005</v>
      </c>
      <c r="J3053" s="57">
        <v>0.75946400000000003</v>
      </c>
      <c r="K3053" s="56"/>
      <c r="L3053" s="56" t="s">
        <v>492</v>
      </c>
    </row>
    <row r="3054" spans="2:12" x14ac:dyDescent="0.2">
      <c r="B3054" s="62" t="s">
        <v>2831</v>
      </c>
      <c r="C3054" s="61" t="s">
        <v>1494</v>
      </c>
      <c r="D3054" s="60">
        <v>0.689805</v>
      </c>
      <c r="E3054" s="59">
        <v>7.8898299999999999</v>
      </c>
      <c r="F3054" s="59">
        <v>8.6068200000000008</v>
      </c>
      <c r="G3054" s="56">
        <v>2128.94</v>
      </c>
      <c r="H3054" s="56">
        <v>3086.3</v>
      </c>
      <c r="I3054" s="58">
        <v>0.73040499999999997</v>
      </c>
      <c r="J3054" s="57">
        <v>1.04834</v>
      </c>
      <c r="K3054" s="56"/>
      <c r="L3054" s="56" t="s">
        <v>488</v>
      </c>
    </row>
    <row r="3055" spans="2:12" x14ac:dyDescent="0.2">
      <c r="B3055" s="62" t="s">
        <v>2830</v>
      </c>
      <c r="C3055" s="61" t="s">
        <v>1494</v>
      </c>
      <c r="D3055" s="60">
        <v>0.70465299999999997</v>
      </c>
      <c r="E3055" s="59">
        <v>19.3368</v>
      </c>
      <c r="F3055" s="59">
        <v>19.798719999999999</v>
      </c>
      <c r="G3055" s="56">
        <v>1060.05</v>
      </c>
      <c r="H3055" s="56">
        <v>1504.35</v>
      </c>
      <c r="I3055" s="58">
        <v>0.644482</v>
      </c>
      <c r="J3055" s="57">
        <v>0.98329599999999995</v>
      </c>
      <c r="K3055" s="56"/>
      <c r="L3055" s="56" t="s">
        <v>488</v>
      </c>
    </row>
    <row r="3056" spans="2:12" x14ac:dyDescent="0.2">
      <c r="B3056" s="62" t="s">
        <v>2829</v>
      </c>
      <c r="C3056" s="61" t="s">
        <v>499</v>
      </c>
      <c r="D3056" s="60">
        <v>1.1096600000000001</v>
      </c>
      <c r="E3056" s="59">
        <v>4.2065700000000001</v>
      </c>
      <c r="F3056" s="59">
        <v>5.3864299999999998</v>
      </c>
      <c r="G3056" s="56">
        <v>859.64499999999998</v>
      </c>
      <c r="H3056" s="56">
        <v>774.69500000000005</v>
      </c>
      <c r="I3056" s="58">
        <v>0.50910999999999995</v>
      </c>
      <c r="J3056" s="57">
        <v>0.50097999999999998</v>
      </c>
      <c r="K3056" s="56"/>
      <c r="L3056" s="56" t="s">
        <v>488</v>
      </c>
    </row>
    <row r="3057" spans="2:12" x14ac:dyDescent="0.2">
      <c r="B3057" s="62" t="s">
        <v>2828</v>
      </c>
      <c r="C3057" s="61" t="s">
        <v>499</v>
      </c>
      <c r="D3057" s="60">
        <v>1.33375</v>
      </c>
      <c r="E3057" s="59">
        <v>3.99735</v>
      </c>
      <c r="F3057" s="59">
        <v>4.6430699999999998</v>
      </c>
      <c r="G3057" s="56">
        <v>515.44600000000003</v>
      </c>
      <c r="H3057" s="56">
        <v>386.46499999999997</v>
      </c>
      <c r="I3057" s="58">
        <v>0.30815399999999998</v>
      </c>
      <c r="J3057" s="57">
        <v>0.34752300000000003</v>
      </c>
      <c r="K3057" s="56"/>
      <c r="L3057" s="56" t="s">
        <v>488</v>
      </c>
    </row>
    <row r="3058" spans="2:12" x14ac:dyDescent="0.2">
      <c r="B3058" s="62" t="s">
        <v>2827</v>
      </c>
      <c r="C3058" s="61" t="s">
        <v>859</v>
      </c>
      <c r="D3058" s="60">
        <v>1.49915</v>
      </c>
      <c r="E3058" s="59">
        <v>5.3771500000000003</v>
      </c>
      <c r="F3058" s="59">
        <v>6.43933</v>
      </c>
      <c r="G3058" s="56">
        <v>1417.16</v>
      </c>
      <c r="H3058" s="56">
        <v>945.30899999999997</v>
      </c>
      <c r="I3058" s="58">
        <v>0.54516200000000004</v>
      </c>
      <c r="J3058" s="57">
        <v>0.44572099999999998</v>
      </c>
      <c r="K3058" s="56"/>
      <c r="L3058" s="56" t="s">
        <v>488</v>
      </c>
    </row>
    <row r="3059" spans="2:12" x14ac:dyDescent="0.2">
      <c r="B3059" s="62" t="s">
        <v>2826</v>
      </c>
      <c r="C3059" s="61" t="s">
        <v>502</v>
      </c>
      <c r="D3059" s="60">
        <v>0.65084500000000001</v>
      </c>
      <c r="E3059" s="59">
        <v>9.5348400000000009</v>
      </c>
      <c r="F3059" s="59">
        <v>14.074170000000001</v>
      </c>
      <c r="G3059" s="56">
        <v>2034.36</v>
      </c>
      <c r="H3059" s="56">
        <v>3125.73</v>
      </c>
      <c r="I3059" s="58">
        <v>0.82232700000000003</v>
      </c>
      <c r="J3059" s="57">
        <v>1.1959299999999999</v>
      </c>
      <c r="K3059" s="56"/>
      <c r="L3059" s="56" t="s">
        <v>488</v>
      </c>
    </row>
    <row r="3060" spans="2:12" x14ac:dyDescent="0.2">
      <c r="B3060" s="62" t="s">
        <v>2825</v>
      </c>
      <c r="C3060" s="61" t="s">
        <v>502</v>
      </c>
      <c r="D3060" s="60">
        <v>0.65301699999999996</v>
      </c>
      <c r="E3060" s="59">
        <v>9.4228400000000008</v>
      </c>
      <c r="F3060" s="59">
        <v>13.869870000000001</v>
      </c>
      <c r="G3060" s="56">
        <v>2030.48</v>
      </c>
      <c r="H3060" s="56">
        <v>3109.38</v>
      </c>
      <c r="I3060" s="58">
        <v>0.82552099999999995</v>
      </c>
      <c r="J3060" s="57">
        <v>1.1881200000000001</v>
      </c>
      <c r="K3060" s="56"/>
      <c r="L3060" s="56" t="s">
        <v>488</v>
      </c>
    </row>
    <row r="3061" spans="2:12" x14ac:dyDescent="0.2">
      <c r="B3061" s="62" t="s">
        <v>2824</v>
      </c>
      <c r="C3061" s="61" t="s">
        <v>625</v>
      </c>
      <c r="D3061" s="60">
        <v>1.10443</v>
      </c>
      <c r="E3061" s="59">
        <v>4.0364300000000002</v>
      </c>
      <c r="F3061" s="59">
        <v>4.8770800000000003</v>
      </c>
      <c r="G3061" s="56">
        <v>999.66200000000003</v>
      </c>
      <c r="H3061" s="56">
        <v>905.13900000000001</v>
      </c>
      <c r="I3061" s="58">
        <v>0.47038099999999999</v>
      </c>
      <c r="J3061" s="57">
        <v>0.51301600000000003</v>
      </c>
      <c r="K3061" s="56"/>
      <c r="L3061" s="56" t="s">
        <v>492</v>
      </c>
    </row>
    <row r="3062" spans="2:12" x14ac:dyDescent="0.2">
      <c r="B3062" s="62" t="s">
        <v>2823</v>
      </c>
      <c r="C3062" s="61" t="s">
        <v>625</v>
      </c>
      <c r="D3062" s="60">
        <v>1.10853</v>
      </c>
      <c r="E3062" s="59">
        <v>4.06942</v>
      </c>
      <c r="F3062" s="59">
        <v>4.9782599999999997</v>
      </c>
      <c r="G3062" s="56">
        <v>1042.8800000000001</v>
      </c>
      <c r="H3062" s="56">
        <v>940.77200000000005</v>
      </c>
      <c r="I3062" s="58">
        <v>0.482014</v>
      </c>
      <c r="J3062" s="57">
        <v>0.51518900000000001</v>
      </c>
      <c r="K3062" s="56"/>
      <c r="L3062" s="56" t="s">
        <v>492</v>
      </c>
    </row>
    <row r="3063" spans="2:12" x14ac:dyDescent="0.2">
      <c r="B3063" s="62" t="s">
        <v>2822</v>
      </c>
      <c r="C3063" s="61" t="s">
        <v>625</v>
      </c>
      <c r="D3063" s="60">
        <v>1.20557</v>
      </c>
      <c r="E3063" s="59">
        <v>4.2261300000000004</v>
      </c>
      <c r="F3063" s="59">
        <v>5.0898099999999999</v>
      </c>
      <c r="G3063" s="56">
        <v>945.97900000000004</v>
      </c>
      <c r="H3063" s="56">
        <v>784.673</v>
      </c>
      <c r="I3063" s="58">
        <v>0.40334900000000001</v>
      </c>
      <c r="J3063" s="57">
        <v>0.44857799999999998</v>
      </c>
      <c r="K3063" s="56"/>
      <c r="L3063" s="56" t="s">
        <v>492</v>
      </c>
    </row>
    <row r="3064" spans="2:12" x14ac:dyDescent="0.2">
      <c r="B3064" s="62" t="s">
        <v>2821</v>
      </c>
      <c r="C3064" s="61" t="s">
        <v>495</v>
      </c>
      <c r="D3064" s="60">
        <v>1.1603600000000001</v>
      </c>
      <c r="E3064" s="59">
        <v>4.27067</v>
      </c>
      <c r="F3064" s="59">
        <v>6.3540900000000002</v>
      </c>
      <c r="G3064" s="56">
        <v>562.49</v>
      </c>
      <c r="H3064" s="56">
        <v>484.75599999999997</v>
      </c>
      <c r="I3064" s="58">
        <v>0.40335799999999999</v>
      </c>
      <c r="J3064" s="57">
        <v>0.47479500000000002</v>
      </c>
      <c r="K3064" s="56"/>
      <c r="L3064" s="56" t="s">
        <v>488</v>
      </c>
    </row>
    <row r="3065" spans="2:12" x14ac:dyDescent="0.2">
      <c r="B3065" s="62" t="s">
        <v>2820</v>
      </c>
      <c r="C3065" s="61" t="s">
        <v>495</v>
      </c>
      <c r="D3065" s="60">
        <v>1.3761000000000001</v>
      </c>
      <c r="E3065" s="59">
        <v>2.83677</v>
      </c>
      <c r="F3065" s="59">
        <v>3.6185900000000002</v>
      </c>
      <c r="G3065" s="56">
        <v>0</v>
      </c>
      <c r="H3065" s="56">
        <v>0</v>
      </c>
      <c r="I3065" s="58">
        <v>0.22234200000000001</v>
      </c>
      <c r="J3065" s="57">
        <v>0.328567</v>
      </c>
      <c r="K3065" s="56"/>
      <c r="L3065" s="56" t="s">
        <v>488</v>
      </c>
    </row>
    <row r="3066" spans="2:12" x14ac:dyDescent="0.2">
      <c r="B3066" s="62" t="s">
        <v>2819</v>
      </c>
      <c r="C3066" s="61" t="s">
        <v>569</v>
      </c>
      <c r="D3066" s="60">
        <v>1.28813</v>
      </c>
      <c r="E3066" s="59">
        <v>3.0438000000000001</v>
      </c>
      <c r="F3066" s="59">
        <v>4.1071</v>
      </c>
      <c r="G3066" s="56">
        <v>0</v>
      </c>
      <c r="H3066" s="56">
        <v>0</v>
      </c>
      <c r="I3066" s="58">
        <v>0.29464299999999999</v>
      </c>
      <c r="J3066" s="57">
        <v>0.29999300000000001</v>
      </c>
      <c r="K3066" s="56"/>
      <c r="L3066" s="56" t="s">
        <v>488</v>
      </c>
    </row>
    <row r="3067" spans="2:12" x14ac:dyDescent="0.2">
      <c r="B3067" s="62" t="s">
        <v>2818</v>
      </c>
      <c r="C3067" s="61" t="s">
        <v>510</v>
      </c>
      <c r="D3067" s="60">
        <v>1.3218000000000001</v>
      </c>
      <c r="E3067" s="59">
        <v>2.8039000000000001</v>
      </c>
      <c r="F3067" s="59">
        <v>5.1585799999999997</v>
      </c>
      <c r="G3067" s="56">
        <v>0</v>
      </c>
      <c r="H3067" s="56">
        <v>0</v>
      </c>
      <c r="I3067" s="58">
        <v>0.21796499999999999</v>
      </c>
      <c r="J3067" s="57">
        <v>0.31835599999999997</v>
      </c>
      <c r="K3067" s="56"/>
      <c r="L3067" s="56" t="s">
        <v>488</v>
      </c>
    </row>
    <row r="3068" spans="2:12" x14ac:dyDescent="0.2">
      <c r="B3068" s="62" t="s">
        <v>2817</v>
      </c>
      <c r="C3068" s="61" t="s">
        <v>550</v>
      </c>
      <c r="D3068" s="60">
        <v>1.38188</v>
      </c>
      <c r="E3068" s="59">
        <v>2.8790399999999998</v>
      </c>
      <c r="F3068" s="59">
        <v>4.91214</v>
      </c>
      <c r="G3068" s="56">
        <v>0</v>
      </c>
      <c r="H3068" s="56">
        <v>0</v>
      </c>
      <c r="I3068" s="58">
        <v>0.19963700000000001</v>
      </c>
      <c r="J3068" s="57">
        <v>0.325992</v>
      </c>
      <c r="K3068" s="56"/>
      <c r="L3068" s="56" t="s">
        <v>488</v>
      </c>
    </row>
    <row r="3069" spans="2:12" x14ac:dyDescent="0.2">
      <c r="B3069" s="62" t="s">
        <v>2816</v>
      </c>
      <c r="C3069" s="61" t="s">
        <v>499</v>
      </c>
      <c r="D3069" s="60">
        <v>1.3497699999999999</v>
      </c>
      <c r="E3069" s="59">
        <v>2.8275899999999998</v>
      </c>
      <c r="F3069" s="59">
        <v>5.1051399999999996</v>
      </c>
      <c r="G3069" s="56">
        <v>0</v>
      </c>
      <c r="H3069" s="56">
        <v>0</v>
      </c>
      <c r="I3069" s="58">
        <v>0.190915</v>
      </c>
      <c r="J3069" s="57">
        <v>0.314253</v>
      </c>
      <c r="K3069" s="56"/>
      <c r="L3069" s="56" t="s">
        <v>488</v>
      </c>
    </row>
    <row r="3070" spans="2:12" x14ac:dyDescent="0.2">
      <c r="B3070" s="62" t="s">
        <v>2815</v>
      </c>
      <c r="C3070" s="61" t="s">
        <v>550</v>
      </c>
      <c r="D3070" s="60">
        <v>2.4312200000000002</v>
      </c>
      <c r="E3070" s="59">
        <v>4.0897399999999999</v>
      </c>
      <c r="F3070" s="59">
        <v>4.4424400000000004</v>
      </c>
      <c r="G3070" s="56">
        <v>417.22899999999998</v>
      </c>
      <c r="H3070" s="56">
        <v>171.613</v>
      </c>
      <c r="I3070" s="58">
        <v>0.29175200000000001</v>
      </c>
      <c r="J3070" s="57">
        <v>0.191861</v>
      </c>
      <c r="K3070" s="56"/>
      <c r="L3070" s="56" t="s">
        <v>488</v>
      </c>
    </row>
    <row r="3071" spans="2:12" x14ac:dyDescent="0.2">
      <c r="B3071" s="62" t="s">
        <v>2814</v>
      </c>
      <c r="C3071" s="61" t="s">
        <v>550</v>
      </c>
      <c r="D3071" s="60">
        <v>1.2166699999999999</v>
      </c>
      <c r="E3071" s="59">
        <v>4.1946500000000002</v>
      </c>
      <c r="F3071" s="59">
        <v>5.1497900000000003</v>
      </c>
      <c r="G3071" s="56">
        <v>562.48800000000006</v>
      </c>
      <c r="H3071" s="56">
        <v>422.11399999999998</v>
      </c>
      <c r="I3071" s="58">
        <v>0.40105099999999999</v>
      </c>
      <c r="J3071" s="57">
        <v>0.39580500000000002</v>
      </c>
      <c r="K3071" s="56"/>
      <c r="L3071" s="56" t="s">
        <v>492</v>
      </c>
    </row>
    <row r="3072" spans="2:12" x14ac:dyDescent="0.2">
      <c r="B3072" s="62" t="s">
        <v>2813</v>
      </c>
      <c r="C3072" s="61" t="s">
        <v>550</v>
      </c>
      <c r="D3072" s="60">
        <v>1.3325499999999999</v>
      </c>
      <c r="E3072" s="59">
        <v>4.21896</v>
      </c>
      <c r="F3072" s="59">
        <v>5.18004</v>
      </c>
      <c r="G3072" s="56">
        <v>576.32500000000005</v>
      </c>
      <c r="H3072" s="56">
        <v>434.255</v>
      </c>
      <c r="I3072" s="58">
        <v>0.32066099999999997</v>
      </c>
      <c r="J3072" s="57">
        <v>0.33158900000000002</v>
      </c>
      <c r="K3072" s="56"/>
      <c r="L3072" s="56" t="s">
        <v>492</v>
      </c>
    </row>
    <row r="3073" spans="2:12" x14ac:dyDescent="0.2">
      <c r="B3073" s="62" t="s">
        <v>2812</v>
      </c>
      <c r="C3073" s="61" t="s">
        <v>550</v>
      </c>
      <c r="D3073" s="60">
        <v>1.3271599999999999</v>
      </c>
      <c r="E3073" s="59">
        <v>4.1761699999999999</v>
      </c>
      <c r="F3073" s="59">
        <v>5.1414400000000002</v>
      </c>
      <c r="G3073" s="56">
        <v>612.53</v>
      </c>
      <c r="H3073" s="56">
        <v>503.44600000000003</v>
      </c>
      <c r="I3073" s="58">
        <v>0.32331199999999999</v>
      </c>
      <c r="J3073" s="57">
        <v>0.33494499999999999</v>
      </c>
      <c r="K3073" s="56"/>
      <c r="L3073" s="56" t="s">
        <v>492</v>
      </c>
    </row>
    <row r="3074" spans="2:12" x14ac:dyDescent="0.2">
      <c r="B3074" s="62" t="s">
        <v>2811</v>
      </c>
      <c r="C3074" s="61" t="s">
        <v>550</v>
      </c>
      <c r="D3074" s="60">
        <v>1.3051900000000001</v>
      </c>
      <c r="E3074" s="59">
        <v>4.2641299999999998</v>
      </c>
      <c r="F3074" s="59">
        <v>5.2165100000000004</v>
      </c>
      <c r="G3074" s="56">
        <v>593.02200000000005</v>
      </c>
      <c r="H3074" s="56">
        <v>453.64499999999998</v>
      </c>
      <c r="I3074" s="58">
        <v>0.316992</v>
      </c>
      <c r="J3074" s="57">
        <v>0.346304</v>
      </c>
      <c r="K3074" s="56"/>
      <c r="L3074" s="56" t="s">
        <v>492</v>
      </c>
    </row>
    <row r="3075" spans="2:12" x14ac:dyDescent="0.2">
      <c r="B3075" s="62" t="s">
        <v>2810</v>
      </c>
      <c r="C3075" s="61" t="s">
        <v>550</v>
      </c>
      <c r="D3075" s="60">
        <v>1.30724</v>
      </c>
      <c r="E3075" s="59">
        <v>4.2405299999999997</v>
      </c>
      <c r="F3075" s="59">
        <v>5.1894400000000003</v>
      </c>
      <c r="G3075" s="56">
        <v>588.23099999999999</v>
      </c>
      <c r="H3075" s="56">
        <v>450.685</v>
      </c>
      <c r="I3075" s="58">
        <v>0.32097500000000001</v>
      </c>
      <c r="J3075" s="57">
        <v>0.34657700000000002</v>
      </c>
      <c r="K3075" s="56"/>
      <c r="L3075" s="56" t="s">
        <v>492</v>
      </c>
    </row>
    <row r="3076" spans="2:12" x14ac:dyDescent="0.2">
      <c r="B3076" s="62" t="s">
        <v>2809</v>
      </c>
      <c r="C3076" s="61" t="s">
        <v>550</v>
      </c>
      <c r="D3076" s="60">
        <v>1.3182</v>
      </c>
      <c r="E3076" s="59">
        <v>4.2062499999999998</v>
      </c>
      <c r="F3076" s="59">
        <v>5.1767099999999999</v>
      </c>
      <c r="G3076" s="56">
        <v>563.80899999999997</v>
      </c>
      <c r="H3076" s="56">
        <v>426.03</v>
      </c>
      <c r="I3076" s="58">
        <v>0.32773600000000003</v>
      </c>
      <c r="J3076" s="57">
        <v>0.34423799999999999</v>
      </c>
      <c r="K3076" s="56"/>
      <c r="L3076" s="56" t="s">
        <v>492</v>
      </c>
    </row>
    <row r="3077" spans="2:12" x14ac:dyDescent="0.2">
      <c r="B3077" s="62" t="s">
        <v>2808</v>
      </c>
      <c r="C3077" s="61" t="s">
        <v>550</v>
      </c>
      <c r="D3077" s="60">
        <v>1.3233999999999999</v>
      </c>
      <c r="E3077" s="59">
        <v>4.1923199999999996</v>
      </c>
      <c r="F3077" s="59">
        <v>5.1845499999999998</v>
      </c>
      <c r="G3077" s="56">
        <v>563.23400000000004</v>
      </c>
      <c r="H3077" s="56">
        <v>425.05700000000002</v>
      </c>
      <c r="I3077" s="58">
        <v>0.32097700000000001</v>
      </c>
      <c r="J3077" s="57">
        <v>0.34017199999999997</v>
      </c>
      <c r="K3077" s="56"/>
      <c r="L3077" s="56" t="s">
        <v>492</v>
      </c>
    </row>
    <row r="3078" spans="2:12" x14ac:dyDescent="0.2">
      <c r="B3078" s="62" t="s">
        <v>2807</v>
      </c>
      <c r="C3078" s="61" t="s">
        <v>550</v>
      </c>
      <c r="D3078" s="60">
        <v>1.32508</v>
      </c>
      <c r="E3078" s="59">
        <v>4.2118200000000003</v>
      </c>
      <c r="F3078" s="59">
        <v>5.2119799999999996</v>
      </c>
      <c r="G3078" s="56">
        <v>571.17999999999995</v>
      </c>
      <c r="H3078" s="56">
        <v>433.303</v>
      </c>
      <c r="I3078" s="58">
        <v>0.32263399999999998</v>
      </c>
      <c r="J3078" s="57">
        <v>0.33995599999999998</v>
      </c>
      <c r="K3078" s="56"/>
      <c r="L3078" s="56" t="s">
        <v>492</v>
      </c>
    </row>
    <row r="3079" spans="2:12" x14ac:dyDescent="0.2">
      <c r="B3079" s="62" t="s">
        <v>2806</v>
      </c>
      <c r="C3079" s="61" t="s">
        <v>550</v>
      </c>
      <c r="D3079" s="60">
        <v>1.3222499999999999</v>
      </c>
      <c r="E3079" s="59">
        <v>4.2316900000000004</v>
      </c>
      <c r="F3079" s="59">
        <v>5.19278</v>
      </c>
      <c r="G3079" s="56">
        <v>577.48699999999997</v>
      </c>
      <c r="H3079" s="56">
        <v>437.56299999999999</v>
      </c>
      <c r="I3079" s="58">
        <v>0.32384600000000002</v>
      </c>
      <c r="J3079" s="57">
        <v>0.33662300000000001</v>
      </c>
      <c r="K3079" s="56"/>
      <c r="L3079" s="56" t="s">
        <v>492</v>
      </c>
    </row>
    <row r="3080" spans="2:12" x14ac:dyDescent="0.2">
      <c r="B3080" s="62" t="s">
        <v>2805</v>
      </c>
      <c r="C3080" s="61" t="s">
        <v>550</v>
      </c>
      <c r="D3080" s="60">
        <v>1.31978</v>
      </c>
      <c r="E3080" s="59">
        <v>4.1837999999999997</v>
      </c>
      <c r="F3080" s="59">
        <v>5.1104799999999999</v>
      </c>
      <c r="G3080" s="56">
        <v>548.46600000000001</v>
      </c>
      <c r="H3080" s="56">
        <v>412.07900000000001</v>
      </c>
      <c r="I3080" s="58">
        <v>0.32134000000000001</v>
      </c>
      <c r="J3080" s="57">
        <v>0.337476</v>
      </c>
      <c r="K3080" s="56"/>
      <c r="L3080" s="56" t="s">
        <v>492</v>
      </c>
    </row>
    <row r="3081" spans="2:12" x14ac:dyDescent="0.2">
      <c r="B3081" s="62" t="s">
        <v>2804</v>
      </c>
      <c r="C3081" s="61" t="s">
        <v>550</v>
      </c>
      <c r="D3081" s="60">
        <v>1.33097</v>
      </c>
      <c r="E3081" s="59">
        <v>4.2301599999999997</v>
      </c>
      <c r="F3081" s="59">
        <v>5.1818299999999997</v>
      </c>
      <c r="G3081" s="56">
        <v>578.21199999999999</v>
      </c>
      <c r="H3081" s="56">
        <v>437.29399999999998</v>
      </c>
      <c r="I3081" s="58">
        <v>0.31246499999999999</v>
      </c>
      <c r="J3081" s="57">
        <v>0.33115499999999998</v>
      </c>
      <c r="K3081" s="56"/>
      <c r="L3081" s="56" t="s">
        <v>492</v>
      </c>
    </row>
    <row r="3082" spans="2:12" x14ac:dyDescent="0.2">
      <c r="B3082" s="62" t="s">
        <v>2803</v>
      </c>
      <c r="C3082" s="61" t="s">
        <v>550</v>
      </c>
      <c r="D3082" s="60">
        <v>1.2091400000000001</v>
      </c>
      <c r="E3082" s="59">
        <v>4.1498900000000001</v>
      </c>
      <c r="F3082" s="59">
        <v>5.1364299999999998</v>
      </c>
      <c r="G3082" s="56">
        <v>549.19500000000005</v>
      </c>
      <c r="H3082" s="56">
        <v>456.05700000000002</v>
      </c>
      <c r="I3082" s="58">
        <v>0.37847700000000001</v>
      </c>
      <c r="J3082" s="57">
        <v>0.400001</v>
      </c>
      <c r="K3082" s="56"/>
      <c r="L3082" s="56" t="s">
        <v>492</v>
      </c>
    </row>
    <row r="3083" spans="2:12" x14ac:dyDescent="0.2">
      <c r="B3083" s="62" t="s">
        <v>2802</v>
      </c>
      <c r="C3083" s="61" t="s">
        <v>550</v>
      </c>
      <c r="D3083" s="60">
        <v>1.2042200000000001</v>
      </c>
      <c r="E3083" s="59">
        <v>4.1607799999999999</v>
      </c>
      <c r="F3083" s="59">
        <v>5.1295099999999998</v>
      </c>
      <c r="G3083" s="56">
        <v>556.37099999999998</v>
      </c>
      <c r="H3083" s="56">
        <v>460.13799999999998</v>
      </c>
      <c r="I3083" s="58">
        <v>0.37762299999999999</v>
      </c>
      <c r="J3083" s="57">
        <v>0.40199800000000002</v>
      </c>
      <c r="K3083" s="56"/>
      <c r="L3083" s="56" t="s">
        <v>492</v>
      </c>
    </row>
    <row r="3084" spans="2:12" x14ac:dyDescent="0.2">
      <c r="B3084" s="62" t="s">
        <v>2801</v>
      </c>
      <c r="C3084" s="61" t="s">
        <v>550</v>
      </c>
      <c r="D3084" s="60">
        <v>1.2045300000000001</v>
      </c>
      <c r="E3084" s="59">
        <v>4.1447900000000004</v>
      </c>
      <c r="F3084" s="59">
        <v>5.10846</v>
      </c>
      <c r="G3084" s="56">
        <v>551.99400000000003</v>
      </c>
      <c r="H3084" s="56">
        <v>457.07900000000001</v>
      </c>
      <c r="I3084" s="58">
        <v>0.37894600000000001</v>
      </c>
      <c r="J3084" s="57">
        <v>0.40155400000000002</v>
      </c>
      <c r="K3084" s="56"/>
      <c r="L3084" s="56" t="s">
        <v>492</v>
      </c>
    </row>
    <row r="3085" spans="2:12" x14ac:dyDescent="0.2">
      <c r="B3085" s="62" t="s">
        <v>2800</v>
      </c>
      <c r="C3085" s="61" t="s">
        <v>550</v>
      </c>
      <c r="D3085" s="60">
        <v>1.20766</v>
      </c>
      <c r="E3085" s="59">
        <v>4.1597200000000001</v>
      </c>
      <c r="F3085" s="59">
        <v>5.1194499999999996</v>
      </c>
      <c r="G3085" s="56">
        <v>563.88499999999999</v>
      </c>
      <c r="H3085" s="56">
        <v>468.47300000000001</v>
      </c>
      <c r="I3085" s="58">
        <v>0.37733800000000001</v>
      </c>
      <c r="J3085" s="57">
        <v>0.39941100000000002</v>
      </c>
      <c r="K3085" s="56"/>
      <c r="L3085" s="56" t="s">
        <v>492</v>
      </c>
    </row>
    <row r="3086" spans="2:12" x14ac:dyDescent="0.2">
      <c r="B3086" s="62" t="s">
        <v>2799</v>
      </c>
      <c r="C3086" s="61" t="s">
        <v>550</v>
      </c>
      <c r="D3086" s="60">
        <v>1.20367</v>
      </c>
      <c r="E3086" s="59">
        <v>4.1640800000000002</v>
      </c>
      <c r="F3086" s="59">
        <v>5.1162900000000002</v>
      </c>
      <c r="G3086" s="56">
        <v>559.52300000000002</v>
      </c>
      <c r="H3086" s="56">
        <v>464.51600000000002</v>
      </c>
      <c r="I3086" s="58">
        <v>0.37982199999999999</v>
      </c>
      <c r="J3086" s="57">
        <v>0.40205000000000002</v>
      </c>
      <c r="K3086" s="56"/>
      <c r="L3086" s="56" t="s">
        <v>492</v>
      </c>
    </row>
    <row r="3087" spans="2:12" x14ac:dyDescent="0.2">
      <c r="B3087" s="62" t="s">
        <v>2798</v>
      </c>
      <c r="C3087" s="61" t="s">
        <v>550</v>
      </c>
      <c r="D3087" s="60">
        <v>1.33775</v>
      </c>
      <c r="E3087" s="59">
        <v>4.1558900000000003</v>
      </c>
      <c r="F3087" s="59">
        <v>5.06142</v>
      </c>
      <c r="G3087" s="56">
        <v>494.36700000000002</v>
      </c>
      <c r="H3087" s="56">
        <v>369.55099999999999</v>
      </c>
      <c r="I3087" s="58">
        <v>0.29597800000000002</v>
      </c>
      <c r="J3087" s="57">
        <v>0.32982899999999998</v>
      </c>
      <c r="K3087" s="56"/>
      <c r="L3087" s="56" t="s">
        <v>492</v>
      </c>
    </row>
    <row r="3088" spans="2:12" x14ac:dyDescent="0.2">
      <c r="B3088" s="62" t="s">
        <v>2797</v>
      </c>
      <c r="C3088" s="61" t="s">
        <v>550</v>
      </c>
      <c r="D3088" s="60">
        <v>1.3265800000000001</v>
      </c>
      <c r="E3088" s="59">
        <v>4.1473300000000002</v>
      </c>
      <c r="F3088" s="59">
        <v>5.0772199999999996</v>
      </c>
      <c r="G3088" s="56">
        <v>572.85900000000004</v>
      </c>
      <c r="H3088" s="56">
        <v>474.89299999999997</v>
      </c>
      <c r="I3088" s="58">
        <v>0.31750899999999999</v>
      </c>
      <c r="J3088" s="57">
        <v>0.33480799999999999</v>
      </c>
      <c r="K3088" s="56"/>
      <c r="L3088" s="56" t="s">
        <v>492</v>
      </c>
    </row>
    <row r="3089" spans="2:12" x14ac:dyDescent="0.2">
      <c r="B3089" s="62" t="s">
        <v>2796</v>
      </c>
      <c r="C3089" s="61" t="s">
        <v>550</v>
      </c>
      <c r="D3089" s="60">
        <v>1.2062900000000001</v>
      </c>
      <c r="E3089" s="59">
        <v>4.1376799999999996</v>
      </c>
      <c r="F3089" s="59">
        <v>5.0672800000000002</v>
      </c>
      <c r="G3089" s="56">
        <v>557.82899999999995</v>
      </c>
      <c r="H3089" s="56">
        <v>419.48099999999999</v>
      </c>
      <c r="I3089" s="58">
        <v>0.380222</v>
      </c>
      <c r="J3089" s="57">
        <v>0.40037699999999998</v>
      </c>
      <c r="K3089" s="56"/>
      <c r="L3089" s="56" t="s">
        <v>492</v>
      </c>
    </row>
    <row r="3090" spans="2:12" x14ac:dyDescent="0.2">
      <c r="B3090" s="62" t="s">
        <v>2795</v>
      </c>
      <c r="C3090" s="61" t="s">
        <v>550</v>
      </c>
      <c r="D3090" s="60">
        <v>1.3298099999999999</v>
      </c>
      <c r="E3090" s="59">
        <v>4.1533300000000004</v>
      </c>
      <c r="F3090" s="59">
        <v>5.0737500000000004</v>
      </c>
      <c r="G3090" s="56">
        <v>559.298</v>
      </c>
      <c r="H3090" s="56">
        <v>421.87599999999998</v>
      </c>
      <c r="I3090" s="58">
        <v>0.31867499999999999</v>
      </c>
      <c r="J3090" s="57">
        <v>0.33405099999999999</v>
      </c>
      <c r="K3090" s="56"/>
      <c r="L3090" s="56" t="s">
        <v>492</v>
      </c>
    </row>
    <row r="3091" spans="2:12" x14ac:dyDescent="0.2">
      <c r="B3091" s="62" t="s">
        <v>2794</v>
      </c>
      <c r="C3091" s="61" t="s">
        <v>550</v>
      </c>
      <c r="D3091" s="60">
        <v>1.3257399999999999</v>
      </c>
      <c r="E3091" s="59">
        <v>4.1484399999999999</v>
      </c>
      <c r="F3091" s="59">
        <v>5.0770499999999998</v>
      </c>
      <c r="G3091" s="56">
        <v>563.57600000000002</v>
      </c>
      <c r="H3091" s="56">
        <v>424.83300000000003</v>
      </c>
      <c r="I3091" s="58">
        <v>0.31496299999999999</v>
      </c>
      <c r="J3091" s="57">
        <v>0.33466400000000002</v>
      </c>
      <c r="K3091" s="56"/>
      <c r="L3091" s="56" t="s">
        <v>492</v>
      </c>
    </row>
    <row r="3092" spans="2:12" x14ac:dyDescent="0.2">
      <c r="B3092" s="62" t="s">
        <v>2793</v>
      </c>
      <c r="C3092" s="61" t="s">
        <v>499</v>
      </c>
      <c r="D3092" s="60">
        <v>1.0235399999999999</v>
      </c>
      <c r="E3092" s="59">
        <v>5.7275999999999998</v>
      </c>
      <c r="F3092" s="59">
        <v>6.8826499999999999</v>
      </c>
      <c r="G3092" s="56">
        <v>1611.61</v>
      </c>
      <c r="H3092" s="56">
        <v>1574.54</v>
      </c>
      <c r="I3092" s="58">
        <v>0.58407600000000004</v>
      </c>
      <c r="J3092" s="57">
        <v>0.61026000000000002</v>
      </c>
      <c r="K3092" s="56" t="s">
        <v>1816</v>
      </c>
      <c r="L3092" s="56" t="s">
        <v>563</v>
      </c>
    </row>
    <row r="3093" spans="2:12" x14ac:dyDescent="0.2">
      <c r="B3093" s="62" t="s">
        <v>2792</v>
      </c>
      <c r="C3093" s="61" t="s">
        <v>499</v>
      </c>
      <c r="D3093" s="60">
        <v>0.52631799999999995</v>
      </c>
      <c r="E3093" s="59">
        <v>10.53518</v>
      </c>
      <c r="F3093" s="59">
        <v>13.040430000000001</v>
      </c>
      <c r="G3093" s="56">
        <v>2009.05</v>
      </c>
      <c r="H3093" s="56">
        <v>3817.17</v>
      </c>
      <c r="I3093" s="58">
        <v>0.83688799999999997</v>
      </c>
      <c r="J3093" s="57">
        <v>1.5330699999999999</v>
      </c>
      <c r="K3093" s="56"/>
      <c r="L3093" s="56" t="s">
        <v>488</v>
      </c>
    </row>
    <row r="3094" spans="2:12" x14ac:dyDescent="0.2">
      <c r="B3094" s="62" t="s">
        <v>2791</v>
      </c>
      <c r="C3094" s="61" t="s">
        <v>708</v>
      </c>
      <c r="D3094" s="60">
        <v>1.5482</v>
      </c>
      <c r="E3094" s="59">
        <v>3.3129</v>
      </c>
      <c r="F3094" s="59">
        <v>4.3648300000000004</v>
      </c>
      <c r="G3094" s="56">
        <v>0</v>
      </c>
      <c r="H3094" s="56">
        <v>0</v>
      </c>
      <c r="I3094" s="58">
        <v>0.429753</v>
      </c>
      <c r="J3094" s="57">
        <v>0.32727699999999998</v>
      </c>
      <c r="K3094" s="56"/>
      <c r="L3094" s="56" t="s">
        <v>488</v>
      </c>
    </row>
    <row r="3095" spans="2:12" x14ac:dyDescent="0.2">
      <c r="B3095" s="62" t="s">
        <v>2790</v>
      </c>
      <c r="C3095" s="61" t="s">
        <v>502</v>
      </c>
      <c r="D3095" s="60">
        <v>1.16161</v>
      </c>
      <c r="E3095" s="59">
        <v>5.1762699999999997</v>
      </c>
      <c r="F3095" s="59">
        <v>5.7945000000000002</v>
      </c>
      <c r="G3095" s="56">
        <v>774.20899999999995</v>
      </c>
      <c r="H3095" s="56">
        <v>666.49800000000005</v>
      </c>
      <c r="I3095" s="58">
        <v>0.32664300000000002</v>
      </c>
      <c r="J3095" s="57">
        <v>0.434535</v>
      </c>
      <c r="K3095" s="56"/>
      <c r="L3095" s="56" t="s">
        <v>488</v>
      </c>
    </row>
    <row r="3096" spans="2:12" x14ac:dyDescent="0.2">
      <c r="B3096" s="62" t="s">
        <v>2789</v>
      </c>
      <c r="C3096" s="61" t="s">
        <v>526</v>
      </c>
      <c r="D3096" s="60">
        <v>1.4903</v>
      </c>
      <c r="E3096" s="59">
        <v>3.4709300000000001</v>
      </c>
      <c r="F3096" s="59">
        <v>5.4678399999999998</v>
      </c>
      <c r="G3096" s="56">
        <v>0</v>
      </c>
      <c r="H3096" s="56">
        <v>0</v>
      </c>
      <c r="I3096" s="58">
        <v>0.44392399999999999</v>
      </c>
      <c r="J3096" s="57">
        <v>0.33873999999999999</v>
      </c>
      <c r="K3096" s="56"/>
      <c r="L3096" s="56" t="s">
        <v>492</v>
      </c>
    </row>
    <row r="3097" spans="2:12" x14ac:dyDescent="0.2">
      <c r="B3097" s="62" t="s">
        <v>2788</v>
      </c>
      <c r="C3097" s="61" t="s">
        <v>526</v>
      </c>
      <c r="D3097" s="60">
        <v>1.49665</v>
      </c>
      <c r="E3097" s="59">
        <v>3.4668600000000001</v>
      </c>
      <c r="F3097" s="59">
        <v>5.4321400000000004</v>
      </c>
      <c r="G3097" s="56">
        <v>0</v>
      </c>
      <c r="H3097" s="56">
        <v>0</v>
      </c>
      <c r="I3097" s="58">
        <v>0.44562299999999999</v>
      </c>
      <c r="J3097" s="57">
        <v>0.337451</v>
      </c>
      <c r="K3097" s="56"/>
      <c r="L3097" s="56" t="s">
        <v>492</v>
      </c>
    </row>
    <row r="3098" spans="2:12" x14ac:dyDescent="0.2">
      <c r="B3098" s="62" t="s">
        <v>2787</v>
      </c>
      <c r="C3098" s="61" t="s">
        <v>625</v>
      </c>
      <c r="D3098" s="60">
        <v>1.59687</v>
      </c>
      <c r="E3098" s="59">
        <v>2.6972100000000001</v>
      </c>
      <c r="F3098" s="59">
        <v>4.7635199999999998</v>
      </c>
      <c r="G3098" s="56">
        <v>0</v>
      </c>
      <c r="H3098" s="56">
        <v>0</v>
      </c>
      <c r="I3098" s="58">
        <v>0.32097399999999998</v>
      </c>
      <c r="J3098" s="57">
        <v>0.30266799999999999</v>
      </c>
      <c r="K3098" s="56"/>
      <c r="L3098" s="56" t="s">
        <v>488</v>
      </c>
    </row>
    <row r="3099" spans="2:12" x14ac:dyDescent="0.2">
      <c r="B3099" s="62" t="s">
        <v>2786</v>
      </c>
      <c r="C3099" s="61" t="s">
        <v>625</v>
      </c>
      <c r="D3099" s="60">
        <v>1.53721</v>
      </c>
      <c r="E3099" s="59">
        <v>2.83779</v>
      </c>
      <c r="F3099" s="59">
        <v>4.68283</v>
      </c>
      <c r="G3099" s="56">
        <v>0</v>
      </c>
      <c r="H3099" s="56">
        <v>0</v>
      </c>
      <c r="I3099" s="58">
        <v>0.33566600000000002</v>
      </c>
      <c r="J3099" s="57">
        <v>0.32807900000000001</v>
      </c>
      <c r="K3099" s="56"/>
      <c r="L3099" s="56" t="s">
        <v>488</v>
      </c>
    </row>
    <row r="3100" spans="2:12" x14ac:dyDescent="0.2">
      <c r="B3100" s="62" t="s">
        <v>2785</v>
      </c>
      <c r="C3100" s="61" t="s">
        <v>587</v>
      </c>
      <c r="D3100" s="60">
        <v>1.9361900000000001</v>
      </c>
      <c r="E3100" s="59">
        <v>3.1963200000000001</v>
      </c>
      <c r="F3100" s="59">
        <v>3.8369900000000001</v>
      </c>
      <c r="G3100" s="56">
        <v>0</v>
      </c>
      <c r="H3100" s="56">
        <v>0</v>
      </c>
      <c r="I3100" s="58">
        <v>9.6951399999999993E-2</v>
      </c>
      <c r="J3100" s="57">
        <v>0.190886</v>
      </c>
      <c r="K3100" s="56"/>
      <c r="L3100" s="56" t="s">
        <v>488</v>
      </c>
    </row>
    <row r="3101" spans="2:12" x14ac:dyDescent="0.2">
      <c r="B3101" s="62" t="s">
        <v>2784</v>
      </c>
      <c r="C3101" s="61" t="s">
        <v>502</v>
      </c>
      <c r="D3101" s="60">
        <v>0.92254000000000003</v>
      </c>
      <c r="E3101" s="59">
        <v>5.3517599999999996</v>
      </c>
      <c r="F3101" s="59">
        <v>6.4754899999999997</v>
      </c>
      <c r="G3101" s="56">
        <v>1921.54</v>
      </c>
      <c r="H3101" s="56">
        <v>2082.88</v>
      </c>
      <c r="I3101" s="58">
        <v>0.68225899999999995</v>
      </c>
      <c r="J3101" s="57">
        <v>0.72472300000000001</v>
      </c>
      <c r="K3101" s="56"/>
      <c r="L3101" s="56" t="s">
        <v>492</v>
      </c>
    </row>
    <row r="3102" spans="2:12" x14ac:dyDescent="0.2">
      <c r="B3102" s="62" t="s">
        <v>2783</v>
      </c>
      <c r="C3102" s="61" t="s">
        <v>499</v>
      </c>
      <c r="D3102" s="60">
        <v>0.79415500000000006</v>
      </c>
      <c r="E3102" s="59">
        <v>7.8906400000000003</v>
      </c>
      <c r="F3102" s="59">
        <v>8.7086900000000007</v>
      </c>
      <c r="G3102" s="56">
        <v>1723.73</v>
      </c>
      <c r="H3102" s="56">
        <v>2170.52</v>
      </c>
      <c r="I3102" s="58">
        <v>0.62516700000000003</v>
      </c>
      <c r="J3102" s="57">
        <v>0.826631</v>
      </c>
      <c r="K3102" s="56"/>
      <c r="L3102" s="56" t="s">
        <v>488</v>
      </c>
    </row>
    <row r="3103" spans="2:12" x14ac:dyDescent="0.2">
      <c r="B3103" s="62" t="s">
        <v>2782</v>
      </c>
      <c r="C3103" s="61" t="s">
        <v>502</v>
      </c>
      <c r="D3103" s="60">
        <v>0.90970700000000004</v>
      </c>
      <c r="E3103" s="59">
        <v>9.1911000000000005</v>
      </c>
      <c r="F3103" s="59">
        <v>9.9423499999999994</v>
      </c>
      <c r="G3103" s="56">
        <v>1793.73</v>
      </c>
      <c r="H3103" s="56">
        <v>1971.77</v>
      </c>
      <c r="I3103" s="58">
        <v>0.72976399999999997</v>
      </c>
      <c r="J3103" s="57">
        <v>0.74157899999999999</v>
      </c>
      <c r="K3103" s="56"/>
      <c r="L3103" s="56" t="s">
        <v>488</v>
      </c>
    </row>
    <row r="3104" spans="2:12" x14ac:dyDescent="0.2">
      <c r="B3104" s="62" t="s">
        <v>2781</v>
      </c>
      <c r="C3104" s="61" t="s">
        <v>582</v>
      </c>
      <c r="D3104" s="60">
        <v>1.5815300000000001</v>
      </c>
      <c r="E3104" s="59">
        <v>3.3269500000000001</v>
      </c>
      <c r="F3104" s="59">
        <v>4.83812</v>
      </c>
      <c r="G3104" s="56">
        <v>0</v>
      </c>
      <c r="H3104" s="56">
        <v>0</v>
      </c>
      <c r="I3104" s="58">
        <v>0.23985699999999999</v>
      </c>
      <c r="J3104" s="57">
        <v>0.277667</v>
      </c>
      <c r="K3104" s="56"/>
      <c r="L3104" s="56" t="s">
        <v>488</v>
      </c>
    </row>
    <row r="3105" spans="2:12" x14ac:dyDescent="0.2">
      <c r="B3105" s="62" t="s">
        <v>2780</v>
      </c>
      <c r="C3105" s="61" t="s">
        <v>531</v>
      </c>
      <c r="D3105" s="60">
        <v>1.5901700000000001</v>
      </c>
      <c r="E3105" s="59">
        <v>3.2954500000000002</v>
      </c>
      <c r="F3105" s="59">
        <v>4.8101000000000003</v>
      </c>
      <c r="G3105" s="56">
        <v>0</v>
      </c>
      <c r="H3105" s="56">
        <v>0</v>
      </c>
      <c r="I3105" s="58">
        <v>0.237403</v>
      </c>
      <c r="J3105" s="57">
        <v>0.27513900000000002</v>
      </c>
      <c r="K3105" s="56"/>
      <c r="L3105" s="56" t="s">
        <v>488</v>
      </c>
    </row>
    <row r="3106" spans="2:12" x14ac:dyDescent="0.2">
      <c r="B3106" s="62" t="s">
        <v>2779</v>
      </c>
      <c r="C3106" s="61" t="s">
        <v>535</v>
      </c>
      <c r="D3106" s="60">
        <v>1.61076</v>
      </c>
      <c r="E3106" s="59">
        <v>3.2945799999999998</v>
      </c>
      <c r="F3106" s="59">
        <v>4.7999700000000001</v>
      </c>
      <c r="G3106" s="56">
        <v>0</v>
      </c>
      <c r="H3106" s="56">
        <v>0</v>
      </c>
      <c r="I3106" s="58">
        <v>0.23757500000000001</v>
      </c>
      <c r="J3106" s="57">
        <v>0.27166299999999999</v>
      </c>
      <c r="K3106" s="56"/>
      <c r="L3106" s="56" t="s">
        <v>488</v>
      </c>
    </row>
    <row r="3107" spans="2:12" x14ac:dyDescent="0.2">
      <c r="B3107" s="62" t="s">
        <v>2778</v>
      </c>
      <c r="C3107" s="61" t="s">
        <v>537</v>
      </c>
      <c r="D3107" s="60">
        <v>1.62215</v>
      </c>
      <c r="E3107" s="59">
        <v>3.28559</v>
      </c>
      <c r="F3107" s="59">
        <v>4.7761699999999996</v>
      </c>
      <c r="G3107" s="56">
        <v>0</v>
      </c>
      <c r="H3107" s="56">
        <v>0</v>
      </c>
      <c r="I3107" s="58">
        <v>0.236654</v>
      </c>
      <c r="J3107" s="57">
        <v>0.26931699999999997</v>
      </c>
      <c r="K3107" s="56"/>
      <c r="L3107" s="56" t="s">
        <v>488</v>
      </c>
    </row>
    <row r="3108" spans="2:12" x14ac:dyDescent="0.2">
      <c r="B3108" s="62" t="s">
        <v>2777</v>
      </c>
      <c r="C3108" s="61" t="s">
        <v>502</v>
      </c>
      <c r="D3108" s="60">
        <v>1.8501799999999999</v>
      </c>
      <c r="E3108" s="59">
        <v>3.1826400000000001</v>
      </c>
      <c r="F3108" s="59">
        <v>3.75861</v>
      </c>
      <c r="G3108" s="56">
        <v>0</v>
      </c>
      <c r="H3108" s="56">
        <v>0</v>
      </c>
      <c r="I3108" s="58">
        <v>0.10614899999999999</v>
      </c>
      <c r="J3108" s="57">
        <v>0.176534</v>
      </c>
      <c r="K3108" s="56"/>
      <c r="L3108" s="56" t="s">
        <v>488</v>
      </c>
    </row>
    <row r="3109" spans="2:12" x14ac:dyDescent="0.2">
      <c r="B3109" s="62" t="s">
        <v>2776</v>
      </c>
      <c r="C3109" s="61" t="s">
        <v>502</v>
      </c>
      <c r="D3109" s="60">
        <v>1.5964700000000001</v>
      </c>
      <c r="E3109" s="59">
        <v>3.3817599999999999</v>
      </c>
      <c r="F3109" s="59">
        <v>4.2348600000000003</v>
      </c>
      <c r="G3109" s="56">
        <v>0</v>
      </c>
      <c r="H3109" s="56">
        <v>0</v>
      </c>
      <c r="I3109" s="58">
        <v>0.20651600000000001</v>
      </c>
      <c r="J3109" s="57">
        <v>0.22955600000000001</v>
      </c>
      <c r="K3109" s="56"/>
      <c r="L3109" s="56" t="s">
        <v>488</v>
      </c>
    </row>
    <row r="3110" spans="2:12" x14ac:dyDescent="0.2">
      <c r="B3110" s="62" t="s">
        <v>2775</v>
      </c>
      <c r="C3110" s="61" t="s">
        <v>531</v>
      </c>
      <c r="D3110" s="60">
        <v>1.4126700000000001</v>
      </c>
      <c r="E3110" s="59">
        <v>6.8267100000000003</v>
      </c>
      <c r="F3110" s="59">
        <v>7.6363599999999998</v>
      </c>
      <c r="G3110" s="56">
        <v>1354.47</v>
      </c>
      <c r="H3110" s="56">
        <v>958.80399999999997</v>
      </c>
      <c r="I3110" s="58">
        <v>0.51732</v>
      </c>
      <c r="J3110" s="57">
        <v>0.39949899999999999</v>
      </c>
      <c r="K3110" s="56"/>
      <c r="L3110" s="56" t="s">
        <v>488</v>
      </c>
    </row>
    <row r="3111" spans="2:12" x14ac:dyDescent="0.2">
      <c r="B3111" s="62" t="s">
        <v>2774</v>
      </c>
      <c r="C3111" s="61" t="s">
        <v>510</v>
      </c>
      <c r="D3111" s="60">
        <v>1.4146700000000001</v>
      </c>
      <c r="E3111" s="59">
        <v>4.0520300000000002</v>
      </c>
      <c r="F3111" s="59">
        <v>4.5839600000000003</v>
      </c>
      <c r="G3111" s="56">
        <v>518.15800000000002</v>
      </c>
      <c r="H3111" s="56">
        <v>366.274</v>
      </c>
      <c r="I3111" s="58">
        <v>0.30625599999999997</v>
      </c>
      <c r="J3111" s="57">
        <v>0.30826500000000001</v>
      </c>
      <c r="K3111" s="56"/>
      <c r="L3111" s="56" t="s">
        <v>488</v>
      </c>
    </row>
    <row r="3112" spans="2:12" x14ac:dyDescent="0.2">
      <c r="B3112" s="62" t="s">
        <v>2773</v>
      </c>
      <c r="C3112" s="61" t="s">
        <v>510</v>
      </c>
      <c r="D3112" s="60">
        <v>1.4951000000000001</v>
      </c>
      <c r="E3112" s="59">
        <v>3.7095500000000001</v>
      </c>
      <c r="F3112" s="59">
        <v>4.3927300000000002</v>
      </c>
      <c r="G3112" s="56">
        <v>0</v>
      </c>
      <c r="H3112" s="56">
        <v>0</v>
      </c>
      <c r="I3112" s="58">
        <v>0.27947300000000003</v>
      </c>
      <c r="J3112" s="57">
        <v>0.27993200000000001</v>
      </c>
      <c r="K3112" s="56"/>
      <c r="L3112" s="56" t="s">
        <v>488</v>
      </c>
    </row>
    <row r="3113" spans="2:12" x14ac:dyDescent="0.2">
      <c r="B3113" s="62" t="s">
        <v>2772</v>
      </c>
      <c r="C3113" s="61" t="s">
        <v>499</v>
      </c>
      <c r="D3113" s="60">
        <v>1.6904999999999999</v>
      </c>
      <c r="E3113" s="59">
        <v>5.3527800000000001</v>
      </c>
      <c r="F3113" s="59">
        <v>6.2248299999999999</v>
      </c>
      <c r="G3113" s="56">
        <v>282.56700000000001</v>
      </c>
      <c r="H3113" s="56">
        <v>167.15</v>
      </c>
      <c r="I3113" s="58">
        <v>0.176785</v>
      </c>
      <c r="J3113" s="57">
        <v>0.24465000000000001</v>
      </c>
      <c r="K3113" s="56"/>
      <c r="L3113" s="56" t="s">
        <v>488</v>
      </c>
    </row>
    <row r="3114" spans="2:12" x14ac:dyDescent="0.2">
      <c r="B3114" s="62" t="s">
        <v>2771</v>
      </c>
      <c r="C3114" s="61" t="s">
        <v>587</v>
      </c>
      <c r="D3114" s="60">
        <v>1.97289</v>
      </c>
      <c r="E3114" s="59">
        <v>2.6451899999999999</v>
      </c>
      <c r="F3114" s="59">
        <v>3.2277200000000001</v>
      </c>
      <c r="G3114" s="56">
        <v>0</v>
      </c>
      <c r="H3114" s="56">
        <v>0</v>
      </c>
      <c r="I3114" s="58">
        <v>8.5996799999999998E-2</v>
      </c>
      <c r="J3114" s="57">
        <v>0.17383599999999999</v>
      </c>
      <c r="K3114" s="56"/>
      <c r="L3114" s="56" t="s">
        <v>488</v>
      </c>
    </row>
    <row r="3115" spans="2:12" x14ac:dyDescent="0.2">
      <c r="B3115" s="62" t="s">
        <v>2770</v>
      </c>
      <c r="C3115" s="61" t="s">
        <v>499</v>
      </c>
      <c r="D3115" s="60">
        <v>1.18198</v>
      </c>
      <c r="E3115" s="59">
        <v>2.4785300000000001</v>
      </c>
      <c r="F3115" s="59">
        <v>4.8413199999999996</v>
      </c>
      <c r="G3115" s="56">
        <v>0</v>
      </c>
      <c r="H3115" s="56">
        <v>0</v>
      </c>
      <c r="I3115" s="58">
        <v>0.31597700000000001</v>
      </c>
      <c r="J3115" s="57">
        <v>0.41701899999999997</v>
      </c>
      <c r="K3115" s="56"/>
      <c r="L3115" s="56" t="s">
        <v>488</v>
      </c>
    </row>
    <row r="3116" spans="2:12" x14ac:dyDescent="0.2">
      <c r="B3116" s="62" t="s">
        <v>2769</v>
      </c>
      <c r="C3116" s="61" t="s">
        <v>550</v>
      </c>
      <c r="D3116" s="60">
        <v>1.1310100000000001</v>
      </c>
      <c r="E3116" s="59">
        <v>6.0301299999999998</v>
      </c>
      <c r="F3116" s="59">
        <v>7.29162</v>
      </c>
      <c r="G3116" s="56">
        <v>1007.44</v>
      </c>
      <c r="H3116" s="56">
        <v>890.74599999999998</v>
      </c>
      <c r="I3116" s="58">
        <v>0.41620499999999999</v>
      </c>
      <c r="J3116" s="57">
        <v>0.47089599999999998</v>
      </c>
      <c r="K3116" s="56"/>
      <c r="L3116" s="56" t="s">
        <v>488</v>
      </c>
    </row>
    <row r="3117" spans="2:12" x14ac:dyDescent="0.2">
      <c r="B3117" s="62" t="s">
        <v>2768</v>
      </c>
      <c r="C3117" s="61" t="s">
        <v>507</v>
      </c>
      <c r="D3117" s="60">
        <v>1.91056</v>
      </c>
      <c r="E3117" s="59">
        <v>2.50996</v>
      </c>
      <c r="F3117" s="59">
        <v>3.5669499999999998</v>
      </c>
      <c r="G3117" s="56">
        <v>0</v>
      </c>
      <c r="H3117" s="56">
        <v>0</v>
      </c>
      <c r="I3117" s="58">
        <v>8.7281600000000001E-2</v>
      </c>
      <c r="J3117" s="57">
        <v>0.17748900000000001</v>
      </c>
      <c r="K3117" s="56"/>
      <c r="L3117" s="56" t="s">
        <v>488</v>
      </c>
    </row>
    <row r="3118" spans="2:12" x14ac:dyDescent="0.2">
      <c r="B3118" s="62" t="s">
        <v>2767</v>
      </c>
      <c r="C3118" s="61" t="s">
        <v>507</v>
      </c>
      <c r="D3118" s="60">
        <v>1.9127400000000001</v>
      </c>
      <c r="E3118" s="59">
        <v>2.5173100000000002</v>
      </c>
      <c r="F3118" s="59">
        <v>3.5891099999999998</v>
      </c>
      <c r="G3118" s="56">
        <v>0</v>
      </c>
      <c r="H3118" s="56">
        <v>0</v>
      </c>
      <c r="I3118" s="58">
        <v>8.1448999999999994E-2</v>
      </c>
      <c r="J3118" s="57">
        <v>0.17647599999999999</v>
      </c>
      <c r="K3118" s="56"/>
      <c r="L3118" s="56" t="s">
        <v>488</v>
      </c>
    </row>
    <row r="3119" spans="2:12" x14ac:dyDescent="0.2">
      <c r="B3119" s="62" t="s">
        <v>2766</v>
      </c>
      <c r="C3119" s="61" t="s">
        <v>502</v>
      </c>
      <c r="D3119" s="60">
        <v>1.0848199999999999</v>
      </c>
      <c r="E3119" s="59">
        <v>4.1601999999999997</v>
      </c>
      <c r="F3119" s="59">
        <v>7.7323500000000003</v>
      </c>
      <c r="G3119" s="56">
        <v>1043.2</v>
      </c>
      <c r="H3119" s="56">
        <v>961.63400000000001</v>
      </c>
      <c r="I3119" s="58">
        <v>0.53748200000000002</v>
      </c>
      <c r="J3119" s="57">
        <v>0.53643099999999999</v>
      </c>
      <c r="K3119" s="56"/>
      <c r="L3119" s="56" t="s">
        <v>488</v>
      </c>
    </row>
    <row r="3120" spans="2:12" x14ac:dyDescent="0.2">
      <c r="B3120" s="62" t="s">
        <v>2765</v>
      </c>
      <c r="C3120" s="61" t="s">
        <v>550</v>
      </c>
      <c r="D3120" s="60">
        <v>1.9691399999999999</v>
      </c>
      <c r="E3120" s="59">
        <v>4.8215199999999996</v>
      </c>
      <c r="F3120" s="59">
        <v>5.1165700000000003</v>
      </c>
      <c r="G3120" s="56">
        <v>489.37599999999998</v>
      </c>
      <c r="H3120" s="56">
        <v>248.52099999999999</v>
      </c>
      <c r="I3120" s="58">
        <v>0.27909</v>
      </c>
      <c r="J3120" s="57">
        <v>0.21582399999999999</v>
      </c>
      <c r="K3120" s="56"/>
      <c r="L3120" s="56" t="s">
        <v>488</v>
      </c>
    </row>
    <row r="3121" spans="2:12" x14ac:dyDescent="0.2">
      <c r="B3121" s="62" t="s">
        <v>2764</v>
      </c>
      <c r="C3121" s="61" t="s">
        <v>2761</v>
      </c>
      <c r="D3121" s="60">
        <v>1.1686399999999999</v>
      </c>
      <c r="E3121" s="59">
        <v>4.5998200000000002</v>
      </c>
      <c r="F3121" s="59">
        <v>5.4790599999999996</v>
      </c>
      <c r="G3121" s="56">
        <v>967.80600000000004</v>
      </c>
      <c r="H3121" s="56">
        <v>828.149</v>
      </c>
      <c r="I3121" s="58">
        <v>0.49997799999999998</v>
      </c>
      <c r="J3121" s="57">
        <v>0.47428900000000002</v>
      </c>
      <c r="K3121" s="56"/>
      <c r="L3121" s="56" t="s">
        <v>488</v>
      </c>
    </row>
    <row r="3122" spans="2:12" x14ac:dyDescent="0.2">
      <c r="B3122" s="62" t="s">
        <v>2763</v>
      </c>
      <c r="C3122" s="61" t="s">
        <v>2761</v>
      </c>
      <c r="D3122" s="60">
        <v>1.1978800000000001</v>
      </c>
      <c r="E3122" s="59">
        <v>4.8248300000000004</v>
      </c>
      <c r="F3122" s="59">
        <v>5.4005099999999997</v>
      </c>
      <c r="G3122" s="56">
        <v>464.935</v>
      </c>
      <c r="H3122" s="56">
        <v>388.13299999999998</v>
      </c>
      <c r="I3122" s="58">
        <v>0.47359299999999999</v>
      </c>
      <c r="J3122" s="57">
        <v>0.45427800000000002</v>
      </c>
      <c r="K3122" s="56"/>
      <c r="L3122" s="56" t="s">
        <v>488</v>
      </c>
    </row>
    <row r="3123" spans="2:12" x14ac:dyDescent="0.2">
      <c r="B3123" s="62" t="s">
        <v>2762</v>
      </c>
      <c r="C3123" s="61" t="s">
        <v>2761</v>
      </c>
      <c r="D3123" s="60">
        <v>1.1709099999999999</v>
      </c>
      <c r="E3123" s="59">
        <v>4.5608199999999997</v>
      </c>
      <c r="F3123" s="59">
        <v>5.4412900000000004</v>
      </c>
      <c r="G3123" s="56">
        <v>945.79100000000005</v>
      </c>
      <c r="H3123" s="56">
        <v>807.74099999999999</v>
      </c>
      <c r="I3123" s="58">
        <v>0.49070399999999997</v>
      </c>
      <c r="J3123" s="57">
        <v>0.47123900000000002</v>
      </c>
      <c r="K3123" s="56"/>
      <c r="L3123" s="56" t="s">
        <v>488</v>
      </c>
    </row>
    <row r="3124" spans="2:12" x14ac:dyDescent="0.2">
      <c r="B3124" s="62" t="s">
        <v>2760</v>
      </c>
      <c r="C3124" s="61" t="s">
        <v>1226</v>
      </c>
      <c r="D3124" s="60">
        <v>0.98623099999999997</v>
      </c>
      <c r="E3124" s="59">
        <v>8.8631100000000007</v>
      </c>
      <c r="F3124" s="59">
        <v>9.2292799999999993</v>
      </c>
      <c r="G3124" s="56">
        <v>1976.7</v>
      </c>
      <c r="H3124" s="56">
        <v>2004.29</v>
      </c>
      <c r="I3124" s="58">
        <v>0.75120699999999996</v>
      </c>
      <c r="J3124" s="57">
        <v>0.71138699999999999</v>
      </c>
      <c r="K3124" s="56"/>
      <c r="L3124" s="56" t="s">
        <v>488</v>
      </c>
    </row>
    <row r="3125" spans="2:12" x14ac:dyDescent="0.2">
      <c r="B3125" s="62" t="s">
        <v>2759</v>
      </c>
      <c r="C3125" s="61" t="s">
        <v>502</v>
      </c>
      <c r="D3125" s="60">
        <v>1.1259300000000001</v>
      </c>
      <c r="E3125" s="59">
        <v>4.5983700000000001</v>
      </c>
      <c r="F3125" s="59">
        <v>7.4417099999999996</v>
      </c>
      <c r="G3125" s="56">
        <v>633.58699999999999</v>
      </c>
      <c r="H3125" s="56">
        <v>576.44000000000005</v>
      </c>
      <c r="I3125" s="58">
        <v>0.29100900000000002</v>
      </c>
      <c r="J3125" s="57">
        <v>0.44657999999999998</v>
      </c>
      <c r="K3125" s="56"/>
      <c r="L3125" s="56" t="s">
        <v>492</v>
      </c>
    </row>
    <row r="3126" spans="2:12" x14ac:dyDescent="0.2">
      <c r="B3126" s="62" t="s">
        <v>2758</v>
      </c>
      <c r="C3126" s="61" t="s">
        <v>502</v>
      </c>
      <c r="D3126" s="60">
        <v>1.09914</v>
      </c>
      <c r="E3126" s="59">
        <v>4.8888199999999999</v>
      </c>
      <c r="F3126" s="59">
        <v>6.3235900000000003</v>
      </c>
      <c r="G3126" s="56">
        <v>627.00699999999995</v>
      </c>
      <c r="H3126" s="56">
        <v>556.88</v>
      </c>
      <c r="I3126" s="58">
        <v>0.36616700000000002</v>
      </c>
      <c r="J3126" s="57">
        <v>0.47275299999999998</v>
      </c>
      <c r="K3126" s="56"/>
      <c r="L3126" s="56" t="s">
        <v>492</v>
      </c>
    </row>
    <row r="3127" spans="2:12" x14ac:dyDescent="0.2">
      <c r="B3127" s="62" t="s">
        <v>2757</v>
      </c>
      <c r="C3127" s="61" t="s">
        <v>502</v>
      </c>
      <c r="D3127" s="60">
        <v>1.4404699999999999</v>
      </c>
      <c r="E3127" s="59">
        <v>4.6614599999999999</v>
      </c>
      <c r="F3127" s="59">
        <v>6.0002000000000004</v>
      </c>
      <c r="G3127" s="56">
        <v>486.72300000000001</v>
      </c>
      <c r="H3127" s="56">
        <v>337.89299999999997</v>
      </c>
      <c r="I3127" s="58">
        <v>0.23470099999999999</v>
      </c>
      <c r="J3127" s="57">
        <v>0.33714100000000002</v>
      </c>
      <c r="K3127" s="56"/>
      <c r="L3127" s="56" t="s">
        <v>492</v>
      </c>
    </row>
    <row r="3128" spans="2:12" x14ac:dyDescent="0.2">
      <c r="B3128" s="62" t="s">
        <v>2756</v>
      </c>
      <c r="C3128" s="61" t="s">
        <v>2755</v>
      </c>
      <c r="D3128" s="60">
        <v>3.2605200000000001</v>
      </c>
      <c r="E3128" s="59">
        <v>4.1477599999999999</v>
      </c>
      <c r="F3128" s="59">
        <v>5.42971</v>
      </c>
      <c r="G3128" s="56">
        <v>386.49200000000002</v>
      </c>
      <c r="H3128" s="56">
        <v>118.53700000000001</v>
      </c>
      <c r="I3128" s="58">
        <v>0.19506200000000001</v>
      </c>
      <c r="J3128" s="57">
        <v>0.13517699999999999</v>
      </c>
      <c r="K3128" s="56"/>
      <c r="L3128" s="56" t="s">
        <v>488</v>
      </c>
    </row>
    <row r="3129" spans="2:12" x14ac:dyDescent="0.2">
      <c r="B3129" s="62" t="s">
        <v>2754</v>
      </c>
      <c r="C3129" s="61" t="s">
        <v>2162</v>
      </c>
      <c r="D3129" s="60">
        <v>0.85828300000000002</v>
      </c>
      <c r="E3129" s="59">
        <v>4.9808599999999998</v>
      </c>
      <c r="F3129" s="59">
        <v>8.3917699999999993</v>
      </c>
      <c r="G3129" s="56">
        <v>1299.79</v>
      </c>
      <c r="H3129" s="56">
        <v>1514.4</v>
      </c>
      <c r="I3129" s="58">
        <v>0.75322299999999998</v>
      </c>
      <c r="J3129" s="57">
        <v>0.68064000000000002</v>
      </c>
      <c r="K3129" s="56"/>
      <c r="L3129" s="56" t="s">
        <v>488</v>
      </c>
    </row>
    <row r="3130" spans="2:12" x14ac:dyDescent="0.2">
      <c r="B3130" s="62" t="s">
        <v>2753</v>
      </c>
      <c r="C3130" s="61" t="s">
        <v>555</v>
      </c>
      <c r="D3130" s="60">
        <v>0.99148499999999995</v>
      </c>
      <c r="E3130" s="59">
        <v>5.06196</v>
      </c>
      <c r="F3130" s="59">
        <v>5.4618500000000001</v>
      </c>
      <c r="G3130" s="56">
        <v>1097.93</v>
      </c>
      <c r="H3130" s="56">
        <v>1107.3599999999999</v>
      </c>
      <c r="I3130" s="58">
        <v>0.52579299999999995</v>
      </c>
      <c r="J3130" s="57">
        <v>0.58095200000000002</v>
      </c>
      <c r="K3130" s="56"/>
      <c r="L3130" s="56" t="s">
        <v>488</v>
      </c>
    </row>
    <row r="3131" spans="2:12" x14ac:dyDescent="0.2">
      <c r="B3131" s="62" t="s">
        <v>2752</v>
      </c>
      <c r="C3131" s="61" t="s">
        <v>555</v>
      </c>
      <c r="D3131" s="60">
        <v>0.88431400000000004</v>
      </c>
      <c r="E3131" s="59">
        <v>5.5956599999999996</v>
      </c>
      <c r="F3131" s="59">
        <v>5.7686299999999999</v>
      </c>
      <c r="G3131" s="56">
        <v>1497.25</v>
      </c>
      <c r="H3131" s="56">
        <v>1693.12</v>
      </c>
      <c r="I3131" s="58">
        <v>0.63142799999999999</v>
      </c>
      <c r="J3131" s="57">
        <v>0.71932399999999996</v>
      </c>
      <c r="K3131" s="56"/>
      <c r="L3131" s="56" t="s">
        <v>488</v>
      </c>
    </row>
    <row r="3132" spans="2:12" x14ac:dyDescent="0.2">
      <c r="B3132" s="62" t="s">
        <v>2751</v>
      </c>
      <c r="C3132" s="61" t="s">
        <v>555</v>
      </c>
      <c r="D3132" s="60">
        <v>1.20581</v>
      </c>
      <c r="E3132" s="59">
        <v>4.5750200000000003</v>
      </c>
      <c r="F3132" s="59">
        <v>5.2750000000000004</v>
      </c>
      <c r="G3132" s="56">
        <v>943.86300000000006</v>
      </c>
      <c r="H3132" s="56">
        <v>782.76400000000001</v>
      </c>
      <c r="I3132" s="58">
        <v>0.51615800000000001</v>
      </c>
      <c r="J3132" s="57">
        <v>0.42722599999999999</v>
      </c>
      <c r="K3132" s="56"/>
      <c r="L3132" s="56" t="s">
        <v>488</v>
      </c>
    </row>
    <row r="3133" spans="2:12" x14ac:dyDescent="0.2">
      <c r="B3133" s="62" t="s">
        <v>2750</v>
      </c>
      <c r="C3133" s="61" t="s">
        <v>499</v>
      </c>
      <c r="D3133" s="60">
        <v>1.3063400000000001</v>
      </c>
      <c r="E3133" s="59">
        <v>3.5330400000000002</v>
      </c>
      <c r="F3133" s="59">
        <v>4.3934699999999998</v>
      </c>
      <c r="G3133" s="56">
        <v>0</v>
      </c>
      <c r="H3133" s="56">
        <v>0</v>
      </c>
      <c r="I3133" s="58">
        <v>0.26090799999999997</v>
      </c>
      <c r="J3133" s="57">
        <v>0.33599299999999999</v>
      </c>
      <c r="K3133" s="56"/>
      <c r="L3133" s="56" t="s">
        <v>488</v>
      </c>
    </row>
    <row r="3134" spans="2:12" x14ac:dyDescent="0.2">
      <c r="B3134" s="62" t="s">
        <v>2749</v>
      </c>
      <c r="C3134" s="61" t="s">
        <v>499</v>
      </c>
      <c r="D3134" s="60">
        <v>1.21532</v>
      </c>
      <c r="E3134" s="59">
        <v>7.62995</v>
      </c>
      <c r="F3134" s="59">
        <v>8.1393599999999999</v>
      </c>
      <c r="G3134" s="56">
        <v>1582.77</v>
      </c>
      <c r="H3134" s="56">
        <v>1302.3499999999999</v>
      </c>
      <c r="I3134" s="58">
        <v>0.62095400000000001</v>
      </c>
      <c r="J3134" s="57">
        <v>0.54906299999999997</v>
      </c>
      <c r="K3134" s="56"/>
      <c r="L3134" s="56" t="s">
        <v>488</v>
      </c>
    </row>
    <row r="3135" spans="2:12" x14ac:dyDescent="0.2">
      <c r="B3135" s="62" t="s">
        <v>2748</v>
      </c>
      <c r="C3135" s="61" t="s">
        <v>499</v>
      </c>
      <c r="D3135" s="60">
        <v>1.0981399999999999</v>
      </c>
      <c r="E3135" s="59">
        <v>6.9884399999999998</v>
      </c>
      <c r="F3135" s="59">
        <v>7.70472</v>
      </c>
      <c r="G3135" s="56">
        <v>1553.31</v>
      </c>
      <c r="H3135" s="56">
        <v>1414.49</v>
      </c>
      <c r="I3135" s="58">
        <v>0.59319299999999997</v>
      </c>
      <c r="J3135" s="57">
        <v>0.58758999999999995</v>
      </c>
      <c r="K3135" s="56"/>
      <c r="L3135" s="56" t="s">
        <v>730</v>
      </c>
    </row>
    <row r="3136" spans="2:12" x14ac:dyDescent="0.2">
      <c r="B3136" s="62" t="s">
        <v>2747</v>
      </c>
      <c r="C3136" s="61" t="s">
        <v>502</v>
      </c>
      <c r="D3136" s="60">
        <v>1.7540800000000001</v>
      </c>
      <c r="E3136" s="59">
        <v>4.6959299999999997</v>
      </c>
      <c r="F3136" s="59">
        <v>4.7976200000000002</v>
      </c>
      <c r="G3136" s="56">
        <v>323.21800000000002</v>
      </c>
      <c r="H3136" s="56">
        <v>184.26599999999999</v>
      </c>
      <c r="I3136" s="58">
        <v>0.184338</v>
      </c>
      <c r="J3136" s="57">
        <v>0.22144900000000001</v>
      </c>
      <c r="K3136" s="56"/>
      <c r="L3136" s="56" t="s">
        <v>492</v>
      </c>
    </row>
    <row r="3137" spans="2:12" x14ac:dyDescent="0.2">
      <c r="B3137" s="62" t="s">
        <v>2746</v>
      </c>
      <c r="C3137" s="61" t="s">
        <v>625</v>
      </c>
      <c r="D3137" s="60">
        <v>1.98323</v>
      </c>
      <c r="E3137" s="59">
        <v>4.0400600000000004</v>
      </c>
      <c r="F3137" s="59">
        <v>4.5995799999999996</v>
      </c>
      <c r="G3137" s="56">
        <v>253.23599999999999</v>
      </c>
      <c r="H3137" s="56">
        <v>127.68899999999999</v>
      </c>
      <c r="I3137" s="58">
        <v>0.17665400000000001</v>
      </c>
      <c r="J3137" s="57">
        <v>0.22196199999999999</v>
      </c>
      <c r="K3137" s="56"/>
      <c r="L3137" s="56" t="s">
        <v>488</v>
      </c>
    </row>
    <row r="3138" spans="2:12" x14ac:dyDescent="0.2">
      <c r="B3138" s="62" t="s">
        <v>2745</v>
      </c>
      <c r="C3138" s="61" t="s">
        <v>625</v>
      </c>
      <c r="D3138" s="60">
        <v>1.9606300000000001</v>
      </c>
      <c r="E3138" s="59">
        <v>4.0513700000000004</v>
      </c>
      <c r="F3138" s="59">
        <v>4.7111799999999997</v>
      </c>
      <c r="G3138" s="56">
        <v>278.57499999999999</v>
      </c>
      <c r="H3138" s="56">
        <v>142.084</v>
      </c>
      <c r="I3138" s="58">
        <v>0.17998800000000001</v>
      </c>
      <c r="J3138" s="57">
        <v>0.227247</v>
      </c>
      <c r="K3138" s="56"/>
      <c r="L3138" s="56" t="s">
        <v>488</v>
      </c>
    </row>
    <row r="3139" spans="2:12" x14ac:dyDescent="0.2">
      <c r="B3139" s="62" t="s">
        <v>2744</v>
      </c>
      <c r="C3139" s="61" t="s">
        <v>625</v>
      </c>
      <c r="D3139" s="60">
        <v>1.9723599999999999</v>
      </c>
      <c r="E3139" s="59">
        <v>3.9062899999999998</v>
      </c>
      <c r="F3139" s="59">
        <v>4.4851900000000002</v>
      </c>
      <c r="G3139" s="56">
        <v>211.941</v>
      </c>
      <c r="H3139" s="56">
        <v>107.456</v>
      </c>
      <c r="I3139" s="58">
        <v>0.16825699999999999</v>
      </c>
      <c r="J3139" s="57">
        <v>0.223608</v>
      </c>
      <c r="K3139" s="56"/>
      <c r="L3139" s="56" t="s">
        <v>488</v>
      </c>
    </row>
    <row r="3140" spans="2:12" x14ac:dyDescent="0.2">
      <c r="B3140" s="62" t="s">
        <v>2743</v>
      </c>
      <c r="C3140" s="61" t="s">
        <v>625</v>
      </c>
      <c r="D3140" s="60">
        <v>1.99203</v>
      </c>
      <c r="E3140" s="59">
        <v>3.93912</v>
      </c>
      <c r="F3140" s="59">
        <v>4.4554400000000003</v>
      </c>
      <c r="G3140" s="56">
        <v>194.47</v>
      </c>
      <c r="H3140" s="56">
        <v>97.624099999999999</v>
      </c>
      <c r="I3140" s="58">
        <v>0.16567599999999999</v>
      </c>
      <c r="J3140" s="57">
        <v>0.21895000000000001</v>
      </c>
      <c r="K3140" s="56"/>
      <c r="L3140" s="56" t="s">
        <v>488</v>
      </c>
    </row>
    <row r="3141" spans="2:12" x14ac:dyDescent="0.2">
      <c r="B3141" s="62" t="s">
        <v>2742</v>
      </c>
      <c r="C3141" s="61" t="s">
        <v>499</v>
      </c>
      <c r="D3141" s="60">
        <v>1.5601100000000001</v>
      </c>
      <c r="E3141" s="59">
        <v>2.4661599999999999</v>
      </c>
      <c r="F3141" s="59">
        <v>4.6176199999999996</v>
      </c>
      <c r="G3141" s="56">
        <v>0</v>
      </c>
      <c r="H3141" s="56">
        <v>0</v>
      </c>
      <c r="I3141" s="58">
        <v>0.17702300000000001</v>
      </c>
      <c r="J3141" s="57">
        <v>0.26885399999999998</v>
      </c>
      <c r="K3141" s="56"/>
      <c r="L3141" s="56" t="s">
        <v>488</v>
      </c>
    </row>
    <row r="3142" spans="2:12" x14ac:dyDescent="0.2">
      <c r="B3142" s="62" t="s">
        <v>2741</v>
      </c>
      <c r="C3142" s="61" t="s">
        <v>499</v>
      </c>
      <c r="D3142" s="60">
        <v>1.17083</v>
      </c>
      <c r="E3142" s="59">
        <v>3.9130500000000001</v>
      </c>
      <c r="F3142" s="59">
        <v>5.6883100000000004</v>
      </c>
      <c r="G3142" s="56">
        <v>633.66899999999998</v>
      </c>
      <c r="H3142" s="56">
        <v>541.21299999999997</v>
      </c>
      <c r="I3142" s="58">
        <v>0.330065</v>
      </c>
      <c r="J3142" s="57">
        <v>0.42029100000000003</v>
      </c>
      <c r="K3142" s="56"/>
      <c r="L3142" s="56" t="s">
        <v>488</v>
      </c>
    </row>
    <row r="3143" spans="2:12" x14ac:dyDescent="0.2">
      <c r="B3143" s="62" t="s">
        <v>2740</v>
      </c>
      <c r="C3143" s="61" t="s">
        <v>625</v>
      </c>
      <c r="D3143" s="60">
        <v>1.9920199999999999</v>
      </c>
      <c r="E3143" s="59">
        <v>2.6785999999999999</v>
      </c>
      <c r="F3143" s="59">
        <v>2.7342</v>
      </c>
      <c r="G3143" s="56">
        <v>0</v>
      </c>
      <c r="H3143" s="56">
        <v>0</v>
      </c>
      <c r="I3143" s="58">
        <v>1.9257699999999999E-2</v>
      </c>
      <c r="J3143" s="57">
        <v>0.14271700000000001</v>
      </c>
      <c r="K3143" s="56"/>
      <c r="L3143" s="56" t="s">
        <v>488</v>
      </c>
    </row>
    <row r="3144" spans="2:12" x14ac:dyDescent="0.2">
      <c r="B3144" s="62" t="s">
        <v>2739</v>
      </c>
      <c r="C3144" s="61" t="s">
        <v>625</v>
      </c>
      <c r="D3144" s="60">
        <v>1.9847900000000001</v>
      </c>
      <c r="E3144" s="59">
        <v>2.7513399999999999</v>
      </c>
      <c r="F3144" s="59">
        <v>2.79819</v>
      </c>
      <c r="G3144" s="56">
        <v>0</v>
      </c>
      <c r="H3144" s="56">
        <v>0</v>
      </c>
      <c r="I3144" s="58">
        <v>1.6261000000000001E-2</v>
      </c>
      <c r="J3144" s="57">
        <v>0.14597199999999999</v>
      </c>
      <c r="K3144" s="56"/>
      <c r="L3144" s="56" t="s">
        <v>488</v>
      </c>
    </row>
    <row r="3145" spans="2:12" x14ac:dyDescent="0.2">
      <c r="B3145" s="62" t="s">
        <v>2738</v>
      </c>
      <c r="C3145" s="61" t="s">
        <v>625</v>
      </c>
      <c r="D3145" s="60">
        <v>1.97837</v>
      </c>
      <c r="E3145" s="59">
        <v>2.7263999999999999</v>
      </c>
      <c r="F3145" s="59">
        <v>2.7953800000000002</v>
      </c>
      <c r="G3145" s="56">
        <v>0</v>
      </c>
      <c r="H3145" s="56">
        <v>0</v>
      </c>
      <c r="I3145" s="58">
        <v>1.9687400000000001E-2</v>
      </c>
      <c r="J3145" s="57">
        <v>0.145484</v>
      </c>
      <c r="K3145" s="56"/>
      <c r="L3145" s="56" t="s">
        <v>488</v>
      </c>
    </row>
    <row r="3146" spans="2:12" x14ac:dyDescent="0.2">
      <c r="B3146" s="62" t="s">
        <v>2737</v>
      </c>
      <c r="C3146" s="61" t="s">
        <v>535</v>
      </c>
      <c r="D3146" s="60">
        <v>1.11303</v>
      </c>
      <c r="E3146" s="59">
        <v>4.8676500000000003</v>
      </c>
      <c r="F3146" s="59">
        <v>5.5872299999999999</v>
      </c>
      <c r="G3146" s="56">
        <v>1424.33</v>
      </c>
      <c r="H3146" s="56">
        <v>1279.69</v>
      </c>
      <c r="I3146" s="58">
        <v>0.469912</v>
      </c>
      <c r="J3146" s="57">
        <v>0.52200599999999997</v>
      </c>
      <c r="K3146" s="56"/>
      <c r="L3146" s="56" t="s">
        <v>488</v>
      </c>
    </row>
    <row r="3147" spans="2:12" x14ac:dyDescent="0.2">
      <c r="B3147" s="62" t="s">
        <v>2736</v>
      </c>
      <c r="C3147" s="61" t="s">
        <v>533</v>
      </c>
      <c r="D3147" s="60">
        <v>1.1046400000000001</v>
      </c>
      <c r="E3147" s="59">
        <v>4.8811600000000004</v>
      </c>
      <c r="F3147" s="59">
        <v>5.5934299999999997</v>
      </c>
      <c r="G3147" s="56">
        <v>1423.28</v>
      </c>
      <c r="H3147" s="56">
        <v>1288.46</v>
      </c>
      <c r="I3147" s="58">
        <v>0.47056599999999998</v>
      </c>
      <c r="J3147" s="57">
        <v>0.52782700000000005</v>
      </c>
      <c r="K3147" s="56"/>
      <c r="L3147" s="56" t="s">
        <v>488</v>
      </c>
    </row>
    <row r="3148" spans="2:12" x14ac:dyDescent="0.2">
      <c r="B3148" s="62" t="s">
        <v>2735</v>
      </c>
      <c r="C3148" s="61" t="s">
        <v>641</v>
      </c>
      <c r="D3148" s="60">
        <v>1.0468999999999999</v>
      </c>
      <c r="E3148" s="59">
        <v>4.9726100000000004</v>
      </c>
      <c r="F3148" s="59">
        <v>5.7034000000000002</v>
      </c>
      <c r="G3148" s="56">
        <v>1444.53</v>
      </c>
      <c r="H3148" s="56">
        <v>1379.81</v>
      </c>
      <c r="I3148" s="58">
        <v>0.47444999999999998</v>
      </c>
      <c r="J3148" s="57">
        <v>0.56167699999999998</v>
      </c>
      <c r="K3148" s="56"/>
      <c r="L3148" s="56" t="s">
        <v>488</v>
      </c>
    </row>
    <row r="3149" spans="2:12" x14ac:dyDescent="0.2">
      <c r="B3149" s="62" t="s">
        <v>2734</v>
      </c>
      <c r="C3149" s="61" t="s">
        <v>531</v>
      </c>
      <c r="D3149" s="60">
        <v>1.0945800000000001</v>
      </c>
      <c r="E3149" s="59">
        <v>4.8969100000000001</v>
      </c>
      <c r="F3149" s="59">
        <v>5.6189999999999998</v>
      </c>
      <c r="G3149" s="56">
        <v>1431.74</v>
      </c>
      <c r="H3149" s="56">
        <v>1308.03</v>
      </c>
      <c r="I3149" s="58">
        <v>0.47185899999999997</v>
      </c>
      <c r="J3149" s="57">
        <v>0.53287499999999999</v>
      </c>
      <c r="K3149" s="56"/>
      <c r="L3149" s="56" t="s">
        <v>488</v>
      </c>
    </row>
    <row r="3150" spans="2:12" x14ac:dyDescent="0.2">
      <c r="B3150" s="62" t="s">
        <v>2733</v>
      </c>
      <c r="C3150" s="61" t="s">
        <v>798</v>
      </c>
      <c r="D3150" s="60">
        <v>1.3708400000000001</v>
      </c>
      <c r="E3150" s="59">
        <v>2.9796399999999998</v>
      </c>
      <c r="F3150" s="59">
        <v>5.6624400000000001</v>
      </c>
      <c r="G3150" s="56">
        <v>0</v>
      </c>
      <c r="H3150" s="56">
        <v>0</v>
      </c>
      <c r="I3150" s="58">
        <v>0.27692099999999997</v>
      </c>
      <c r="J3150" s="57">
        <v>0.34287200000000001</v>
      </c>
      <c r="K3150" s="56"/>
      <c r="L3150" s="56" t="s">
        <v>488</v>
      </c>
    </row>
    <row r="3151" spans="2:12" x14ac:dyDescent="0.2">
      <c r="B3151" s="62" t="s">
        <v>2732</v>
      </c>
      <c r="C3151" s="61" t="s">
        <v>579</v>
      </c>
      <c r="D3151" s="60">
        <v>1.6926099999999999</v>
      </c>
      <c r="E3151" s="59">
        <v>3.37825</v>
      </c>
      <c r="F3151" s="59">
        <v>5.4445300000000003</v>
      </c>
      <c r="G3151" s="56">
        <v>0</v>
      </c>
      <c r="H3151" s="56">
        <v>0</v>
      </c>
      <c r="I3151" s="58">
        <v>0.31428699999999998</v>
      </c>
      <c r="J3151" s="57">
        <v>0.29391200000000001</v>
      </c>
      <c r="K3151" s="56"/>
      <c r="L3151" s="56" t="s">
        <v>492</v>
      </c>
    </row>
    <row r="3152" spans="2:12" x14ac:dyDescent="0.2">
      <c r="B3152" s="62" t="s">
        <v>2731</v>
      </c>
      <c r="C3152" s="61" t="s">
        <v>821</v>
      </c>
      <c r="D3152" s="60">
        <v>1.1396999999999999</v>
      </c>
      <c r="E3152" s="59">
        <v>2.4759899999999999</v>
      </c>
      <c r="F3152" s="59">
        <v>4.6236800000000002</v>
      </c>
      <c r="G3152" s="56">
        <v>0</v>
      </c>
      <c r="H3152" s="56">
        <v>0</v>
      </c>
      <c r="I3152" s="58">
        <v>0.28926499999999999</v>
      </c>
      <c r="J3152" s="57">
        <v>0.49852999999999997</v>
      </c>
      <c r="K3152" s="56"/>
      <c r="L3152" s="56" t="s">
        <v>488</v>
      </c>
    </row>
    <row r="3153" spans="2:12" x14ac:dyDescent="0.2">
      <c r="B3153" s="62" t="s">
        <v>2730</v>
      </c>
      <c r="C3153" s="61" t="s">
        <v>2729</v>
      </c>
      <c r="D3153" s="60">
        <v>1.2109000000000001</v>
      </c>
      <c r="E3153" s="59">
        <v>3.7987799999999998</v>
      </c>
      <c r="F3153" s="59">
        <v>5.1367900000000004</v>
      </c>
      <c r="G3153" s="56">
        <v>672.68600000000004</v>
      </c>
      <c r="H3153" s="56">
        <v>555.52700000000004</v>
      </c>
      <c r="I3153" s="58">
        <v>0.45155000000000001</v>
      </c>
      <c r="J3153" s="57">
        <v>0.40570899999999999</v>
      </c>
      <c r="K3153" s="56"/>
      <c r="L3153" s="56" t="s">
        <v>488</v>
      </c>
    </row>
    <row r="3154" spans="2:12" x14ac:dyDescent="0.2">
      <c r="B3154" s="62" t="s">
        <v>2728</v>
      </c>
      <c r="C3154" s="61" t="s">
        <v>1006</v>
      </c>
      <c r="D3154" s="60">
        <v>1.60097</v>
      </c>
      <c r="E3154" s="59">
        <v>4.2466100000000004</v>
      </c>
      <c r="F3154" s="59">
        <v>6.3171299999999997</v>
      </c>
      <c r="G3154" s="56">
        <v>852.55399999999997</v>
      </c>
      <c r="H3154" s="56">
        <v>532.52300000000002</v>
      </c>
      <c r="I3154" s="58">
        <v>0.49187500000000001</v>
      </c>
      <c r="J3154" s="57">
        <v>0.33760499999999999</v>
      </c>
      <c r="K3154" s="56"/>
      <c r="L3154" s="56" t="s">
        <v>488</v>
      </c>
    </row>
    <row r="3155" spans="2:12" x14ac:dyDescent="0.2">
      <c r="B3155" s="62" t="s">
        <v>2727</v>
      </c>
      <c r="C3155" s="61" t="s">
        <v>495</v>
      </c>
      <c r="D3155" s="60">
        <v>1.46061</v>
      </c>
      <c r="E3155" s="59">
        <v>3.6214499999999998</v>
      </c>
      <c r="F3155" s="59">
        <v>5.7328999999999999</v>
      </c>
      <c r="G3155" s="56">
        <v>0</v>
      </c>
      <c r="H3155" s="56">
        <v>0</v>
      </c>
      <c r="I3155" s="58">
        <v>0.176623</v>
      </c>
      <c r="J3155" s="57">
        <v>0.26591199999999998</v>
      </c>
      <c r="K3155" s="56"/>
      <c r="L3155" s="56" t="s">
        <v>488</v>
      </c>
    </row>
    <row r="3156" spans="2:12" x14ac:dyDescent="0.2">
      <c r="B3156" s="62" t="s">
        <v>2726</v>
      </c>
      <c r="C3156" s="61" t="s">
        <v>499</v>
      </c>
      <c r="D3156" s="60">
        <v>1.5285299999999999</v>
      </c>
      <c r="E3156" s="59">
        <v>5.2518000000000002</v>
      </c>
      <c r="F3156" s="59">
        <v>5.8792400000000002</v>
      </c>
      <c r="G3156" s="56">
        <v>626.11500000000001</v>
      </c>
      <c r="H3156" s="56">
        <v>409.61799999999999</v>
      </c>
      <c r="I3156" s="58">
        <v>0.35239599999999999</v>
      </c>
      <c r="J3156" s="57">
        <v>0.28930800000000001</v>
      </c>
      <c r="K3156" s="56"/>
      <c r="L3156" s="56" t="s">
        <v>488</v>
      </c>
    </row>
    <row r="3157" spans="2:12" x14ac:dyDescent="0.2">
      <c r="B3157" s="62" t="s">
        <v>2725</v>
      </c>
      <c r="C3157" s="61" t="s">
        <v>550</v>
      </c>
      <c r="D3157" s="60">
        <v>1.53474</v>
      </c>
      <c r="E3157" s="59">
        <v>2.81637</v>
      </c>
      <c r="F3157" s="59">
        <v>4.4028099999999997</v>
      </c>
      <c r="G3157" s="56">
        <v>0</v>
      </c>
      <c r="H3157" s="56">
        <v>0</v>
      </c>
      <c r="I3157" s="58">
        <v>0.17458799999999999</v>
      </c>
      <c r="J3157" s="57">
        <v>0.27605299999999999</v>
      </c>
      <c r="K3157" s="56"/>
      <c r="L3157" s="56" t="s">
        <v>488</v>
      </c>
    </row>
    <row r="3158" spans="2:12" x14ac:dyDescent="0.2">
      <c r="B3158" s="62" t="s">
        <v>2724</v>
      </c>
      <c r="C3158" s="61" t="s">
        <v>2723</v>
      </c>
      <c r="D3158" s="60">
        <v>2.6683400000000002</v>
      </c>
      <c r="E3158" s="59">
        <v>3.7122799999999998</v>
      </c>
      <c r="F3158" s="59">
        <v>4.7058600000000004</v>
      </c>
      <c r="G3158" s="56">
        <v>0</v>
      </c>
      <c r="H3158" s="56">
        <v>0</v>
      </c>
      <c r="I3158" s="58">
        <v>0.41746499999999997</v>
      </c>
      <c r="J3158" s="57">
        <v>0.193575</v>
      </c>
      <c r="K3158" s="56"/>
      <c r="L3158" s="56" t="s">
        <v>488</v>
      </c>
    </row>
    <row r="3159" spans="2:12" x14ac:dyDescent="0.2">
      <c r="B3159" s="62" t="s">
        <v>2722</v>
      </c>
      <c r="C3159" s="61" t="s">
        <v>708</v>
      </c>
      <c r="D3159" s="60">
        <v>1.26325</v>
      </c>
      <c r="E3159" s="59">
        <v>4.0712700000000002</v>
      </c>
      <c r="F3159" s="59">
        <v>5.3844000000000003</v>
      </c>
      <c r="G3159" s="56">
        <v>617.21199999999999</v>
      </c>
      <c r="H3159" s="56">
        <v>488.59</v>
      </c>
      <c r="I3159" s="58">
        <v>0.34810600000000003</v>
      </c>
      <c r="J3159" s="57">
        <v>0.38471899999999998</v>
      </c>
      <c r="K3159" s="56"/>
      <c r="L3159" s="56" t="s">
        <v>488</v>
      </c>
    </row>
    <row r="3160" spans="2:12" x14ac:dyDescent="0.2">
      <c r="B3160" s="62" t="s">
        <v>2721</v>
      </c>
      <c r="C3160" s="61" t="s">
        <v>708</v>
      </c>
      <c r="D3160" s="60">
        <v>1.3908199999999999</v>
      </c>
      <c r="E3160" s="59">
        <v>2.9485800000000002</v>
      </c>
      <c r="F3160" s="59">
        <v>4.0429199999999996</v>
      </c>
      <c r="G3160" s="56">
        <v>0</v>
      </c>
      <c r="H3160" s="56">
        <v>0</v>
      </c>
      <c r="I3160" s="58">
        <v>0.17557</v>
      </c>
      <c r="J3160" s="57">
        <v>0.31729600000000002</v>
      </c>
      <c r="K3160" s="56"/>
      <c r="L3160" s="56" t="s">
        <v>488</v>
      </c>
    </row>
    <row r="3161" spans="2:12" x14ac:dyDescent="0.2">
      <c r="B3161" s="62" t="s">
        <v>2720</v>
      </c>
      <c r="C3161" s="61" t="s">
        <v>499</v>
      </c>
      <c r="D3161" s="60">
        <v>0.84067400000000003</v>
      </c>
      <c r="E3161" s="59">
        <v>5.9764999999999997</v>
      </c>
      <c r="F3161" s="59">
        <v>9.5818200000000004</v>
      </c>
      <c r="G3161" s="56">
        <v>2207.98</v>
      </c>
      <c r="H3161" s="56">
        <v>2626.44</v>
      </c>
      <c r="I3161" s="58">
        <v>0.74365700000000001</v>
      </c>
      <c r="J3161" s="57">
        <v>0.86146299999999998</v>
      </c>
      <c r="K3161" s="56"/>
      <c r="L3161" s="56" t="s">
        <v>488</v>
      </c>
    </row>
    <row r="3162" spans="2:12" x14ac:dyDescent="0.2">
      <c r="B3162" s="62" t="s">
        <v>2719</v>
      </c>
      <c r="C3162" s="61" t="s">
        <v>499</v>
      </c>
      <c r="D3162" s="60">
        <v>1.00925</v>
      </c>
      <c r="E3162" s="59">
        <v>4.28078</v>
      </c>
      <c r="F3162" s="59">
        <v>8.0201100000000007</v>
      </c>
      <c r="G3162" s="56">
        <v>1695.3</v>
      </c>
      <c r="H3162" s="56">
        <v>1679.76</v>
      </c>
      <c r="I3162" s="58">
        <v>0.63755799999999996</v>
      </c>
      <c r="J3162" s="57">
        <v>0.64077700000000004</v>
      </c>
      <c r="K3162" s="56"/>
      <c r="L3162" s="56" t="s">
        <v>488</v>
      </c>
    </row>
    <row r="3163" spans="2:12" x14ac:dyDescent="0.2">
      <c r="B3163" s="62" t="s">
        <v>2718</v>
      </c>
      <c r="C3163" s="61" t="s">
        <v>2717</v>
      </c>
      <c r="D3163" s="60">
        <v>3.3173699999999999</v>
      </c>
      <c r="E3163" s="59">
        <v>4.1565700000000003</v>
      </c>
      <c r="F3163" s="59">
        <v>6.9289899999999998</v>
      </c>
      <c r="G3163" s="56">
        <v>790.27700000000004</v>
      </c>
      <c r="H3163" s="56">
        <v>238.22399999999999</v>
      </c>
      <c r="I3163" s="58">
        <v>0.33463999999999999</v>
      </c>
      <c r="J3163" s="57">
        <v>0.14794599999999999</v>
      </c>
      <c r="K3163" s="56"/>
      <c r="L3163" s="56" t="s">
        <v>488</v>
      </c>
    </row>
    <row r="3164" spans="2:12" x14ac:dyDescent="0.2">
      <c r="B3164" s="62" t="s">
        <v>2716</v>
      </c>
      <c r="C3164" s="61" t="s">
        <v>499</v>
      </c>
      <c r="D3164" s="60">
        <v>0.65586999999999995</v>
      </c>
      <c r="E3164" s="59">
        <v>5.3622199999999998</v>
      </c>
      <c r="F3164" s="59">
        <v>7.5935899999999998</v>
      </c>
      <c r="G3164" s="56">
        <v>3104.06</v>
      </c>
      <c r="H3164" s="56">
        <v>4732.74</v>
      </c>
      <c r="I3164" s="58">
        <v>0.79491100000000003</v>
      </c>
      <c r="J3164" s="57">
        <v>1.17876</v>
      </c>
      <c r="K3164" s="56"/>
      <c r="L3164" s="56" t="s">
        <v>488</v>
      </c>
    </row>
    <row r="3165" spans="2:12" x14ac:dyDescent="0.2">
      <c r="B3165" s="62" t="s">
        <v>2715</v>
      </c>
      <c r="C3165" s="61" t="s">
        <v>510</v>
      </c>
      <c r="D3165" s="60">
        <v>0.64228600000000002</v>
      </c>
      <c r="E3165" s="59">
        <v>5.3186299999999997</v>
      </c>
      <c r="F3165" s="59">
        <v>7.56114</v>
      </c>
      <c r="G3165" s="56">
        <v>3118.53</v>
      </c>
      <c r="H3165" s="56">
        <v>4855.3599999999997</v>
      </c>
      <c r="I3165" s="58">
        <v>0.78647999999999996</v>
      </c>
      <c r="J3165" s="57">
        <v>1.1954400000000001</v>
      </c>
      <c r="K3165" s="56"/>
      <c r="L3165" s="56" t="s">
        <v>488</v>
      </c>
    </row>
    <row r="3166" spans="2:12" x14ac:dyDescent="0.2">
      <c r="B3166" s="62" t="s">
        <v>2714</v>
      </c>
      <c r="C3166" s="61" t="s">
        <v>495</v>
      </c>
      <c r="D3166" s="60">
        <v>0.59498200000000001</v>
      </c>
      <c r="E3166" s="59">
        <v>5.8099499999999997</v>
      </c>
      <c r="F3166" s="59">
        <v>7.6620799999999996</v>
      </c>
      <c r="G3166" s="56">
        <v>3036.92</v>
      </c>
      <c r="H3166" s="56">
        <v>5104.21</v>
      </c>
      <c r="I3166" s="58">
        <v>0.79074800000000001</v>
      </c>
      <c r="J3166" s="57">
        <v>1.3088</v>
      </c>
      <c r="K3166" s="56"/>
      <c r="L3166" s="56" t="s">
        <v>488</v>
      </c>
    </row>
    <row r="3167" spans="2:12" x14ac:dyDescent="0.2">
      <c r="B3167" s="62" t="s">
        <v>2713</v>
      </c>
      <c r="C3167" s="61" t="s">
        <v>708</v>
      </c>
      <c r="D3167" s="60">
        <v>0.65414700000000003</v>
      </c>
      <c r="E3167" s="59">
        <v>5.2862099999999996</v>
      </c>
      <c r="F3167" s="59">
        <v>7.5213599999999996</v>
      </c>
      <c r="G3167" s="56">
        <v>3152.19</v>
      </c>
      <c r="H3167" s="56">
        <v>4818.78</v>
      </c>
      <c r="I3167" s="58">
        <v>0.78649800000000003</v>
      </c>
      <c r="J3167" s="57">
        <v>1.1740699999999999</v>
      </c>
      <c r="K3167" s="56"/>
      <c r="L3167" s="56" t="s">
        <v>488</v>
      </c>
    </row>
    <row r="3168" spans="2:12" x14ac:dyDescent="0.2">
      <c r="B3168" s="62" t="s">
        <v>2712</v>
      </c>
      <c r="C3168" s="61" t="s">
        <v>612</v>
      </c>
      <c r="D3168" s="60">
        <v>0.64369200000000004</v>
      </c>
      <c r="E3168" s="59">
        <v>5.3193599999999996</v>
      </c>
      <c r="F3168" s="59">
        <v>7.5610999999999997</v>
      </c>
      <c r="G3168" s="56">
        <v>3139.52</v>
      </c>
      <c r="H3168" s="56">
        <v>4877.3599999999997</v>
      </c>
      <c r="I3168" s="58">
        <v>0.78970600000000002</v>
      </c>
      <c r="J3168" s="57">
        <v>1.19242</v>
      </c>
      <c r="K3168" s="56"/>
      <c r="L3168" s="56" t="s">
        <v>488</v>
      </c>
    </row>
    <row r="3169" spans="2:12" x14ac:dyDescent="0.2">
      <c r="B3169" s="62" t="s">
        <v>2711</v>
      </c>
      <c r="C3169" s="61" t="s">
        <v>499</v>
      </c>
      <c r="D3169" s="60">
        <v>0.66039099999999995</v>
      </c>
      <c r="E3169" s="59">
        <v>5.3431199999999999</v>
      </c>
      <c r="F3169" s="59">
        <v>7.5622299999999996</v>
      </c>
      <c r="G3169" s="56">
        <v>3131.37</v>
      </c>
      <c r="H3169" s="56">
        <v>4741.7</v>
      </c>
      <c r="I3169" s="58">
        <v>0.79994399999999999</v>
      </c>
      <c r="J3169" s="57">
        <v>1.1735199999999999</v>
      </c>
      <c r="K3169" s="56"/>
      <c r="L3169" s="56" t="s">
        <v>488</v>
      </c>
    </row>
    <row r="3170" spans="2:12" x14ac:dyDescent="0.2">
      <c r="B3170" s="62" t="s">
        <v>2710</v>
      </c>
      <c r="C3170" s="61" t="s">
        <v>495</v>
      </c>
      <c r="D3170" s="60">
        <v>0.82673700000000006</v>
      </c>
      <c r="E3170" s="59">
        <v>4.4424099999999997</v>
      </c>
      <c r="F3170" s="59">
        <v>6.9050500000000001</v>
      </c>
      <c r="G3170" s="56">
        <v>2649.79</v>
      </c>
      <c r="H3170" s="56">
        <v>3205.12</v>
      </c>
      <c r="I3170" s="58">
        <v>0.67965299999999995</v>
      </c>
      <c r="J3170" s="57">
        <v>0.86374499999999999</v>
      </c>
      <c r="K3170" s="56"/>
      <c r="L3170" s="56" t="s">
        <v>488</v>
      </c>
    </row>
    <row r="3171" spans="2:12" x14ac:dyDescent="0.2">
      <c r="B3171" s="62" t="s">
        <v>2709</v>
      </c>
      <c r="C3171" s="61" t="s">
        <v>502</v>
      </c>
      <c r="D3171" s="60">
        <v>0.37865599999999999</v>
      </c>
      <c r="E3171" s="59">
        <v>11.75665</v>
      </c>
      <c r="F3171" s="59">
        <v>14.23644</v>
      </c>
      <c r="G3171" s="56">
        <v>1891.33</v>
      </c>
      <c r="H3171" s="56">
        <v>4994.8599999999997</v>
      </c>
      <c r="I3171" s="58">
        <v>0.85936999999999997</v>
      </c>
      <c r="J3171" s="57">
        <v>2.1950400000000001</v>
      </c>
      <c r="K3171" s="56"/>
      <c r="L3171" s="56" t="s">
        <v>488</v>
      </c>
    </row>
    <row r="3172" spans="2:12" x14ac:dyDescent="0.2">
      <c r="B3172" s="62" t="s">
        <v>2708</v>
      </c>
      <c r="C3172" s="61" t="s">
        <v>550</v>
      </c>
      <c r="D3172" s="60">
        <v>0.94267199999999995</v>
      </c>
      <c r="E3172" s="59">
        <v>4.9582199999999998</v>
      </c>
      <c r="F3172" s="59">
        <v>7.0396099999999997</v>
      </c>
      <c r="G3172" s="56">
        <v>1661.8</v>
      </c>
      <c r="H3172" s="56">
        <v>1762.86</v>
      </c>
      <c r="I3172" s="58">
        <v>0.55638100000000001</v>
      </c>
      <c r="J3172" s="57">
        <v>0.65982399999999997</v>
      </c>
      <c r="K3172" s="56"/>
      <c r="L3172" s="56" t="s">
        <v>624</v>
      </c>
    </row>
    <row r="3173" spans="2:12" x14ac:dyDescent="0.2">
      <c r="B3173" s="62" t="s">
        <v>2707</v>
      </c>
      <c r="C3173" s="61" t="s">
        <v>526</v>
      </c>
      <c r="D3173" s="60">
        <v>0.79900800000000005</v>
      </c>
      <c r="E3173" s="59">
        <v>6.5477400000000001</v>
      </c>
      <c r="F3173" s="59">
        <v>9.1612600000000004</v>
      </c>
      <c r="G3173" s="56">
        <v>2116.5100000000002</v>
      </c>
      <c r="H3173" s="56">
        <v>2648.92</v>
      </c>
      <c r="I3173" s="58">
        <v>0.77520299999999998</v>
      </c>
      <c r="J3173" s="57">
        <v>0.89048000000000005</v>
      </c>
      <c r="K3173" s="56"/>
      <c r="L3173" s="56" t="s">
        <v>488</v>
      </c>
    </row>
    <row r="3174" spans="2:12" x14ac:dyDescent="0.2">
      <c r="B3174" s="62" t="s">
        <v>2706</v>
      </c>
      <c r="C3174" s="61" t="s">
        <v>510</v>
      </c>
      <c r="D3174" s="60">
        <v>2.0031300000000001</v>
      </c>
      <c r="E3174" s="59">
        <v>2.9094500000000001</v>
      </c>
      <c r="F3174" s="59">
        <v>3.6225700000000001</v>
      </c>
      <c r="G3174" s="56">
        <v>0</v>
      </c>
      <c r="H3174" s="56">
        <v>0</v>
      </c>
      <c r="I3174" s="58">
        <v>0.21793199999999999</v>
      </c>
      <c r="J3174" s="57">
        <v>0.170492</v>
      </c>
      <c r="K3174" s="56"/>
      <c r="L3174" s="56" t="s">
        <v>488</v>
      </c>
    </row>
    <row r="3175" spans="2:12" x14ac:dyDescent="0.2">
      <c r="B3175" s="62" t="s">
        <v>2705</v>
      </c>
      <c r="C3175" s="61" t="s">
        <v>510</v>
      </c>
      <c r="D3175" s="60">
        <v>1.2600800000000001</v>
      </c>
      <c r="E3175" s="59">
        <v>3.8989699999999998</v>
      </c>
      <c r="F3175" s="59">
        <v>4.8612700000000002</v>
      </c>
      <c r="G3175" s="56">
        <v>552.93299999999999</v>
      </c>
      <c r="H3175" s="56">
        <v>438.81</v>
      </c>
      <c r="I3175" s="58">
        <v>0.37015599999999999</v>
      </c>
      <c r="J3175" s="57">
        <v>0.37842799999999999</v>
      </c>
      <c r="K3175" s="56"/>
      <c r="L3175" s="56" t="s">
        <v>492</v>
      </c>
    </row>
    <row r="3176" spans="2:12" x14ac:dyDescent="0.2">
      <c r="B3176" s="62" t="s">
        <v>2704</v>
      </c>
      <c r="C3176" s="61" t="s">
        <v>579</v>
      </c>
      <c r="D3176" s="60">
        <v>1.7188699999999999</v>
      </c>
      <c r="E3176" s="59">
        <v>2.6904699999999999</v>
      </c>
      <c r="F3176" s="59">
        <v>3.7862399999999998</v>
      </c>
      <c r="G3176" s="56">
        <v>0</v>
      </c>
      <c r="H3176" s="56">
        <v>0</v>
      </c>
      <c r="I3176" s="58">
        <v>0.28249400000000002</v>
      </c>
      <c r="J3176" s="57">
        <v>0.293493</v>
      </c>
      <c r="K3176" s="56"/>
      <c r="L3176" s="56" t="s">
        <v>488</v>
      </c>
    </row>
    <row r="3177" spans="2:12" x14ac:dyDescent="0.2">
      <c r="B3177" s="62" t="s">
        <v>2703</v>
      </c>
      <c r="C3177" s="61" t="s">
        <v>510</v>
      </c>
      <c r="D3177" s="60">
        <v>1.24834</v>
      </c>
      <c r="E3177" s="59">
        <v>5.508</v>
      </c>
      <c r="F3177" s="59">
        <v>6.2870499999999998</v>
      </c>
      <c r="G3177" s="56">
        <v>990.42200000000003</v>
      </c>
      <c r="H3177" s="56">
        <v>793.39300000000003</v>
      </c>
      <c r="I3177" s="58">
        <v>0.42563699999999999</v>
      </c>
      <c r="J3177" s="57">
        <v>0.41979</v>
      </c>
      <c r="K3177" s="56"/>
      <c r="L3177" s="56" t="s">
        <v>488</v>
      </c>
    </row>
    <row r="3178" spans="2:12" x14ac:dyDescent="0.2">
      <c r="B3178" s="62" t="s">
        <v>2702</v>
      </c>
      <c r="C3178" s="61" t="s">
        <v>702</v>
      </c>
      <c r="D3178" s="60">
        <v>0.60090500000000002</v>
      </c>
      <c r="E3178" s="59">
        <v>13.857839999999999</v>
      </c>
      <c r="F3178" s="59">
        <v>19.100770000000001</v>
      </c>
      <c r="G3178" s="56">
        <v>1174.5</v>
      </c>
      <c r="H3178" s="56">
        <v>1954.56</v>
      </c>
      <c r="I3178" s="58">
        <v>0.74396899999999999</v>
      </c>
      <c r="J3178" s="57">
        <v>1.24777</v>
      </c>
      <c r="K3178" s="56" t="s">
        <v>1816</v>
      </c>
      <c r="L3178" s="56" t="s">
        <v>563</v>
      </c>
    </row>
    <row r="3179" spans="2:12" x14ac:dyDescent="0.2">
      <c r="B3179" s="62" t="s">
        <v>2701</v>
      </c>
      <c r="C3179" s="61" t="s">
        <v>616</v>
      </c>
      <c r="D3179" s="60">
        <v>1.93215</v>
      </c>
      <c r="E3179" s="59">
        <v>8.3964300000000005</v>
      </c>
      <c r="F3179" s="59">
        <v>9.0620899999999995</v>
      </c>
      <c r="G3179" s="56">
        <v>1028.2</v>
      </c>
      <c r="H3179" s="56">
        <v>532.154</v>
      </c>
      <c r="I3179" s="58">
        <v>0.49890400000000001</v>
      </c>
      <c r="J3179" s="57">
        <v>0.29727399999999998</v>
      </c>
      <c r="K3179" s="56"/>
      <c r="L3179" s="56" t="s">
        <v>488</v>
      </c>
    </row>
    <row r="3180" spans="2:12" x14ac:dyDescent="0.2">
      <c r="B3180" s="62" t="s">
        <v>2700</v>
      </c>
      <c r="C3180" s="61" t="s">
        <v>499</v>
      </c>
      <c r="D3180" s="60">
        <v>1.3055300000000001</v>
      </c>
      <c r="E3180" s="59">
        <v>3.14649</v>
      </c>
      <c r="F3180" s="59">
        <v>4.32918</v>
      </c>
      <c r="G3180" s="56">
        <v>0</v>
      </c>
      <c r="H3180" s="56">
        <v>0</v>
      </c>
      <c r="I3180" s="58">
        <v>0.27173700000000001</v>
      </c>
      <c r="J3180" s="57">
        <v>0.34515200000000001</v>
      </c>
      <c r="K3180" s="56"/>
      <c r="L3180" s="56" t="s">
        <v>488</v>
      </c>
    </row>
    <row r="3181" spans="2:12" x14ac:dyDescent="0.2">
      <c r="B3181" s="62" t="s">
        <v>2699</v>
      </c>
      <c r="C3181" s="61" t="s">
        <v>502</v>
      </c>
      <c r="D3181" s="60">
        <v>0.83479400000000004</v>
      </c>
      <c r="E3181" s="59">
        <v>4.6276900000000003</v>
      </c>
      <c r="F3181" s="59">
        <v>9.5558300000000003</v>
      </c>
      <c r="G3181" s="56">
        <v>1546.38</v>
      </c>
      <c r="H3181" s="56">
        <v>1852.41</v>
      </c>
      <c r="I3181" s="58">
        <v>0.58738199999999996</v>
      </c>
      <c r="J3181" s="57">
        <v>0.78200099999999995</v>
      </c>
      <c r="K3181" s="56"/>
      <c r="L3181" s="56" t="s">
        <v>488</v>
      </c>
    </row>
    <row r="3182" spans="2:12" x14ac:dyDescent="0.2">
      <c r="B3182" s="62" t="s">
        <v>2698</v>
      </c>
      <c r="C3182" s="61" t="s">
        <v>502</v>
      </c>
      <c r="D3182" s="60">
        <v>1.0235799999999999</v>
      </c>
      <c r="E3182" s="59">
        <v>4.7778400000000003</v>
      </c>
      <c r="F3182" s="59">
        <v>8.4183400000000006</v>
      </c>
      <c r="G3182" s="56">
        <v>1536.21</v>
      </c>
      <c r="H3182" s="56">
        <v>1500.82</v>
      </c>
      <c r="I3182" s="58">
        <v>0.62159600000000004</v>
      </c>
      <c r="J3182" s="57">
        <v>0.62134800000000001</v>
      </c>
      <c r="K3182" s="56"/>
      <c r="L3182" s="56" t="s">
        <v>488</v>
      </c>
    </row>
    <row r="3183" spans="2:12" x14ac:dyDescent="0.2">
      <c r="B3183" s="62" t="s">
        <v>2697</v>
      </c>
      <c r="C3183" s="61" t="s">
        <v>2162</v>
      </c>
      <c r="D3183" s="60">
        <v>0.94864099999999996</v>
      </c>
      <c r="E3183" s="59">
        <v>2.46671</v>
      </c>
      <c r="F3183" s="59">
        <v>9.5813000000000006</v>
      </c>
      <c r="G3183" s="56">
        <v>0</v>
      </c>
      <c r="H3183" s="56">
        <v>0</v>
      </c>
      <c r="I3183" s="58">
        <v>0.48215999999999998</v>
      </c>
      <c r="J3183" s="57">
        <v>0.61656299999999997</v>
      </c>
      <c r="K3183" s="56"/>
      <c r="L3183" s="56" t="s">
        <v>488</v>
      </c>
    </row>
    <row r="3184" spans="2:12" x14ac:dyDescent="0.2">
      <c r="B3184" s="62" t="s">
        <v>2696</v>
      </c>
      <c r="C3184" s="61" t="s">
        <v>2162</v>
      </c>
      <c r="D3184" s="60">
        <v>1.02325</v>
      </c>
      <c r="E3184" s="59">
        <v>5.2290299999999998</v>
      </c>
      <c r="F3184" s="59">
        <v>8.9721700000000002</v>
      </c>
      <c r="G3184" s="56">
        <v>971.51400000000001</v>
      </c>
      <c r="H3184" s="56">
        <v>949.43899999999996</v>
      </c>
      <c r="I3184" s="58">
        <v>0.39029999999999998</v>
      </c>
      <c r="J3184" s="57">
        <v>0.54179900000000003</v>
      </c>
      <c r="K3184" s="56"/>
      <c r="L3184" s="56" t="s">
        <v>488</v>
      </c>
    </row>
    <row r="3185" spans="2:12" x14ac:dyDescent="0.2">
      <c r="B3185" s="62" t="s">
        <v>2695</v>
      </c>
      <c r="C3185" s="61" t="s">
        <v>495</v>
      </c>
      <c r="D3185" s="60">
        <v>1.1902299999999999</v>
      </c>
      <c r="E3185" s="59">
        <v>4.2118900000000004</v>
      </c>
      <c r="F3185" s="59">
        <v>5.1043599999999998</v>
      </c>
      <c r="G3185" s="56">
        <v>825.22699999999998</v>
      </c>
      <c r="H3185" s="56">
        <v>693.33500000000004</v>
      </c>
      <c r="I3185" s="58">
        <v>0.416993</v>
      </c>
      <c r="J3185" s="57">
        <v>0.43291600000000002</v>
      </c>
      <c r="K3185" s="56"/>
      <c r="L3185" s="56" t="s">
        <v>488</v>
      </c>
    </row>
    <row r="3186" spans="2:12" x14ac:dyDescent="0.2">
      <c r="B3186" s="62" t="s">
        <v>2694</v>
      </c>
      <c r="C3186" s="61" t="s">
        <v>708</v>
      </c>
      <c r="D3186" s="60">
        <v>1.0514300000000001</v>
      </c>
      <c r="E3186" s="59">
        <v>4.4074200000000001</v>
      </c>
      <c r="F3186" s="59">
        <v>7.9101999999999997</v>
      </c>
      <c r="G3186" s="56">
        <v>926.00699999999995</v>
      </c>
      <c r="H3186" s="56">
        <v>880.71100000000001</v>
      </c>
      <c r="I3186" s="58">
        <v>0.59121900000000005</v>
      </c>
      <c r="J3186" s="57">
        <v>0.57537499999999997</v>
      </c>
      <c r="K3186" s="56"/>
      <c r="L3186" s="56" t="s">
        <v>488</v>
      </c>
    </row>
    <row r="3187" spans="2:12" x14ac:dyDescent="0.2">
      <c r="B3187" s="62" t="s">
        <v>2693</v>
      </c>
      <c r="C3187" s="61" t="s">
        <v>1031</v>
      </c>
      <c r="D3187" s="60">
        <v>1.13784</v>
      </c>
      <c r="E3187" s="59">
        <v>4.8404600000000002</v>
      </c>
      <c r="F3187" s="59">
        <v>6.7560700000000002</v>
      </c>
      <c r="G3187" s="56">
        <v>1882.33</v>
      </c>
      <c r="H3187" s="56">
        <v>1654.3</v>
      </c>
      <c r="I3187" s="58">
        <v>0.67470799999999997</v>
      </c>
      <c r="J3187" s="57">
        <v>0.55546099999999998</v>
      </c>
      <c r="K3187" s="56"/>
      <c r="L3187" s="56" t="s">
        <v>492</v>
      </c>
    </row>
    <row r="3188" spans="2:12" x14ac:dyDescent="0.2">
      <c r="B3188" s="62" t="s">
        <v>2692</v>
      </c>
      <c r="C3188" s="61" t="s">
        <v>579</v>
      </c>
      <c r="D3188" s="60">
        <v>1.8026</v>
      </c>
      <c r="E3188" s="59">
        <v>3.03362</v>
      </c>
      <c r="F3188" s="59">
        <v>5.6904700000000004</v>
      </c>
      <c r="G3188" s="56">
        <v>0</v>
      </c>
      <c r="H3188" s="56">
        <v>0</v>
      </c>
      <c r="I3188" s="58">
        <v>0.38769300000000001</v>
      </c>
      <c r="J3188" s="57">
        <v>0.27526</v>
      </c>
      <c r="K3188" s="56"/>
      <c r="L3188" s="56" t="s">
        <v>488</v>
      </c>
    </row>
    <row r="3189" spans="2:12" x14ac:dyDescent="0.2">
      <c r="B3189" s="62" t="s">
        <v>2691</v>
      </c>
      <c r="C3189" s="61" t="s">
        <v>579</v>
      </c>
      <c r="D3189" s="60">
        <v>1.54491</v>
      </c>
      <c r="E3189" s="59">
        <v>4.2394699999999998</v>
      </c>
      <c r="F3189" s="59">
        <v>6.9306799999999997</v>
      </c>
      <c r="G3189" s="56">
        <v>601.51700000000005</v>
      </c>
      <c r="H3189" s="56">
        <v>389.35399999999998</v>
      </c>
      <c r="I3189" s="58">
        <v>0.27922599999999997</v>
      </c>
      <c r="J3189" s="57">
        <v>0.31289600000000001</v>
      </c>
      <c r="K3189" s="56"/>
      <c r="L3189" s="56" t="s">
        <v>488</v>
      </c>
    </row>
    <row r="3190" spans="2:12" x14ac:dyDescent="0.2">
      <c r="B3190" s="62" t="s">
        <v>2690</v>
      </c>
      <c r="C3190" s="61" t="s">
        <v>541</v>
      </c>
      <c r="D3190" s="60">
        <v>1.80524</v>
      </c>
      <c r="E3190" s="59">
        <v>4.3116099999999999</v>
      </c>
      <c r="F3190" s="59">
        <v>7.2718299999999996</v>
      </c>
      <c r="G3190" s="56">
        <v>579.35900000000004</v>
      </c>
      <c r="H3190" s="56">
        <v>320.93200000000002</v>
      </c>
      <c r="I3190" s="58">
        <v>0.243842</v>
      </c>
      <c r="J3190" s="57">
        <v>0.247113</v>
      </c>
      <c r="K3190" s="56"/>
      <c r="L3190" s="56" t="s">
        <v>492</v>
      </c>
    </row>
    <row r="3191" spans="2:12" x14ac:dyDescent="0.2">
      <c r="B3191" s="62" t="s">
        <v>2689</v>
      </c>
      <c r="C3191" s="61" t="s">
        <v>550</v>
      </c>
      <c r="D3191" s="60">
        <v>1.2515799999999999</v>
      </c>
      <c r="E3191" s="59">
        <v>3.9072399999999998</v>
      </c>
      <c r="F3191" s="59">
        <v>5.56128</v>
      </c>
      <c r="G3191" s="56">
        <v>1067.01</v>
      </c>
      <c r="H3191" s="56">
        <v>852.53099999999995</v>
      </c>
      <c r="I3191" s="58">
        <v>0.48297200000000001</v>
      </c>
      <c r="J3191" s="57">
        <v>0.46312999999999999</v>
      </c>
      <c r="K3191" s="56"/>
      <c r="L3191" s="56" t="s">
        <v>488</v>
      </c>
    </row>
    <row r="3192" spans="2:12" x14ac:dyDescent="0.2">
      <c r="B3192" s="62" t="s">
        <v>2688</v>
      </c>
      <c r="C3192" s="61" t="s">
        <v>502</v>
      </c>
      <c r="D3192" s="60">
        <v>0.72359499999999999</v>
      </c>
      <c r="E3192" s="59">
        <v>10.884539999999999</v>
      </c>
      <c r="F3192" s="59">
        <v>12.85281</v>
      </c>
      <c r="G3192" s="56">
        <v>1608.45</v>
      </c>
      <c r="H3192" s="56">
        <v>2222.85</v>
      </c>
      <c r="I3192" s="58">
        <v>0.66893899999999995</v>
      </c>
      <c r="J3192" s="57">
        <v>0.943608</v>
      </c>
      <c r="K3192" s="56"/>
      <c r="L3192" s="56" t="s">
        <v>488</v>
      </c>
    </row>
    <row r="3193" spans="2:12" x14ac:dyDescent="0.2">
      <c r="B3193" s="62" t="s">
        <v>2687</v>
      </c>
      <c r="C3193" s="61" t="s">
        <v>495</v>
      </c>
      <c r="D3193" s="60">
        <v>1.3287500000000001</v>
      </c>
      <c r="E3193" s="59">
        <v>3.3958499999999998</v>
      </c>
      <c r="F3193" s="59">
        <v>4.3528700000000002</v>
      </c>
      <c r="G3193" s="56">
        <v>0</v>
      </c>
      <c r="H3193" s="56">
        <v>0</v>
      </c>
      <c r="I3193" s="58">
        <v>0.36605300000000002</v>
      </c>
      <c r="J3193" s="57">
        <v>0.39785500000000001</v>
      </c>
      <c r="K3193" s="56"/>
      <c r="L3193" s="56" t="s">
        <v>488</v>
      </c>
    </row>
    <row r="3194" spans="2:12" x14ac:dyDescent="0.2">
      <c r="B3194" s="62" t="s">
        <v>2686</v>
      </c>
      <c r="C3194" s="61" t="s">
        <v>499</v>
      </c>
      <c r="D3194" s="60">
        <v>1.42106</v>
      </c>
      <c r="E3194" s="59">
        <v>3.0427900000000001</v>
      </c>
      <c r="F3194" s="59">
        <v>4.3077199999999998</v>
      </c>
      <c r="G3194" s="56">
        <v>0</v>
      </c>
      <c r="H3194" s="56">
        <v>0</v>
      </c>
      <c r="I3194" s="58">
        <v>0.34642800000000001</v>
      </c>
      <c r="J3194" s="57">
        <v>0.37545299999999998</v>
      </c>
      <c r="K3194" s="56"/>
      <c r="L3194" s="56" t="s">
        <v>488</v>
      </c>
    </row>
    <row r="3195" spans="2:12" x14ac:dyDescent="0.2">
      <c r="B3195" s="62" t="s">
        <v>2685</v>
      </c>
      <c r="C3195" s="61" t="s">
        <v>499</v>
      </c>
      <c r="D3195" s="60">
        <v>1.41764</v>
      </c>
      <c r="E3195" s="59">
        <v>3.0853299999999999</v>
      </c>
      <c r="F3195" s="59">
        <v>4.3440099999999999</v>
      </c>
      <c r="G3195" s="56">
        <v>0</v>
      </c>
      <c r="H3195" s="56">
        <v>0</v>
      </c>
      <c r="I3195" s="58">
        <v>0.33484599999999998</v>
      </c>
      <c r="J3195" s="57">
        <v>0.37387199999999998</v>
      </c>
      <c r="K3195" s="56"/>
      <c r="L3195" s="56" t="s">
        <v>488</v>
      </c>
    </row>
    <row r="3196" spans="2:12" x14ac:dyDescent="0.2">
      <c r="B3196" s="62" t="s">
        <v>2684</v>
      </c>
      <c r="C3196" s="61" t="s">
        <v>502</v>
      </c>
      <c r="D3196" s="60">
        <v>0.95208700000000002</v>
      </c>
      <c r="E3196" s="59">
        <v>4.5042099999999996</v>
      </c>
      <c r="F3196" s="59">
        <v>9.2687100000000004</v>
      </c>
      <c r="G3196" s="56">
        <v>1127.1099999999999</v>
      </c>
      <c r="H3196" s="56">
        <v>1183.83</v>
      </c>
      <c r="I3196" s="58">
        <v>0.63347600000000004</v>
      </c>
      <c r="J3196" s="57">
        <v>0.65614499999999998</v>
      </c>
      <c r="K3196" s="56"/>
      <c r="L3196" s="56" t="s">
        <v>488</v>
      </c>
    </row>
    <row r="3197" spans="2:12" x14ac:dyDescent="0.2">
      <c r="B3197" s="62" t="s">
        <v>2683</v>
      </c>
      <c r="C3197" s="61" t="s">
        <v>859</v>
      </c>
      <c r="D3197" s="60">
        <v>0.95382800000000001</v>
      </c>
      <c r="E3197" s="59">
        <v>5.4946799999999998</v>
      </c>
      <c r="F3197" s="59">
        <v>12.14001</v>
      </c>
      <c r="G3197" s="56">
        <v>1797.99</v>
      </c>
      <c r="H3197" s="56">
        <v>1885.03</v>
      </c>
      <c r="I3197" s="58">
        <v>0.72395799999999999</v>
      </c>
      <c r="J3197" s="57">
        <v>0.73228400000000005</v>
      </c>
      <c r="K3197" s="56"/>
      <c r="L3197" s="56" t="s">
        <v>488</v>
      </c>
    </row>
    <row r="3198" spans="2:12" x14ac:dyDescent="0.2">
      <c r="B3198" s="62" t="s">
        <v>2682</v>
      </c>
      <c r="C3198" s="61" t="s">
        <v>537</v>
      </c>
      <c r="D3198" s="60">
        <v>0.92360600000000004</v>
      </c>
      <c r="E3198" s="59">
        <v>5.6213600000000001</v>
      </c>
      <c r="F3198" s="59">
        <v>12.35154</v>
      </c>
      <c r="G3198" s="56">
        <v>1784.43</v>
      </c>
      <c r="H3198" s="56">
        <v>1932.02</v>
      </c>
      <c r="I3198" s="58">
        <v>0.72318499999999997</v>
      </c>
      <c r="J3198" s="57">
        <v>0.76138399999999995</v>
      </c>
      <c r="K3198" s="56"/>
      <c r="L3198" s="56" t="s">
        <v>488</v>
      </c>
    </row>
    <row r="3199" spans="2:12" x14ac:dyDescent="0.2">
      <c r="B3199" s="62" t="s">
        <v>2681</v>
      </c>
      <c r="C3199" s="61" t="s">
        <v>535</v>
      </c>
      <c r="D3199" s="60">
        <v>0.90842500000000004</v>
      </c>
      <c r="E3199" s="59">
        <v>5.62514</v>
      </c>
      <c r="F3199" s="59">
        <v>12.400869999999999</v>
      </c>
      <c r="G3199" s="56">
        <v>1782.7</v>
      </c>
      <c r="H3199" s="56">
        <v>1962.41</v>
      </c>
      <c r="I3199" s="58">
        <v>0.72235899999999997</v>
      </c>
      <c r="J3199" s="57">
        <v>0.77466100000000004</v>
      </c>
      <c r="K3199" s="56"/>
      <c r="L3199" s="56" t="s">
        <v>488</v>
      </c>
    </row>
    <row r="3200" spans="2:12" x14ac:dyDescent="0.2">
      <c r="B3200" s="62" t="s">
        <v>2680</v>
      </c>
      <c r="C3200" s="61" t="s">
        <v>499</v>
      </c>
      <c r="D3200" s="60">
        <v>1.30742</v>
      </c>
      <c r="E3200" s="59">
        <v>3.7125499999999998</v>
      </c>
      <c r="F3200" s="59">
        <v>4.0632799999999998</v>
      </c>
      <c r="G3200" s="56">
        <v>0</v>
      </c>
      <c r="H3200" s="56">
        <v>0</v>
      </c>
      <c r="I3200" s="58">
        <v>0.15034900000000001</v>
      </c>
      <c r="J3200" s="57">
        <v>0.32877099999999998</v>
      </c>
      <c r="K3200" s="56"/>
      <c r="L3200" s="56" t="s">
        <v>488</v>
      </c>
    </row>
    <row r="3201" spans="2:12" x14ac:dyDescent="0.2">
      <c r="B3201" s="62" t="s">
        <v>2679</v>
      </c>
      <c r="C3201" s="61" t="s">
        <v>550</v>
      </c>
      <c r="D3201" s="60">
        <v>1.10649</v>
      </c>
      <c r="E3201" s="59">
        <v>5.56074</v>
      </c>
      <c r="F3201" s="59">
        <v>7.4440900000000001</v>
      </c>
      <c r="G3201" s="56">
        <v>1473.27</v>
      </c>
      <c r="H3201" s="56">
        <v>1331.48</v>
      </c>
      <c r="I3201" s="58">
        <v>0.59146500000000002</v>
      </c>
      <c r="J3201" s="57">
        <v>0.55783700000000003</v>
      </c>
      <c r="K3201" s="56"/>
      <c r="L3201" s="56" t="s">
        <v>488</v>
      </c>
    </row>
    <row r="3202" spans="2:12" x14ac:dyDescent="0.2">
      <c r="B3202" s="62" t="s">
        <v>2678</v>
      </c>
      <c r="C3202" s="61" t="s">
        <v>499</v>
      </c>
      <c r="D3202" s="60">
        <v>1.1534899999999999</v>
      </c>
      <c r="E3202" s="59">
        <v>4.9238799999999996</v>
      </c>
      <c r="F3202" s="59">
        <v>5.3623099999999999</v>
      </c>
      <c r="G3202" s="56">
        <v>1048.32</v>
      </c>
      <c r="H3202" s="56">
        <v>908.82799999999997</v>
      </c>
      <c r="I3202" s="58">
        <v>0.36910999999999999</v>
      </c>
      <c r="J3202" s="57">
        <v>0.46111000000000002</v>
      </c>
      <c r="K3202" s="56"/>
      <c r="L3202" s="56" t="s">
        <v>492</v>
      </c>
    </row>
    <row r="3203" spans="2:12" x14ac:dyDescent="0.2">
      <c r="B3203" s="62" t="s">
        <v>2677</v>
      </c>
      <c r="C3203" s="61" t="s">
        <v>499</v>
      </c>
      <c r="D3203" s="60">
        <v>1.49159</v>
      </c>
      <c r="E3203" s="59">
        <v>3.5897399999999999</v>
      </c>
      <c r="F3203" s="59">
        <v>4.6823399999999999</v>
      </c>
      <c r="G3203" s="56">
        <v>0</v>
      </c>
      <c r="H3203" s="56">
        <v>0</v>
      </c>
      <c r="I3203" s="58">
        <v>0.28635699999999997</v>
      </c>
      <c r="J3203" s="57">
        <v>0.32345400000000002</v>
      </c>
      <c r="K3203" s="56"/>
      <c r="L3203" s="56" t="s">
        <v>488</v>
      </c>
    </row>
    <row r="3204" spans="2:12" x14ac:dyDescent="0.2">
      <c r="B3204" s="62" t="s">
        <v>2676</v>
      </c>
      <c r="C3204" s="61" t="s">
        <v>502</v>
      </c>
      <c r="D3204" s="60">
        <v>1.1781200000000001</v>
      </c>
      <c r="E3204" s="59">
        <v>2.4435899999999999</v>
      </c>
      <c r="F3204" s="59">
        <v>3.6333099999999998</v>
      </c>
      <c r="G3204" s="56">
        <v>0</v>
      </c>
      <c r="H3204" s="56">
        <v>0</v>
      </c>
      <c r="I3204" s="58">
        <v>0.14635899999999999</v>
      </c>
      <c r="J3204" s="57">
        <v>0.38251200000000002</v>
      </c>
      <c r="K3204" s="56"/>
      <c r="L3204" s="56" t="s">
        <v>488</v>
      </c>
    </row>
    <row r="3205" spans="2:12" x14ac:dyDescent="0.2">
      <c r="B3205" s="62" t="s">
        <v>2675</v>
      </c>
      <c r="C3205" s="61" t="s">
        <v>502</v>
      </c>
      <c r="D3205" s="60">
        <v>1.1525700000000001</v>
      </c>
      <c r="E3205" s="59">
        <v>2.6117499999999998</v>
      </c>
      <c r="F3205" s="59">
        <v>3.8334700000000002</v>
      </c>
      <c r="G3205" s="56">
        <v>0</v>
      </c>
      <c r="H3205" s="56">
        <v>0</v>
      </c>
      <c r="I3205" s="58">
        <v>0.17307400000000001</v>
      </c>
      <c r="J3205" s="57">
        <v>0.40231600000000001</v>
      </c>
      <c r="K3205" s="56"/>
      <c r="L3205" s="56" t="s">
        <v>488</v>
      </c>
    </row>
    <row r="3206" spans="2:12" x14ac:dyDescent="0.2">
      <c r="B3206" s="62" t="s">
        <v>2674</v>
      </c>
      <c r="C3206" s="61" t="s">
        <v>1252</v>
      </c>
      <c r="D3206" s="60">
        <v>1.91608</v>
      </c>
      <c r="E3206" s="59">
        <v>5.0527600000000001</v>
      </c>
      <c r="F3206" s="59">
        <v>7.1902499999999998</v>
      </c>
      <c r="G3206" s="56">
        <v>697.05499999999995</v>
      </c>
      <c r="H3206" s="56">
        <v>363.79300000000001</v>
      </c>
      <c r="I3206" s="58">
        <v>0.31880700000000001</v>
      </c>
      <c r="J3206" s="57">
        <v>0.22720199999999999</v>
      </c>
      <c r="K3206" s="56"/>
      <c r="L3206" s="56" t="s">
        <v>488</v>
      </c>
    </row>
    <row r="3207" spans="2:12" x14ac:dyDescent="0.2">
      <c r="B3207" s="62" t="s">
        <v>2673</v>
      </c>
      <c r="C3207" s="61" t="s">
        <v>2421</v>
      </c>
      <c r="D3207" s="60">
        <v>1.8081100000000001</v>
      </c>
      <c r="E3207" s="59">
        <v>4.8347600000000002</v>
      </c>
      <c r="F3207" s="59">
        <v>7.3928399999999996</v>
      </c>
      <c r="G3207" s="56">
        <v>650.048</v>
      </c>
      <c r="H3207" s="56">
        <v>359.517</v>
      </c>
      <c r="I3207" s="58">
        <v>0.29865700000000001</v>
      </c>
      <c r="J3207" s="57">
        <v>0.24299799999999999</v>
      </c>
      <c r="K3207" s="56"/>
      <c r="L3207" s="56" t="s">
        <v>488</v>
      </c>
    </row>
    <row r="3208" spans="2:12" x14ac:dyDescent="0.2">
      <c r="B3208" s="62" t="s">
        <v>2672</v>
      </c>
      <c r="C3208" s="61" t="s">
        <v>859</v>
      </c>
      <c r="D3208" s="60">
        <v>1.46668</v>
      </c>
      <c r="E3208" s="59">
        <v>3.0556800000000002</v>
      </c>
      <c r="F3208" s="59">
        <v>4.8124700000000002</v>
      </c>
      <c r="G3208" s="56">
        <v>0</v>
      </c>
      <c r="H3208" s="56">
        <v>0</v>
      </c>
      <c r="I3208" s="58">
        <v>0.30319000000000002</v>
      </c>
      <c r="J3208" s="57">
        <v>0.30224899999999999</v>
      </c>
      <c r="K3208" s="56"/>
      <c r="L3208" s="56" t="s">
        <v>488</v>
      </c>
    </row>
    <row r="3209" spans="2:12" x14ac:dyDescent="0.2">
      <c r="B3209" s="62" t="s">
        <v>2671</v>
      </c>
      <c r="C3209" s="61" t="s">
        <v>1386</v>
      </c>
      <c r="D3209" s="60">
        <v>1.4617199999999999</v>
      </c>
      <c r="E3209" s="59">
        <v>3.0796600000000001</v>
      </c>
      <c r="F3209" s="59">
        <v>4.8231000000000002</v>
      </c>
      <c r="G3209" s="56">
        <v>0</v>
      </c>
      <c r="H3209" s="56">
        <v>0</v>
      </c>
      <c r="I3209" s="58">
        <v>0.31046699999999999</v>
      </c>
      <c r="J3209" s="57">
        <v>0.305558</v>
      </c>
      <c r="K3209" s="56"/>
      <c r="L3209" s="56" t="s">
        <v>488</v>
      </c>
    </row>
    <row r="3210" spans="2:12" x14ac:dyDescent="0.2">
      <c r="B3210" s="62" t="s">
        <v>2670</v>
      </c>
      <c r="C3210" s="61" t="s">
        <v>550</v>
      </c>
      <c r="D3210" s="60">
        <v>1.4102699999999999</v>
      </c>
      <c r="E3210" s="59">
        <v>3.74838</v>
      </c>
      <c r="F3210" s="59">
        <v>4.1486700000000001</v>
      </c>
      <c r="G3210" s="56">
        <v>193.511</v>
      </c>
      <c r="H3210" s="56">
        <v>137.215</v>
      </c>
      <c r="I3210" s="58">
        <v>0.20142599999999999</v>
      </c>
      <c r="J3210" s="57">
        <v>0.28973399999999999</v>
      </c>
      <c r="K3210" s="56"/>
      <c r="L3210" s="56" t="s">
        <v>488</v>
      </c>
    </row>
    <row r="3211" spans="2:12" x14ac:dyDescent="0.2">
      <c r="B3211" s="62" t="s">
        <v>2669</v>
      </c>
      <c r="C3211" s="61" t="s">
        <v>2668</v>
      </c>
      <c r="D3211" s="60">
        <v>1.13114</v>
      </c>
      <c r="E3211" s="59">
        <v>5.8453400000000002</v>
      </c>
      <c r="F3211" s="59">
        <v>7.5565600000000002</v>
      </c>
      <c r="G3211" s="56">
        <v>2550.27</v>
      </c>
      <c r="H3211" s="56">
        <v>2254.6</v>
      </c>
      <c r="I3211" s="58">
        <v>0.62972899999999998</v>
      </c>
      <c r="J3211" s="57">
        <v>0.64388699999999999</v>
      </c>
      <c r="K3211" s="56"/>
      <c r="L3211" s="56" t="s">
        <v>624</v>
      </c>
    </row>
    <row r="3212" spans="2:12" x14ac:dyDescent="0.2">
      <c r="B3212" s="62" t="s">
        <v>2667</v>
      </c>
      <c r="C3212" s="61" t="s">
        <v>550</v>
      </c>
      <c r="D3212" s="60">
        <v>1.6335299999999999</v>
      </c>
      <c r="E3212" s="59">
        <v>4.13605</v>
      </c>
      <c r="F3212" s="59">
        <v>5.0532599999999999</v>
      </c>
      <c r="G3212" s="56">
        <v>379.55</v>
      </c>
      <c r="H3212" s="56">
        <v>232.35</v>
      </c>
      <c r="I3212" s="58">
        <v>0.281308</v>
      </c>
      <c r="J3212" s="57">
        <v>0.26498699999999997</v>
      </c>
      <c r="K3212" s="56"/>
      <c r="L3212" s="56" t="s">
        <v>488</v>
      </c>
    </row>
    <row r="3213" spans="2:12" x14ac:dyDescent="0.2">
      <c r="B3213" s="62" t="s">
        <v>2666</v>
      </c>
      <c r="C3213" s="61" t="s">
        <v>2665</v>
      </c>
      <c r="D3213" s="60">
        <v>1.10436</v>
      </c>
      <c r="E3213" s="59">
        <v>4.4205199999999998</v>
      </c>
      <c r="F3213" s="59">
        <v>5.1255100000000002</v>
      </c>
      <c r="G3213" s="56">
        <v>296.69900000000001</v>
      </c>
      <c r="H3213" s="56">
        <v>268.66199999999998</v>
      </c>
      <c r="I3213" s="58">
        <v>0.46454699999999999</v>
      </c>
      <c r="J3213" s="57">
        <v>0.47228399999999998</v>
      </c>
      <c r="K3213" s="56"/>
      <c r="L3213" s="56" t="s">
        <v>492</v>
      </c>
    </row>
    <row r="3214" spans="2:12" x14ac:dyDescent="0.2">
      <c r="B3214" s="62" t="s">
        <v>2664</v>
      </c>
      <c r="C3214" s="61" t="s">
        <v>1006</v>
      </c>
      <c r="D3214" s="60">
        <v>1.54104</v>
      </c>
      <c r="E3214" s="59">
        <v>2.4582899999999999</v>
      </c>
      <c r="F3214" s="59">
        <v>2.7661500000000001</v>
      </c>
      <c r="G3214" s="56">
        <v>0</v>
      </c>
      <c r="H3214" s="56">
        <v>0</v>
      </c>
      <c r="I3214" s="58">
        <v>5.2670099999999997E-2</v>
      </c>
      <c r="J3214" s="57">
        <v>0.24083399999999999</v>
      </c>
      <c r="K3214" s="56"/>
      <c r="L3214" s="56" t="s">
        <v>730</v>
      </c>
    </row>
    <row r="3215" spans="2:12" x14ac:dyDescent="0.2">
      <c r="B3215" s="62" t="s">
        <v>2663</v>
      </c>
      <c r="C3215" s="61" t="s">
        <v>555</v>
      </c>
      <c r="D3215" s="60">
        <v>0.69816999999999996</v>
      </c>
      <c r="E3215" s="59">
        <v>6.3766699999999998</v>
      </c>
      <c r="F3215" s="59">
        <v>6.9061899999999996</v>
      </c>
      <c r="G3215" s="56">
        <v>1869.04</v>
      </c>
      <c r="H3215" s="56">
        <v>2677.06</v>
      </c>
      <c r="I3215" s="58">
        <v>0.64570799999999995</v>
      </c>
      <c r="J3215" s="57">
        <v>0.98236000000000001</v>
      </c>
      <c r="K3215" s="56"/>
      <c r="L3215" s="56" t="s">
        <v>488</v>
      </c>
    </row>
    <row r="3216" spans="2:12" x14ac:dyDescent="0.2">
      <c r="B3216" s="62" t="s">
        <v>2662</v>
      </c>
      <c r="C3216" s="61" t="s">
        <v>555</v>
      </c>
      <c r="D3216" s="60">
        <v>0.63232500000000003</v>
      </c>
      <c r="E3216" s="59">
        <v>6.6723400000000002</v>
      </c>
      <c r="F3216" s="59">
        <v>7.38605</v>
      </c>
      <c r="G3216" s="56">
        <v>2084.83</v>
      </c>
      <c r="H3216" s="56">
        <v>3297.09</v>
      </c>
      <c r="I3216" s="58">
        <v>0.69544799999999996</v>
      </c>
      <c r="J3216" s="57">
        <v>1.1337999999999999</v>
      </c>
      <c r="K3216" s="56"/>
      <c r="L3216" s="56" t="s">
        <v>488</v>
      </c>
    </row>
    <row r="3217" spans="2:12" x14ac:dyDescent="0.2">
      <c r="B3217" s="62" t="s">
        <v>2661</v>
      </c>
      <c r="C3217" s="61" t="s">
        <v>550</v>
      </c>
      <c r="D3217" s="60">
        <v>1.3438000000000001</v>
      </c>
      <c r="E3217" s="59">
        <v>5.18154</v>
      </c>
      <c r="F3217" s="59">
        <v>5.6713500000000003</v>
      </c>
      <c r="G3217" s="56">
        <v>1063.54</v>
      </c>
      <c r="H3217" s="56">
        <v>791.44</v>
      </c>
      <c r="I3217" s="58">
        <v>0.50472499999999998</v>
      </c>
      <c r="J3217" s="57">
        <v>0.39646799999999999</v>
      </c>
      <c r="K3217" s="56"/>
      <c r="L3217" s="56" t="s">
        <v>492</v>
      </c>
    </row>
    <row r="3218" spans="2:12" x14ac:dyDescent="0.2">
      <c r="B3218" s="62" t="s">
        <v>2660</v>
      </c>
      <c r="C3218" s="61" t="s">
        <v>708</v>
      </c>
      <c r="D3218" s="60">
        <v>1.3346199999999999</v>
      </c>
      <c r="E3218" s="59">
        <v>4.2830399999999997</v>
      </c>
      <c r="F3218" s="59">
        <v>4.6248300000000002</v>
      </c>
      <c r="G3218" s="56">
        <v>485.33199999999999</v>
      </c>
      <c r="H3218" s="56">
        <v>363.65</v>
      </c>
      <c r="I3218" s="58">
        <v>0.48274600000000001</v>
      </c>
      <c r="J3218" s="57">
        <v>0.35032400000000002</v>
      </c>
      <c r="K3218" s="56"/>
      <c r="L3218" s="56" t="s">
        <v>488</v>
      </c>
    </row>
    <row r="3219" spans="2:12" x14ac:dyDescent="0.2">
      <c r="B3219" s="62" t="s">
        <v>2659</v>
      </c>
      <c r="C3219" s="61" t="s">
        <v>502</v>
      </c>
      <c r="D3219" s="60">
        <v>0.86101700000000003</v>
      </c>
      <c r="E3219" s="59">
        <v>6.7766799999999998</v>
      </c>
      <c r="F3219" s="59">
        <v>8.3248899999999999</v>
      </c>
      <c r="G3219" s="56">
        <v>1837.26</v>
      </c>
      <c r="H3219" s="56">
        <v>2133.83</v>
      </c>
      <c r="I3219" s="58">
        <v>0.60889800000000005</v>
      </c>
      <c r="J3219" s="57">
        <v>0.75887899999999997</v>
      </c>
      <c r="K3219" s="56"/>
      <c r="L3219" s="56" t="s">
        <v>488</v>
      </c>
    </row>
    <row r="3220" spans="2:12" x14ac:dyDescent="0.2">
      <c r="B3220" s="62" t="s">
        <v>2658</v>
      </c>
      <c r="C3220" s="61" t="s">
        <v>502</v>
      </c>
      <c r="D3220" s="60">
        <v>0.97339299999999995</v>
      </c>
      <c r="E3220" s="59">
        <v>6.2360800000000003</v>
      </c>
      <c r="F3220" s="59">
        <v>7.8133499999999998</v>
      </c>
      <c r="G3220" s="56">
        <v>1856.24</v>
      </c>
      <c r="H3220" s="56">
        <v>1906.98</v>
      </c>
      <c r="I3220" s="58">
        <v>0.61338000000000004</v>
      </c>
      <c r="J3220" s="57">
        <v>0.63907000000000003</v>
      </c>
      <c r="K3220" s="56"/>
      <c r="L3220" s="56" t="s">
        <v>488</v>
      </c>
    </row>
    <row r="3221" spans="2:12" x14ac:dyDescent="0.2">
      <c r="B3221" s="62" t="s">
        <v>2657</v>
      </c>
      <c r="C3221" s="61" t="s">
        <v>548</v>
      </c>
      <c r="D3221" s="60">
        <v>1.4716899999999999</v>
      </c>
      <c r="E3221" s="59">
        <v>2.61442</v>
      </c>
      <c r="F3221" s="59">
        <v>2.9409900000000002</v>
      </c>
      <c r="G3221" s="56">
        <v>0</v>
      </c>
      <c r="H3221" s="56">
        <v>0</v>
      </c>
      <c r="I3221" s="58">
        <v>0.13652800000000001</v>
      </c>
      <c r="J3221" s="57">
        <v>0.24493400000000001</v>
      </c>
      <c r="K3221" s="56"/>
      <c r="L3221" s="56" t="s">
        <v>730</v>
      </c>
    </row>
    <row r="3222" spans="2:12" x14ac:dyDescent="0.2">
      <c r="B3222" s="62" t="s">
        <v>2656</v>
      </c>
      <c r="C3222" s="61" t="s">
        <v>510</v>
      </c>
      <c r="D3222" s="60">
        <v>1.3463000000000001</v>
      </c>
      <c r="E3222" s="59">
        <v>2.5419900000000002</v>
      </c>
      <c r="F3222" s="59">
        <v>4.9722099999999996</v>
      </c>
      <c r="G3222" s="56">
        <v>0</v>
      </c>
      <c r="H3222" s="56">
        <v>0</v>
      </c>
      <c r="I3222" s="58">
        <v>0.119987</v>
      </c>
      <c r="J3222" s="57">
        <v>0.29637400000000003</v>
      </c>
      <c r="K3222" s="56"/>
      <c r="L3222" s="56" t="s">
        <v>488</v>
      </c>
    </row>
    <row r="3223" spans="2:12" x14ac:dyDescent="0.2">
      <c r="B3223" s="62" t="s">
        <v>2655</v>
      </c>
      <c r="C3223" s="61" t="s">
        <v>550</v>
      </c>
      <c r="D3223" s="60">
        <v>1.5123800000000001</v>
      </c>
      <c r="E3223" s="59">
        <v>2.8369599999999999</v>
      </c>
      <c r="F3223" s="59">
        <v>4.5330000000000004</v>
      </c>
      <c r="G3223" s="56">
        <v>0</v>
      </c>
      <c r="H3223" s="56">
        <v>0</v>
      </c>
      <c r="I3223" s="58">
        <v>0.14554500000000001</v>
      </c>
      <c r="J3223" s="57">
        <v>0.261405</v>
      </c>
      <c r="K3223" s="56"/>
      <c r="L3223" s="56" t="s">
        <v>488</v>
      </c>
    </row>
    <row r="3224" spans="2:12" x14ac:dyDescent="0.2">
      <c r="B3224" s="62" t="s">
        <v>2654</v>
      </c>
      <c r="C3224" s="61" t="s">
        <v>499</v>
      </c>
      <c r="D3224" s="60">
        <v>1.4523600000000001</v>
      </c>
      <c r="E3224" s="59">
        <v>3.8714499999999998</v>
      </c>
      <c r="F3224" s="59">
        <v>5.21671</v>
      </c>
      <c r="G3224" s="56">
        <v>1219.68</v>
      </c>
      <c r="H3224" s="56">
        <v>839.78800000000001</v>
      </c>
      <c r="I3224" s="58">
        <v>0.46653800000000001</v>
      </c>
      <c r="J3224" s="57">
        <v>0.39541700000000002</v>
      </c>
      <c r="K3224" s="56"/>
      <c r="L3224" s="56" t="s">
        <v>488</v>
      </c>
    </row>
    <row r="3225" spans="2:12" x14ac:dyDescent="0.2">
      <c r="B3225" s="62" t="s">
        <v>2653</v>
      </c>
      <c r="C3225" s="61" t="s">
        <v>510</v>
      </c>
      <c r="D3225" s="60">
        <v>1.4497</v>
      </c>
      <c r="E3225" s="59">
        <v>3.8045900000000001</v>
      </c>
      <c r="F3225" s="59">
        <v>4.8300700000000001</v>
      </c>
      <c r="G3225" s="56">
        <v>836.20799999999997</v>
      </c>
      <c r="H3225" s="56">
        <v>571.25400000000002</v>
      </c>
      <c r="I3225" s="58">
        <v>0.45943400000000001</v>
      </c>
      <c r="J3225" s="57">
        <v>0.350186</v>
      </c>
      <c r="K3225" s="56"/>
      <c r="L3225" s="56" t="s">
        <v>488</v>
      </c>
    </row>
    <row r="3226" spans="2:12" x14ac:dyDescent="0.2">
      <c r="B3226" s="62" t="s">
        <v>2652</v>
      </c>
      <c r="C3226" s="61" t="s">
        <v>510</v>
      </c>
      <c r="D3226" s="60">
        <v>1.4638100000000001</v>
      </c>
      <c r="E3226" s="59">
        <v>3.8260000000000001</v>
      </c>
      <c r="F3226" s="59">
        <v>4.8959400000000004</v>
      </c>
      <c r="G3226" s="56">
        <v>917.29300000000001</v>
      </c>
      <c r="H3226" s="56">
        <v>632.74800000000005</v>
      </c>
      <c r="I3226" s="58">
        <v>0.45416600000000001</v>
      </c>
      <c r="J3226" s="57">
        <v>0.34262300000000001</v>
      </c>
      <c r="K3226" s="56"/>
      <c r="L3226" s="56" t="s">
        <v>488</v>
      </c>
    </row>
    <row r="3227" spans="2:12" x14ac:dyDescent="0.2">
      <c r="B3227" s="62" t="s">
        <v>2651</v>
      </c>
      <c r="C3227" s="61" t="s">
        <v>502</v>
      </c>
      <c r="D3227" s="60">
        <v>1.7410300000000001</v>
      </c>
      <c r="E3227" s="59">
        <v>2.8367499999999999</v>
      </c>
      <c r="F3227" s="59">
        <v>4.1572100000000001</v>
      </c>
      <c r="G3227" s="56">
        <v>0</v>
      </c>
      <c r="H3227" s="56">
        <v>0</v>
      </c>
      <c r="I3227" s="58">
        <v>0.18070700000000001</v>
      </c>
      <c r="J3227" s="57">
        <v>0.26905499999999999</v>
      </c>
      <c r="K3227" s="56"/>
      <c r="L3227" s="56" t="s">
        <v>488</v>
      </c>
    </row>
    <row r="3228" spans="2:12" x14ac:dyDescent="0.2">
      <c r="B3228" s="62" t="s">
        <v>2650</v>
      </c>
      <c r="C3228" s="61" t="s">
        <v>550</v>
      </c>
      <c r="D3228" s="60">
        <v>1.58721</v>
      </c>
      <c r="E3228" s="59">
        <v>4.5166000000000004</v>
      </c>
      <c r="F3228" s="59">
        <v>6.6697600000000001</v>
      </c>
      <c r="G3228" s="56">
        <v>662.98099999999999</v>
      </c>
      <c r="H3228" s="56">
        <v>417.70299999999997</v>
      </c>
      <c r="I3228" s="58">
        <v>0.29836299999999999</v>
      </c>
      <c r="J3228" s="57">
        <v>0.29755100000000001</v>
      </c>
      <c r="K3228" s="56"/>
      <c r="L3228" s="56" t="s">
        <v>488</v>
      </c>
    </row>
    <row r="3229" spans="2:12" x14ac:dyDescent="0.2">
      <c r="B3229" s="62" t="s">
        <v>2649</v>
      </c>
      <c r="C3229" s="61" t="s">
        <v>625</v>
      </c>
      <c r="D3229" s="60">
        <v>1.2999700000000001</v>
      </c>
      <c r="E3229" s="59">
        <v>6.51511</v>
      </c>
      <c r="F3229" s="59">
        <v>8.7815600000000007</v>
      </c>
      <c r="G3229" s="56">
        <v>1082.42</v>
      </c>
      <c r="H3229" s="56">
        <v>832.65300000000002</v>
      </c>
      <c r="I3229" s="58">
        <v>0.40885100000000002</v>
      </c>
      <c r="J3229" s="57">
        <v>0.41760000000000003</v>
      </c>
      <c r="K3229" s="56"/>
      <c r="L3229" s="56" t="s">
        <v>492</v>
      </c>
    </row>
    <row r="3230" spans="2:12" x14ac:dyDescent="0.2">
      <c r="B3230" s="62" t="s">
        <v>2648</v>
      </c>
      <c r="C3230" s="61" t="s">
        <v>625</v>
      </c>
      <c r="D3230" s="60">
        <v>1.3512599999999999</v>
      </c>
      <c r="E3230" s="59">
        <v>4.3030799999999996</v>
      </c>
      <c r="F3230" s="59">
        <v>4.6388199999999999</v>
      </c>
      <c r="G3230" s="56">
        <v>601.02099999999996</v>
      </c>
      <c r="H3230" s="56">
        <v>444.786</v>
      </c>
      <c r="I3230" s="58">
        <v>0.46130399999999999</v>
      </c>
      <c r="J3230" s="57">
        <v>0.40758800000000001</v>
      </c>
      <c r="K3230" s="56"/>
      <c r="L3230" s="56" t="s">
        <v>488</v>
      </c>
    </row>
    <row r="3231" spans="2:12" x14ac:dyDescent="0.2">
      <c r="B3231" s="62" t="s">
        <v>2647</v>
      </c>
      <c r="C3231" s="61" t="s">
        <v>502</v>
      </c>
      <c r="D3231" s="60">
        <v>1.66479</v>
      </c>
      <c r="E3231" s="59">
        <v>3.1253799999999998</v>
      </c>
      <c r="F3231" s="59">
        <v>3.8262900000000002</v>
      </c>
      <c r="G3231" s="56">
        <v>0</v>
      </c>
      <c r="H3231" s="56">
        <v>0</v>
      </c>
      <c r="I3231" s="58">
        <v>0.13417899999999999</v>
      </c>
      <c r="J3231" s="57">
        <v>0.24362600000000001</v>
      </c>
      <c r="K3231" s="56"/>
      <c r="L3231" s="56" t="s">
        <v>488</v>
      </c>
    </row>
    <row r="3232" spans="2:12" x14ac:dyDescent="0.2">
      <c r="B3232" s="62" t="s">
        <v>2646</v>
      </c>
      <c r="C3232" s="61" t="s">
        <v>1629</v>
      </c>
      <c r="D3232" s="60">
        <v>1.4794499999999999</v>
      </c>
      <c r="E3232" s="59">
        <v>3.9985499999999998</v>
      </c>
      <c r="F3232" s="59">
        <v>4.70974</v>
      </c>
      <c r="G3232" s="56">
        <v>181.786</v>
      </c>
      <c r="H3232" s="56">
        <v>122.874</v>
      </c>
      <c r="I3232" s="58">
        <v>0.14089699999999999</v>
      </c>
      <c r="J3232" s="57">
        <v>0.27455200000000002</v>
      </c>
      <c r="K3232" s="56"/>
      <c r="L3232" s="56" t="s">
        <v>488</v>
      </c>
    </row>
    <row r="3233" spans="2:12" x14ac:dyDescent="0.2">
      <c r="B3233" s="62" t="s">
        <v>2645</v>
      </c>
      <c r="C3233" s="61" t="s">
        <v>708</v>
      </c>
      <c r="D3233" s="60">
        <v>1.35137</v>
      </c>
      <c r="E3233" s="59">
        <v>4.3233499999999996</v>
      </c>
      <c r="F3233" s="59">
        <v>4.9528499999999998</v>
      </c>
      <c r="G3233" s="56">
        <v>415.858</v>
      </c>
      <c r="H3233" s="56">
        <v>307.73</v>
      </c>
      <c r="I3233" s="58">
        <v>0.27593000000000001</v>
      </c>
      <c r="J3233" s="57">
        <v>0.30549199999999999</v>
      </c>
      <c r="K3233" s="56"/>
      <c r="L3233" s="56" t="s">
        <v>488</v>
      </c>
    </row>
    <row r="3234" spans="2:12" x14ac:dyDescent="0.2">
      <c r="B3234" s="62" t="s">
        <v>2644</v>
      </c>
      <c r="C3234" s="61" t="s">
        <v>577</v>
      </c>
      <c r="D3234" s="60">
        <v>1.7191399999999999</v>
      </c>
      <c r="E3234" s="59">
        <v>2.5243899999999999</v>
      </c>
      <c r="F3234" s="59">
        <v>3.3576999999999999</v>
      </c>
      <c r="G3234" s="56">
        <v>0</v>
      </c>
      <c r="H3234" s="56">
        <v>0</v>
      </c>
      <c r="I3234" s="58">
        <v>9.5048599999999997E-2</v>
      </c>
      <c r="J3234" s="57">
        <v>0.21376700000000001</v>
      </c>
      <c r="K3234" s="56"/>
      <c r="L3234" s="56" t="s">
        <v>488</v>
      </c>
    </row>
    <row r="3235" spans="2:12" x14ac:dyDescent="0.2">
      <c r="B3235" s="62" t="s">
        <v>2643</v>
      </c>
      <c r="C3235" s="61" t="s">
        <v>2642</v>
      </c>
      <c r="D3235" s="60">
        <v>1.93076</v>
      </c>
      <c r="E3235" s="59">
        <v>3.1311900000000001</v>
      </c>
      <c r="F3235" s="59">
        <v>4.4290700000000003</v>
      </c>
      <c r="G3235" s="56">
        <v>0</v>
      </c>
      <c r="H3235" s="56">
        <v>0</v>
      </c>
      <c r="I3235" s="58">
        <v>0.29172700000000001</v>
      </c>
      <c r="J3235" s="57">
        <v>0.253359</v>
      </c>
      <c r="K3235" s="56"/>
      <c r="L3235" s="56" t="s">
        <v>488</v>
      </c>
    </row>
    <row r="3236" spans="2:12" x14ac:dyDescent="0.2">
      <c r="B3236" s="62" t="s">
        <v>2641</v>
      </c>
      <c r="C3236" s="61" t="s">
        <v>502</v>
      </c>
      <c r="D3236" s="60">
        <v>1.9499899999999999</v>
      </c>
      <c r="E3236" s="59">
        <v>3.8659599999999998</v>
      </c>
      <c r="F3236" s="59">
        <v>4.8743100000000004</v>
      </c>
      <c r="G3236" s="56">
        <v>685.20100000000002</v>
      </c>
      <c r="H3236" s="56">
        <v>351.387</v>
      </c>
      <c r="I3236" s="58">
        <v>0.44723400000000002</v>
      </c>
      <c r="J3236" s="57">
        <v>0.25840200000000002</v>
      </c>
      <c r="K3236" s="56"/>
      <c r="L3236" s="56" t="s">
        <v>488</v>
      </c>
    </row>
    <row r="3237" spans="2:12" x14ac:dyDescent="0.2">
      <c r="B3237" s="62" t="s">
        <v>2640</v>
      </c>
      <c r="C3237" s="61" t="s">
        <v>502</v>
      </c>
      <c r="D3237" s="60">
        <v>1.4755400000000001</v>
      </c>
      <c r="E3237" s="59">
        <v>5.5961299999999996</v>
      </c>
      <c r="F3237" s="59">
        <v>6.1354300000000004</v>
      </c>
      <c r="G3237" s="56">
        <v>760.01800000000003</v>
      </c>
      <c r="H3237" s="56">
        <v>515.07600000000002</v>
      </c>
      <c r="I3237" s="58">
        <v>0.37378099999999997</v>
      </c>
      <c r="J3237" s="57">
        <v>0.32332699999999998</v>
      </c>
      <c r="K3237" s="56"/>
      <c r="L3237" s="56" t="s">
        <v>488</v>
      </c>
    </row>
    <row r="3238" spans="2:12" x14ac:dyDescent="0.2">
      <c r="B3238" s="62" t="s">
        <v>2639</v>
      </c>
      <c r="C3238" s="61" t="s">
        <v>582</v>
      </c>
      <c r="D3238" s="60">
        <v>1.0183599999999999</v>
      </c>
      <c r="E3238" s="59">
        <v>5.4671399999999997</v>
      </c>
      <c r="F3238" s="59">
        <v>6.5595100000000004</v>
      </c>
      <c r="G3238" s="56">
        <v>1094.5899999999999</v>
      </c>
      <c r="H3238" s="56">
        <v>831.01599999999996</v>
      </c>
      <c r="I3238" s="58">
        <v>0.68078399999999994</v>
      </c>
      <c r="J3238" s="57">
        <v>0.63557600000000003</v>
      </c>
      <c r="K3238" s="56"/>
      <c r="L3238" s="56" t="s">
        <v>488</v>
      </c>
    </row>
    <row r="3239" spans="2:12" x14ac:dyDescent="0.2">
      <c r="B3239" s="62" t="s">
        <v>2638</v>
      </c>
      <c r="C3239" s="61" t="s">
        <v>582</v>
      </c>
      <c r="D3239" s="60">
        <v>1.31717</v>
      </c>
      <c r="E3239" s="59">
        <v>8.1622699999999995</v>
      </c>
      <c r="F3239" s="59">
        <v>9.8336400000000008</v>
      </c>
      <c r="G3239" s="56">
        <v>1549.14</v>
      </c>
      <c r="H3239" s="56">
        <v>1521.22</v>
      </c>
      <c r="I3239" s="58">
        <v>0.52612800000000004</v>
      </c>
      <c r="J3239" s="57">
        <v>0.413518</v>
      </c>
      <c r="K3239" s="56"/>
      <c r="L3239" s="56" t="s">
        <v>488</v>
      </c>
    </row>
    <row r="3240" spans="2:12" x14ac:dyDescent="0.2">
      <c r="B3240" s="62" t="s">
        <v>2637</v>
      </c>
      <c r="C3240" s="61" t="s">
        <v>533</v>
      </c>
      <c r="D3240" s="60">
        <v>1.0519000000000001</v>
      </c>
      <c r="E3240" s="59">
        <v>5.6078900000000003</v>
      </c>
      <c r="F3240" s="59">
        <v>6.7084200000000003</v>
      </c>
      <c r="G3240" s="56">
        <v>1142.05</v>
      </c>
      <c r="H3240" s="56">
        <v>864.83699999999999</v>
      </c>
      <c r="I3240" s="58">
        <v>0.670431</v>
      </c>
      <c r="J3240" s="57">
        <v>0.61023400000000005</v>
      </c>
      <c r="K3240" s="56"/>
      <c r="L3240" s="56" t="s">
        <v>488</v>
      </c>
    </row>
    <row r="3241" spans="2:12" x14ac:dyDescent="0.2">
      <c r="B3241" s="62" t="s">
        <v>2636</v>
      </c>
      <c r="C3241" s="61" t="s">
        <v>533</v>
      </c>
      <c r="D3241" s="60">
        <v>1.32053</v>
      </c>
      <c r="E3241" s="59">
        <v>8.0075699999999994</v>
      </c>
      <c r="F3241" s="59">
        <v>9.5018899999999995</v>
      </c>
      <c r="G3241" s="56">
        <v>1524.74</v>
      </c>
      <c r="H3241" s="56">
        <v>1449.51</v>
      </c>
      <c r="I3241" s="58">
        <v>0.53430699999999998</v>
      </c>
      <c r="J3241" s="57">
        <v>0.41689399999999999</v>
      </c>
      <c r="K3241" s="56"/>
      <c r="L3241" s="56" t="s">
        <v>488</v>
      </c>
    </row>
    <row r="3242" spans="2:12" x14ac:dyDescent="0.2">
      <c r="B3242" s="62" t="s">
        <v>2635</v>
      </c>
      <c r="C3242" s="61" t="s">
        <v>502</v>
      </c>
      <c r="D3242" s="60">
        <v>1.2835799999999999</v>
      </c>
      <c r="E3242" s="59">
        <v>2.8793799999999998</v>
      </c>
      <c r="F3242" s="59">
        <v>4.3881100000000002</v>
      </c>
      <c r="G3242" s="56">
        <v>0</v>
      </c>
      <c r="H3242" s="56">
        <v>0</v>
      </c>
      <c r="I3242" s="58">
        <v>0.28973199999999999</v>
      </c>
      <c r="J3242" s="57">
        <v>0.39869599999999999</v>
      </c>
      <c r="K3242" s="56"/>
      <c r="L3242" s="56" t="s">
        <v>488</v>
      </c>
    </row>
    <row r="3243" spans="2:12" x14ac:dyDescent="0.2">
      <c r="B3243" s="62" t="s">
        <v>2634</v>
      </c>
      <c r="C3243" s="61" t="s">
        <v>502</v>
      </c>
      <c r="D3243" s="60">
        <v>1.19472</v>
      </c>
      <c r="E3243" s="59">
        <v>3.9052500000000001</v>
      </c>
      <c r="F3243" s="59">
        <v>6.7105600000000001</v>
      </c>
      <c r="G3243" s="56">
        <v>681.23299999999995</v>
      </c>
      <c r="H3243" s="56">
        <v>570.20399999999995</v>
      </c>
      <c r="I3243" s="58">
        <v>0.27290999999999999</v>
      </c>
      <c r="J3243" s="57">
        <v>0.43057499999999999</v>
      </c>
      <c r="K3243" s="56"/>
      <c r="L3243" s="56" t="s">
        <v>488</v>
      </c>
    </row>
    <row r="3244" spans="2:12" x14ac:dyDescent="0.2">
      <c r="B3244" s="62" t="s">
        <v>2633</v>
      </c>
      <c r="C3244" s="61" t="s">
        <v>502</v>
      </c>
      <c r="D3244" s="60">
        <v>1.2834399999999999</v>
      </c>
      <c r="E3244" s="59">
        <v>2.8710499999999999</v>
      </c>
      <c r="F3244" s="59">
        <v>4.5379800000000001</v>
      </c>
      <c r="G3244" s="56">
        <v>0</v>
      </c>
      <c r="H3244" s="56">
        <v>0</v>
      </c>
      <c r="I3244" s="58">
        <v>0.29053400000000001</v>
      </c>
      <c r="J3244" s="57">
        <v>0.397673</v>
      </c>
      <c r="K3244" s="56"/>
      <c r="L3244" s="56" t="s">
        <v>488</v>
      </c>
    </row>
    <row r="3245" spans="2:12" x14ac:dyDescent="0.2">
      <c r="B3245" s="62" t="s">
        <v>2632</v>
      </c>
      <c r="C3245" s="61" t="s">
        <v>499</v>
      </c>
      <c r="D3245" s="60">
        <v>1.4306300000000001</v>
      </c>
      <c r="E3245" s="59">
        <v>3.5927500000000001</v>
      </c>
      <c r="F3245" s="59">
        <v>4.4291400000000003</v>
      </c>
      <c r="G3245" s="56">
        <v>0</v>
      </c>
      <c r="H3245" s="56">
        <v>0</v>
      </c>
      <c r="I3245" s="58">
        <v>0.23421500000000001</v>
      </c>
      <c r="J3245" s="57">
        <v>0.33453699999999997</v>
      </c>
      <c r="K3245" s="56"/>
      <c r="L3245" s="56" t="s">
        <v>488</v>
      </c>
    </row>
    <row r="3246" spans="2:12" x14ac:dyDescent="0.2">
      <c r="B3246" s="62" t="s">
        <v>2631</v>
      </c>
      <c r="C3246" s="61" t="s">
        <v>499</v>
      </c>
      <c r="D3246" s="60">
        <v>1.4317800000000001</v>
      </c>
      <c r="E3246" s="59">
        <v>3.4376699999999998</v>
      </c>
      <c r="F3246" s="59">
        <v>4.2548899999999996</v>
      </c>
      <c r="G3246" s="56">
        <v>0</v>
      </c>
      <c r="H3246" s="56">
        <v>0</v>
      </c>
      <c r="I3246" s="58">
        <v>0.24338000000000001</v>
      </c>
      <c r="J3246" s="57">
        <v>0.33375300000000002</v>
      </c>
      <c r="K3246" s="56"/>
      <c r="L3246" s="56" t="s">
        <v>488</v>
      </c>
    </row>
    <row r="3247" spans="2:12" x14ac:dyDescent="0.2">
      <c r="B3247" s="62" t="s">
        <v>2630</v>
      </c>
      <c r="C3247" s="61" t="s">
        <v>499</v>
      </c>
      <c r="D3247" s="60">
        <v>1.42831</v>
      </c>
      <c r="E3247" s="59">
        <v>3.47614</v>
      </c>
      <c r="F3247" s="59">
        <v>4.2709099999999998</v>
      </c>
      <c r="G3247" s="56">
        <v>0</v>
      </c>
      <c r="H3247" s="56">
        <v>0</v>
      </c>
      <c r="I3247" s="58">
        <v>0.241698</v>
      </c>
      <c r="J3247" s="57">
        <v>0.33546900000000002</v>
      </c>
      <c r="K3247" s="56"/>
      <c r="L3247" s="56" t="s">
        <v>488</v>
      </c>
    </row>
    <row r="3248" spans="2:12" x14ac:dyDescent="0.2">
      <c r="B3248" s="62" t="s">
        <v>2629</v>
      </c>
      <c r="C3248" s="61" t="s">
        <v>499</v>
      </c>
      <c r="D3248" s="60">
        <v>1.41967</v>
      </c>
      <c r="E3248" s="59">
        <v>3.4373800000000001</v>
      </c>
      <c r="F3248" s="59">
        <v>4.2459600000000002</v>
      </c>
      <c r="G3248" s="56">
        <v>0</v>
      </c>
      <c r="H3248" s="56">
        <v>0</v>
      </c>
      <c r="I3248" s="58">
        <v>0.248861</v>
      </c>
      <c r="J3248" s="57">
        <v>0.34138299999999999</v>
      </c>
      <c r="K3248" s="56"/>
      <c r="L3248" s="56" t="s">
        <v>488</v>
      </c>
    </row>
    <row r="3249" spans="2:12" x14ac:dyDescent="0.2">
      <c r="B3249" s="62" t="s">
        <v>2628</v>
      </c>
      <c r="C3249" s="61" t="s">
        <v>499</v>
      </c>
      <c r="D3249" s="60">
        <v>1.42808</v>
      </c>
      <c r="E3249" s="59">
        <v>3.4424100000000002</v>
      </c>
      <c r="F3249" s="59">
        <v>4.2417800000000003</v>
      </c>
      <c r="G3249" s="56">
        <v>0</v>
      </c>
      <c r="H3249" s="56">
        <v>0</v>
      </c>
      <c r="I3249" s="58">
        <v>0.23965400000000001</v>
      </c>
      <c r="J3249" s="57">
        <v>0.33547700000000003</v>
      </c>
      <c r="K3249" s="56"/>
      <c r="L3249" s="56" t="s">
        <v>488</v>
      </c>
    </row>
    <row r="3250" spans="2:12" x14ac:dyDescent="0.2">
      <c r="B3250" s="62" t="s">
        <v>2627</v>
      </c>
      <c r="C3250" s="61" t="s">
        <v>499</v>
      </c>
      <c r="D3250" s="60">
        <v>1.40923</v>
      </c>
      <c r="E3250" s="59">
        <v>3.5596299999999998</v>
      </c>
      <c r="F3250" s="59">
        <v>4.41751</v>
      </c>
      <c r="G3250" s="56">
        <v>0</v>
      </c>
      <c r="H3250" s="56">
        <v>0</v>
      </c>
      <c r="I3250" s="58">
        <v>0.27347199999999999</v>
      </c>
      <c r="J3250" s="57">
        <v>0.345223</v>
      </c>
      <c r="K3250" s="56"/>
      <c r="L3250" s="56" t="s">
        <v>488</v>
      </c>
    </row>
    <row r="3251" spans="2:12" x14ac:dyDescent="0.2">
      <c r="B3251" s="62" t="s">
        <v>2626</v>
      </c>
      <c r="C3251" s="61" t="s">
        <v>499</v>
      </c>
      <c r="D3251" s="60">
        <v>1.36646</v>
      </c>
      <c r="E3251" s="59">
        <v>3.8901699999999999</v>
      </c>
      <c r="F3251" s="59">
        <v>4.6088100000000001</v>
      </c>
      <c r="G3251" s="56">
        <v>441.63499999999999</v>
      </c>
      <c r="H3251" s="56">
        <v>323.197</v>
      </c>
      <c r="I3251" s="58">
        <v>0.29286600000000002</v>
      </c>
      <c r="J3251" s="57">
        <v>0.36693199999999998</v>
      </c>
      <c r="K3251" s="56"/>
      <c r="L3251" s="56" t="s">
        <v>488</v>
      </c>
    </row>
    <row r="3252" spans="2:12" x14ac:dyDescent="0.2">
      <c r="B3252" s="62" t="s">
        <v>2625</v>
      </c>
      <c r="C3252" s="61" t="s">
        <v>499</v>
      </c>
      <c r="D3252" s="60">
        <v>1.2037100000000001</v>
      </c>
      <c r="E3252" s="59">
        <v>4.6385899999999998</v>
      </c>
      <c r="F3252" s="59">
        <v>5.4737999999999998</v>
      </c>
      <c r="G3252" s="56">
        <v>1079.94</v>
      </c>
      <c r="H3252" s="56">
        <v>897.17399999999998</v>
      </c>
      <c r="I3252" s="58">
        <v>0.48755599999999999</v>
      </c>
      <c r="J3252" s="57">
        <v>0.445407</v>
      </c>
      <c r="K3252" s="56"/>
      <c r="L3252" s="56" t="s">
        <v>488</v>
      </c>
    </row>
    <row r="3253" spans="2:12" x14ac:dyDescent="0.2">
      <c r="B3253" s="62" t="s">
        <v>2624</v>
      </c>
      <c r="C3253" s="61" t="s">
        <v>579</v>
      </c>
      <c r="D3253" s="60">
        <v>2.2740800000000001</v>
      </c>
      <c r="E3253" s="59">
        <v>3.1178499999999998</v>
      </c>
      <c r="F3253" s="59">
        <v>5.1155900000000001</v>
      </c>
      <c r="G3253" s="56">
        <v>0</v>
      </c>
      <c r="H3253" s="56">
        <v>0</v>
      </c>
      <c r="I3253" s="58">
        <v>0.237982</v>
      </c>
      <c r="J3253" s="57">
        <v>0.18182899999999999</v>
      </c>
      <c r="K3253" s="56"/>
      <c r="L3253" s="56" t="s">
        <v>488</v>
      </c>
    </row>
    <row r="3254" spans="2:12" x14ac:dyDescent="0.2">
      <c r="B3254" s="62" t="s">
        <v>2623</v>
      </c>
      <c r="C3254" s="61" t="s">
        <v>541</v>
      </c>
      <c r="D3254" s="60">
        <v>2.3247</v>
      </c>
      <c r="E3254" s="59">
        <v>3.1529099999999999</v>
      </c>
      <c r="F3254" s="59">
        <v>5.1454700000000004</v>
      </c>
      <c r="G3254" s="56">
        <v>0</v>
      </c>
      <c r="H3254" s="56">
        <v>0</v>
      </c>
      <c r="I3254" s="58">
        <v>0.24254500000000001</v>
      </c>
      <c r="J3254" s="57">
        <v>0.176148</v>
      </c>
      <c r="K3254" s="56"/>
      <c r="L3254" s="56" t="s">
        <v>488</v>
      </c>
    </row>
    <row r="3255" spans="2:12" x14ac:dyDescent="0.2">
      <c r="B3255" s="62" t="s">
        <v>2622</v>
      </c>
      <c r="C3255" s="61" t="s">
        <v>533</v>
      </c>
      <c r="D3255" s="60">
        <v>2.4905599999999999</v>
      </c>
      <c r="E3255" s="59">
        <v>3.4601799999999998</v>
      </c>
      <c r="F3255" s="59">
        <v>5.0575599999999996</v>
      </c>
      <c r="G3255" s="56">
        <v>0</v>
      </c>
      <c r="H3255" s="56">
        <v>0</v>
      </c>
      <c r="I3255" s="58">
        <v>0.25392799999999999</v>
      </c>
      <c r="J3255" s="57">
        <v>0.161104</v>
      </c>
      <c r="K3255" s="56"/>
      <c r="L3255" s="56" t="s">
        <v>488</v>
      </c>
    </row>
    <row r="3256" spans="2:12" x14ac:dyDescent="0.2">
      <c r="B3256" s="62" t="s">
        <v>2621</v>
      </c>
      <c r="C3256" s="61" t="s">
        <v>535</v>
      </c>
      <c r="D3256" s="60">
        <v>2.53315</v>
      </c>
      <c r="E3256" s="59">
        <v>3.4521799999999998</v>
      </c>
      <c r="F3256" s="59">
        <v>5.0689299999999999</v>
      </c>
      <c r="G3256" s="56">
        <v>0</v>
      </c>
      <c r="H3256" s="56">
        <v>0</v>
      </c>
      <c r="I3256" s="58">
        <v>0.250384</v>
      </c>
      <c r="J3256" s="57">
        <v>0.15687699999999999</v>
      </c>
      <c r="K3256" s="56"/>
      <c r="L3256" s="56" t="s">
        <v>488</v>
      </c>
    </row>
    <row r="3257" spans="2:12" x14ac:dyDescent="0.2">
      <c r="B3257" s="62" t="s">
        <v>2620</v>
      </c>
      <c r="C3257" s="61" t="s">
        <v>859</v>
      </c>
      <c r="D3257" s="60">
        <v>2.6425299999999998</v>
      </c>
      <c r="E3257" s="59">
        <v>3.4906899999999998</v>
      </c>
      <c r="F3257" s="59">
        <v>4.9924400000000002</v>
      </c>
      <c r="G3257" s="56">
        <v>0</v>
      </c>
      <c r="H3257" s="56">
        <v>0</v>
      </c>
      <c r="I3257" s="58">
        <v>0.25092199999999998</v>
      </c>
      <c r="J3257" s="57">
        <v>0.14874399999999999</v>
      </c>
      <c r="K3257" s="56"/>
      <c r="L3257" s="56" t="s">
        <v>488</v>
      </c>
    </row>
    <row r="3258" spans="2:12" x14ac:dyDescent="0.2">
      <c r="B3258" s="62" t="s">
        <v>2619</v>
      </c>
      <c r="C3258" s="61" t="s">
        <v>2618</v>
      </c>
      <c r="D3258" s="60">
        <v>1.14144</v>
      </c>
      <c r="E3258" s="59">
        <v>3.8231700000000002</v>
      </c>
      <c r="F3258" s="59">
        <v>5.3255499999999998</v>
      </c>
      <c r="G3258" s="56">
        <v>947.56200000000001</v>
      </c>
      <c r="H3258" s="56">
        <v>830.149</v>
      </c>
      <c r="I3258" s="58">
        <v>0.49398999999999998</v>
      </c>
      <c r="J3258" s="57">
        <v>0.55343699999999996</v>
      </c>
      <c r="K3258" s="56"/>
      <c r="L3258" s="56" t="s">
        <v>488</v>
      </c>
    </row>
    <row r="3259" spans="2:12" x14ac:dyDescent="0.2">
      <c r="B3259" s="62" t="s">
        <v>2617</v>
      </c>
      <c r="C3259" s="61" t="s">
        <v>550</v>
      </c>
      <c r="D3259" s="60">
        <v>1.4656800000000001</v>
      </c>
      <c r="E3259" s="59">
        <v>3.77935</v>
      </c>
      <c r="F3259" s="59">
        <v>5.1421099999999997</v>
      </c>
      <c r="G3259" s="56">
        <v>795.53499999999997</v>
      </c>
      <c r="H3259" s="56">
        <v>542.77700000000004</v>
      </c>
      <c r="I3259" s="58">
        <v>0.36834299999999998</v>
      </c>
      <c r="J3259" s="57">
        <v>0.36374699999999999</v>
      </c>
      <c r="K3259" s="56"/>
      <c r="L3259" s="56" t="s">
        <v>823</v>
      </c>
    </row>
    <row r="3260" spans="2:12" x14ac:dyDescent="0.2">
      <c r="B3260" s="62" t="s">
        <v>2616</v>
      </c>
      <c r="C3260" s="61" t="s">
        <v>632</v>
      </c>
      <c r="D3260" s="60">
        <v>2.2107700000000001</v>
      </c>
      <c r="E3260" s="59">
        <v>3.8869699999999998</v>
      </c>
      <c r="F3260" s="59">
        <v>4.6438300000000003</v>
      </c>
      <c r="G3260" s="56">
        <v>447.66</v>
      </c>
      <c r="H3260" s="56">
        <v>202.49100000000001</v>
      </c>
      <c r="I3260" s="58">
        <v>0.45210699999999998</v>
      </c>
      <c r="J3260" s="57">
        <v>0.210314</v>
      </c>
      <c r="K3260" s="56"/>
      <c r="L3260" s="56" t="s">
        <v>488</v>
      </c>
    </row>
    <row r="3261" spans="2:12" x14ac:dyDescent="0.2">
      <c r="B3261" s="62" t="s">
        <v>2615</v>
      </c>
      <c r="C3261" s="61" t="s">
        <v>1393</v>
      </c>
      <c r="D3261" s="60">
        <v>1.78918</v>
      </c>
      <c r="E3261" s="59">
        <v>4.7241099999999996</v>
      </c>
      <c r="F3261" s="59">
        <v>7.7726100000000002</v>
      </c>
      <c r="G3261" s="56">
        <v>764.59900000000005</v>
      </c>
      <c r="H3261" s="56">
        <v>427.346</v>
      </c>
      <c r="I3261" s="58">
        <v>0.38591599999999998</v>
      </c>
      <c r="J3261" s="57">
        <v>0.27723900000000001</v>
      </c>
      <c r="K3261" s="56"/>
      <c r="L3261" s="56" t="s">
        <v>488</v>
      </c>
    </row>
    <row r="3262" spans="2:12" x14ac:dyDescent="0.2">
      <c r="B3262" s="62" t="s">
        <v>2614</v>
      </c>
      <c r="C3262" s="61" t="s">
        <v>550</v>
      </c>
      <c r="D3262" s="60">
        <v>1.04887</v>
      </c>
      <c r="E3262" s="59">
        <v>3.6715900000000001</v>
      </c>
      <c r="F3262" s="59">
        <v>5.3558000000000003</v>
      </c>
      <c r="G3262" s="56">
        <v>0</v>
      </c>
      <c r="H3262" s="56">
        <v>0</v>
      </c>
      <c r="I3262" s="58">
        <v>0.43994</v>
      </c>
      <c r="J3262" s="57">
        <v>0.53424700000000003</v>
      </c>
      <c r="K3262" s="56"/>
      <c r="L3262" s="56" t="s">
        <v>492</v>
      </c>
    </row>
    <row r="3263" spans="2:12" x14ac:dyDescent="0.2">
      <c r="B3263" s="62" t="s">
        <v>2613</v>
      </c>
      <c r="C3263" s="61" t="s">
        <v>499</v>
      </c>
      <c r="D3263" s="60">
        <v>0.80011699999999997</v>
      </c>
      <c r="E3263" s="59">
        <v>5.5418700000000003</v>
      </c>
      <c r="F3263" s="59">
        <v>6.2549700000000001</v>
      </c>
      <c r="G3263" s="56">
        <v>2355.15</v>
      </c>
      <c r="H3263" s="56">
        <v>2943.5</v>
      </c>
      <c r="I3263" s="58">
        <v>0.71760000000000002</v>
      </c>
      <c r="J3263" s="57">
        <v>0.88422500000000004</v>
      </c>
      <c r="K3263" s="56"/>
      <c r="L3263" s="56" t="s">
        <v>488</v>
      </c>
    </row>
    <row r="3264" spans="2:12" x14ac:dyDescent="0.2">
      <c r="B3264" s="62" t="s">
        <v>2612</v>
      </c>
      <c r="C3264" s="61" t="s">
        <v>499</v>
      </c>
      <c r="D3264" s="60">
        <v>0.93829700000000005</v>
      </c>
      <c r="E3264" s="59">
        <v>6.4735899999999997</v>
      </c>
      <c r="F3264" s="59">
        <v>7.3216700000000001</v>
      </c>
      <c r="G3264" s="56">
        <v>1459.64</v>
      </c>
      <c r="H3264" s="56">
        <v>1555.63</v>
      </c>
      <c r="I3264" s="58">
        <v>0.56406000000000001</v>
      </c>
      <c r="J3264" s="57">
        <v>0.66932400000000003</v>
      </c>
      <c r="K3264" s="56"/>
      <c r="L3264" s="56" t="s">
        <v>492</v>
      </c>
    </row>
    <row r="3265" spans="2:12" x14ac:dyDescent="0.2">
      <c r="B3265" s="62" t="s">
        <v>2611</v>
      </c>
      <c r="C3265" s="61" t="s">
        <v>499</v>
      </c>
      <c r="D3265" s="60">
        <v>1.38412</v>
      </c>
      <c r="E3265" s="59">
        <v>4.3653899999999997</v>
      </c>
      <c r="F3265" s="59">
        <v>6.4219200000000001</v>
      </c>
      <c r="G3265" s="56">
        <v>282.21300000000002</v>
      </c>
      <c r="H3265" s="56">
        <v>203.893</v>
      </c>
      <c r="I3265" s="58">
        <v>0.10143000000000001</v>
      </c>
      <c r="J3265" s="57">
        <v>0.29571599999999998</v>
      </c>
      <c r="K3265" s="56"/>
      <c r="L3265" s="56" t="s">
        <v>492</v>
      </c>
    </row>
    <row r="3266" spans="2:12" x14ac:dyDescent="0.2">
      <c r="B3266" s="62" t="s">
        <v>2610</v>
      </c>
      <c r="C3266" s="61" t="s">
        <v>499</v>
      </c>
      <c r="D3266" s="60">
        <v>1.2680199999999999</v>
      </c>
      <c r="E3266" s="59">
        <v>3.8224999999999998</v>
      </c>
      <c r="F3266" s="59">
        <v>5.04054</v>
      </c>
      <c r="G3266" s="56">
        <v>618.53399999999999</v>
      </c>
      <c r="H3266" s="56">
        <v>487.79300000000001</v>
      </c>
      <c r="I3266" s="58">
        <v>0.44373299999999999</v>
      </c>
      <c r="J3266" s="57">
        <v>0.42306300000000002</v>
      </c>
      <c r="K3266" s="56"/>
      <c r="L3266" s="56" t="s">
        <v>492</v>
      </c>
    </row>
    <row r="3267" spans="2:12" x14ac:dyDescent="0.2">
      <c r="B3267" s="62" t="s">
        <v>2609</v>
      </c>
      <c r="C3267" s="61" t="s">
        <v>499</v>
      </c>
      <c r="D3267" s="60">
        <v>1.27902</v>
      </c>
      <c r="E3267" s="59">
        <v>3.62608</v>
      </c>
      <c r="F3267" s="59">
        <v>4.8168499999999996</v>
      </c>
      <c r="G3267" s="56">
        <v>0</v>
      </c>
      <c r="H3267" s="56">
        <v>0</v>
      </c>
      <c r="I3267" s="58">
        <v>0.41472100000000001</v>
      </c>
      <c r="J3267" s="57">
        <v>0.411719</v>
      </c>
      <c r="K3267" s="56"/>
      <c r="L3267" s="56" t="s">
        <v>492</v>
      </c>
    </row>
    <row r="3268" spans="2:12" x14ac:dyDescent="0.2">
      <c r="B3268" s="62" t="s">
        <v>2608</v>
      </c>
      <c r="C3268" s="61" t="s">
        <v>510</v>
      </c>
      <c r="D3268" s="60">
        <v>0.93072999999999995</v>
      </c>
      <c r="E3268" s="59">
        <v>4.0240799999999997</v>
      </c>
      <c r="F3268" s="59">
        <v>6.7085699999999999</v>
      </c>
      <c r="G3268" s="56">
        <v>1331.39</v>
      </c>
      <c r="H3268" s="56">
        <v>1430.48</v>
      </c>
      <c r="I3268" s="58">
        <v>0.55410899999999996</v>
      </c>
      <c r="J3268" s="57">
        <v>0.64819400000000005</v>
      </c>
      <c r="K3268" s="56"/>
      <c r="L3268" s="56" t="s">
        <v>488</v>
      </c>
    </row>
    <row r="3269" spans="2:12" x14ac:dyDescent="0.2">
      <c r="B3269" s="62" t="s">
        <v>2607</v>
      </c>
      <c r="C3269" s="61" t="s">
        <v>510</v>
      </c>
      <c r="D3269" s="60">
        <v>1.3617300000000001</v>
      </c>
      <c r="E3269" s="59">
        <v>2.9748299999999999</v>
      </c>
      <c r="F3269" s="59">
        <v>4.1149300000000002</v>
      </c>
      <c r="G3269" s="56">
        <v>0</v>
      </c>
      <c r="H3269" s="56">
        <v>0</v>
      </c>
      <c r="I3269" s="58">
        <v>0.12443</v>
      </c>
      <c r="J3269" s="57">
        <v>0.29313</v>
      </c>
      <c r="K3269" s="56"/>
      <c r="L3269" s="56" t="s">
        <v>488</v>
      </c>
    </row>
    <row r="3270" spans="2:12" x14ac:dyDescent="0.2">
      <c r="B3270" s="62" t="s">
        <v>2606</v>
      </c>
      <c r="C3270" s="61" t="s">
        <v>510</v>
      </c>
      <c r="D3270" s="60">
        <v>0.83324200000000004</v>
      </c>
      <c r="E3270" s="59">
        <v>5.6634000000000002</v>
      </c>
      <c r="F3270" s="59">
        <v>7.1824899999999996</v>
      </c>
      <c r="G3270" s="56">
        <v>1718.69</v>
      </c>
      <c r="H3270" s="56">
        <v>2062.65</v>
      </c>
      <c r="I3270" s="58">
        <v>0.63570800000000005</v>
      </c>
      <c r="J3270" s="57">
        <v>0.76502599999999998</v>
      </c>
      <c r="K3270" s="56"/>
      <c r="L3270" s="56" t="s">
        <v>488</v>
      </c>
    </row>
    <row r="3271" spans="2:12" x14ac:dyDescent="0.2">
      <c r="B3271" s="62" t="s">
        <v>2605</v>
      </c>
      <c r="C3271" s="61" t="s">
        <v>510</v>
      </c>
      <c r="D3271" s="60">
        <v>1.42754</v>
      </c>
      <c r="E3271" s="59">
        <v>3.0335800000000002</v>
      </c>
      <c r="F3271" s="59">
        <v>3.5787</v>
      </c>
      <c r="G3271" s="56">
        <v>0</v>
      </c>
      <c r="H3271" s="56">
        <v>0</v>
      </c>
      <c r="I3271" s="58">
        <v>7.1586899999999995E-2</v>
      </c>
      <c r="J3271" s="57">
        <v>0.24707100000000001</v>
      </c>
      <c r="K3271" s="56"/>
      <c r="L3271" s="56" t="s">
        <v>488</v>
      </c>
    </row>
    <row r="3272" spans="2:12" x14ac:dyDescent="0.2">
      <c r="B3272" s="62" t="s">
        <v>2604</v>
      </c>
      <c r="C3272" s="61" t="s">
        <v>495</v>
      </c>
      <c r="D3272" s="60">
        <v>0.76986200000000005</v>
      </c>
      <c r="E3272" s="59">
        <v>5.4329700000000001</v>
      </c>
      <c r="F3272" s="59">
        <v>8.2033299999999993</v>
      </c>
      <c r="G3272" s="56">
        <v>1898.98</v>
      </c>
      <c r="H3272" s="56">
        <v>2466.65</v>
      </c>
      <c r="I3272" s="58">
        <v>0.68103000000000002</v>
      </c>
      <c r="J3272" s="57">
        <v>0.87295800000000001</v>
      </c>
      <c r="K3272" s="56"/>
      <c r="L3272" s="56" t="s">
        <v>488</v>
      </c>
    </row>
    <row r="3273" spans="2:12" x14ac:dyDescent="0.2">
      <c r="B3273" s="62" t="s">
        <v>2603</v>
      </c>
      <c r="C3273" s="61" t="s">
        <v>495</v>
      </c>
      <c r="D3273" s="60">
        <v>0.82311100000000004</v>
      </c>
      <c r="E3273" s="59">
        <v>5.2648099999999998</v>
      </c>
      <c r="F3273" s="59">
        <v>6.6687799999999999</v>
      </c>
      <c r="G3273" s="56">
        <v>1904.25</v>
      </c>
      <c r="H3273" s="56">
        <v>2313.48</v>
      </c>
      <c r="I3273" s="58">
        <v>0.65642900000000004</v>
      </c>
      <c r="J3273" s="57">
        <v>0.784744</v>
      </c>
      <c r="K3273" s="56"/>
      <c r="L3273" s="56" t="s">
        <v>488</v>
      </c>
    </row>
    <row r="3274" spans="2:12" x14ac:dyDescent="0.2">
      <c r="B3274" s="62" t="s">
        <v>2602</v>
      </c>
      <c r="C3274" s="61" t="s">
        <v>526</v>
      </c>
      <c r="D3274" s="60">
        <v>1.79576</v>
      </c>
      <c r="E3274" s="59">
        <v>2.9385599999999998</v>
      </c>
      <c r="F3274" s="59">
        <v>3.4516399999999998</v>
      </c>
      <c r="G3274" s="56">
        <v>0</v>
      </c>
      <c r="H3274" s="56">
        <v>0</v>
      </c>
      <c r="I3274" s="58">
        <v>0.43149300000000002</v>
      </c>
      <c r="J3274" s="57">
        <v>0.292298</v>
      </c>
      <c r="K3274" s="56"/>
      <c r="L3274" s="56" t="s">
        <v>488</v>
      </c>
    </row>
    <row r="3275" spans="2:12" x14ac:dyDescent="0.2">
      <c r="B3275" s="62" t="s">
        <v>2601</v>
      </c>
      <c r="C3275" s="61" t="s">
        <v>510</v>
      </c>
      <c r="D3275" s="60">
        <v>1.2981499999999999</v>
      </c>
      <c r="E3275" s="59">
        <v>2.8478500000000002</v>
      </c>
      <c r="F3275" s="59">
        <v>4.09823</v>
      </c>
      <c r="G3275" s="56">
        <v>0</v>
      </c>
      <c r="H3275" s="56">
        <v>0</v>
      </c>
      <c r="I3275" s="58">
        <v>0.21479400000000001</v>
      </c>
      <c r="J3275" s="57">
        <v>0.33182800000000001</v>
      </c>
      <c r="K3275" s="56"/>
      <c r="L3275" s="56" t="s">
        <v>488</v>
      </c>
    </row>
    <row r="3276" spans="2:12" x14ac:dyDescent="0.2">
      <c r="B3276" s="62" t="s">
        <v>2600</v>
      </c>
      <c r="C3276" s="61" t="s">
        <v>499</v>
      </c>
      <c r="D3276" s="60">
        <v>1.27965</v>
      </c>
      <c r="E3276" s="59">
        <v>3.1106500000000001</v>
      </c>
      <c r="F3276" s="59">
        <v>7.0239399999999996</v>
      </c>
      <c r="G3276" s="56">
        <v>0</v>
      </c>
      <c r="H3276" s="56">
        <v>0</v>
      </c>
      <c r="I3276" s="58">
        <v>0.35343599999999997</v>
      </c>
      <c r="J3276" s="57">
        <v>0.38478600000000002</v>
      </c>
      <c r="K3276" s="56"/>
      <c r="L3276" s="56" t="s">
        <v>488</v>
      </c>
    </row>
    <row r="3277" spans="2:12" x14ac:dyDescent="0.2">
      <c r="B3277" s="62" t="s">
        <v>2599</v>
      </c>
      <c r="C3277" s="61" t="s">
        <v>510</v>
      </c>
      <c r="D3277" s="60">
        <v>1.1898899999999999</v>
      </c>
      <c r="E3277" s="59">
        <v>3.6483599999999998</v>
      </c>
      <c r="F3277" s="59">
        <v>4.6197600000000003</v>
      </c>
      <c r="G3277" s="56">
        <v>0</v>
      </c>
      <c r="H3277" s="56">
        <v>0</v>
      </c>
      <c r="I3277" s="58">
        <v>0.39388200000000001</v>
      </c>
      <c r="J3277" s="57">
        <v>0.42433799999999999</v>
      </c>
      <c r="K3277" s="56"/>
      <c r="L3277" s="56" t="s">
        <v>488</v>
      </c>
    </row>
    <row r="3278" spans="2:12" x14ac:dyDescent="0.2">
      <c r="B3278" s="62" t="s">
        <v>2598</v>
      </c>
      <c r="C3278" s="61" t="s">
        <v>641</v>
      </c>
      <c r="D3278" s="60">
        <v>1.81592</v>
      </c>
      <c r="E3278" s="59">
        <v>2.80911</v>
      </c>
      <c r="F3278" s="59">
        <v>3.3550599999999999</v>
      </c>
      <c r="G3278" s="56">
        <v>0</v>
      </c>
      <c r="H3278" s="56">
        <v>0</v>
      </c>
      <c r="I3278" s="58">
        <v>0.10961600000000001</v>
      </c>
      <c r="J3278" s="57">
        <v>0.20268900000000001</v>
      </c>
      <c r="K3278" s="56"/>
      <c r="L3278" s="56" t="s">
        <v>488</v>
      </c>
    </row>
    <row r="3279" spans="2:12" x14ac:dyDescent="0.2">
      <c r="B3279" s="62" t="s">
        <v>2597</v>
      </c>
      <c r="C3279" s="61" t="s">
        <v>550</v>
      </c>
      <c r="D3279" s="60">
        <v>0.67152500000000004</v>
      </c>
      <c r="E3279" s="59">
        <v>7.1818999999999997</v>
      </c>
      <c r="F3279" s="59">
        <v>9.0657700000000006</v>
      </c>
      <c r="G3279" s="56">
        <v>1965.8</v>
      </c>
      <c r="H3279" s="56">
        <v>2927.37</v>
      </c>
      <c r="I3279" s="58">
        <v>0.70846699999999996</v>
      </c>
      <c r="J3279" s="57">
        <v>1.05504</v>
      </c>
      <c r="K3279" s="56"/>
      <c r="L3279" s="56" t="s">
        <v>488</v>
      </c>
    </row>
    <row r="3280" spans="2:12" x14ac:dyDescent="0.2">
      <c r="B3280" s="62" t="s">
        <v>2596</v>
      </c>
      <c r="C3280" s="61" t="s">
        <v>502</v>
      </c>
      <c r="D3280" s="60">
        <v>0.51707999999999998</v>
      </c>
      <c r="E3280" s="59">
        <v>10.38341</v>
      </c>
      <c r="F3280" s="59">
        <v>21.555990000000001</v>
      </c>
      <c r="G3280" s="56">
        <v>1721.96</v>
      </c>
      <c r="H3280" s="56">
        <v>3330.16</v>
      </c>
      <c r="I3280" s="58">
        <v>0.83602299999999996</v>
      </c>
      <c r="J3280" s="57">
        <v>1.53725</v>
      </c>
      <c r="K3280" s="56"/>
      <c r="L3280" s="56" t="s">
        <v>488</v>
      </c>
    </row>
    <row r="3281" spans="2:12" x14ac:dyDescent="0.2">
      <c r="B3281" s="62" t="s">
        <v>2595</v>
      </c>
      <c r="C3281" s="61" t="s">
        <v>550</v>
      </c>
      <c r="D3281" s="60">
        <v>1.2124200000000001</v>
      </c>
      <c r="E3281" s="59">
        <v>4.2074199999999999</v>
      </c>
      <c r="F3281" s="59">
        <v>5.4334499999999997</v>
      </c>
      <c r="G3281" s="56">
        <v>417.50599999999997</v>
      </c>
      <c r="H3281" s="56">
        <v>344.35700000000003</v>
      </c>
      <c r="I3281" s="58">
        <v>0.40064100000000002</v>
      </c>
      <c r="J3281" s="57">
        <v>0.41213100000000003</v>
      </c>
      <c r="K3281" s="56"/>
      <c r="L3281" s="56" t="s">
        <v>492</v>
      </c>
    </row>
    <row r="3282" spans="2:12" x14ac:dyDescent="0.2">
      <c r="B3282" s="62" t="s">
        <v>2594</v>
      </c>
      <c r="C3282" s="61" t="s">
        <v>550</v>
      </c>
      <c r="D3282" s="60">
        <v>1.8413200000000001</v>
      </c>
      <c r="E3282" s="59">
        <v>3.66818</v>
      </c>
      <c r="F3282" s="59">
        <v>5.04305</v>
      </c>
      <c r="G3282" s="56">
        <v>0</v>
      </c>
      <c r="H3282" s="56">
        <v>0</v>
      </c>
      <c r="I3282" s="58">
        <v>0.27620699999999998</v>
      </c>
      <c r="J3282" s="57">
        <v>0.238622</v>
      </c>
      <c r="K3282" s="56"/>
      <c r="L3282" s="56" t="s">
        <v>488</v>
      </c>
    </row>
    <row r="3283" spans="2:12" x14ac:dyDescent="0.2">
      <c r="B3283" s="62" t="s">
        <v>2593</v>
      </c>
      <c r="C3283" s="61" t="s">
        <v>625</v>
      </c>
      <c r="D3283" s="60">
        <v>1.44001</v>
      </c>
      <c r="E3283" s="59">
        <v>3.4721000000000002</v>
      </c>
      <c r="F3283" s="59">
        <v>4.8024500000000003</v>
      </c>
      <c r="G3283" s="56">
        <v>0</v>
      </c>
      <c r="H3283" s="56">
        <v>0</v>
      </c>
      <c r="I3283" s="58">
        <v>0.25300400000000001</v>
      </c>
      <c r="J3283" s="57">
        <v>0.31608199999999997</v>
      </c>
      <c r="K3283" s="56"/>
      <c r="L3283" s="56" t="s">
        <v>492</v>
      </c>
    </row>
    <row r="3284" spans="2:12" x14ac:dyDescent="0.2">
      <c r="B3284" s="62" t="s">
        <v>2592</v>
      </c>
      <c r="C3284" s="61" t="s">
        <v>550</v>
      </c>
      <c r="D3284" s="60">
        <v>0.75302199999999997</v>
      </c>
      <c r="E3284" s="59">
        <v>7.4667300000000001</v>
      </c>
      <c r="F3284" s="59">
        <v>9.0656599999999994</v>
      </c>
      <c r="G3284" s="56">
        <v>1939.26</v>
      </c>
      <c r="H3284" s="56">
        <v>2575.3000000000002</v>
      </c>
      <c r="I3284" s="58">
        <v>0.71482400000000001</v>
      </c>
      <c r="J3284" s="57">
        <v>0.93495600000000001</v>
      </c>
      <c r="K3284" s="56"/>
      <c r="L3284" s="56" t="s">
        <v>488</v>
      </c>
    </row>
    <row r="3285" spans="2:12" x14ac:dyDescent="0.2">
      <c r="B3285" s="62" t="s">
        <v>2591</v>
      </c>
      <c r="C3285" s="61" t="s">
        <v>499</v>
      </c>
      <c r="D3285" s="60">
        <v>1.1852799999999999</v>
      </c>
      <c r="E3285" s="59">
        <v>3.4560499999999998</v>
      </c>
      <c r="F3285" s="59">
        <v>6.3160299999999996</v>
      </c>
      <c r="G3285" s="56">
        <v>0</v>
      </c>
      <c r="H3285" s="56">
        <v>0</v>
      </c>
      <c r="I3285" s="58">
        <v>0.46581600000000001</v>
      </c>
      <c r="J3285" s="57">
        <v>0.45408900000000002</v>
      </c>
      <c r="K3285" s="56"/>
      <c r="L3285" s="56" t="s">
        <v>488</v>
      </c>
    </row>
    <row r="3286" spans="2:12" x14ac:dyDescent="0.2">
      <c r="B3286" s="62" t="s">
        <v>2590</v>
      </c>
      <c r="C3286" s="61" t="s">
        <v>550</v>
      </c>
      <c r="D3286" s="60">
        <v>0.96249499999999999</v>
      </c>
      <c r="E3286" s="59">
        <v>8.0038699999999992</v>
      </c>
      <c r="F3286" s="59">
        <v>8.9621399999999998</v>
      </c>
      <c r="G3286" s="56">
        <v>1946.81</v>
      </c>
      <c r="H3286" s="56">
        <v>2022.67</v>
      </c>
      <c r="I3286" s="58">
        <v>0.72268100000000002</v>
      </c>
      <c r="J3286" s="57">
        <v>0.72425099999999998</v>
      </c>
      <c r="K3286" s="56"/>
      <c r="L3286" s="56" t="s">
        <v>488</v>
      </c>
    </row>
    <row r="3287" spans="2:12" x14ac:dyDescent="0.2">
      <c r="B3287" s="62" t="s">
        <v>2589</v>
      </c>
      <c r="C3287" s="61" t="s">
        <v>510</v>
      </c>
      <c r="D3287" s="60">
        <v>0.68489800000000001</v>
      </c>
      <c r="E3287" s="59">
        <v>6.2352499999999997</v>
      </c>
      <c r="F3287" s="59">
        <v>7.9329000000000001</v>
      </c>
      <c r="G3287" s="56">
        <v>2476.81</v>
      </c>
      <c r="H3287" s="56">
        <v>3616.32</v>
      </c>
      <c r="I3287" s="58">
        <v>0.78431300000000004</v>
      </c>
      <c r="J3287" s="57">
        <v>1.08216</v>
      </c>
      <c r="K3287" s="56"/>
      <c r="L3287" s="56" t="s">
        <v>488</v>
      </c>
    </row>
    <row r="3288" spans="2:12" x14ac:dyDescent="0.2">
      <c r="B3288" s="62" t="s">
        <v>2588</v>
      </c>
      <c r="C3288" s="61" t="s">
        <v>499</v>
      </c>
      <c r="D3288" s="60">
        <v>1.34514</v>
      </c>
      <c r="E3288" s="59">
        <v>4.0749700000000004</v>
      </c>
      <c r="F3288" s="59">
        <v>5.5184800000000003</v>
      </c>
      <c r="G3288" s="56">
        <v>1031.46</v>
      </c>
      <c r="H3288" s="56">
        <v>766.80399999999997</v>
      </c>
      <c r="I3288" s="58">
        <v>0.40355000000000002</v>
      </c>
      <c r="J3288" s="57">
        <v>0.37520500000000001</v>
      </c>
      <c r="K3288" s="56"/>
      <c r="L3288" s="56" t="s">
        <v>488</v>
      </c>
    </row>
    <row r="3289" spans="2:12" x14ac:dyDescent="0.2">
      <c r="B3289" s="62" t="s">
        <v>2587</v>
      </c>
      <c r="C3289" s="61" t="s">
        <v>499</v>
      </c>
      <c r="D3289" s="60">
        <v>1.6362399999999999</v>
      </c>
      <c r="E3289" s="59">
        <v>3.0922100000000001</v>
      </c>
      <c r="F3289" s="59">
        <v>3.89114</v>
      </c>
      <c r="G3289" s="56">
        <v>0</v>
      </c>
      <c r="H3289" s="56">
        <v>0</v>
      </c>
      <c r="I3289" s="58">
        <v>0.14565400000000001</v>
      </c>
      <c r="J3289" s="57">
        <v>0.25933800000000001</v>
      </c>
      <c r="K3289" s="56"/>
      <c r="L3289" s="56" t="s">
        <v>488</v>
      </c>
    </row>
    <row r="3290" spans="2:12" x14ac:dyDescent="0.2">
      <c r="B3290" s="62" t="s">
        <v>2586</v>
      </c>
      <c r="C3290" s="61" t="s">
        <v>499</v>
      </c>
      <c r="D3290" s="60">
        <v>1.4241200000000001</v>
      </c>
      <c r="E3290" s="59">
        <v>3.9590900000000002</v>
      </c>
      <c r="F3290" s="59">
        <v>5.1025400000000003</v>
      </c>
      <c r="G3290" s="56">
        <v>589.29499999999996</v>
      </c>
      <c r="H3290" s="56">
        <v>413.79599999999999</v>
      </c>
      <c r="I3290" s="58">
        <v>0.30221799999999999</v>
      </c>
      <c r="J3290" s="57">
        <v>0.35135699999999997</v>
      </c>
      <c r="K3290" s="56"/>
      <c r="L3290" s="56" t="s">
        <v>488</v>
      </c>
    </row>
    <row r="3291" spans="2:12" x14ac:dyDescent="0.2">
      <c r="B3291" s="62" t="s">
        <v>2585</v>
      </c>
      <c r="C3291" s="61" t="s">
        <v>499</v>
      </c>
      <c r="D3291" s="60">
        <v>1.0028999999999999</v>
      </c>
      <c r="E3291" s="59">
        <v>6.8585200000000004</v>
      </c>
      <c r="F3291" s="59">
        <v>10.917260000000001</v>
      </c>
      <c r="G3291" s="56">
        <v>2035.31</v>
      </c>
      <c r="H3291" s="56">
        <v>2029.42</v>
      </c>
      <c r="I3291" s="58">
        <v>0.72131900000000004</v>
      </c>
      <c r="J3291" s="57">
        <v>0.68728</v>
      </c>
      <c r="K3291" s="56"/>
      <c r="L3291" s="56" t="s">
        <v>488</v>
      </c>
    </row>
    <row r="3292" spans="2:12" x14ac:dyDescent="0.2">
      <c r="B3292" s="62" t="s">
        <v>2584</v>
      </c>
      <c r="C3292" s="61" t="s">
        <v>550</v>
      </c>
      <c r="D3292" s="60">
        <v>1.7168000000000001</v>
      </c>
      <c r="E3292" s="59">
        <v>2.5159899999999999</v>
      </c>
      <c r="F3292" s="59">
        <v>3.6134599999999999</v>
      </c>
      <c r="G3292" s="56">
        <v>0</v>
      </c>
      <c r="H3292" s="56">
        <v>0</v>
      </c>
      <c r="I3292" s="58">
        <v>0.11418</v>
      </c>
      <c r="J3292" s="57">
        <v>0.23672399999999999</v>
      </c>
      <c r="K3292" s="56"/>
      <c r="L3292" s="56" t="s">
        <v>488</v>
      </c>
    </row>
    <row r="3293" spans="2:12" x14ac:dyDescent="0.2">
      <c r="B3293" s="62" t="s">
        <v>2583</v>
      </c>
      <c r="C3293" s="61" t="s">
        <v>708</v>
      </c>
      <c r="D3293" s="60">
        <v>1.5114099999999999</v>
      </c>
      <c r="E3293" s="59">
        <v>3.8526600000000002</v>
      </c>
      <c r="F3293" s="59">
        <v>4.3879599999999996</v>
      </c>
      <c r="G3293" s="56">
        <v>286.82</v>
      </c>
      <c r="H3293" s="56">
        <v>189.77</v>
      </c>
      <c r="I3293" s="58">
        <v>0.28884500000000002</v>
      </c>
      <c r="J3293" s="57">
        <v>0.27936299999999997</v>
      </c>
      <c r="K3293" s="56"/>
      <c r="L3293" s="56" t="s">
        <v>488</v>
      </c>
    </row>
    <row r="3294" spans="2:12" x14ac:dyDescent="0.2">
      <c r="B3294" s="62" t="s">
        <v>2582</v>
      </c>
      <c r="C3294" s="61" t="s">
        <v>1006</v>
      </c>
      <c r="D3294" s="60">
        <v>1.0301100000000001</v>
      </c>
      <c r="E3294" s="59">
        <v>6.8130600000000001</v>
      </c>
      <c r="F3294" s="59">
        <v>7.2283099999999996</v>
      </c>
      <c r="G3294" s="56">
        <v>1398.79</v>
      </c>
      <c r="H3294" s="56">
        <v>1357.9</v>
      </c>
      <c r="I3294" s="58">
        <v>0.61061100000000001</v>
      </c>
      <c r="J3294" s="57">
        <v>0.601468</v>
      </c>
      <c r="K3294" s="56"/>
      <c r="L3294" s="56" t="s">
        <v>488</v>
      </c>
    </row>
    <row r="3295" spans="2:12" x14ac:dyDescent="0.2">
      <c r="B3295" s="62" t="s">
        <v>2581</v>
      </c>
      <c r="C3295" s="61" t="s">
        <v>1006</v>
      </c>
      <c r="D3295" s="60">
        <v>1.04905</v>
      </c>
      <c r="E3295" s="59">
        <v>6.3900600000000001</v>
      </c>
      <c r="F3295" s="59">
        <v>6.7724200000000003</v>
      </c>
      <c r="G3295" s="56">
        <v>1440.79</v>
      </c>
      <c r="H3295" s="56">
        <v>1373.42</v>
      </c>
      <c r="I3295" s="58">
        <v>0.59341999999999995</v>
      </c>
      <c r="J3295" s="57">
        <v>0.58414600000000005</v>
      </c>
      <c r="K3295" s="56"/>
      <c r="L3295" s="56" t="s">
        <v>488</v>
      </c>
    </row>
    <row r="3296" spans="2:12" x14ac:dyDescent="0.2">
      <c r="B3296" s="62" t="s">
        <v>2580</v>
      </c>
      <c r="C3296" s="61" t="s">
        <v>1006</v>
      </c>
      <c r="D3296" s="60">
        <v>1.20095</v>
      </c>
      <c r="E3296" s="59">
        <v>5.2322699999999998</v>
      </c>
      <c r="F3296" s="59">
        <v>5.4810499999999998</v>
      </c>
      <c r="G3296" s="56">
        <v>1033.7</v>
      </c>
      <c r="H3296" s="56">
        <v>860.73599999999999</v>
      </c>
      <c r="I3296" s="58">
        <v>0.48550599999999999</v>
      </c>
      <c r="J3296" s="57">
        <v>0.46578799999999998</v>
      </c>
      <c r="K3296" s="56"/>
      <c r="L3296" s="56" t="s">
        <v>488</v>
      </c>
    </row>
    <row r="3297" spans="2:12" x14ac:dyDescent="0.2">
      <c r="B3297" s="62" t="s">
        <v>2579</v>
      </c>
      <c r="C3297" s="61" t="s">
        <v>499</v>
      </c>
      <c r="D3297" s="60">
        <v>1.8934800000000001</v>
      </c>
      <c r="E3297" s="59">
        <v>2.4716800000000001</v>
      </c>
      <c r="F3297" s="59">
        <v>2.7873899999999998</v>
      </c>
      <c r="G3297" s="56">
        <v>0</v>
      </c>
      <c r="H3297" s="56">
        <v>0</v>
      </c>
      <c r="I3297" s="58">
        <v>1.9582100000000002E-2</v>
      </c>
      <c r="J3297" s="57">
        <v>0.21654100000000001</v>
      </c>
      <c r="K3297" s="56"/>
      <c r="L3297" s="56" t="s">
        <v>488</v>
      </c>
    </row>
    <row r="3298" spans="2:12" x14ac:dyDescent="0.2">
      <c r="B3298" s="62" t="s">
        <v>2578</v>
      </c>
      <c r="C3298" s="61" t="s">
        <v>510</v>
      </c>
      <c r="D3298" s="60">
        <v>1.47722</v>
      </c>
      <c r="E3298" s="59">
        <v>2.5764</v>
      </c>
      <c r="F3298" s="59">
        <v>5.24132</v>
      </c>
      <c r="G3298" s="56">
        <v>0</v>
      </c>
      <c r="H3298" s="56">
        <v>0</v>
      </c>
      <c r="I3298" s="58">
        <v>0.29097299999999998</v>
      </c>
      <c r="J3298" s="57">
        <v>0.31152200000000002</v>
      </c>
      <c r="K3298" s="56"/>
      <c r="L3298" s="56" t="s">
        <v>488</v>
      </c>
    </row>
    <row r="3299" spans="2:12" x14ac:dyDescent="0.2">
      <c r="B3299" s="62" t="s">
        <v>2577</v>
      </c>
      <c r="C3299" s="61" t="s">
        <v>499</v>
      </c>
      <c r="D3299" s="60">
        <v>1.5003899999999999</v>
      </c>
      <c r="E3299" s="59">
        <v>2.6369099999999999</v>
      </c>
      <c r="F3299" s="59">
        <v>5.3024899999999997</v>
      </c>
      <c r="G3299" s="56">
        <v>0</v>
      </c>
      <c r="H3299" s="56">
        <v>0</v>
      </c>
      <c r="I3299" s="58">
        <v>0.304234</v>
      </c>
      <c r="J3299" s="57">
        <v>0.32595800000000003</v>
      </c>
      <c r="K3299" s="56"/>
      <c r="L3299" s="56" t="s">
        <v>488</v>
      </c>
    </row>
    <row r="3300" spans="2:12" x14ac:dyDescent="0.2">
      <c r="B3300" s="62" t="s">
        <v>2576</v>
      </c>
      <c r="C3300" s="61" t="s">
        <v>2455</v>
      </c>
      <c r="D3300" s="60">
        <v>1.1971499999999999</v>
      </c>
      <c r="E3300" s="59">
        <v>4.7745800000000003</v>
      </c>
      <c r="F3300" s="59">
        <v>5.6871600000000004</v>
      </c>
      <c r="G3300" s="56">
        <v>787.48800000000006</v>
      </c>
      <c r="H3300" s="56">
        <v>657.80200000000002</v>
      </c>
      <c r="I3300" s="58">
        <v>0.50582899999999997</v>
      </c>
      <c r="J3300" s="57">
        <v>0.389739</v>
      </c>
      <c r="K3300" s="56"/>
      <c r="L3300" s="56" t="s">
        <v>488</v>
      </c>
    </row>
    <row r="3301" spans="2:12" x14ac:dyDescent="0.2">
      <c r="B3301" s="62" t="s">
        <v>2575</v>
      </c>
      <c r="C3301" s="61" t="s">
        <v>1518</v>
      </c>
      <c r="D3301" s="60">
        <v>1.6943699999999999</v>
      </c>
      <c r="E3301" s="59">
        <v>3.3156300000000001</v>
      </c>
      <c r="F3301" s="59">
        <v>4.57423</v>
      </c>
      <c r="G3301" s="56">
        <v>0</v>
      </c>
      <c r="H3301" s="56">
        <v>0</v>
      </c>
      <c r="I3301" s="58">
        <v>0.26434800000000003</v>
      </c>
      <c r="J3301" s="57">
        <v>0.25526900000000002</v>
      </c>
      <c r="K3301" s="56"/>
      <c r="L3301" s="56" t="s">
        <v>488</v>
      </c>
    </row>
    <row r="3302" spans="2:12" x14ac:dyDescent="0.2">
      <c r="B3302" s="62" t="s">
        <v>2574</v>
      </c>
      <c r="C3302" s="61" t="s">
        <v>495</v>
      </c>
      <c r="D3302" s="60">
        <v>1.0607800000000001</v>
      </c>
      <c r="E3302" s="59">
        <v>5.4678000000000004</v>
      </c>
      <c r="F3302" s="59">
        <v>5.9900099999999998</v>
      </c>
      <c r="G3302" s="56">
        <v>1117.1300000000001</v>
      </c>
      <c r="H3302" s="56">
        <v>1053.1199999999999</v>
      </c>
      <c r="I3302" s="58">
        <v>0.49469600000000002</v>
      </c>
      <c r="J3302" s="57">
        <v>0.53535299999999997</v>
      </c>
      <c r="K3302" s="56"/>
      <c r="L3302" s="56" t="s">
        <v>488</v>
      </c>
    </row>
    <row r="3303" spans="2:12" x14ac:dyDescent="0.2">
      <c r="B3303" s="62" t="s">
        <v>2573</v>
      </c>
      <c r="C3303" s="61" t="s">
        <v>2572</v>
      </c>
      <c r="D3303" s="60">
        <v>2.3086799999999998</v>
      </c>
      <c r="E3303" s="59">
        <v>2.4354200000000001</v>
      </c>
      <c r="F3303" s="59">
        <v>3.43852</v>
      </c>
      <c r="G3303" s="56">
        <v>0</v>
      </c>
      <c r="H3303" s="56">
        <v>0</v>
      </c>
      <c r="I3303" s="58">
        <v>0.19900699999999999</v>
      </c>
      <c r="J3303" s="57">
        <v>0.19405500000000001</v>
      </c>
      <c r="K3303" s="56"/>
      <c r="L3303" s="56" t="s">
        <v>488</v>
      </c>
    </row>
    <row r="3304" spans="2:12" x14ac:dyDescent="0.2">
      <c r="B3304" s="62" t="s">
        <v>2571</v>
      </c>
      <c r="C3304" s="61" t="s">
        <v>708</v>
      </c>
      <c r="D3304" s="60">
        <v>1.52203</v>
      </c>
      <c r="E3304" s="59">
        <v>3.77014</v>
      </c>
      <c r="F3304" s="59">
        <v>4.2945099999999998</v>
      </c>
      <c r="G3304" s="56">
        <v>264.39699999999999</v>
      </c>
      <c r="H3304" s="56">
        <v>173.71299999999999</v>
      </c>
      <c r="I3304" s="58">
        <v>0.28466399999999997</v>
      </c>
      <c r="J3304" s="57">
        <v>0.27603800000000001</v>
      </c>
      <c r="K3304" s="56"/>
      <c r="L3304" s="56" t="s">
        <v>488</v>
      </c>
    </row>
    <row r="3305" spans="2:12" x14ac:dyDescent="0.2">
      <c r="B3305" s="62" t="s">
        <v>2570</v>
      </c>
      <c r="C3305" s="61" t="s">
        <v>2081</v>
      </c>
      <c r="D3305" s="60">
        <v>0.64493699999999998</v>
      </c>
      <c r="E3305" s="59">
        <v>5.5270200000000003</v>
      </c>
      <c r="F3305" s="59">
        <v>6.7644799999999998</v>
      </c>
      <c r="G3305" s="56">
        <v>2619.35</v>
      </c>
      <c r="H3305" s="56">
        <v>4061.4</v>
      </c>
      <c r="I3305" s="58">
        <v>0.64940600000000004</v>
      </c>
      <c r="J3305" s="57">
        <v>1.1184799999999999</v>
      </c>
      <c r="K3305" s="56"/>
      <c r="L3305" s="56" t="s">
        <v>488</v>
      </c>
    </row>
    <row r="3306" spans="2:12" x14ac:dyDescent="0.2">
      <c r="B3306" s="62" t="s">
        <v>2569</v>
      </c>
      <c r="C3306" s="61" t="s">
        <v>550</v>
      </c>
      <c r="D3306" s="60">
        <v>1.5918399999999999</v>
      </c>
      <c r="E3306" s="59">
        <v>3.0475300000000001</v>
      </c>
      <c r="F3306" s="59">
        <v>5.0631300000000001</v>
      </c>
      <c r="G3306" s="56">
        <v>0</v>
      </c>
      <c r="H3306" s="56">
        <v>0</v>
      </c>
      <c r="I3306" s="58">
        <v>0.40146700000000002</v>
      </c>
      <c r="J3306" s="57">
        <v>0.34798000000000001</v>
      </c>
      <c r="K3306" s="56"/>
      <c r="L3306" s="56" t="s">
        <v>488</v>
      </c>
    </row>
    <row r="3307" spans="2:12" x14ac:dyDescent="0.2">
      <c r="B3307" s="62" t="s">
        <v>2568</v>
      </c>
      <c r="C3307" s="61" t="s">
        <v>616</v>
      </c>
      <c r="D3307" s="60">
        <v>1.6945600000000001</v>
      </c>
      <c r="E3307" s="59">
        <v>4.1058000000000003</v>
      </c>
      <c r="F3307" s="59">
        <v>9.1582899999999992</v>
      </c>
      <c r="G3307" s="56">
        <v>1468.21</v>
      </c>
      <c r="H3307" s="56">
        <v>866.42499999999995</v>
      </c>
      <c r="I3307" s="58">
        <v>0.59299999999999997</v>
      </c>
      <c r="J3307" s="57">
        <v>0.36953000000000003</v>
      </c>
      <c r="K3307" s="56"/>
      <c r="L3307" s="56" t="s">
        <v>488</v>
      </c>
    </row>
    <row r="3308" spans="2:12" x14ac:dyDescent="0.2">
      <c r="B3308" s="62" t="s">
        <v>2567</v>
      </c>
      <c r="C3308" s="61" t="s">
        <v>550</v>
      </c>
      <c r="D3308" s="60">
        <v>1.5336099999999999</v>
      </c>
      <c r="E3308" s="59">
        <v>2.4626299999999999</v>
      </c>
      <c r="F3308" s="59">
        <v>2.98563</v>
      </c>
      <c r="G3308" s="56">
        <v>0</v>
      </c>
      <c r="H3308" s="56">
        <v>0</v>
      </c>
      <c r="I3308" s="58">
        <v>1.7423000000000001E-2</v>
      </c>
      <c r="J3308" s="57">
        <v>0.24027200000000001</v>
      </c>
      <c r="K3308" s="56"/>
      <c r="L3308" s="56" t="s">
        <v>488</v>
      </c>
    </row>
    <row r="3309" spans="2:12" x14ac:dyDescent="0.2">
      <c r="B3309" s="62" t="s">
        <v>2566</v>
      </c>
      <c r="C3309" s="61" t="s">
        <v>579</v>
      </c>
      <c r="D3309" s="60">
        <v>2.1280899999999998</v>
      </c>
      <c r="E3309" s="59">
        <v>3.3527300000000002</v>
      </c>
      <c r="F3309" s="59">
        <v>3.99248</v>
      </c>
      <c r="G3309" s="56">
        <v>0</v>
      </c>
      <c r="H3309" s="56">
        <v>0</v>
      </c>
      <c r="I3309" s="58">
        <v>0.22611000000000001</v>
      </c>
      <c r="J3309" s="57">
        <v>0.17915</v>
      </c>
      <c r="K3309" s="56"/>
      <c r="L3309" s="56" t="s">
        <v>488</v>
      </c>
    </row>
    <row r="3310" spans="2:12" x14ac:dyDescent="0.2">
      <c r="B3310" s="62" t="s">
        <v>2565</v>
      </c>
      <c r="C3310" s="61" t="s">
        <v>541</v>
      </c>
      <c r="D3310" s="60">
        <v>1.92889</v>
      </c>
      <c r="E3310" s="59">
        <v>3.5861399999999999</v>
      </c>
      <c r="F3310" s="59">
        <v>4.2388899999999996</v>
      </c>
      <c r="G3310" s="56">
        <v>0</v>
      </c>
      <c r="H3310" s="56">
        <v>0</v>
      </c>
      <c r="I3310" s="58">
        <v>0.232678</v>
      </c>
      <c r="J3310" s="57">
        <v>0.214561</v>
      </c>
      <c r="K3310" s="56"/>
      <c r="L3310" s="56" t="s">
        <v>488</v>
      </c>
    </row>
    <row r="3311" spans="2:12" x14ac:dyDescent="0.2">
      <c r="B3311" s="62" t="s">
        <v>2564</v>
      </c>
      <c r="C3311" s="61" t="s">
        <v>499</v>
      </c>
      <c r="D3311" s="60">
        <v>0.594947</v>
      </c>
      <c r="E3311" s="59">
        <v>7.9145099999999999</v>
      </c>
      <c r="F3311" s="59">
        <v>14.955220000000001</v>
      </c>
      <c r="G3311" s="56">
        <v>2169.89</v>
      </c>
      <c r="H3311" s="56">
        <v>3647.2</v>
      </c>
      <c r="I3311" s="58">
        <v>0.83739399999999997</v>
      </c>
      <c r="J3311" s="57">
        <v>1.3671500000000001</v>
      </c>
      <c r="K3311" s="56"/>
      <c r="L3311" s="56" t="s">
        <v>488</v>
      </c>
    </row>
    <row r="3312" spans="2:12" x14ac:dyDescent="0.2">
      <c r="B3312" s="62" t="s">
        <v>2563</v>
      </c>
      <c r="C3312" s="61" t="s">
        <v>499</v>
      </c>
      <c r="D3312" s="60">
        <v>0.60242300000000004</v>
      </c>
      <c r="E3312" s="59">
        <v>7.8877199999999998</v>
      </c>
      <c r="F3312" s="59">
        <v>14.87307</v>
      </c>
      <c r="G3312" s="56">
        <v>2189.4</v>
      </c>
      <c r="H3312" s="56">
        <v>3634.33</v>
      </c>
      <c r="I3312" s="58">
        <v>0.83610200000000001</v>
      </c>
      <c r="J3312" s="57">
        <v>1.3467899999999999</v>
      </c>
      <c r="K3312" s="56"/>
      <c r="L3312" s="56" t="s">
        <v>488</v>
      </c>
    </row>
    <row r="3313" spans="2:12" x14ac:dyDescent="0.2">
      <c r="B3313" s="62" t="s">
        <v>2562</v>
      </c>
      <c r="C3313" s="61" t="s">
        <v>499</v>
      </c>
      <c r="D3313" s="60">
        <v>0.61085500000000004</v>
      </c>
      <c r="E3313" s="59">
        <v>7.9531299999999998</v>
      </c>
      <c r="F3313" s="59">
        <v>14.85768</v>
      </c>
      <c r="G3313" s="56">
        <v>2183.98</v>
      </c>
      <c r="H3313" s="56">
        <v>3575.29</v>
      </c>
      <c r="I3313" s="58">
        <v>0.84285399999999999</v>
      </c>
      <c r="J3313" s="57">
        <v>1.32447</v>
      </c>
      <c r="K3313" s="56"/>
      <c r="L3313" s="56" t="s">
        <v>488</v>
      </c>
    </row>
    <row r="3314" spans="2:12" x14ac:dyDescent="0.2">
      <c r="B3314" s="62" t="s">
        <v>2561</v>
      </c>
      <c r="C3314" s="61" t="s">
        <v>499</v>
      </c>
      <c r="D3314" s="60">
        <v>0.60577599999999998</v>
      </c>
      <c r="E3314" s="59">
        <v>7.7842099999999999</v>
      </c>
      <c r="F3314" s="59">
        <v>14.897270000000001</v>
      </c>
      <c r="G3314" s="56">
        <v>2162.2600000000002</v>
      </c>
      <c r="H3314" s="56">
        <v>3569.41</v>
      </c>
      <c r="I3314" s="58">
        <v>0.81314299999999995</v>
      </c>
      <c r="J3314" s="57">
        <v>1.32199</v>
      </c>
      <c r="K3314" s="56" t="s">
        <v>1816</v>
      </c>
      <c r="L3314" s="56" t="s">
        <v>563</v>
      </c>
    </row>
    <row r="3315" spans="2:12" x14ac:dyDescent="0.2">
      <c r="B3315" s="62" t="s">
        <v>2560</v>
      </c>
      <c r="C3315" s="61" t="s">
        <v>499</v>
      </c>
      <c r="D3315" s="60">
        <v>0.61370800000000003</v>
      </c>
      <c r="E3315" s="59">
        <v>7.8836199999999996</v>
      </c>
      <c r="F3315" s="59">
        <v>14.809419999999999</v>
      </c>
      <c r="G3315" s="56">
        <v>2204.87</v>
      </c>
      <c r="H3315" s="56">
        <v>3592.71</v>
      </c>
      <c r="I3315" s="58">
        <v>0.83058100000000001</v>
      </c>
      <c r="J3315" s="57">
        <v>1.3146599999999999</v>
      </c>
      <c r="K3315" s="56" t="s">
        <v>1816</v>
      </c>
      <c r="L3315" s="56" t="s">
        <v>563</v>
      </c>
    </row>
    <row r="3316" spans="2:12" x14ac:dyDescent="0.2">
      <c r="B3316" s="62" t="s">
        <v>2559</v>
      </c>
      <c r="C3316" s="61" t="s">
        <v>708</v>
      </c>
      <c r="D3316" s="60">
        <v>1.21492</v>
      </c>
      <c r="E3316" s="59">
        <v>3.6380499999999998</v>
      </c>
      <c r="F3316" s="59">
        <v>4.9999500000000001</v>
      </c>
      <c r="G3316" s="56">
        <v>0</v>
      </c>
      <c r="H3316" s="56">
        <v>0</v>
      </c>
      <c r="I3316" s="58">
        <v>0.25747599999999998</v>
      </c>
      <c r="J3316" s="57">
        <v>0.389492</v>
      </c>
      <c r="K3316" s="56"/>
      <c r="L3316" s="56" t="s">
        <v>488</v>
      </c>
    </row>
    <row r="3317" spans="2:12" x14ac:dyDescent="0.2">
      <c r="B3317" s="62" t="s">
        <v>2558</v>
      </c>
      <c r="C3317" s="61" t="s">
        <v>510</v>
      </c>
      <c r="D3317" s="60">
        <v>1.38412</v>
      </c>
      <c r="E3317" s="59">
        <v>3.1963300000000001</v>
      </c>
      <c r="F3317" s="59">
        <v>4.0136399999999997</v>
      </c>
      <c r="G3317" s="56">
        <v>0</v>
      </c>
      <c r="H3317" s="56">
        <v>0</v>
      </c>
      <c r="I3317" s="58">
        <v>0.25662400000000002</v>
      </c>
      <c r="J3317" s="57">
        <v>0.31715599999999999</v>
      </c>
      <c r="K3317" s="56"/>
      <c r="L3317" s="56" t="s">
        <v>488</v>
      </c>
    </row>
    <row r="3318" spans="2:12" x14ac:dyDescent="0.2">
      <c r="B3318" s="62" t="s">
        <v>2557</v>
      </c>
      <c r="C3318" s="61" t="s">
        <v>510</v>
      </c>
      <c r="D3318" s="60">
        <v>1.3913500000000001</v>
      </c>
      <c r="E3318" s="59">
        <v>3.1638899999999999</v>
      </c>
      <c r="F3318" s="59">
        <v>3.9509599999999998</v>
      </c>
      <c r="G3318" s="56">
        <v>0</v>
      </c>
      <c r="H3318" s="56">
        <v>0</v>
      </c>
      <c r="I3318" s="58">
        <v>0.25241999999999998</v>
      </c>
      <c r="J3318" s="57">
        <v>0.31249700000000002</v>
      </c>
      <c r="K3318" s="56"/>
      <c r="L3318" s="56" t="s">
        <v>488</v>
      </c>
    </row>
    <row r="3319" spans="2:12" x14ac:dyDescent="0.2">
      <c r="B3319" s="62" t="s">
        <v>2556</v>
      </c>
      <c r="C3319" s="61" t="s">
        <v>1702</v>
      </c>
      <c r="D3319" s="60">
        <v>2.1516000000000002</v>
      </c>
      <c r="E3319" s="59">
        <v>2.7450399999999999</v>
      </c>
      <c r="F3319" s="59">
        <v>4.2167000000000003</v>
      </c>
      <c r="G3319" s="56">
        <v>0</v>
      </c>
      <c r="H3319" s="56">
        <v>0</v>
      </c>
      <c r="I3319" s="58">
        <v>0.41482999999999998</v>
      </c>
      <c r="J3319" s="57">
        <v>0.245055</v>
      </c>
      <c r="K3319" s="56"/>
      <c r="L3319" s="56" t="s">
        <v>488</v>
      </c>
    </row>
    <row r="3320" spans="2:12" x14ac:dyDescent="0.2">
      <c r="B3320" s="62" t="s">
        <v>2555</v>
      </c>
      <c r="C3320" s="61" t="s">
        <v>502</v>
      </c>
      <c r="D3320" s="60">
        <v>1.0414600000000001</v>
      </c>
      <c r="E3320" s="59">
        <v>7.1147600000000004</v>
      </c>
      <c r="F3320" s="59">
        <v>9.8036999999999992</v>
      </c>
      <c r="G3320" s="56">
        <v>1699.2</v>
      </c>
      <c r="H3320" s="56">
        <v>1631.55</v>
      </c>
      <c r="I3320" s="58">
        <v>0.59068799999999999</v>
      </c>
      <c r="J3320" s="57">
        <v>0.65784299999999996</v>
      </c>
      <c r="K3320" s="56"/>
      <c r="L3320" s="56" t="s">
        <v>488</v>
      </c>
    </row>
    <row r="3321" spans="2:12" x14ac:dyDescent="0.2">
      <c r="B3321" s="62" t="s">
        <v>2554</v>
      </c>
      <c r="C3321" s="61" t="s">
        <v>550</v>
      </c>
      <c r="D3321" s="60">
        <v>1.65307</v>
      </c>
      <c r="E3321" s="59">
        <v>3.3206899999999999</v>
      </c>
      <c r="F3321" s="59">
        <v>5.45411</v>
      </c>
      <c r="G3321" s="56">
        <v>0</v>
      </c>
      <c r="H3321" s="56">
        <v>0</v>
      </c>
      <c r="I3321" s="58">
        <v>0.30681799999999998</v>
      </c>
      <c r="J3321" s="57">
        <v>0.27974900000000003</v>
      </c>
      <c r="K3321" s="56"/>
      <c r="L3321" s="56" t="s">
        <v>488</v>
      </c>
    </row>
    <row r="3322" spans="2:12" x14ac:dyDescent="0.2">
      <c r="B3322" s="62" t="s">
        <v>2553</v>
      </c>
      <c r="C3322" s="61" t="s">
        <v>502</v>
      </c>
      <c r="D3322" s="60">
        <v>0.58893600000000002</v>
      </c>
      <c r="E3322" s="59">
        <v>7.5194700000000001</v>
      </c>
      <c r="F3322" s="59">
        <v>17.771249999999998</v>
      </c>
      <c r="G3322" s="56">
        <v>2168.12</v>
      </c>
      <c r="H3322" s="56">
        <v>3681.42</v>
      </c>
      <c r="I3322" s="58">
        <v>0.84133000000000002</v>
      </c>
      <c r="J3322" s="57">
        <v>1.3289200000000001</v>
      </c>
      <c r="K3322" s="56"/>
      <c r="L3322" s="56" t="s">
        <v>488</v>
      </c>
    </row>
    <row r="3323" spans="2:12" x14ac:dyDescent="0.2">
      <c r="B3323" s="62" t="s">
        <v>2552</v>
      </c>
      <c r="C3323" s="61" t="s">
        <v>708</v>
      </c>
      <c r="D3323" s="60">
        <v>1.0599700000000001</v>
      </c>
      <c r="E3323" s="59">
        <v>4.6082400000000003</v>
      </c>
      <c r="F3323" s="59">
        <v>5.5427499999999998</v>
      </c>
      <c r="G3323" s="56">
        <v>621.09299999999996</v>
      </c>
      <c r="H3323" s="56">
        <v>586.048</v>
      </c>
      <c r="I3323" s="58">
        <v>0.414024</v>
      </c>
      <c r="J3323" s="57">
        <v>0.47501100000000002</v>
      </c>
      <c r="K3323" s="56"/>
      <c r="L3323" s="56" t="s">
        <v>488</v>
      </c>
    </row>
    <row r="3324" spans="2:12" x14ac:dyDescent="0.2">
      <c r="B3324" s="62" t="s">
        <v>2551</v>
      </c>
      <c r="C3324" s="61" t="s">
        <v>708</v>
      </c>
      <c r="D3324" s="60">
        <v>1.0598000000000001</v>
      </c>
      <c r="E3324" s="59">
        <v>4.3850899999999999</v>
      </c>
      <c r="F3324" s="59">
        <v>5.3465199999999999</v>
      </c>
      <c r="G3324" s="56">
        <v>583.93299999999999</v>
      </c>
      <c r="H3324" s="56">
        <v>550.89300000000003</v>
      </c>
      <c r="I3324" s="58">
        <v>0.41186499999999998</v>
      </c>
      <c r="J3324" s="57">
        <v>0.47545799999999999</v>
      </c>
      <c r="K3324" s="56"/>
      <c r="L3324" s="56" t="s">
        <v>488</v>
      </c>
    </row>
    <row r="3325" spans="2:12" x14ac:dyDescent="0.2">
      <c r="B3325" s="62" t="s">
        <v>2550</v>
      </c>
      <c r="C3325" s="61" t="s">
        <v>550</v>
      </c>
      <c r="D3325" s="60">
        <v>1.4744699999999999</v>
      </c>
      <c r="E3325" s="59">
        <v>3.2242000000000002</v>
      </c>
      <c r="F3325" s="59">
        <v>4.0228999999999999</v>
      </c>
      <c r="G3325" s="56">
        <v>0</v>
      </c>
      <c r="H3325" s="56">
        <v>0</v>
      </c>
      <c r="I3325" s="58">
        <v>0.169881</v>
      </c>
      <c r="J3325" s="57">
        <v>0.29391</v>
      </c>
      <c r="K3325" s="56"/>
      <c r="L3325" s="56" t="s">
        <v>488</v>
      </c>
    </row>
    <row r="3326" spans="2:12" x14ac:dyDescent="0.2">
      <c r="B3326" s="62" t="s">
        <v>2549</v>
      </c>
      <c r="C3326" s="61" t="s">
        <v>550</v>
      </c>
      <c r="D3326" s="60">
        <v>1.4169700000000001</v>
      </c>
      <c r="E3326" s="59">
        <v>4.08127</v>
      </c>
      <c r="F3326" s="59">
        <v>5.1329399999999996</v>
      </c>
      <c r="G3326" s="56">
        <v>1140.95</v>
      </c>
      <c r="H3326" s="56">
        <v>805.20299999999997</v>
      </c>
      <c r="I3326" s="58">
        <v>0.52950799999999998</v>
      </c>
      <c r="J3326" s="57">
        <v>0.41822799999999999</v>
      </c>
      <c r="K3326" s="56"/>
      <c r="L3326" s="56" t="s">
        <v>488</v>
      </c>
    </row>
    <row r="3327" spans="2:12" x14ac:dyDescent="0.2">
      <c r="B3327" s="62" t="s">
        <v>2548</v>
      </c>
      <c r="C3327" s="61" t="s">
        <v>499</v>
      </c>
      <c r="D3327" s="60">
        <v>1.3796900000000001</v>
      </c>
      <c r="E3327" s="59">
        <v>4.9986899999999999</v>
      </c>
      <c r="F3327" s="59">
        <v>6.4960800000000001</v>
      </c>
      <c r="G3327" s="56">
        <v>1203.0899999999999</v>
      </c>
      <c r="H3327" s="56">
        <v>871.99800000000005</v>
      </c>
      <c r="I3327" s="58">
        <v>0.56786800000000004</v>
      </c>
      <c r="J3327" s="57">
        <v>0.38699</v>
      </c>
      <c r="K3327" s="56"/>
      <c r="L3327" s="56" t="s">
        <v>488</v>
      </c>
    </row>
    <row r="3328" spans="2:12" x14ac:dyDescent="0.2">
      <c r="B3328" s="62" t="s">
        <v>2547</v>
      </c>
      <c r="C3328" s="61" t="s">
        <v>499</v>
      </c>
      <c r="D3328" s="60">
        <v>1.4134100000000001</v>
      </c>
      <c r="E3328" s="59">
        <v>3.5034100000000001</v>
      </c>
      <c r="F3328" s="59">
        <v>4.7355400000000003</v>
      </c>
      <c r="G3328" s="56">
        <v>0</v>
      </c>
      <c r="H3328" s="56">
        <v>0</v>
      </c>
      <c r="I3328" s="58">
        <v>0.36656300000000003</v>
      </c>
      <c r="J3328" s="57">
        <v>0.33051799999999998</v>
      </c>
      <c r="K3328" s="56"/>
      <c r="L3328" s="56" t="s">
        <v>488</v>
      </c>
    </row>
    <row r="3329" spans="2:12" x14ac:dyDescent="0.2">
      <c r="B3329" s="62" t="s">
        <v>2546</v>
      </c>
      <c r="C3329" s="61" t="s">
        <v>708</v>
      </c>
      <c r="D3329" s="60">
        <v>1.0551999999999999</v>
      </c>
      <c r="E3329" s="59">
        <v>4.7196999999999996</v>
      </c>
      <c r="F3329" s="59">
        <v>5.6908899999999996</v>
      </c>
      <c r="G3329" s="56">
        <v>593.26</v>
      </c>
      <c r="H3329" s="56">
        <v>562.226</v>
      </c>
      <c r="I3329" s="58">
        <v>0.40767999999999999</v>
      </c>
      <c r="J3329" s="57">
        <v>0.47536299999999998</v>
      </c>
      <c r="K3329" s="56"/>
      <c r="L3329" s="56" t="s">
        <v>488</v>
      </c>
    </row>
    <row r="3330" spans="2:12" x14ac:dyDescent="0.2">
      <c r="B3330" s="62" t="s">
        <v>2545</v>
      </c>
      <c r="C3330" s="61" t="s">
        <v>526</v>
      </c>
      <c r="D3330" s="60">
        <v>1.4186799999999999</v>
      </c>
      <c r="E3330" s="59">
        <v>6.6019899999999998</v>
      </c>
      <c r="F3330" s="59">
        <v>8.8939599999999999</v>
      </c>
      <c r="G3330" s="56">
        <v>1052.23</v>
      </c>
      <c r="H3330" s="56">
        <v>741.7</v>
      </c>
      <c r="I3330" s="58">
        <v>0.73024</v>
      </c>
      <c r="J3330" s="57">
        <v>0.44394099999999997</v>
      </c>
      <c r="K3330" s="56"/>
      <c r="L3330" s="56" t="s">
        <v>488</v>
      </c>
    </row>
    <row r="3331" spans="2:12" x14ac:dyDescent="0.2">
      <c r="B3331" s="62" t="s">
        <v>2544</v>
      </c>
      <c r="C3331" s="61" t="s">
        <v>499</v>
      </c>
      <c r="D3331" s="60">
        <v>0.42271300000000001</v>
      </c>
      <c r="E3331" s="59">
        <v>14.18304</v>
      </c>
      <c r="F3331" s="59">
        <v>15.37191</v>
      </c>
      <c r="G3331" s="56">
        <v>1391.35</v>
      </c>
      <c r="H3331" s="56">
        <v>3288.94</v>
      </c>
      <c r="I3331" s="58">
        <v>0.85010600000000003</v>
      </c>
      <c r="J3331" s="57">
        <v>1.9779</v>
      </c>
      <c r="K3331" s="56"/>
      <c r="L3331" s="56" t="s">
        <v>488</v>
      </c>
    </row>
    <row r="3332" spans="2:12" x14ac:dyDescent="0.2">
      <c r="B3332" s="62" t="s">
        <v>2543</v>
      </c>
      <c r="C3332" s="61" t="s">
        <v>499</v>
      </c>
      <c r="D3332" s="60">
        <v>0.42304000000000003</v>
      </c>
      <c r="E3332" s="59">
        <v>14.18619</v>
      </c>
      <c r="F3332" s="59">
        <v>15.38411</v>
      </c>
      <c r="G3332" s="56">
        <v>1393.49</v>
      </c>
      <c r="H3332" s="56">
        <v>3296.53</v>
      </c>
      <c r="I3332" s="58">
        <v>0.85058299999999998</v>
      </c>
      <c r="J3332" s="57">
        <v>1.9745999999999999</v>
      </c>
      <c r="K3332" s="56"/>
      <c r="L3332" s="56" t="s">
        <v>488</v>
      </c>
    </row>
    <row r="3333" spans="2:12" x14ac:dyDescent="0.2">
      <c r="B3333" s="62" t="s">
        <v>2542</v>
      </c>
      <c r="C3333" s="61" t="s">
        <v>499</v>
      </c>
      <c r="D3333" s="60">
        <v>0.90443399999999996</v>
      </c>
      <c r="E3333" s="59">
        <v>9.89541</v>
      </c>
      <c r="F3333" s="59">
        <v>10.26305</v>
      </c>
      <c r="G3333" s="56">
        <v>1596.05</v>
      </c>
      <c r="H3333" s="56">
        <v>1764.69</v>
      </c>
      <c r="I3333" s="58">
        <v>0.61624199999999996</v>
      </c>
      <c r="J3333" s="57">
        <v>0.71294000000000002</v>
      </c>
      <c r="K3333" s="56"/>
      <c r="L3333" s="56" t="s">
        <v>492</v>
      </c>
    </row>
    <row r="3334" spans="2:12" x14ac:dyDescent="0.2">
      <c r="B3334" s="62" t="s">
        <v>2541</v>
      </c>
      <c r="C3334" s="61" t="s">
        <v>550</v>
      </c>
      <c r="D3334" s="60">
        <v>0.98109900000000005</v>
      </c>
      <c r="E3334" s="59">
        <v>9.3332899999999999</v>
      </c>
      <c r="F3334" s="59">
        <v>10.19542</v>
      </c>
      <c r="G3334" s="56">
        <v>1599.2</v>
      </c>
      <c r="H3334" s="56">
        <v>1626.79</v>
      </c>
      <c r="I3334" s="58">
        <v>0.62359699999999996</v>
      </c>
      <c r="J3334" s="57">
        <v>0.66157299999999997</v>
      </c>
      <c r="K3334" s="56"/>
      <c r="L3334" s="56" t="s">
        <v>492</v>
      </c>
    </row>
    <row r="3335" spans="2:12" x14ac:dyDescent="0.2">
      <c r="B3335" s="62" t="s">
        <v>2540</v>
      </c>
      <c r="C3335" s="61" t="s">
        <v>550</v>
      </c>
      <c r="D3335" s="60">
        <v>0.98304400000000003</v>
      </c>
      <c r="E3335" s="59">
        <v>9.3878599999999999</v>
      </c>
      <c r="F3335" s="59">
        <v>10.21749</v>
      </c>
      <c r="G3335" s="56">
        <v>1615.66</v>
      </c>
      <c r="H3335" s="56">
        <v>1646.78</v>
      </c>
      <c r="I3335" s="58">
        <v>0.620394</v>
      </c>
      <c r="J3335" s="57">
        <v>0.65989900000000001</v>
      </c>
      <c r="K3335" s="56"/>
      <c r="L3335" s="56" t="s">
        <v>492</v>
      </c>
    </row>
    <row r="3336" spans="2:12" x14ac:dyDescent="0.2">
      <c r="B3336" s="62" t="s">
        <v>2539</v>
      </c>
      <c r="C3336" s="61" t="s">
        <v>550</v>
      </c>
      <c r="D3336" s="60">
        <v>0.45872400000000002</v>
      </c>
      <c r="E3336" s="59">
        <v>14.25357</v>
      </c>
      <c r="F3336" s="59">
        <v>15.493690000000001</v>
      </c>
      <c r="G3336" s="56">
        <v>1368.01</v>
      </c>
      <c r="H3336" s="56">
        <v>2982.21</v>
      </c>
      <c r="I3336" s="58">
        <v>0.84674799999999995</v>
      </c>
      <c r="J3336" s="57">
        <v>1.82748</v>
      </c>
      <c r="K3336" s="56"/>
      <c r="L3336" s="56" t="s">
        <v>488</v>
      </c>
    </row>
    <row r="3337" spans="2:12" x14ac:dyDescent="0.2">
      <c r="B3337" s="62" t="s">
        <v>2538</v>
      </c>
      <c r="C3337" s="61" t="s">
        <v>499</v>
      </c>
      <c r="D3337" s="60">
        <v>0.95681899999999998</v>
      </c>
      <c r="E3337" s="59">
        <v>5.1952400000000001</v>
      </c>
      <c r="F3337" s="59">
        <v>7.1777300000000004</v>
      </c>
      <c r="G3337" s="56">
        <v>1819.99</v>
      </c>
      <c r="H3337" s="56">
        <v>1902.13</v>
      </c>
      <c r="I3337" s="58">
        <v>0.60663800000000001</v>
      </c>
      <c r="J3337" s="57">
        <v>0.67904699999999996</v>
      </c>
      <c r="K3337" s="56"/>
      <c r="L3337" s="56" t="s">
        <v>488</v>
      </c>
    </row>
    <row r="3338" spans="2:12" x14ac:dyDescent="0.2">
      <c r="B3338" s="62" t="s">
        <v>2537</v>
      </c>
      <c r="C3338" s="61" t="s">
        <v>499</v>
      </c>
      <c r="D3338" s="60">
        <v>1.0325800000000001</v>
      </c>
      <c r="E3338" s="59">
        <v>4.2845300000000002</v>
      </c>
      <c r="F3338" s="59">
        <v>7.7200199999999999</v>
      </c>
      <c r="G3338" s="56">
        <v>1438.32</v>
      </c>
      <c r="H3338" s="56">
        <v>1359.02</v>
      </c>
      <c r="I3338" s="58">
        <v>0.58272800000000002</v>
      </c>
      <c r="J3338" s="57">
        <v>0.58371700000000004</v>
      </c>
      <c r="K3338" s="56"/>
      <c r="L3338" s="56" t="s">
        <v>488</v>
      </c>
    </row>
    <row r="3339" spans="2:12" x14ac:dyDescent="0.2">
      <c r="B3339" s="62" t="s">
        <v>2536</v>
      </c>
      <c r="C3339" s="61" t="s">
        <v>499</v>
      </c>
      <c r="D3339" s="60">
        <v>1.0583499999999999</v>
      </c>
      <c r="E3339" s="59">
        <v>4.4295299999999997</v>
      </c>
      <c r="F3339" s="59">
        <v>7.7618999999999998</v>
      </c>
      <c r="G3339" s="56">
        <v>1496.97</v>
      </c>
      <c r="H3339" s="56">
        <v>1449.74</v>
      </c>
      <c r="I3339" s="58">
        <v>0.57117899999999999</v>
      </c>
      <c r="J3339" s="57">
        <v>0.56096199999999996</v>
      </c>
      <c r="K3339" s="56"/>
      <c r="L3339" s="56" t="s">
        <v>488</v>
      </c>
    </row>
    <row r="3340" spans="2:12" x14ac:dyDescent="0.2">
      <c r="B3340" s="62" t="s">
        <v>2535</v>
      </c>
      <c r="C3340" s="61" t="s">
        <v>499</v>
      </c>
      <c r="D3340" s="60">
        <v>1.04756</v>
      </c>
      <c r="E3340" s="59">
        <v>4.2755400000000003</v>
      </c>
      <c r="F3340" s="59">
        <v>7.8582799999999997</v>
      </c>
      <c r="G3340" s="56">
        <v>1467.09</v>
      </c>
      <c r="H3340" s="56">
        <v>1400.48</v>
      </c>
      <c r="I3340" s="58">
        <v>0.57201100000000005</v>
      </c>
      <c r="J3340" s="57">
        <v>0.57181899999999997</v>
      </c>
      <c r="K3340" s="56"/>
      <c r="L3340" s="56" t="s">
        <v>488</v>
      </c>
    </row>
    <row r="3341" spans="2:12" x14ac:dyDescent="0.2">
      <c r="B3341" s="62" t="s">
        <v>2534</v>
      </c>
      <c r="C3341" s="61" t="s">
        <v>550</v>
      </c>
      <c r="D3341" s="60">
        <v>2.1629800000000001</v>
      </c>
      <c r="E3341" s="59">
        <v>2.9405299999999999</v>
      </c>
      <c r="F3341" s="59">
        <v>4.4846300000000001</v>
      </c>
      <c r="G3341" s="56">
        <v>0</v>
      </c>
      <c r="H3341" s="56">
        <v>0</v>
      </c>
      <c r="I3341" s="58">
        <v>0.28293299999999999</v>
      </c>
      <c r="J3341" s="57">
        <v>0.228349</v>
      </c>
      <c r="K3341" s="56"/>
      <c r="L3341" s="56" t="s">
        <v>488</v>
      </c>
    </row>
    <row r="3342" spans="2:12" x14ac:dyDescent="0.2">
      <c r="B3342" s="62" t="s">
        <v>2533</v>
      </c>
      <c r="C3342" s="61" t="s">
        <v>510</v>
      </c>
      <c r="D3342" s="60">
        <v>1.41248</v>
      </c>
      <c r="E3342" s="59">
        <v>3.5670600000000001</v>
      </c>
      <c r="F3342" s="59">
        <v>4.5671799999999996</v>
      </c>
      <c r="G3342" s="56">
        <v>0</v>
      </c>
      <c r="H3342" s="56">
        <v>0</v>
      </c>
      <c r="I3342" s="58">
        <v>0.22888</v>
      </c>
      <c r="J3342" s="57">
        <v>0.29065200000000002</v>
      </c>
      <c r="K3342" s="56"/>
      <c r="L3342" s="56" t="s">
        <v>488</v>
      </c>
    </row>
    <row r="3343" spans="2:12" x14ac:dyDescent="0.2">
      <c r="B3343" s="62" t="s">
        <v>2532</v>
      </c>
      <c r="C3343" s="61" t="s">
        <v>495</v>
      </c>
      <c r="D3343" s="60">
        <v>1.26034</v>
      </c>
      <c r="E3343" s="59">
        <v>4.6561899999999996</v>
      </c>
      <c r="F3343" s="59">
        <v>4.9423700000000004</v>
      </c>
      <c r="G3343" s="56">
        <v>420.78500000000003</v>
      </c>
      <c r="H3343" s="56">
        <v>333.86700000000002</v>
      </c>
      <c r="I3343" s="58">
        <v>0.23965500000000001</v>
      </c>
      <c r="J3343" s="57">
        <v>0.34359899999999999</v>
      </c>
      <c r="K3343" s="56"/>
      <c r="L3343" s="56" t="s">
        <v>488</v>
      </c>
    </row>
    <row r="3344" spans="2:12" x14ac:dyDescent="0.2">
      <c r="B3344" s="62" t="s">
        <v>2531</v>
      </c>
      <c r="C3344" s="61" t="s">
        <v>499</v>
      </c>
      <c r="D3344" s="60">
        <v>1.46153</v>
      </c>
      <c r="E3344" s="59">
        <v>3.6205699999999998</v>
      </c>
      <c r="F3344" s="59">
        <v>4.3650500000000001</v>
      </c>
      <c r="G3344" s="56">
        <v>0</v>
      </c>
      <c r="H3344" s="56">
        <v>0</v>
      </c>
      <c r="I3344" s="58">
        <v>0.189355</v>
      </c>
      <c r="J3344" s="57">
        <v>0.28286899999999998</v>
      </c>
      <c r="K3344" s="56"/>
      <c r="L3344" s="56" t="s">
        <v>488</v>
      </c>
    </row>
    <row r="3345" spans="2:12" x14ac:dyDescent="0.2">
      <c r="B3345" s="62" t="s">
        <v>2530</v>
      </c>
      <c r="C3345" s="61" t="s">
        <v>641</v>
      </c>
      <c r="D3345" s="60">
        <v>1.26901</v>
      </c>
      <c r="E3345" s="59">
        <v>7.6947299999999998</v>
      </c>
      <c r="F3345" s="59">
        <v>8.2736099999999997</v>
      </c>
      <c r="G3345" s="56">
        <v>1211.02</v>
      </c>
      <c r="H3345" s="56">
        <v>954.29700000000003</v>
      </c>
      <c r="I3345" s="58">
        <v>0.52368000000000003</v>
      </c>
      <c r="J3345" s="57">
        <v>0.43306699999999998</v>
      </c>
      <c r="K3345" s="56"/>
      <c r="L3345" s="56" t="s">
        <v>488</v>
      </c>
    </row>
    <row r="3346" spans="2:12" x14ac:dyDescent="0.2">
      <c r="B3346" s="62" t="s">
        <v>2529</v>
      </c>
      <c r="C3346" s="61" t="s">
        <v>499</v>
      </c>
      <c r="D3346" s="60">
        <v>1.09199</v>
      </c>
      <c r="E3346" s="59">
        <v>4.0078899999999997</v>
      </c>
      <c r="F3346" s="59">
        <v>6.1293100000000003</v>
      </c>
      <c r="G3346" s="56">
        <v>660.37900000000002</v>
      </c>
      <c r="H3346" s="56">
        <v>604.74599999999998</v>
      </c>
      <c r="I3346" s="58">
        <v>0.35545300000000002</v>
      </c>
      <c r="J3346" s="57">
        <v>0.49328899999999998</v>
      </c>
      <c r="K3346" s="56"/>
      <c r="L3346" s="56" t="s">
        <v>488</v>
      </c>
    </row>
    <row r="3347" spans="2:12" x14ac:dyDescent="0.2">
      <c r="B3347" s="62" t="s">
        <v>2528</v>
      </c>
      <c r="C3347" s="61" t="s">
        <v>507</v>
      </c>
      <c r="D3347" s="60">
        <v>1.2760199999999999</v>
      </c>
      <c r="E3347" s="59">
        <v>7.6791299999999998</v>
      </c>
      <c r="F3347" s="59">
        <v>8.2857500000000002</v>
      </c>
      <c r="G3347" s="56">
        <v>1196.8900000000001</v>
      </c>
      <c r="H3347" s="56">
        <v>937.98500000000001</v>
      </c>
      <c r="I3347" s="58">
        <v>0.52431300000000003</v>
      </c>
      <c r="J3347" s="57">
        <v>0.430452</v>
      </c>
      <c r="K3347" s="56"/>
      <c r="L3347" s="56" t="s">
        <v>488</v>
      </c>
    </row>
    <row r="3348" spans="2:12" x14ac:dyDescent="0.2">
      <c r="B3348" s="62" t="s">
        <v>2527</v>
      </c>
      <c r="C3348" s="61" t="s">
        <v>2526</v>
      </c>
      <c r="D3348" s="60">
        <v>1.9756400000000001</v>
      </c>
      <c r="E3348" s="59">
        <v>2.8480300000000001</v>
      </c>
      <c r="F3348" s="59">
        <v>4.0181399999999998</v>
      </c>
      <c r="G3348" s="56">
        <v>0</v>
      </c>
      <c r="H3348" s="56">
        <v>0</v>
      </c>
      <c r="I3348" s="58">
        <v>8.8981400000000002E-2</v>
      </c>
      <c r="J3348" s="57">
        <v>0.163162</v>
      </c>
      <c r="K3348" s="56"/>
      <c r="L3348" s="56" t="s">
        <v>488</v>
      </c>
    </row>
    <row r="3349" spans="2:12" x14ac:dyDescent="0.2">
      <c r="B3349" s="62" t="s">
        <v>2525</v>
      </c>
      <c r="C3349" s="61" t="s">
        <v>550</v>
      </c>
      <c r="D3349" s="60">
        <v>1.37798</v>
      </c>
      <c r="E3349" s="59">
        <v>2.8459599999999998</v>
      </c>
      <c r="F3349" s="59">
        <v>4.27196</v>
      </c>
      <c r="G3349" s="56">
        <v>0</v>
      </c>
      <c r="H3349" s="56">
        <v>0</v>
      </c>
      <c r="I3349" s="58">
        <v>0.23421700000000001</v>
      </c>
      <c r="J3349" s="57">
        <v>0.33319700000000002</v>
      </c>
      <c r="K3349" s="56"/>
      <c r="L3349" s="56" t="s">
        <v>488</v>
      </c>
    </row>
    <row r="3350" spans="2:12" x14ac:dyDescent="0.2">
      <c r="B3350" s="62" t="s">
        <v>2524</v>
      </c>
      <c r="C3350" s="61" t="s">
        <v>499</v>
      </c>
      <c r="D3350" s="60">
        <v>1.1331100000000001</v>
      </c>
      <c r="E3350" s="59">
        <v>3.8403299999999998</v>
      </c>
      <c r="F3350" s="59">
        <v>4.8306800000000001</v>
      </c>
      <c r="G3350" s="56">
        <v>752.899</v>
      </c>
      <c r="H3350" s="56">
        <v>664.452</v>
      </c>
      <c r="I3350" s="58">
        <v>0.40235900000000002</v>
      </c>
      <c r="J3350" s="57">
        <v>0.43817099999999998</v>
      </c>
      <c r="K3350" s="56"/>
      <c r="L3350" s="56" t="s">
        <v>488</v>
      </c>
    </row>
    <row r="3351" spans="2:12" x14ac:dyDescent="0.2">
      <c r="B3351" s="62" t="s">
        <v>2523</v>
      </c>
      <c r="C3351" s="61" t="s">
        <v>499</v>
      </c>
      <c r="D3351" s="60">
        <v>1.1413</v>
      </c>
      <c r="E3351" s="59">
        <v>3.7592099999999999</v>
      </c>
      <c r="F3351" s="59">
        <v>4.7752699999999999</v>
      </c>
      <c r="G3351" s="56">
        <v>691.41300000000001</v>
      </c>
      <c r="H3351" s="56">
        <v>605.81299999999999</v>
      </c>
      <c r="I3351" s="58">
        <v>0.39734000000000003</v>
      </c>
      <c r="J3351" s="57">
        <v>0.43073800000000001</v>
      </c>
      <c r="K3351" s="56"/>
      <c r="L3351" s="56" t="s">
        <v>488</v>
      </c>
    </row>
    <row r="3352" spans="2:12" x14ac:dyDescent="0.2">
      <c r="B3352" s="62" t="s">
        <v>2522</v>
      </c>
      <c r="C3352" s="61" t="s">
        <v>550</v>
      </c>
      <c r="D3352" s="60">
        <v>1.03548</v>
      </c>
      <c r="E3352" s="59">
        <v>5.66378</v>
      </c>
      <c r="F3352" s="59">
        <v>7.00061</v>
      </c>
      <c r="G3352" s="56">
        <v>2360.65</v>
      </c>
      <c r="H3352" s="56">
        <v>2279.7600000000002</v>
      </c>
      <c r="I3352" s="58">
        <v>0.651528</v>
      </c>
      <c r="J3352" s="57">
        <v>0.71545499999999995</v>
      </c>
      <c r="K3352" s="56"/>
      <c r="L3352" s="56" t="s">
        <v>488</v>
      </c>
    </row>
    <row r="3353" spans="2:12" x14ac:dyDescent="0.2">
      <c r="B3353" s="62" t="s">
        <v>2521</v>
      </c>
      <c r="C3353" s="61" t="s">
        <v>531</v>
      </c>
      <c r="D3353" s="60">
        <v>1.50508</v>
      </c>
      <c r="E3353" s="59">
        <v>4.8548900000000001</v>
      </c>
      <c r="F3353" s="59">
        <v>5.8240499999999997</v>
      </c>
      <c r="G3353" s="56">
        <v>1538.9</v>
      </c>
      <c r="H3353" s="56">
        <v>1022.48</v>
      </c>
      <c r="I3353" s="58">
        <v>0.54972799999999999</v>
      </c>
      <c r="J3353" s="57">
        <v>0.39018999999999998</v>
      </c>
      <c r="K3353" s="56"/>
      <c r="L3353" s="56" t="s">
        <v>730</v>
      </c>
    </row>
    <row r="3354" spans="2:12" x14ac:dyDescent="0.2">
      <c r="B3354" s="62" t="s">
        <v>2520</v>
      </c>
      <c r="C3354" s="61" t="s">
        <v>535</v>
      </c>
      <c r="D3354" s="60">
        <v>1.6436999999999999</v>
      </c>
      <c r="E3354" s="59">
        <v>4.0936899999999996</v>
      </c>
      <c r="F3354" s="59">
        <v>5.0230100000000002</v>
      </c>
      <c r="G3354" s="56">
        <v>1103.9100000000001</v>
      </c>
      <c r="H3354" s="56">
        <v>671.601</v>
      </c>
      <c r="I3354" s="58">
        <v>0.48008200000000001</v>
      </c>
      <c r="J3354" s="57">
        <v>0.340254</v>
      </c>
      <c r="K3354" s="56"/>
      <c r="L3354" s="56" t="s">
        <v>730</v>
      </c>
    </row>
    <row r="3355" spans="2:12" x14ac:dyDescent="0.2">
      <c r="B3355" s="62" t="s">
        <v>2519</v>
      </c>
      <c r="C3355" s="61" t="s">
        <v>561</v>
      </c>
      <c r="D3355" s="60">
        <v>1.30745</v>
      </c>
      <c r="E3355" s="59">
        <v>4.0722899999999997</v>
      </c>
      <c r="F3355" s="59">
        <v>5.0061200000000001</v>
      </c>
      <c r="G3355" s="56">
        <v>1146.8399999999999</v>
      </c>
      <c r="H3355" s="56">
        <v>877.15499999999997</v>
      </c>
      <c r="I3355" s="58">
        <v>0.49165199999999998</v>
      </c>
      <c r="J3355" s="57">
        <v>0.42669400000000002</v>
      </c>
      <c r="K3355" s="56"/>
      <c r="L3355" s="56" t="s">
        <v>488</v>
      </c>
    </row>
    <row r="3356" spans="2:12" x14ac:dyDescent="0.2">
      <c r="B3356" s="62" t="s">
        <v>2518</v>
      </c>
      <c r="C3356" s="61" t="s">
        <v>859</v>
      </c>
      <c r="D3356" s="60">
        <v>1.7136100000000001</v>
      </c>
      <c r="E3356" s="59">
        <v>3.97323</v>
      </c>
      <c r="F3356" s="59">
        <v>4.9957599999999998</v>
      </c>
      <c r="G3356" s="56">
        <v>1064.82</v>
      </c>
      <c r="H3356" s="56">
        <v>621.39200000000005</v>
      </c>
      <c r="I3356" s="58">
        <v>0.47939199999999998</v>
      </c>
      <c r="J3356" s="57">
        <v>0.32444400000000001</v>
      </c>
      <c r="K3356" s="56"/>
      <c r="L3356" s="56" t="s">
        <v>730</v>
      </c>
    </row>
    <row r="3357" spans="2:12" x14ac:dyDescent="0.2">
      <c r="B3357" s="62" t="s">
        <v>2517</v>
      </c>
      <c r="C3357" s="61" t="s">
        <v>1652</v>
      </c>
      <c r="D3357" s="60">
        <v>1.7824599999999999</v>
      </c>
      <c r="E3357" s="59">
        <v>3.9747699999999999</v>
      </c>
      <c r="F3357" s="59">
        <v>4.95479</v>
      </c>
      <c r="G3357" s="56">
        <v>1015.96</v>
      </c>
      <c r="H3357" s="56">
        <v>569.976</v>
      </c>
      <c r="I3357" s="58">
        <v>0.48277300000000001</v>
      </c>
      <c r="J3357" s="57">
        <v>0.30923299999999998</v>
      </c>
      <c r="K3357" s="56"/>
      <c r="L3357" s="56" t="s">
        <v>730</v>
      </c>
    </row>
    <row r="3358" spans="2:12" x14ac:dyDescent="0.2">
      <c r="B3358" s="62" t="s">
        <v>2516</v>
      </c>
      <c r="C3358" s="61" t="s">
        <v>1226</v>
      </c>
      <c r="D3358" s="60">
        <v>1.0368999999999999</v>
      </c>
      <c r="E3358" s="59">
        <v>3.8523299999999998</v>
      </c>
      <c r="F3358" s="59">
        <v>16.085699999999999</v>
      </c>
      <c r="G3358" s="56">
        <v>1465.33</v>
      </c>
      <c r="H3358" s="56">
        <v>1413.19</v>
      </c>
      <c r="I3358" s="58">
        <v>0.68106500000000003</v>
      </c>
      <c r="J3358" s="57">
        <v>0.64980199999999999</v>
      </c>
      <c r="K3358" s="56"/>
      <c r="L3358" s="56" t="s">
        <v>488</v>
      </c>
    </row>
    <row r="3359" spans="2:12" x14ac:dyDescent="0.2">
      <c r="B3359" s="62" t="s">
        <v>2515</v>
      </c>
      <c r="C3359" s="61" t="s">
        <v>1896</v>
      </c>
      <c r="D3359" s="60">
        <v>3.1110600000000002</v>
      </c>
      <c r="E3359" s="59">
        <v>3.9099300000000001</v>
      </c>
      <c r="F3359" s="59">
        <v>5.6120799999999997</v>
      </c>
      <c r="G3359" s="56">
        <v>811.88699999999994</v>
      </c>
      <c r="H3359" s="56">
        <v>260.96800000000002</v>
      </c>
      <c r="I3359" s="58">
        <v>0.275918</v>
      </c>
      <c r="J3359" s="57">
        <v>0.14829800000000001</v>
      </c>
      <c r="K3359" s="56"/>
      <c r="L3359" s="56" t="s">
        <v>492</v>
      </c>
    </row>
    <row r="3360" spans="2:12" x14ac:dyDescent="0.2">
      <c r="B3360" s="62" t="s">
        <v>2514</v>
      </c>
      <c r="C3360" s="61" t="s">
        <v>510</v>
      </c>
      <c r="D3360" s="60">
        <v>0.92168799999999995</v>
      </c>
      <c r="E3360" s="59">
        <v>5.1211099999999998</v>
      </c>
      <c r="F3360" s="59">
        <v>6.3967599999999996</v>
      </c>
      <c r="G3360" s="56">
        <v>1493.39</v>
      </c>
      <c r="H3360" s="56">
        <v>1620.28</v>
      </c>
      <c r="I3360" s="58">
        <v>0.53224899999999997</v>
      </c>
      <c r="J3360" s="57">
        <v>0.65088999999999997</v>
      </c>
      <c r="K3360" s="56"/>
      <c r="L3360" s="56" t="s">
        <v>488</v>
      </c>
    </row>
    <row r="3361" spans="2:12" x14ac:dyDescent="0.2">
      <c r="B3361" s="62" t="s">
        <v>2513</v>
      </c>
      <c r="C3361" s="61" t="s">
        <v>612</v>
      </c>
      <c r="D3361" s="60">
        <v>1.75623</v>
      </c>
      <c r="E3361" s="59">
        <v>2.4768400000000002</v>
      </c>
      <c r="F3361" s="59">
        <v>2.7815699999999999</v>
      </c>
      <c r="G3361" s="56">
        <v>0</v>
      </c>
      <c r="H3361" s="56">
        <v>0</v>
      </c>
      <c r="I3361" s="58">
        <v>4.5001300000000001E-2</v>
      </c>
      <c r="J3361" s="57">
        <v>0.20241600000000001</v>
      </c>
      <c r="K3361" s="56"/>
      <c r="L3361" s="56" t="s">
        <v>488</v>
      </c>
    </row>
    <row r="3362" spans="2:12" x14ac:dyDescent="0.2">
      <c r="B3362" s="62" t="s">
        <v>2512</v>
      </c>
      <c r="C3362" s="61" t="s">
        <v>612</v>
      </c>
      <c r="D3362" s="60">
        <v>1.58829</v>
      </c>
      <c r="E3362" s="59">
        <v>2.7189399999999999</v>
      </c>
      <c r="F3362" s="59">
        <v>2.9820600000000002</v>
      </c>
      <c r="G3362" s="56">
        <v>0</v>
      </c>
      <c r="H3362" s="56">
        <v>0</v>
      </c>
      <c r="I3362" s="58">
        <v>9.15686E-2</v>
      </c>
      <c r="J3362" s="57">
        <v>0.262436</v>
      </c>
      <c r="K3362" s="56"/>
      <c r="L3362" s="56" t="s">
        <v>488</v>
      </c>
    </row>
    <row r="3363" spans="2:12" x14ac:dyDescent="0.2">
      <c r="B3363" s="62" t="s">
        <v>2511</v>
      </c>
      <c r="C3363" s="61" t="s">
        <v>708</v>
      </c>
      <c r="D3363" s="60">
        <v>1.2021599999999999</v>
      </c>
      <c r="E3363" s="59">
        <v>3.8774299999999999</v>
      </c>
      <c r="F3363" s="59">
        <v>4.4492700000000003</v>
      </c>
      <c r="G3363" s="56">
        <v>154.04300000000001</v>
      </c>
      <c r="H3363" s="56">
        <v>128.13800000000001</v>
      </c>
      <c r="I3363" s="58">
        <v>0.29530699999999999</v>
      </c>
      <c r="J3363" s="57">
        <v>0.41687600000000002</v>
      </c>
      <c r="K3363" s="56"/>
      <c r="L3363" s="56" t="s">
        <v>488</v>
      </c>
    </row>
    <row r="3364" spans="2:12" x14ac:dyDescent="0.2">
      <c r="B3364" s="62" t="s">
        <v>2510</v>
      </c>
      <c r="C3364" s="61" t="s">
        <v>567</v>
      </c>
      <c r="D3364" s="60">
        <v>1.45505</v>
      </c>
      <c r="E3364" s="59">
        <v>3.08527</v>
      </c>
      <c r="F3364" s="59">
        <v>3.3338800000000002</v>
      </c>
      <c r="G3364" s="56">
        <v>0</v>
      </c>
      <c r="H3364" s="56">
        <v>0</v>
      </c>
      <c r="I3364" s="58">
        <v>3.7548199999999997E-2</v>
      </c>
      <c r="J3364" s="57">
        <v>0.19841700000000001</v>
      </c>
      <c r="K3364" s="56"/>
      <c r="L3364" s="56" t="s">
        <v>488</v>
      </c>
    </row>
    <row r="3365" spans="2:12" x14ac:dyDescent="0.2">
      <c r="B3365" s="62" t="s">
        <v>2509</v>
      </c>
      <c r="C3365" s="61" t="s">
        <v>550</v>
      </c>
      <c r="D3365" s="60">
        <v>1.4414199999999999</v>
      </c>
      <c r="E3365" s="59">
        <v>3.57802</v>
      </c>
      <c r="F3365" s="59">
        <v>4.3281000000000001</v>
      </c>
      <c r="G3365" s="56">
        <v>0</v>
      </c>
      <c r="H3365" s="56">
        <v>0</v>
      </c>
      <c r="I3365" s="58">
        <v>0.30853599999999998</v>
      </c>
      <c r="J3365" s="57">
        <v>0.34135500000000002</v>
      </c>
      <c r="K3365" s="56"/>
      <c r="L3365" s="56" t="s">
        <v>488</v>
      </c>
    </row>
    <row r="3366" spans="2:12" x14ac:dyDescent="0.2">
      <c r="B3366" s="62" t="s">
        <v>2508</v>
      </c>
      <c r="C3366" s="61" t="s">
        <v>708</v>
      </c>
      <c r="D3366" s="60">
        <v>1.5422800000000001</v>
      </c>
      <c r="E3366" s="59">
        <v>3.0144899999999999</v>
      </c>
      <c r="F3366" s="59">
        <v>3.6696200000000001</v>
      </c>
      <c r="G3366" s="56">
        <v>0</v>
      </c>
      <c r="H3366" s="56">
        <v>0</v>
      </c>
      <c r="I3366" s="58">
        <v>9.3304499999999999E-2</v>
      </c>
      <c r="J3366" s="57">
        <v>0.25392799999999999</v>
      </c>
      <c r="K3366" s="56"/>
      <c r="L3366" s="56" t="s">
        <v>492</v>
      </c>
    </row>
    <row r="3367" spans="2:12" x14ac:dyDescent="0.2">
      <c r="B3367" s="62" t="s">
        <v>2507</v>
      </c>
      <c r="C3367" s="61" t="s">
        <v>499</v>
      </c>
      <c r="D3367" s="60">
        <v>1.06036</v>
      </c>
      <c r="E3367" s="59">
        <v>3.9790399999999999</v>
      </c>
      <c r="F3367" s="59">
        <v>4.6779700000000002</v>
      </c>
      <c r="G3367" s="56">
        <v>868.58799999999997</v>
      </c>
      <c r="H3367" s="56">
        <v>819.14400000000001</v>
      </c>
      <c r="I3367" s="58">
        <v>0.50032399999999999</v>
      </c>
      <c r="J3367" s="57">
        <v>0.50273599999999996</v>
      </c>
      <c r="K3367" s="56"/>
      <c r="L3367" s="56" t="s">
        <v>488</v>
      </c>
    </row>
    <row r="3368" spans="2:12" x14ac:dyDescent="0.2">
      <c r="B3368" s="62" t="s">
        <v>2506</v>
      </c>
      <c r="C3368" s="61" t="s">
        <v>495</v>
      </c>
      <c r="D3368" s="60">
        <v>1.57551</v>
      </c>
      <c r="E3368" s="59">
        <v>2.8123200000000002</v>
      </c>
      <c r="F3368" s="59">
        <v>4.5220000000000002</v>
      </c>
      <c r="G3368" s="56">
        <v>0</v>
      </c>
      <c r="H3368" s="56">
        <v>0</v>
      </c>
      <c r="I3368" s="58">
        <v>0.159306</v>
      </c>
      <c r="J3368" s="57">
        <v>0.26164999999999999</v>
      </c>
      <c r="K3368" s="56"/>
      <c r="L3368" s="56" t="s">
        <v>488</v>
      </c>
    </row>
    <row r="3369" spans="2:12" x14ac:dyDescent="0.2">
      <c r="B3369" s="62" t="s">
        <v>2505</v>
      </c>
      <c r="C3369" s="61" t="s">
        <v>2504</v>
      </c>
      <c r="D3369" s="60">
        <v>2.32077</v>
      </c>
      <c r="E3369" s="59">
        <v>3.2824300000000002</v>
      </c>
      <c r="F3369" s="59">
        <v>3.6918199999999999</v>
      </c>
      <c r="G3369" s="56">
        <v>0</v>
      </c>
      <c r="H3369" s="56">
        <v>0</v>
      </c>
      <c r="I3369" s="58">
        <v>0.13601099999999999</v>
      </c>
      <c r="J3369" s="57">
        <v>0.15345900000000001</v>
      </c>
      <c r="K3369" s="56"/>
      <c r="L3369" s="56" t="s">
        <v>488</v>
      </c>
    </row>
    <row r="3370" spans="2:12" x14ac:dyDescent="0.2">
      <c r="B3370" s="62" t="s">
        <v>2503</v>
      </c>
      <c r="C3370" s="61" t="s">
        <v>2502</v>
      </c>
      <c r="D3370" s="60">
        <v>2.3011300000000001</v>
      </c>
      <c r="E3370" s="59">
        <v>3.2984499999999999</v>
      </c>
      <c r="F3370" s="59">
        <v>3.6953</v>
      </c>
      <c r="G3370" s="56">
        <v>0</v>
      </c>
      <c r="H3370" s="56">
        <v>0</v>
      </c>
      <c r="I3370" s="58">
        <v>0.13628699999999999</v>
      </c>
      <c r="J3370" s="57">
        <v>0.155469</v>
      </c>
      <c r="K3370" s="56"/>
      <c r="L3370" s="56" t="s">
        <v>488</v>
      </c>
    </row>
    <row r="3371" spans="2:12" x14ac:dyDescent="0.2">
      <c r="B3371" s="62" t="s">
        <v>2501</v>
      </c>
      <c r="C3371" s="61" t="s">
        <v>2500</v>
      </c>
      <c r="D3371" s="60">
        <v>2.2316099999999999</v>
      </c>
      <c r="E3371" s="59">
        <v>3.3306200000000001</v>
      </c>
      <c r="F3371" s="59">
        <v>3.7123699999999999</v>
      </c>
      <c r="G3371" s="56">
        <v>0</v>
      </c>
      <c r="H3371" s="56">
        <v>0</v>
      </c>
      <c r="I3371" s="58">
        <v>0.13591700000000001</v>
      </c>
      <c r="J3371" s="57">
        <v>0.162657</v>
      </c>
      <c r="K3371" s="56"/>
      <c r="L3371" s="56" t="s">
        <v>488</v>
      </c>
    </row>
    <row r="3372" spans="2:12" x14ac:dyDescent="0.2">
      <c r="B3372" s="62" t="s">
        <v>2499</v>
      </c>
      <c r="C3372" s="61" t="s">
        <v>526</v>
      </c>
      <c r="D3372" s="60">
        <v>1.30542</v>
      </c>
      <c r="E3372" s="59">
        <v>3.7856900000000002</v>
      </c>
      <c r="F3372" s="59">
        <v>9.3925199999999993</v>
      </c>
      <c r="G3372" s="56">
        <v>709.37599999999998</v>
      </c>
      <c r="H3372" s="56">
        <v>543.40700000000004</v>
      </c>
      <c r="I3372" s="58">
        <v>0.34249000000000002</v>
      </c>
      <c r="J3372" s="57">
        <v>0.41161900000000001</v>
      </c>
      <c r="K3372" s="56"/>
      <c r="L3372" s="56" t="s">
        <v>624</v>
      </c>
    </row>
    <row r="3373" spans="2:12" x14ac:dyDescent="0.2">
      <c r="B3373" s="62" t="s">
        <v>2498</v>
      </c>
      <c r="C3373" s="61" t="s">
        <v>2497</v>
      </c>
      <c r="D3373" s="60">
        <v>3.4576099999999999</v>
      </c>
      <c r="E3373" s="59">
        <v>2.7053500000000001</v>
      </c>
      <c r="F3373" s="59">
        <v>3.2008000000000001</v>
      </c>
      <c r="G3373" s="56">
        <v>0</v>
      </c>
      <c r="H3373" s="56">
        <v>0</v>
      </c>
      <c r="I3373" s="58">
        <v>6.3932699999999995E-2</v>
      </c>
      <c r="J3373" s="57">
        <v>0.118087</v>
      </c>
      <c r="K3373" s="56"/>
      <c r="L3373" s="56" t="s">
        <v>488</v>
      </c>
    </row>
    <row r="3374" spans="2:12" x14ac:dyDescent="0.2">
      <c r="B3374" s="62" t="s">
        <v>2496</v>
      </c>
      <c r="C3374" s="61" t="s">
        <v>531</v>
      </c>
      <c r="D3374" s="60">
        <v>1.0569</v>
      </c>
      <c r="E3374" s="59">
        <v>5.8468900000000001</v>
      </c>
      <c r="F3374" s="59">
        <v>6.9971500000000004</v>
      </c>
      <c r="G3374" s="56">
        <v>1961.59</v>
      </c>
      <c r="H3374" s="56">
        <v>1901.18</v>
      </c>
      <c r="I3374" s="58">
        <v>0.63537600000000005</v>
      </c>
      <c r="J3374" s="57">
        <v>0.60512100000000002</v>
      </c>
      <c r="K3374" s="56"/>
      <c r="L3374" s="56" t="s">
        <v>488</v>
      </c>
    </row>
    <row r="3375" spans="2:12" x14ac:dyDescent="0.2">
      <c r="B3375" s="62" t="s">
        <v>2495</v>
      </c>
      <c r="C3375" s="61" t="s">
        <v>531</v>
      </c>
      <c r="D3375" s="60">
        <v>1.0317700000000001</v>
      </c>
      <c r="E3375" s="59">
        <v>5.3789699999999998</v>
      </c>
      <c r="F3375" s="59">
        <v>6.8468499999999999</v>
      </c>
      <c r="G3375" s="56">
        <v>1936.39</v>
      </c>
      <c r="H3375" s="56">
        <v>1832.15</v>
      </c>
      <c r="I3375" s="58">
        <v>0.650725</v>
      </c>
      <c r="J3375" s="57">
        <v>0.62912100000000004</v>
      </c>
      <c r="K3375" s="56"/>
      <c r="L3375" s="56" t="s">
        <v>488</v>
      </c>
    </row>
    <row r="3376" spans="2:12" x14ac:dyDescent="0.2">
      <c r="B3376" s="62" t="s">
        <v>2494</v>
      </c>
      <c r="C3376" s="61" t="s">
        <v>533</v>
      </c>
      <c r="D3376" s="60">
        <v>1.0442199999999999</v>
      </c>
      <c r="E3376" s="59">
        <v>5.7721900000000002</v>
      </c>
      <c r="F3376" s="59">
        <v>7.03254</v>
      </c>
      <c r="G3376" s="56">
        <v>1952.03</v>
      </c>
      <c r="H3376" s="56">
        <v>1869.37</v>
      </c>
      <c r="I3376" s="58">
        <v>0.65155200000000002</v>
      </c>
      <c r="J3376" s="57">
        <v>0.62118200000000001</v>
      </c>
      <c r="K3376" s="56"/>
      <c r="L3376" s="56" t="s">
        <v>488</v>
      </c>
    </row>
    <row r="3377" spans="2:12" x14ac:dyDescent="0.2">
      <c r="B3377" s="62" t="s">
        <v>2493</v>
      </c>
      <c r="C3377" s="61" t="s">
        <v>541</v>
      </c>
      <c r="D3377" s="60">
        <v>0.99655499999999997</v>
      </c>
      <c r="E3377" s="59">
        <v>6.0258799999999999</v>
      </c>
      <c r="F3377" s="59">
        <v>7.08521</v>
      </c>
      <c r="G3377" s="56">
        <v>1995.02</v>
      </c>
      <c r="H3377" s="56">
        <v>2001.92</v>
      </c>
      <c r="I3377" s="58">
        <v>0.66117499999999996</v>
      </c>
      <c r="J3377" s="57">
        <v>0.65802000000000005</v>
      </c>
      <c r="K3377" s="56"/>
      <c r="L3377" s="56" t="s">
        <v>488</v>
      </c>
    </row>
    <row r="3378" spans="2:12" x14ac:dyDescent="0.2">
      <c r="B3378" s="62" t="s">
        <v>2492</v>
      </c>
      <c r="C3378" s="61" t="s">
        <v>502</v>
      </c>
      <c r="D3378" s="60">
        <v>0.66886000000000001</v>
      </c>
      <c r="E3378" s="59">
        <v>6.1895300000000004</v>
      </c>
      <c r="F3378" s="59">
        <v>7.62791</v>
      </c>
      <c r="G3378" s="56">
        <v>1823.33</v>
      </c>
      <c r="H3378" s="56">
        <v>2726.03</v>
      </c>
      <c r="I3378" s="58">
        <v>0.64887300000000003</v>
      </c>
      <c r="J3378" s="57">
        <v>1.0254799999999999</v>
      </c>
      <c r="K3378" s="56"/>
      <c r="L3378" s="56" t="s">
        <v>488</v>
      </c>
    </row>
    <row r="3379" spans="2:12" x14ac:dyDescent="0.2">
      <c r="B3379" s="62" t="s">
        <v>2491</v>
      </c>
      <c r="C3379" s="61" t="s">
        <v>2490</v>
      </c>
      <c r="D3379" s="60">
        <v>3.3521899999999998</v>
      </c>
      <c r="E3379" s="59">
        <v>2.4846300000000001</v>
      </c>
      <c r="F3379" s="59">
        <v>4.3662900000000002</v>
      </c>
      <c r="G3379" s="56">
        <v>0</v>
      </c>
      <c r="H3379" s="56">
        <v>0</v>
      </c>
      <c r="I3379" s="58">
        <v>0.20627599999999999</v>
      </c>
      <c r="J3379" s="57">
        <v>0.122944</v>
      </c>
      <c r="K3379" s="56"/>
      <c r="L3379" s="56" t="s">
        <v>488</v>
      </c>
    </row>
    <row r="3380" spans="2:12" x14ac:dyDescent="0.2">
      <c r="B3380" s="62" t="s">
        <v>2489</v>
      </c>
      <c r="C3380" s="61" t="s">
        <v>2488</v>
      </c>
      <c r="D3380" s="60">
        <v>1.66821</v>
      </c>
      <c r="E3380" s="59">
        <v>3.9866199999999998</v>
      </c>
      <c r="F3380" s="59">
        <v>5.7197699999999996</v>
      </c>
      <c r="G3380" s="56">
        <v>1113.82</v>
      </c>
      <c r="H3380" s="56">
        <v>667.67499999999995</v>
      </c>
      <c r="I3380" s="58">
        <v>0.45296500000000001</v>
      </c>
      <c r="J3380" s="57">
        <v>0.38343500000000003</v>
      </c>
      <c r="K3380" s="56"/>
      <c r="L3380" s="56" t="s">
        <v>488</v>
      </c>
    </row>
    <row r="3381" spans="2:12" x14ac:dyDescent="0.2">
      <c r="B3381" s="62" t="s">
        <v>2487</v>
      </c>
      <c r="C3381" s="61" t="s">
        <v>756</v>
      </c>
      <c r="D3381" s="60">
        <v>1.5078199999999999</v>
      </c>
      <c r="E3381" s="59">
        <v>3.5722100000000001</v>
      </c>
      <c r="F3381" s="59">
        <v>5.4631100000000004</v>
      </c>
      <c r="G3381" s="56">
        <v>0</v>
      </c>
      <c r="H3381" s="56">
        <v>0</v>
      </c>
      <c r="I3381" s="58">
        <v>0.44045499999999999</v>
      </c>
      <c r="J3381" s="57">
        <v>0.41402099999999997</v>
      </c>
      <c r="K3381" s="56"/>
      <c r="L3381" s="56" t="s">
        <v>488</v>
      </c>
    </row>
    <row r="3382" spans="2:12" x14ac:dyDescent="0.2">
      <c r="B3382" s="62" t="s">
        <v>2486</v>
      </c>
      <c r="C3382" s="61" t="s">
        <v>550</v>
      </c>
      <c r="D3382" s="60">
        <v>2.0577700000000001</v>
      </c>
      <c r="E3382" s="59">
        <v>2.52759</v>
      </c>
      <c r="F3382" s="59">
        <v>3.61049</v>
      </c>
      <c r="G3382" s="56">
        <v>0</v>
      </c>
      <c r="H3382" s="56">
        <v>0</v>
      </c>
      <c r="I3382" s="58">
        <v>6.83227E-2</v>
      </c>
      <c r="J3382" s="57">
        <v>0.16822599999999999</v>
      </c>
      <c r="K3382" s="56"/>
      <c r="L3382" s="56" t="s">
        <v>488</v>
      </c>
    </row>
    <row r="3383" spans="2:12" x14ac:dyDescent="0.2">
      <c r="B3383" s="62" t="s">
        <v>2485</v>
      </c>
      <c r="C3383" s="61" t="s">
        <v>641</v>
      </c>
      <c r="D3383" s="60">
        <v>1.6133299999999999</v>
      </c>
      <c r="E3383" s="59">
        <v>3.2883499999999999</v>
      </c>
      <c r="F3383" s="59">
        <v>3.87649</v>
      </c>
      <c r="G3383" s="56">
        <v>0</v>
      </c>
      <c r="H3383" s="56">
        <v>0</v>
      </c>
      <c r="I3383" s="58">
        <v>0.117816</v>
      </c>
      <c r="J3383" s="57">
        <v>0.25669500000000001</v>
      </c>
      <c r="K3383" s="56"/>
      <c r="L3383" s="56" t="s">
        <v>492</v>
      </c>
    </row>
    <row r="3384" spans="2:12" x14ac:dyDescent="0.2">
      <c r="B3384" s="62" t="s">
        <v>2484</v>
      </c>
      <c r="C3384" s="61" t="s">
        <v>1174</v>
      </c>
      <c r="D3384" s="60">
        <v>0.93709299999999995</v>
      </c>
      <c r="E3384" s="59">
        <v>6.70655</v>
      </c>
      <c r="F3384" s="59">
        <v>7.1121499999999997</v>
      </c>
      <c r="G3384" s="56">
        <v>421.495</v>
      </c>
      <c r="H3384" s="56">
        <v>449.78899999999999</v>
      </c>
      <c r="I3384" s="58">
        <v>0.38662200000000002</v>
      </c>
      <c r="J3384" s="57">
        <v>0.55880200000000002</v>
      </c>
      <c r="K3384" s="56"/>
      <c r="L3384" s="56" t="s">
        <v>488</v>
      </c>
    </row>
    <row r="3385" spans="2:12" x14ac:dyDescent="0.2">
      <c r="B3385" s="62" t="s">
        <v>2483</v>
      </c>
      <c r="C3385" s="61" t="s">
        <v>499</v>
      </c>
      <c r="D3385" s="60">
        <v>1.43868</v>
      </c>
      <c r="E3385" s="59">
        <v>2.6987399999999999</v>
      </c>
      <c r="F3385" s="59">
        <v>3.5894699999999999</v>
      </c>
      <c r="G3385" s="56">
        <v>0</v>
      </c>
      <c r="H3385" s="56">
        <v>0</v>
      </c>
      <c r="I3385" s="58">
        <v>0.15626899999999999</v>
      </c>
      <c r="J3385" s="57">
        <v>0.27754200000000001</v>
      </c>
      <c r="K3385" s="56"/>
      <c r="L3385" s="56" t="s">
        <v>488</v>
      </c>
    </row>
    <row r="3386" spans="2:12" x14ac:dyDescent="0.2">
      <c r="B3386" s="62" t="s">
        <v>2482</v>
      </c>
      <c r="C3386" s="61" t="s">
        <v>495</v>
      </c>
      <c r="D3386" s="60">
        <v>1.4554100000000001</v>
      </c>
      <c r="E3386" s="59">
        <v>2.9704299999999999</v>
      </c>
      <c r="F3386" s="59">
        <v>3.8906399999999999</v>
      </c>
      <c r="G3386" s="56">
        <v>0</v>
      </c>
      <c r="H3386" s="56">
        <v>0</v>
      </c>
      <c r="I3386" s="58">
        <v>0.15832299999999999</v>
      </c>
      <c r="J3386" s="57">
        <v>0.28867799999999999</v>
      </c>
      <c r="K3386" s="56"/>
      <c r="L3386" s="56" t="s">
        <v>488</v>
      </c>
    </row>
    <row r="3387" spans="2:12" x14ac:dyDescent="0.2">
      <c r="B3387" s="62" t="s">
        <v>2481</v>
      </c>
      <c r="C3387" s="61" t="s">
        <v>510</v>
      </c>
      <c r="D3387" s="60">
        <v>1.4551000000000001</v>
      </c>
      <c r="E3387" s="59">
        <v>2.86998</v>
      </c>
      <c r="F3387" s="59">
        <v>4.2393099999999997</v>
      </c>
      <c r="G3387" s="56">
        <v>0</v>
      </c>
      <c r="H3387" s="56">
        <v>0</v>
      </c>
      <c r="I3387" s="58">
        <v>0.206149</v>
      </c>
      <c r="J3387" s="57">
        <v>0.28813100000000003</v>
      </c>
      <c r="K3387" s="56"/>
      <c r="L3387" s="56" t="s">
        <v>488</v>
      </c>
    </row>
    <row r="3388" spans="2:12" x14ac:dyDescent="0.2">
      <c r="B3388" s="62" t="s">
        <v>2480</v>
      </c>
      <c r="C3388" s="61" t="s">
        <v>499</v>
      </c>
      <c r="D3388" s="60">
        <v>1.49051</v>
      </c>
      <c r="E3388" s="59">
        <v>2.8045399999999998</v>
      </c>
      <c r="F3388" s="59">
        <v>4.1193099999999996</v>
      </c>
      <c r="G3388" s="56">
        <v>0</v>
      </c>
      <c r="H3388" s="56">
        <v>0</v>
      </c>
      <c r="I3388" s="58">
        <v>0.19405500000000001</v>
      </c>
      <c r="J3388" s="57">
        <v>0.289657</v>
      </c>
      <c r="K3388" s="56"/>
      <c r="L3388" s="56" t="s">
        <v>488</v>
      </c>
    </row>
    <row r="3389" spans="2:12" x14ac:dyDescent="0.2">
      <c r="B3389" s="62" t="s">
        <v>2479</v>
      </c>
      <c r="C3389" s="61" t="s">
        <v>499</v>
      </c>
      <c r="D3389" s="60">
        <v>1.50363</v>
      </c>
      <c r="E3389" s="59">
        <v>5.0807500000000001</v>
      </c>
      <c r="F3389" s="59">
        <v>5.3715299999999999</v>
      </c>
      <c r="G3389" s="56">
        <v>175.94800000000001</v>
      </c>
      <c r="H3389" s="56">
        <v>117.015</v>
      </c>
      <c r="I3389" s="58">
        <v>0.27870699999999998</v>
      </c>
      <c r="J3389" s="57">
        <v>0.30466900000000002</v>
      </c>
      <c r="K3389" s="56"/>
      <c r="L3389" s="56" t="s">
        <v>488</v>
      </c>
    </row>
    <row r="3390" spans="2:12" x14ac:dyDescent="0.2">
      <c r="B3390" s="62" t="s">
        <v>2478</v>
      </c>
      <c r="C3390" s="61" t="s">
        <v>499</v>
      </c>
      <c r="D3390" s="60">
        <v>1.5002800000000001</v>
      </c>
      <c r="E3390" s="59">
        <v>5.0742099999999999</v>
      </c>
      <c r="F3390" s="59">
        <v>5.3641500000000004</v>
      </c>
      <c r="G3390" s="56">
        <v>187.898</v>
      </c>
      <c r="H3390" s="56">
        <v>125.242</v>
      </c>
      <c r="I3390" s="58">
        <v>0.27807199999999999</v>
      </c>
      <c r="J3390" s="57">
        <v>0.30602800000000002</v>
      </c>
      <c r="K3390" s="56"/>
      <c r="L3390" s="56" t="s">
        <v>488</v>
      </c>
    </row>
    <row r="3391" spans="2:12" x14ac:dyDescent="0.2">
      <c r="B3391" s="62" t="s">
        <v>2477</v>
      </c>
      <c r="C3391" s="61" t="s">
        <v>499</v>
      </c>
      <c r="D3391" s="60">
        <v>0.71878299999999995</v>
      </c>
      <c r="E3391" s="59">
        <v>5.7926399999999996</v>
      </c>
      <c r="F3391" s="59">
        <v>7.9561000000000002</v>
      </c>
      <c r="G3391" s="56">
        <v>1963.81</v>
      </c>
      <c r="H3391" s="56">
        <v>2732.13</v>
      </c>
      <c r="I3391" s="58">
        <v>0.66844400000000004</v>
      </c>
      <c r="J3391" s="57">
        <v>0.96064099999999997</v>
      </c>
      <c r="K3391" s="56"/>
      <c r="L3391" s="56" t="s">
        <v>488</v>
      </c>
    </row>
    <row r="3392" spans="2:12" x14ac:dyDescent="0.2">
      <c r="B3392" s="62" t="s">
        <v>2476</v>
      </c>
      <c r="C3392" s="61" t="s">
        <v>499</v>
      </c>
      <c r="D3392" s="60">
        <v>1.0784400000000001</v>
      </c>
      <c r="E3392" s="59">
        <v>5.2150100000000004</v>
      </c>
      <c r="F3392" s="59">
        <v>6.1741000000000001</v>
      </c>
      <c r="G3392" s="56">
        <v>1171.76</v>
      </c>
      <c r="H3392" s="56">
        <v>1086.53</v>
      </c>
      <c r="I3392" s="58">
        <v>0.56670799999999999</v>
      </c>
      <c r="J3392" s="57">
        <v>0.52744899999999995</v>
      </c>
      <c r="K3392" s="56"/>
      <c r="L3392" s="56" t="s">
        <v>488</v>
      </c>
    </row>
    <row r="3393" spans="2:12" x14ac:dyDescent="0.2">
      <c r="B3393" s="62" t="s">
        <v>2475</v>
      </c>
      <c r="C3393" s="61" t="s">
        <v>499</v>
      </c>
      <c r="D3393" s="60">
        <v>0.89441800000000005</v>
      </c>
      <c r="E3393" s="59">
        <v>6.1650700000000001</v>
      </c>
      <c r="F3393" s="59">
        <v>8.0303699999999996</v>
      </c>
      <c r="G3393" s="56">
        <v>1657.96</v>
      </c>
      <c r="H3393" s="56">
        <v>1853.67</v>
      </c>
      <c r="I3393" s="58">
        <v>0.60722299999999996</v>
      </c>
      <c r="J3393" s="57">
        <v>0.71728599999999998</v>
      </c>
      <c r="K3393" s="56"/>
      <c r="L3393" s="56" t="s">
        <v>488</v>
      </c>
    </row>
    <row r="3394" spans="2:12" x14ac:dyDescent="0.2">
      <c r="B3394" s="62" t="s">
        <v>2474</v>
      </c>
      <c r="C3394" s="61" t="s">
        <v>499</v>
      </c>
      <c r="D3394" s="60">
        <v>1.25543</v>
      </c>
      <c r="E3394" s="59">
        <v>3.3378199999999998</v>
      </c>
      <c r="F3394" s="59">
        <v>4.01335</v>
      </c>
      <c r="G3394" s="56">
        <v>0</v>
      </c>
      <c r="H3394" s="56">
        <v>0</v>
      </c>
      <c r="I3394" s="58">
        <v>0.31471199999999999</v>
      </c>
      <c r="J3394" s="57">
        <v>0.43768000000000001</v>
      </c>
      <c r="K3394" s="56"/>
      <c r="L3394" s="56" t="s">
        <v>488</v>
      </c>
    </row>
    <row r="3395" spans="2:12" x14ac:dyDescent="0.2">
      <c r="B3395" s="62" t="s">
        <v>2473</v>
      </c>
      <c r="C3395" s="61" t="s">
        <v>2472</v>
      </c>
      <c r="D3395" s="60">
        <v>1.69278</v>
      </c>
      <c r="E3395" s="59">
        <v>2.4191799999999999</v>
      </c>
      <c r="F3395" s="59">
        <v>4.9795299999999996</v>
      </c>
      <c r="G3395" s="56">
        <v>0</v>
      </c>
      <c r="H3395" s="56">
        <v>0</v>
      </c>
      <c r="I3395" s="58">
        <v>0.26672499999999999</v>
      </c>
      <c r="J3395" s="57">
        <v>0.25844200000000001</v>
      </c>
      <c r="K3395" s="56"/>
      <c r="L3395" s="56" t="s">
        <v>488</v>
      </c>
    </row>
    <row r="3396" spans="2:12" x14ac:dyDescent="0.2">
      <c r="B3396" s="62" t="s">
        <v>2471</v>
      </c>
      <c r="C3396" s="61" t="s">
        <v>502</v>
      </c>
      <c r="D3396" s="60">
        <v>0.847078</v>
      </c>
      <c r="E3396" s="59">
        <v>6.8467399999999996</v>
      </c>
      <c r="F3396" s="59">
        <v>11.312239999999999</v>
      </c>
      <c r="G3396" s="56">
        <v>2003.14</v>
      </c>
      <c r="H3396" s="56">
        <v>2364.7600000000002</v>
      </c>
      <c r="I3396" s="58">
        <v>0.65476500000000004</v>
      </c>
      <c r="J3396" s="57">
        <v>0.82295799999999997</v>
      </c>
      <c r="K3396" s="56"/>
      <c r="L3396" s="56" t="s">
        <v>488</v>
      </c>
    </row>
    <row r="3397" spans="2:12" x14ac:dyDescent="0.2">
      <c r="B3397" s="62" t="s">
        <v>2470</v>
      </c>
      <c r="C3397" s="61" t="s">
        <v>502</v>
      </c>
      <c r="D3397" s="60">
        <v>0.86792599999999998</v>
      </c>
      <c r="E3397" s="59">
        <v>8.1262000000000008</v>
      </c>
      <c r="F3397" s="59">
        <v>10.701320000000001</v>
      </c>
      <c r="G3397" s="56">
        <v>1736.74</v>
      </c>
      <c r="H3397" s="56">
        <v>2001.03</v>
      </c>
      <c r="I3397" s="58">
        <v>0.64386900000000002</v>
      </c>
      <c r="J3397" s="57">
        <v>0.79278599999999999</v>
      </c>
      <c r="K3397" s="56"/>
      <c r="L3397" s="56" t="s">
        <v>488</v>
      </c>
    </row>
    <row r="3398" spans="2:12" x14ac:dyDescent="0.2">
      <c r="B3398" s="62" t="s">
        <v>2469</v>
      </c>
      <c r="C3398" s="61" t="s">
        <v>499</v>
      </c>
      <c r="D3398" s="60">
        <v>1.35446</v>
      </c>
      <c r="E3398" s="59">
        <v>2.9461400000000002</v>
      </c>
      <c r="F3398" s="59">
        <v>4.9919900000000004</v>
      </c>
      <c r="G3398" s="56">
        <v>0</v>
      </c>
      <c r="H3398" s="56">
        <v>0</v>
      </c>
      <c r="I3398" s="58">
        <v>0.110994</v>
      </c>
      <c r="J3398" s="57">
        <v>0.29522900000000002</v>
      </c>
      <c r="K3398" s="56"/>
      <c r="L3398" s="56" t="s">
        <v>488</v>
      </c>
    </row>
    <row r="3399" spans="2:12" x14ac:dyDescent="0.2">
      <c r="B3399" s="62" t="s">
        <v>2468</v>
      </c>
      <c r="C3399" s="61" t="s">
        <v>499</v>
      </c>
      <c r="D3399" s="60">
        <v>1.3532</v>
      </c>
      <c r="E3399" s="59">
        <v>3.4867300000000001</v>
      </c>
      <c r="F3399" s="59">
        <v>4.4482799999999996</v>
      </c>
      <c r="G3399" s="56">
        <v>0</v>
      </c>
      <c r="H3399" s="56">
        <v>0</v>
      </c>
      <c r="I3399" s="58">
        <v>0.433</v>
      </c>
      <c r="J3399" s="57">
        <v>0.39177699999999999</v>
      </c>
      <c r="K3399" s="56"/>
      <c r="L3399" s="56" t="s">
        <v>488</v>
      </c>
    </row>
    <row r="3400" spans="2:12" x14ac:dyDescent="0.2">
      <c r="B3400" s="62" t="s">
        <v>2467</v>
      </c>
      <c r="C3400" s="61" t="s">
        <v>502</v>
      </c>
      <c r="D3400" s="60">
        <v>1.9912799999999999</v>
      </c>
      <c r="E3400" s="59">
        <v>4.1927500000000002</v>
      </c>
      <c r="F3400" s="59">
        <v>5.1054000000000004</v>
      </c>
      <c r="G3400" s="56">
        <v>237.316</v>
      </c>
      <c r="H3400" s="56">
        <v>119.17700000000001</v>
      </c>
      <c r="I3400" s="58">
        <v>0.18412999999999999</v>
      </c>
      <c r="J3400" s="57">
        <v>0.184393</v>
      </c>
      <c r="K3400" s="56"/>
      <c r="L3400" s="56" t="s">
        <v>492</v>
      </c>
    </row>
    <row r="3401" spans="2:12" x14ac:dyDescent="0.2">
      <c r="B3401" s="62" t="s">
        <v>2466</v>
      </c>
      <c r="C3401" s="61" t="s">
        <v>499</v>
      </c>
      <c r="D3401" s="60">
        <v>1.1241000000000001</v>
      </c>
      <c r="E3401" s="59">
        <v>5.2695800000000004</v>
      </c>
      <c r="F3401" s="59">
        <v>6.9834100000000001</v>
      </c>
      <c r="G3401" s="56">
        <v>1084.96</v>
      </c>
      <c r="H3401" s="56">
        <v>965.18100000000004</v>
      </c>
      <c r="I3401" s="58">
        <v>0.45351900000000001</v>
      </c>
      <c r="J3401" s="57">
        <v>0.47552699999999998</v>
      </c>
      <c r="K3401" s="56"/>
      <c r="L3401" s="56" t="s">
        <v>488</v>
      </c>
    </row>
    <row r="3402" spans="2:12" x14ac:dyDescent="0.2">
      <c r="B3402" s="62" t="s">
        <v>2465</v>
      </c>
      <c r="C3402" s="61" t="s">
        <v>499</v>
      </c>
      <c r="D3402" s="60">
        <v>1.1055999999999999</v>
      </c>
      <c r="E3402" s="59">
        <v>5.6334999999999997</v>
      </c>
      <c r="F3402" s="59">
        <v>7.1608799999999997</v>
      </c>
      <c r="G3402" s="56">
        <v>1154.8399999999999</v>
      </c>
      <c r="H3402" s="56">
        <v>1044.54</v>
      </c>
      <c r="I3402" s="58">
        <v>0.47564600000000001</v>
      </c>
      <c r="J3402" s="57">
        <v>0.49029099999999998</v>
      </c>
      <c r="K3402" s="56"/>
      <c r="L3402" s="56" t="s">
        <v>488</v>
      </c>
    </row>
    <row r="3403" spans="2:12" x14ac:dyDescent="0.2">
      <c r="B3403" s="62" t="s">
        <v>2464</v>
      </c>
      <c r="C3403" s="61" t="s">
        <v>499</v>
      </c>
      <c r="D3403" s="60">
        <v>1.1608700000000001</v>
      </c>
      <c r="E3403" s="59">
        <v>4.1347800000000001</v>
      </c>
      <c r="F3403" s="59">
        <v>6.7044499999999996</v>
      </c>
      <c r="G3403" s="56">
        <v>1290.95</v>
      </c>
      <c r="H3403" s="56">
        <v>1057.42</v>
      </c>
      <c r="I3403" s="58">
        <v>0.67718100000000003</v>
      </c>
      <c r="J3403" s="57">
        <v>0.55445</v>
      </c>
      <c r="K3403" s="56"/>
      <c r="L3403" s="56" t="s">
        <v>492</v>
      </c>
    </row>
    <row r="3404" spans="2:12" x14ac:dyDescent="0.2">
      <c r="B3404" s="62" t="s">
        <v>2463</v>
      </c>
      <c r="C3404" s="61" t="s">
        <v>499</v>
      </c>
      <c r="D3404" s="60">
        <v>1.22085</v>
      </c>
      <c r="E3404" s="59">
        <v>4.8014200000000002</v>
      </c>
      <c r="F3404" s="59">
        <v>6.8981500000000002</v>
      </c>
      <c r="G3404" s="56">
        <v>1812.14</v>
      </c>
      <c r="H3404" s="56">
        <v>1561.02</v>
      </c>
      <c r="I3404" s="58">
        <v>0.529941</v>
      </c>
      <c r="J3404" s="57">
        <v>0.49501800000000001</v>
      </c>
      <c r="K3404" s="56"/>
      <c r="L3404" s="56" t="s">
        <v>492</v>
      </c>
    </row>
    <row r="3405" spans="2:12" x14ac:dyDescent="0.2">
      <c r="B3405" s="62" t="s">
        <v>2462</v>
      </c>
      <c r="C3405" s="61" t="s">
        <v>625</v>
      </c>
      <c r="D3405" s="60">
        <v>1.4820800000000001</v>
      </c>
      <c r="E3405" s="59">
        <v>3.8935200000000001</v>
      </c>
      <c r="F3405" s="59">
        <v>4.5633900000000001</v>
      </c>
      <c r="G3405" s="56">
        <v>422.89600000000002</v>
      </c>
      <c r="H3405" s="56">
        <v>285.33999999999997</v>
      </c>
      <c r="I3405" s="58">
        <v>0.35948999999999998</v>
      </c>
      <c r="J3405" s="57">
        <v>0.34188000000000002</v>
      </c>
      <c r="K3405" s="56"/>
      <c r="L3405" s="56" t="s">
        <v>492</v>
      </c>
    </row>
    <row r="3406" spans="2:12" x14ac:dyDescent="0.2">
      <c r="B3406" s="62" t="s">
        <v>2461</v>
      </c>
      <c r="C3406" s="61" t="s">
        <v>550</v>
      </c>
      <c r="D3406" s="60">
        <v>1.57884</v>
      </c>
      <c r="E3406" s="59">
        <v>4.1019300000000003</v>
      </c>
      <c r="F3406" s="59">
        <v>6.0003900000000003</v>
      </c>
      <c r="G3406" s="56">
        <v>1384.14</v>
      </c>
      <c r="H3406" s="56">
        <v>876.68</v>
      </c>
      <c r="I3406" s="58">
        <v>0.70547300000000002</v>
      </c>
      <c r="J3406" s="57">
        <v>0.35704399999999997</v>
      </c>
      <c r="K3406" s="56"/>
      <c r="L3406" s="56" t="s">
        <v>492</v>
      </c>
    </row>
    <row r="3407" spans="2:12" x14ac:dyDescent="0.2">
      <c r="B3407" s="62" t="s">
        <v>2460</v>
      </c>
      <c r="C3407" s="61" t="s">
        <v>708</v>
      </c>
      <c r="D3407" s="60">
        <v>1.36589</v>
      </c>
      <c r="E3407" s="59">
        <v>3.1450499999999999</v>
      </c>
      <c r="F3407" s="59">
        <v>4.2255500000000001</v>
      </c>
      <c r="G3407" s="56">
        <v>0</v>
      </c>
      <c r="H3407" s="56">
        <v>0</v>
      </c>
      <c r="I3407" s="58">
        <v>0.36552000000000001</v>
      </c>
      <c r="J3407" s="57">
        <v>0.382799</v>
      </c>
      <c r="K3407" s="56"/>
      <c r="L3407" s="56" t="s">
        <v>488</v>
      </c>
    </row>
    <row r="3408" spans="2:12" x14ac:dyDescent="0.2">
      <c r="B3408" s="62" t="s">
        <v>2459</v>
      </c>
      <c r="C3408" s="61" t="s">
        <v>499</v>
      </c>
      <c r="D3408" s="60">
        <v>1.2059599999999999</v>
      </c>
      <c r="E3408" s="59">
        <v>3.92719</v>
      </c>
      <c r="F3408" s="59">
        <v>5.6291399999999996</v>
      </c>
      <c r="G3408" s="56">
        <v>1329.78</v>
      </c>
      <c r="H3408" s="56">
        <v>1102.68</v>
      </c>
      <c r="I3408" s="58">
        <v>0.58893499999999999</v>
      </c>
      <c r="J3408" s="57">
        <v>0.50117999999999996</v>
      </c>
      <c r="K3408" s="56"/>
      <c r="L3408" s="56" t="s">
        <v>488</v>
      </c>
    </row>
    <row r="3409" spans="2:12" x14ac:dyDescent="0.2">
      <c r="B3409" s="62" t="s">
        <v>2458</v>
      </c>
      <c r="C3409" s="61" t="s">
        <v>499</v>
      </c>
      <c r="D3409" s="60">
        <v>0.95945499999999995</v>
      </c>
      <c r="E3409" s="59">
        <v>4.4892099999999999</v>
      </c>
      <c r="F3409" s="59">
        <v>5.82315</v>
      </c>
      <c r="G3409" s="56">
        <v>1396.26</v>
      </c>
      <c r="H3409" s="56">
        <v>1455.26</v>
      </c>
      <c r="I3409" s="58">
        <v>0.49302600000000002</v>
      </c>
      <c r="J3409" s="57">
        <v>0.591943</v>
      </c>
      <c r="K3409" s="56"/>
      <c r="L3409" s="56" t="s">
        <v>492</v>
      </c>
    </row>
    <row r="3410" spans="2:12" x14ac:dyDescent="0.2">
      <c r="B3410" s="62" t="s">
        <v>2457</v>
      </c>
      <c r="C3410" s="61" t="s">
        <v>499</v>
      </c>
      <c r="D3410" s="60">
        <v>0.76867799999999997</v>
      </c>
      <c r="E3410" s="59">
        <v>8.8211700000000004</v>
      </c>
      <c r="F3410" s="59">
        <v>10.50578</v>
      </c>
      <c r="G3410" s="56">
        <v>1695.1</v>
      </c>
      <c r="H3410" s="56">
        <v>2205.21</v>
      </c>
      <c r="I3410" s="58">
        <v>0.69096199999999997</v>
      </c>
      <c r="J3410" s="57">
        <v>0.89397800000000005</v>
      </c>
      <c r="K3410" s="56"/>
      <c r="L3410" s="56" t="s">
        <v>488</v>
      </c>
    </row>
    <row r="3411" spans="2:12" x14ac:dyDescent="0.2">
      <c r="B3411" s="62" t="s">
        <v>2456</v>
      </c>
      <c r="C3411" s="61" t="s">
        <v>2455</v>
      </c>
      <c r="D3411" s="60">
        <v>1.53108</v>
      </c>
      <c r="E3411" s="59">
        <v>2.7057600000000002</v>
      </c>
      <c r="F3411" s="59">
        <v>3.94407</v>
      </c>
      <c r="G3411" s="56">
        <v>0</v>
      </c>
      <c r="H3411" s="56">
        <v>0</v>
      </c>
      <c r="I3411" s="58">
        <v>0.242398</v>
      </c>
      <c r="J3411" s="57">
        <v>0.26032</v>
      </c>
      <c r="K3411" s="56"/>
      <c r="L3411" s="56" t="s">
        <v>488</v>
      </c>
    </row>
    <row r="3412" spans="2:12" x14ac:dyDescent="0.2">
      <c r="B3412" s="62" t="s">
        <v>2454</v>
      </c>
      <c r="C3412" s="61" t="s">
        <v>510</v>
      </c>
      <c r="D3412" s="60">
        <v>0.44845000000000002</v>
      </c>
      <c r="E3412" s="59">
        <v>8.3765800000000006</v>
      </c>
      <c r="F3412" s="59">
        <v>16.856089999999998</v>
      </c>
      <c r="G3412" s="56">
        <v>2219.35</v>
      </c>
      <c r="H3412" s="56">
        <v>4948.92</v>
      </c>
      <c r="I3412" s="58">
        <v>0.84767099999999995</v>
      </c>
      <c r="J3412" s="57">
        <v>1.8001199999999999</v>
      </c>
      <c r="K3412" s="56"/>
      <c r="L3412" s="56" t="s">
        <v>488</v>
      </c>
    </row>
    <row r="3413" spans="2:12" x14ac:dyDescent="0.2">
      <c r="B3413" s="62" t="s">
        <v>2453</v>
      </c>
      <c r="C3413" s="61" t="s">
        <v>510</v>
      </c>
      <c r="D3413" s="60">
        <v>0.46153</v>
      </c>
      <c r="E3413" s="59">
        <v>8.3980399999999999</v>
      </c>
      <c r="F3413" s="59">
        <v>15.09144</v>
      </c>
      <c r="G3413" s="56">
        <v>2292.92</v>
      </c>
      <c r="H3413" s="56">
        <v>4968.08</v>
      </c>
      <c r="I3413" s="58">
        <v>0.83429200000000003</v>
      </c>
      <c r="J3413" s="57">
        <v>1.72838</v>
      </c>
      <c r="K3413" s="56"/>
      <c r="L3413" s="56" t="s">
        <v>488</v>
      </c>
    </row>
    <row r="3414" spans="2:12" x14ac:dyDescent="0.2">
      <c r="B3414" s="62" t="s">
        <v>2452</v>
      </c>
      <c r="C3414" s="61" t="s">
        <v>510</v>
      </c>
      <c r="D3414" s="60">
        <v>0.44755200000000001</v>
      </c>
      <c r="E3414" s="59">
        <v>9.2377500000000001</v>
      </c>
      <c r="F3414" s="59">
        <v>16.421569999999999</v>
      </c>
      <c r="G3414" s="56">
        <v>2115.98</v>
      </c>
      <c r="H3414" s="56">
        <v>4727.8999999999996</v>
      </c>
      <c r="I3414" s="58">
        <v>0.83147899999999997</v>
      </c>
      <c r="J3414" s="57">
        <v>1.7955700000000001</v>
      </c>
      <c r="K3414" s="56" t="s">
        <v>698</v>
      </c>
      <c r="L3414" s="56" t="s">
        <v>563</v>
      </c>
    </row>
    <row r="3415" spans="2:12" x14ac:dyDescent="0.2">
      <c r="B3415" s="62" t="s">
        <v>2451</v>
      </c>
      <c r="C3415" s="61" t="s">
        <v>2450</v>
      </c>
      <c r="D3415" s="60">
        <v>1.01993</v>
      </c>
      <c r="E3415" s="59">
        <v>3.0416099999999999</v>
      </c>
      <c r="F3415" s="59">
        <v>7.68459</v>
      </c>
      <c r="G3415" s="56">
        <v>0</v>
      </c>
      <c r="H3415" s="56">
        <v>0</v>
      </c>
      <c r="I3415" s="58">
        <v>0.56603499999999995</v>
      </c>
      <c r="J3415" s="57">
        <v>0.60545800000000005</v>
      </c>
      <c r="K3415" s="56"/>
      <c r="L3415" s="56" t="s">
        <v>488</v>
      </c>
    </row>
    <row r="3416" spans="2:12" x14ac:dyDescent="0.2">
      <c r="B3416" s="62" t="s">
        <v>2449</v>
      </c>
      <c r="C3416" s="61" t="s">
        <v>2448</v>
      </c>
      <c r="D3416" s="60">
        <v>1.4258599999999999</v>
      </c>
      <c r="E3416" s="59">
        <v>4.23271</v>
      </c>
      <c r="F3416" s="59">
        <v>4.90855</v>
      </c>
      <c r="G3416" s="56">
        <v>377.91</v>
      </c>
      <c r="H3416" s="56">
        <v>265.04000000000002</v>
      </c>
      <c r="I3416" s="58">
        <v>0.259274</v>
      </c>
      <c r="J3416" s="57">
        <v>0.34082600000000002</v>
      </c>
      <c r="K3416" s="56"/>
      <c r="L3416" s="56" t="s">
        <v>488</v>
      </c>
    </row>
    <row r="3417" spans="2:12" x14ac:dyDescent="0.2">
      <c r="B3417" s="62" t="s">
        <v>2447</v>
      </c>
      <c r="C3417" s="61" t="s">
        <v>550</v>
      </c>
      <c r="D3417" s="60">
        <v>0.95941699999999996</v>
      </c>
      <c r="E3417" s="59">
        <v>9.1403300000000005</v>
      </c>
      <c r="F3417" s="59">
        <v>16.482949999999999</v>
      </c>
      <c r="G3417" s="56">
        <v>1194.92</v>
      </c>
      <c r="H3417" s="56">
        <v>1245.47</v>
      </c>
      <c r="I3417" s="58">
        <v>0.77978800000000004</v>
      </c>
      <c r="J3417" s="57">
        <v>0.73852499999999999</v>
      </c>
      <c r="K3417" s="56"/>
      <c r="L3417" s="56" t="s">
        <v>488</v>
      </c>
    </row>
    <row r="3418" spans="2:12" x14ac:dyDescent="0.2">
      <c r="B3418" s="62" t="s">
        <v>2446</v>
      </c>
      <c r="C3418" s="61" t="s">
        <v>2445</v>
      </c>
      <c r="D3418" s="60">
        <v>2.3904700000000001</v>
      </c>
      <c r="E3418" s="59">
        <v>3.2259099999999998</v>
      </c>
      <c r="F3418" s="59">
        <v>3.5411899999999998</v>
      </c>
      <c r="G3418" s="56">
        <v>0</v>
      </c>
      <c r="H3418" s="56">
        <v>0</v>
      </c>
      <c r="I3418" s="58">
        <v>0.28841299999999997</v>
      </c>
      <c r="J3418" s="57">
        <v>0.170651</v>
      </c>
      <c r="K3418" s="56"/>
      <c r="L3418" s="56" t="s">
        <v>488</v>
      </c>
    </row>
    <row r="3419" spans="2:12" x14ac:dyDescent="0.2">
      <c r="B3419" s="62" t="s">
        <v>2444</v>
      </c>
      <c r="C3419" s="61" t="s">
        <v>523</v>
      </c>
      <c r="D3419" s="60">
        <v>0.99458999999999997</v>
      </c>
      <c r="E3419" s="59">
        <v>7.3303399999999996</v>
      </c>
      <c r="F3419" s="59">
        <v>7.8169199999999996</v>
      </c>
      <c r="G3419" s="56">
        <v>1647.53</v>
      </c>
      <c r="H3419" s="56">
        <v>1656.49</v>
      </c>
      <c r="I3419" s="58">
        <v>0.656443</v>
      </c>
      <c r="J3419" s="57">
        <v>0.64028600000000002</v>
      </c>
      <c r="K3419" s="56"/>
      <c r="L3419" s="56" t="s">
        <v>488</v>
      </c>
    </row>
    <row r="3420" spans="2:12" x14ac:dyDescent="0.2">
      <c r="B3420" s="62" t="s">
        <v>2443</v>
      </c>
      <c r="C3420" s="61" t="s">
        <v>531</v>
      </c>
      <c r="D3420" s="60">
        <v>2.0028999999999999</v>
      </c>
      <c r="E3420" s="59">
        <v>2.74105</v>
      </c>
      <c r="F3420" s="59">
        <v>3.78403</v>
      </c>
      <c r="G3420" s="56">
        <v>0</v>
      </c>
      <c r="H3420" s="56">
        <v>0</v>
      </c>
      <c r="I3420" s="58">
        <v>0.28725000000000001</v>
      </c>
      <c r="J3420" s="57">
        <v>0.24635299999999999</v>
      </c>
      <c r="K3420" s="56"/>
      <c r="L3420" s="56" t="s">
        <v>488</v>
      </c>
    </row>
    <row r="3421" spans="2:12" x14ac:dyDescent="0.2">
      <c r="B3421" s="62" t="s">
        <v>2442</v>
      </c>
      <c r="C3421" s="61" t="s">
        <v>529</v>
      </c>
      <c r="D3421" s="60">
        <v>1.54295</v>
      </c>
      <c r="E3421" s="59">
        <v>2.8344900000000002</v>
      </c>
      <c r="F3421" s="59">
        <v>3.8919199999999998</v>
      </c>
      <c r="G3421" s="56">
        <v>0</v>
      </c>
      <c r="H3421" s="56">
        <v>0</v>
      </c>
      <c r="I3421" s="58">
        <v>0.33005000000000001</v>
      </c>
      <c r="J3421" s="57">
        <v>0.32537300000000002</v>
      </c>
      <c r="K3421" s="56"/>
      <c r="L3421" s="56" t="s">
        <v>488</v>
      </c>
    </row>
    <row r="3422" spans="2:12" x14ac:dyDescent="0.2">
      <c r="B3422" s="62" t="s">
        <v>2441</v>
      </c>
      <c r="C3422" s="61" t="s">
        <v>507</v>
      </c>
      <c r="D3422" s="60">
        <v>0.99075100000000005</v>
      </c>
      <c r="E3422" s="59">
        <v>4.5908699999999998</v>
      </c>
      <c r="F3422" s="59">
        <v>5.8255600000000003</v>
      </c>
      <c r="G3422" s="56">
        <v>1394.67</v>
      </c>
      <c r="H3422" s="56">
        <v>1407.69</v>
      </c>
      <c r="I3422" s="58">
        <v>0.66323299999999996</v>
      </c>
      <c r="J3422" s="57">
        <v>0.62617400000000001</v>
      </c>
      <c r="K3422" s="56"/>
      <c r="L3422" s="56" t="s">
        <v>488</v>
      </c>
    </row>
    <row r="3423" spans="2:12" x14ac:dyDescent="0.2">
      <c r="B3423" s="62" t="s">
        <v>2440</v>
      </c>
      <c r="C3423" s="61" t="s">
        <v>507</v>
      </c>
      <c r="D3423" s="60">
        <v>0.99075100000000005</v>
      </c>
      <c r="E3423" s="59">
        <v>4.5265599999999999</v>
      </c>
      <c r="F3423" s="59">
        <v>5.79115</v>
      </c>
      <c r="G3423" s="56">
        <v>1389.84</v>
      </c>
      <c r="H3423" s="56">
        <v>1402.81</v>
      </c>
      <c r="I3423" s="58">
        <v>0.66527899999999995</v>
      </c>
      <c r="J3423" s="57">
        <v>0.62683100000000003</v>
      </c>
      <c r="K3423" s="56"/>
      <c r="L3423" s="56" t="s">
        <v>488</v>
      </c>
    </row>
    <row r="3424" spans="2:12" x14ac:dyDescent="0.2">
      <c r="B3424" s="62" t="s">
        <v>2439</v>
      </c>
      <c r="C3424" s="61" t="s">
        <v>625</v>
      </c>
      <c r="D3424" s="60">
        <v>1.76912</v>
      </c>
      <c r="E3424" s="59">
        <v>2.5029699999999999</v>
      </c>
      <c r="F3424" s="59">
        <v>3.9510700000000001</v>
      </c>
      <c r="G3424" s="56">
        <v>0</v>
      </c>
      <c r="H3424" s="56">
        <v>0</v>
      </c>
      <c r="I3424" s="58">
        <v>0.11230800000000001</v>
      </c>
      <c r="J3424" s="57">
        <v>0.21712699999999999</v>
      </c>
      <c r="K3424" s="56"/>
      <c r="L3424" s="56" t="s">
        <v>492</v>
      </c>
    </row>
    <row r="3425" spans="2:12" x14ac:dyDescent="0.2">
      <c r="B3425" s="62" t="s">
        <v>2438</v>
      </c>
      <c r="C3425" s="61" t="s">
        <v>798</v>
      </c>
      <c r="D3425" s="60">
        <v>0.85185299999999997</v>
      </c>
      <c r="E3425" s="59">
        <v>4.64818</v>
      </c>
      <c r="F3425" s="59">
        <v>6.6573200000000003</v>
      </c>
      <c r="G3425" s="56">
        <v>1630.52</v>
      </c>
      <c r="H3425" s="56">
        <v>1914.09</v>
      </c>
      <c r="I3425" s="58">
        <v>0.62166900000000003</v>
      </c>
      <c r="J3425" s="57">
        <v>0.728742</v>
      </c>
      <c r="K3425" s="56"/>
      <c r="L3425" s="56" t="s">
        <v>488</v>
      </c>
    </row>
    <row r="3426" spans="2:12" x14ac:dyDescent="0.2">
      <c r="B3426" s="62" t="s">
        <v>2437</v>
      </c>
      <c r="C3426" s="61" t="s">
        <v>798</v>
      </c>
      <c r="D3426" s="60">
        <v>0.85185299999999997</v>
      </c>
      <c r="E3426" s="59">
        <v>4.64818</v>
      </c>
      <c r="F3426" s="59">
        <v>6.6573200000000003</v>
      </c>
      <c r="G3426" s="56">
        <v>1630.52</v>
      </c>
      <c r="H3426" s="56">
        <v>1914.09</v>
      </c>
      <c r="I3426" s="58">
        <v>0.62345099999999998</v>
      </c>
      <c r="J3426" s="57">
        <v>0.728742</v>
      </c>
      <c r="K3426" s="56"/>
      <c r="L3426" s="56" t="s">
        <v>488</v>
      </c>
    </row>
    <row r="3427" spans="2:12" x14ac:dyDescent="0.2">
      <c r="B3427" s="62" t="s">
        <v>2436</v>
      </c>
      <c r="C3427" s="61" t="s">
        <v>499</v>
      </c>
      <c r="D3427" s="60">
        <v>1.2214400000000001</v>
      </c>
      <c r="E3427" s="59">
        <v>3.8584299999999998</v>
      </c>
      <c r="F3427" s="59">
        <v>5.2468300000000001</v>
      </c>
      <c r="G3427" s="56">
        <v>715.40800000000002</v>
      </c>
      <c r="H3427" s="56">
        <v>585.71100000000001</v>
      </c>
      <c r="I3427" s="58">
        <v>0.455314</v>
      </c>
      <c r="J3427" s="57">
        <v>0.44506400000000002</v>
      </c>
      <c r="K3427" s="56"/>
      <c r="L3427" s="56" t="s">
        <v>488</v>
      </c>
    </row>
    <row r="3428" spans="2:12" x14ac:dyDescent="0.2">
      <c r="B3428" s="62" t="s">
        <v>2435</v>
      </c>
      <c r="C3428" s="61" t="s">
        <v>499</v>
      </c>
      <c r="D3428" s="60">
        <v>1.4310099999999999</v>
      </c>
      <c r="E3428" s="59">
        <v>3.5855600000000001</v>
      </c>
      <c r="F3428" s="59">
        <v>5.6311</v>
      </c>
      <c r="G3428" s="56">
        <v>0</v>
      </c>
      <c r="H3428" s="56">
        <v>0</v>
      </c>
      <c r="I3428" s="58">
        <v>0.293346</v>
      </c>
      <c r="J3428" s="57">
        <v>0.30962499999999998</v>
      </c>
      <c r="K3428" s="56"/>
      <c r="L3428" s="56" t="s">
        <v>488</v>
      </c>
    </row>
    <row r="3429" spans="2:12" x14ac:dyDescent="0.2">
      <c r="B3429" s="62" t="s">
        <v>2434</v>
      </c>
      <c r="C3429" s="61" t="s">
        <v>550</v>
      </c>
      <c r="D3429" s="60">
        <v>1.58683</v>
      </c>
      <c r="E3429" s="59">
        <v>3.0286200000000001</v>
      </c>
      <c r="F3429" s="59">
        <v>4.8985099999999999</v>
      </c>
      <c r="G3429" s="56">
        <v>0</v>
      </c>
      <c r="H3429" s="56">
        <v>0</v>
      </c>
      <c r="I3429" s="58">
        <v>0.13665099999999999</v>
      </c>
      <c r="J3429" s="57">
        <v>0.25168200000000002</v>
      </c>
      <c r="K3429" s="56"/>
      <c r="L3429" s="56" t="s">
        <v>488</v>
      </c>
    </row>
    <row r="3430" spans="2:12" x14ac:dyDescent="0.2">
      <c r="B3430" s="62" t="s">
        <v>2433</v>
      </c>
      <c r="C3430" s="61" t="s">
        <v>550</v>
      </c>
      <c r="D3430" s="60">
        <v>1.5168299999999999</v>
      </c>
      <c r="E3430" s="59">
        <v>2.87906</v>
      </c>
      <c r="F3430" s="59">
        <v>4.6653099999999998</v>
      </c>
      <c r="G3430" s="56">
        <v>0</v>
      </c>
      <c r="H3430" s="56">
        <v>0</v>
      </c>
      <c r="I3430" s="58">
        <v>0.19889799999999999</v>
      </c>
      <c r="J3430" s="57">
        <v>0.29104799999999997</v>
      </c>
      <c r="K3430" s="56"/>
      <c r="L3430" s="56" t="s">
        <v>488</v>
      </c>
    </row>
    <row r="3431" spans="2:12" x14ac:dyDescent="0.2">
      <c r="B3431" s="62" t="s">
        <v>2432</v>
      </c>
      <c r="C3431" s="61" t="s">
        <v>2431</v>
      </c>
      <c r="D3431" s="60">
        <v>1.2231700000000001</v>
      </c>
      <c r="E3431" s="59">
        <v>7.9467800000000004</v>
      </c>
      <c r="F3431" s="59">
        <v>8.2038399999999996</v>
      </c>
      <c r="G3431" s="56">
        <v>763.96</v>
      </c>
      <c r="H3431" s="56">
        <v>624.57399999999996</v>
      </c>
      <c r="I3431" s="58">
        <v>0.31867899999999999</v>
      </c>
      <c r="J3431" s="57">
        <v>0.31809399999999999</v>
      </c>
      <c r="K3431" s="56"/>
      <c r="L3431" s="56" t="s">
        <v>488</v>
      </c>
    </row>
    <row r="3432" spans="2:12" x14ac:dyDescent="0.2">
      <c r="B3432" s="62" t="s">
        <v>2430</v>
      </c>
      <c r="C3432" s="61" t="s">
        <v>499</v>
      </c>
      <c r="D3432" s="60">
        <v>1.1520300000000001</v>
      </c>
      <c r="E3432" s="59">
        <v>2.6832500000000001</v>
      </c>
      <c r="F3432" s="59">
        <v>4.8669700000000002</v>
      </c>
      <c r="G3432" s="56">
        <v>0</v>
      </c>
      <c r="H3432" s="56">
        <v>0</v>
      </c>
      <c r="I3432" s="58">
        <v>0.34433399999999997</v>
      </c>
      <c r="J3432" s="57">
        <v>0.457372</v>
      </c>
      <c r="K3432" s="56"/>
      <c r="L3432" s="56" t="s">
        <v>488</v>
      </c>
    </row>
    <row r="3433" spans="2:12" x14ac:dyDescent="0.2">
      <c r="B3433" s="62" t="s">
        <v>2429</v>
      </c>
      <c r="C3433" s="61" t="s">
        <v>550</v>
      </c>
      <c r="D3433" s="60">
        <v>1.21668</v>
      </c>
      <c r="E3433" s="59">
        <v>6.4894499999999997</v>
      </c>
      <c r="F3433" s="59">
        <v>9.2983399999999996</v>
      </c>
      <c r="G3433" s="56">
        <v>1074.4100000000001</v>
      </c>
      <c r="H3433" s="56">
        <v>883.06700000000001</v>
      </c>
      <c r="I3433" s="58">
        <v>0.438303</v>
      </c>
      <c r="J3433" s="57">
        <v>0.45231100000000002</v>
      </c>
      <c r="K3433" s="56"/>
      <c r="L3433" s="56" t="s">
        <v>488</v>
      </c>
    </row>
    <row r="3434" spans="2:12" x14ac:dyDescent="0.2">
      <c r="B3434" s="62" t="s">
        <v>2428</v>
      </c>
      <c r="C3434" s="61" t="s">
        <v>499</v>
      </c>
      <c r="D3434" s="60">
        <v>1.46536</v>
      </c>
      <c r="E3434" s="59">
        <v>4.3145199999999999</v>
      </c>
      <c r="F3434" s="59">
        <v>5.5759499999999997</v>
      </c>
      <c r="G3434" s="56">
        <v>659.66700000000003</v>
      </c>
      <c r="H3434" s="56">
        <v>450.17399999999998</v>
      </c>
      <c r="I3434" s="58">
        <v>0.38375199999999998</v>
      </c>
      <c r="J3434" s="57">
        <v>0.3256</v>
      </c>
      <c r="K3434" s="56"/>
      <c r="L3434" s="56" t="s">
        <v>488</v>
      </c>
    </row>
    <row r="3435" spans="2:12" x14ac:dyDescent="0.2">
      <c r="B3435" s="62" t="s">
        <v>2427</v>
      </c>
      <c r="C3435" s="61" t="s">
        <v>510</v>
      </c>
      <c r="D3435" s="60">
        <v>2.1850299999999998</v>
      </c>
      <c r="E3435" s="59">
        <v>4.0385799999999996</v>
      </c>
      <c r="F3435" s="59">
        <v>4.2521000000000004</v>
      </c>
      <c r="G3435" s="56">
        <v>325.77800000000002</v>
      </c>
      <c r="H3435" s="56">
        <v>149.095</v>
      </c>
      <c r="I3435" s="58">
        <v>0.30805500000000002</v>
      </c>
      <c r="J3435" s="57">
        <v>0.17218</v>
      </c>
      <c r="K3435" s="56"/>
      <c r="L3435" s="56" t="s">
        <v>488</v>
      </c>
    </row>
    <row r="3436" spans="2:12" x14ac:dyDescent="0.2">
      <c r="B3436" s="62" t="s">
        <v>2426</v>
      </c>
      <c r="C3436" s="61" t="s">
        <v>507</v>
      </c>
      <c r="D3436" s="60">
        <v>2.0985800000000001</v>
      </c>
      <c r="E3436" s="59">
        <v>3.2167599999999998</v>
      </c>
      <c r="F3436" s="59">
        <v>4.2134400000000003</v>
      </c>
      <c r="G3436" s="56">
        <v>0</v>
      </c>
      <c r="H3436" s="56">
        <v>0</v>
      </c>
      <c r="I3436" s="58">
        <v>0.222938</v>
      </c>
      <c r="J3436" s="57">
        <v>0.20369799999999999</v>
      </c>
      <c r="K3436" s="56"/>
      <c r="L3436" s="56" t="s">
        <v>488</v>
      </c>
    </row>
    <row r="3437" spans="2:12" x14ac:dyDescent="0.2">
      <c r="B3437" s="62" t="s">
        <v>2425</v>
      </c>
      <c r="C3437" s="61" t="s">
        <v>535</v>
      </c>
      <c r="D3437" s="60">
        <v>1.0312600000000001</v>
      </c>
      <c r="E3437" s="59">
        <v>9.9735499999999995</v>
      </c>
      <c r="F3437" s="59">
        <v>12.147779999999999</v>
      </c>
      <c r="G3437" s="56">
        <v>1344.87</v>
      </c>
      <c r="H3437" s="56">
        <v>1304.0999999999999</v>
      </c>
      <c r="I3437" s="58">
        <v>0.61073599999999995</v>
      </c>
      <c r="J3437" s="57">
        <v>0.60352600000000001</v>
      </c>
      <c r="K3437" s="56"/>
      <c r="L3437" s="56" t="s">
        <v>488</v>
      </c>
    </row>
    <row r="3438" spans="2:12" x14ac:dyDescent="0.2">
      <c r="B3438" s="62" t="s">
        <v>2424</v>
      </c>
      <c r="C3438" s="61" t="s">
        <v>502</v>
      </c>
      <c r="D3438" s="60">
        <v>1.58066</v>
      </c>
      <c r="E3438" s="59">
        <v>2.9455499999999999</v>
      </c>
      <c r="F3438" s="59">
        <v>3.8585799999999999</v>
      </c>
      <c r="G3438" s="56">
        <v>0</v>
      </c>
      <c r="H3438" s="56">
        <v>0</v>
      </c>
      <c r="I3438" s="58">
        <v>0.30327799999999999</v>
      </c>
      <c r="J3438" s="57">
        <v>0.32511099999999998</v>
      </c>
      <c r="K3438" s="56"/>
      <c r="L3438" s="56" t="s">
        <v>488</v>
      </c>
    </row>
    <row r="3439" spans="2:12" x14ac:dyDescent="0.2">
      <c r="B3439" s="62" t="s">
        <v>2423</v>
      </c>
      <c r="C3439" s="61" t="s">
        <v>499</v>
      </c>
      <c r="D3439" s="60">
        <v>1.14455</v>
      </c>
      <c r="E3439" s="59">
        <v>4.7417600000000002</v>
      </c>
      <c r="F3439" s="59">
        <v>6.3577000000000004</v>
      </c>
      <c r="G3439" s="56">
        <v>918.39</v>
      </c>
      <c r="H3439" s="56">
        <v>802.404</v>
      </c>
      <c r="I3439" s="58">
        <v>0.47336699999999998</v>
      </c>
      <c r="J3439" s="57">
        <v>0.46320600000000001</v>
      </c>
      <c r="K3439" s="56"/>
      <c r="L3439" s="56" t="s">
        <v>488</v>
      </c>
    </row>
    <row r="3440" spans="2:12" x14ac:dyDescent="0.2">
      <c r="B3440" s="62" t="s">
        <v>2422</v>
      </c>
      <c r="C3440" s="61" t="s">
        <v>2421</v>
      </c>
      <c r="D3440" s="60">
        <v>1.8261099999999999</v>
      </c>
      <c r="E3440" s="59">
        <v>2.6343399999999999</v>
      </c>
      <c r="F3440" s="59">
        <v>3.5030199999999998</v>
      </c>
      <c r="G3440" s="56">
        <v>0</v>
      </c>
      <c r="H3440" s="56">
        <v>0</v>
      </c>
      <c r="I3440" s="58">
        <v>0.164051</v>
      </c>
      <c r="J3440" s="57">
        <v>0.225857</v>
      </c>
      <c r="K3440" s="56"/>
      <c r="L3440" s="56" t="s">
        <v>488</v>
      </c>
    </row>
    <row r="3441" spans="2:12" x14ac:dyDescent="0.2">
      <c r="B3441" s="62" t="s">
        <v>2420</v>
      </c>
      <c r="C3441" s="61" t="s">
        <v>2419</v>
      </c>
      <c r="D3441" s="60">
        <v>1.8807799999999999</v>
      </c>
      <c r="E3441" s="59">
        <v>2.6550600000000002</v>
      </c>
      <c r="F3441" s="59">
        <v>3.4326699999999999</v>
      </c>
      <c r="G3441" s="56">
        <v>0</v>
      </c>
      <c r="H3441" s="56">
        <v>0</v>
      </c>
      <c r="I3441" s="58">
        <v>0.152672</v>
      </c>
      <c r="J3441" s="57">
        <v>0.216362</v>
      </c>
      <c r="K3441" s="56"/>
      <c r="L3441" s="56" t="s">
        <v>488</v>
      </c>
    </row>
    <row r="3442" spans="2:12" x14ac:dyDescent="0.2">
      <c r="B3442" s="62" t="s">
        <v>2418</v>
      </c>
      <c r="C3442" s="61" t="s">
        <v>531</v>
      </c>
      <c r="D3442" s="60">
        <v>1.8550199999999999</v>
      </c>
      <c r="E3442" s="59">
        <v>3.5257200000000002</v>
      </c>
      <c r="F3442" s="59">
        <v>4.5421199999999997</v>
      </c>
      <c r="G3442" s="56">
        <v>0</v>
      </c>
      <c r="H3442" s="56">
        <v>0</v>
      </c>
      <c r="I3442" s="58">
        <v>0.33205899999999999</v>
      </c>
      <c r="J3442" s="57">
        <v>0.22820699999999999</v>
      </c>
      <c r="K3442" s="56"/>
      <c r="L3442" s="56" t="s">
        <v>488</v>
      </c>
    </row>
    <row r="3443" spans="2:12" x14ac:dyDescent="0.2">
      <c r="B3443" s="62" t="s">
        <v>2417</v>
      </c>
      <c r="C3443" s="61" t="s">
        <v>533</v>
      </c>
      <c r="D3443" s="60">
        <v>1.89418</v>
      </c>
      <c r="E3443" s="59">
        <v>3.4918999999999998</v>
      </c>
      <c r="F3443" s="59">
        <v>4.4939799999999996</v>
      </c>
      <c r="G3443" s="56">
        <v>0</v>
      </c>
      <c r="H3443" s="56">
        <v>0</v>
      </c>
      <c r="I3443" s="58">
        <v>0.33848600000000001</v>
      </c>
      <c r="J3443" s="57">
        <v>0.22231200000000001</v>
      </c>
      <c r="K3443" s="56"/>
      <c r="L3443" s="56" t="s">
        <v>488</v>
      </c>
    </row>
    <row r="3444" spans="2:12" x14ac:dyDescent="0.2">
      <c r="B3444" s="62" t="s">
        <v>2416</v>
      </c>
      <c r="C3444" s="61" t="s">
        <v>495</v>
      </c>
      <c r="D3444" s="60">
        <v>1.3113999999999999</v>
      </c>
      <c r="E3444" s="59">
        <v>3.7421199999999999</v>
      </c>
      <c r="F3444" s="59">
        <v>6.37317</v>
      </c>
      <c r="G3444" s="56">
        <v>555.85699999999997</v>
      </c>
      <c r="H3444" s="56">
        <v>423.86500000000001</v>
      </c>
      <c r="I3444" s="58">
        <v>0.35739399999999999</v>
      </c>
      <c r="J3444" s="57">
        <v>0.41956700000000002</v>
      </c>
      <c r="K3444" s="56"/>
      <c r="L3444" s="56" t="s">
        <v>492</v>
      </c>
    </row>
    <row r="3445" spans="2:12" x14ac:dyDescent="0.2">
      <c r="B3445" s="62" t="s">
        <v>2415</v>
      </c>
      <c r="C3445" s="61" t="s">
        <v>510</v>
      </c>
      <c r="D3445" s="60">
        <v>1.08026</v>
      </c>
      <c r="E3445" s="59">
        <v>5.0856199999999996</v>
      </c>
      <c r="F3445" s="59">
        <v>5.5016800000000003</v>
      </c>
      <c r="G3445" s="56">
        <v>926.80799999999999</v>
      </c>
      <c r="H3445" s="56">
        <v>857.947</v>
      </c>
      <c r="I3445" s="58">
        <v>0.468468</v>
      </c>
      <c r="J3445" s="57">
        <v>0.48905900000000002</v>
      </c>
      <c r="K3445" s="56"/>
      <c r="L3445" s="56" t="s">
        <v>488</v>
      </c>
    </row>
    <row r="3446" spans="2:12" x14ac:dyDescent="0.2">
      <c r="B3446" s="62" t="s">
        <v>2414</v>
      </c>
      <c r="C3446" s="61" t="s">
        <v>510</v>
      </c>
      <c r="D3446" s="60">
        <v>1.01993</v>
      </c>
      <c r="E3446" s="59">
        <v>4.8455300000000001</v>
      </c>
      <c r="F3446" s="59">
        <v>6.08453</v>
      </c>
      <c r="G3446" s="56">
        <v>1164.92</v>
      </c>
      <c r="H3446" s="56">
        <v>1142.1600000000001</v>
      </c>
      <c r="I3446" s="58">
        <v>0.52251999999999998</v>
      </c>
      <c r="J3446" s="57">
        <v>0.541879</v>
      </c>
      <c r="K3446" s="56"/>
      <c r="L3446" s="56" t="s">
        <v>488</v>
      </c>
    </row>
    <row r="3447" spans="2:12" x14ac:dyDescent="0.2">
      <c r="B3447" s="62" t="s">
        <v>2413</v>
      </c>
      <c r="C3447" s="61" t="s">
        <v>499</v>
      </c>
      <c r="D3447" s="60">
        <v>0.68495499999999998</v>
      </c>
      <c r="E3447" s="59">
        <v>5.9500500000000001</v>
      </c>
      <c r="F3447" s="59">
        <v>9.8177299999999992</v>
      </c>
      <c r="G3447" s="56">
        <v>2268.79</v>
      </c>
      <c r="H3447" s="56">
        <v>3312.31</v>
      </c>
      <c r="I3447" s="58">
        <v>0.76500199999999996</v>
      </c>
      <c r="J3447" s="57">
        <v>1.0507599999999999</v>
      </c>
      <c r="K3447" s="56"/>
      <c r="L3447" s="56" t="s">
        <v>488</v>
      </c>
    </row>
    <row r="3448" spans="2:12" x14ac:dyDescent="0.2">
      <c r="B3448" s="62" t="s">
        <v>2412</v>
      </c>
      <c r="C3448" s="61" t="s">
        <v>499</v>
      </c>
      <c r="D3448" s="60">
        <v>1.2677499999999999</v>
      </c>
      <c r="E3448" s="59">
        <v>4.3585700000000003</v>
      </c>
      <c r="F3448" s="59">
        <v>4.6478700000000002</v>
      </c>
      <c r="G3448" s="56">
        <v>338.17700000000002</v>
      </c>
      <c r="H3448" s="56">
        <v>266.75400000000002</v>
      </c>
      <c r="I3448" s="58">
        <v>0.40098699999999998</v>
      </c>
      <c r="J3448" s="57">
        <v>0.39342199999999999</v>
      </c>
      <c r="K3448" s="56"/>
      <c r="L3448" s="56" t="s">
        <v>488</v>
      </c>
    </row>
    <row r="3449" spans="2:12" x14ac:dyDescent="0.2">
      <c r="B3449" s="62" t="s">
        <v>2411</v>
      </c>
      <c r="C3449" s="61" t="s">
        <v>502</v>
      </c>
      <c r="D3449" s="60">
        <v>1.2915000000000001</v>
      </c>
      <c r="E3449" s="59">
        <v>4.8644800000000004</v>
      </c>
      <c r="F3449" s="59">
        <v>6.2895000000000003</v>
      </c>
      <c r="G3449" s="56">
        <v>667.84299999999996</v>
      </c>
      <c r="H3449" s="56">
        <v>517.10500000000002</v>
      </c>
      <c r="I3449" s="58">
        <v>0.34060699999999999</v>
      </c>
      <c r="J3449" s="57">
        <v>0.40992499999999998</v>
      </c>
      <c r="K3449" s="56"/>
      <c r="L3449" s="56" t="s">
        <v>823</v>
      </c>
    </row>
    <row r="3450" spans="2:12" x14ac:dyDescent="0.2">
      <c r="B3450" s="62" t="s">
        <v>2410</v>
      </c>
      <c r="C3450" s="61" t="s">
        <v>625</v>
      </c>
      <c r="D3450" s="60">
        <v>0.86836199999999997</v>
      </c>
      <c r="E3450" s="59">
        <v>6.6470200000000004</v>
      </c>
      <c r="F3450" s="59">
        <v>7.7851699999999999</v>
      </c>
      <c r="G3450" s="56">
        <v>1752.17</v>
      </c>
      <c r="H3450" s="56">
        <v>2017.79</v>
      </c>
      <c r="I3450" s="58">
        <v>0.61593299999999995</v>
      </c>
      <c r="J3450" s="57">
        <v>0.74495999999999996</v>
      </c>
      <c r="K3450" s="56"/>
      <c r="L3450" s="56" t="s">
        <v>492</v>
      </c>
    </row>
    <row r="3451" spans="2:12" x14ac:dyDescent="0.2">
      <c r="B3451" s="62" t="s">
        <v>2409</v>
      </c>
      <c r="C3451" s="61" t="s">
        <v>510</v>
      </c>
      <c r="D3451" s="60">
        <v>1.32064</v>
      </c>
      <c r="E3451" s="59">
        <v>3.6629299999999998</v>
      </c>
      <c r="F3451" s="59">
        <v>4.5237400000000001</v>
      </c>
      <c r="G3451" s="56">
        <v>0</v>
      </c>
      <c r="H3451" s="56">
        <v>0</v>
      </c>
      <c r="I3451" s="58">
        <v>0.241509</v>
      </c>
      <c r="J3451" s="57">
        <v>0.33927200000000002</v>
      </c>
      <c r="K3451" s="56"/>
      <c r="L3451" s="56" t="s">
        <v>488</v>
      </c>
    </row>
    <row r="3452" spans="2:12" x14ac:dyDescent="0.2">
      <c r="B3452" s="62" t="s">
        <v>2408</v>
      </c>
      <c r="C3452" s="61" t="s">
        <v>550</v>
      </c>
      <c r="D3452" s="60">
        <v>1.4208099999999999</v>
      </c>
      <c r="E3452" s="59">
        <v>3.44834</v>
      </c>
      <c r="F3452" s="59">
        <v>5.7943499999999997</v>
      </c>
      <c r="G3452" s="56">
        <v>0</v>
      </c>
      <c r="H3452" s="56">
        <v>0</v>
      </c>
      <c r="I3452" s="58">
        <v>0.49431599999999998</v>
      </c>
      <c r="J3452" s="57">
        <v>0.38270900000000002</v>
      </c>
      <c r="K3452" s="56"/>
      <c r="L3452" s="56" t="s">
        <v>488</v>
      </c>
    </row>
    <row r="3453" spans="2:12" x14ac:dyDescent="0.2">
      <c r="B3453" s="62" t="s">
        <v>2407</v>
      </c>
      <c r="C3453" s="61" t="s">
        <v>550</v>
      </c>
      <c r="D3453" s="60">
        <v>1.5921099999999999</v>
      </c>
      <c r="E3453" s="59">
        <v>3.1388400000000001</v>
      </c>
      <c r="F3453" s="59">
        <v>5.1387999999999998</v>
      </c>
      <c r="G3453" s="56">
        <v>0</v>
      </c>
      <c r="H3453" s="56">
        <v>0</v>
      </c>
      <c r="I3453" s="58">
        <v>0.41101900000000002</v>
      </c>
      <c r="J3453" s="57">
        <v>0.31631399999999998</v>
      </c>
      <c r="K3453" s="56"/>
      <c r="L3453" s="56" t="s">
        <v>488</v>
      </c>
    </row>
    <row r="3454" spans="2:12" x14ac:dyDescent="0.2">
      <c r="B3454" s="62" t="s">
        <v>2406</v>
      </c>
      <c r="C3454" s="61" t="s">
        <v>550</v>
      </c>
      <c r="D3454" s="60">
        <v>1.5867500000000001</v>
      </c>
      <c r="E3454" s="59">
        <v>3.1537299999999999</v>
      </c>
      <c r="F3454" s="59">
        <v>5.1212600000000004</v>
      </c>
      <c r="G3454" s="56">
        <v>0</v>
      </c>
      <c r="H3454" s="56">
        <v>0</v>
      </c>
      <c r="I3454" s="58">
        <v>0.41145300000000001</v>
      </c>
      <c r="J3454" s="57">
        <v>0.318218</v>
      </c>
      <c r="K3454" s="56"/>
      <c r="L3454" s="56" t="s">
        <v>488</v>
      </c>
    </row>
    <row r="3455" spans="2:12" x14ac:dyDescent="0.2">
      <c r="B3455" s="62" t="s">
        <v>2405</v>
      </c>
      <c r="C3455" s="61" t="s">
        <v>747</v>
      </c>
      <c r="D3455" s="60">
        <v>3.73244</v>
      </c>
      <c r="E3455" s="59">
        <v>2.9035000000000002</v>
      </c>
      <c r="F3455" s="59">
        <v>3.93153</v>
      </c>
      <c r="G3455" s="56">
        <v>0</v>
      </c>
      <c r="H3455" s="56">
        <v>0</v>
      </c>
      <c r="I3455" s="58">
        <v>0.16223899999999999</v>
      </c>
      <c r="J3455" s="57">
        <v>9.7437499999999996E-2</v>
      </c>
      <c r="K3455" s="56"/>
      <c r="L3455" s="56" t="s">
        <v>488</v>
      </c>
    </row>
    <row r="3456" spans="2:12" x14ac:dyDescent="0.2">
      <c r="B3456" s="62" t="s">
        <v>2404</v>
      </c>
      <c r="C3456" s="61" t="s">
        <v>502</v>
      </c>
      <c r="D3456" s="60">
        <v>0.93035299999999999</v>
      </c>
      <c r="E3456" s="59">
        <v>3.91744</v>
      </c>
      <c r="F3456" s="59">
        <v>6.0075599999999998</v>
      </c>
      <c r="G3456" s="56">
        <v>1078.23</v>
      </c>
      <c r="H3456" s="56">
        <v>1158.95</v>
      </c>
      <c r="I3456" s="58">
        <v>0.49424499999999999</v>
      </c>
      <c r="J3456" s="57">
        <v>0.65353399999999995</v>
      </c>
      <c r="K3456" s="56"/>
      <c r="L3456" s="56" t="s">
        <v>488</v>
      </c>
    </row>
    <row r="3457" spans="2:12" x14ac:dyDescent="0.2">
      <c r="B3457" s="62" t="s">
        <v>2403</v>
      </c>
      <c r="C3457" s="61" t="s">
        <v>502</v>
      </c>
      <c r="D3457" s="60">
        <v>0.59168500000000002</v>
      </c>
      <c r="E3457" s="59">
        <v>7.3037099999999997</v>
      </c>
      <c r="F3457" s="59">
        <v>10.55832</v>
      </c>
      <c r="G3457" s="56">
        <v>2135.0100000000002</v>
      </c>
      <c r="H3457" s="56">
        <v>3608.37</v>
      </c>
      <c r="I3457" s="58">
        <v>0.71181499999999998</v>
      </c>
      <c r="J3457" s="57">
        <v>1.21269</v>
      </c>
      <c r="K3457" s="56"/>
      <c r="L3457" s="56" t="s">
        <v>492</v>
      </c>
    </row>
    <row r="3458" spans="2:12" x14ac:dyDescent="0.2">
      <c r="B3458" s="62" t="s">
        <v>2402</v>
      </c>
      <c r="C3458" s="61" t="s">
        <v>708</v>
      </c>
      <c r="D3458" s="60">
        <v>0.96089000000000002</v>
      </c>
      <c r="E3458" s="59">
        <v>3.5905200000000002</v>
      </c>
      <c r="F3458" s="59">
        <v>6.2368499999999996</v>
      </c>
      <c r="G3458" s="56">
        <v>0</v>
      </c>
      <c r="H3458" s="56">
        <v>0</v>
      </c>
      <c r="I3458" s="58">
        <v>0.54522800000000005</v>
      </c>
      <c r="J3458" s="57">
        <v>0.61920200000000003</v>
      </c>
      <c r="K3458" s="56"/>
      <c r="L3458" s="56" t="s">
        <v>488</v>
      </c>
    </row>
    <row r="3459" spans="2:12" x14ac:dyDescent="0.2">
      <c r="B3459" s="62" t="s">
        <v>2401</v>
      </c>
      <c r="C3459" s="61" t="s">
        <v>502</v>
      </c>
      <c r="D3459" s="60">
        <v>1.48187</v>
      </c>
      <c r="E3459" s="59">
        <v>3.5414500000000002</v>
      </c>
      <c r="F3459" s="59">
        <v>4.4006600000000002</v>
      </c>
      <c r="G3459" s="56">
        <v>0</v>
      </c>
      <c r="H3459" s="56">
        <v>0</v>
      </c>
      <c r="I3459" s="58">
        <v>0.29058200000000001</v>
      </c>
      <c r="J3459" s="57">
        <v>0.28567900000000002</v>
      </c>
      <c r="K3459" s="56"/>
      <c r="L3459" s="56" t="s">
        <v>488</v>
      </c>
    </row>
    <row r="3460" spans="2:12" x14ac:dyDescent="0.2">
      <c r="B3460" s="62" t="s">
        <v>2400</v>
      </c>
      <c r="C3460" s="61" t="s">
        <v>502</v>
      </c>
      <c r="D3460" s="60">
        <v>1.4540299999999999</v>
      </c>
      <c r="E3460" s="59">
        <v>3.3094100000000002</v>
      </c>
      <c r="F3460" s="59">
        <v>4.3215300000000001</v>
      </c>
      <c r="G3460" s="56">
        <v>0</v>
      </c>
      <c r="H3460" s="56">
        <v>0</v>
      </c>
      <c r="I3460" s="58">
        <v>0.327098</v>
      </c>
      <c r="J3460" s="57">
        <v>0.297541</v>
      </c>
      <c r="K3460" s="56"/>
      <c r="L3460" s="56" t="s">
        <v>488</v>
      </c>
    </row>
    <row r="3461" spans="2:12" x14ac:dyDescent="0.2">
      <c r="B3461" s="62" t="s">
        <v>2399</v>
      </c>
      <c r="C3461" s="61" t="s">
        <v>502</v>
      </c>
      <c r="D3461" s="60">
        <v>1.7004900000000001</v>
      </c>
      <c r="E3461" s="59">
        <v>4.4967300000000003</v>
      </c>
      <c r="F3461" s="59">
        <v>7.0665699999999996</v>
      </c>
      <c r="G3461" s="56">
        <v>850.06799999999998</v>
      </c>
      <c r="H3461" s="56">
        <v>499.89499999999998</v>
      </c>
      <c r="I3461" s="58">
        <v>0.34101100000000001</v>
      </c>
      <c r="J3461" s="57">
        <v>0.305838</v>
      </c>
      <c r="K3461" s="56"/>
      <c r="L3461" s="56" t="s">
        <v>488</v>
      </c>
    </row>
    <row r="3462" spans="2:12" x14ac:dyDescent="0.2">
      <c r="B3462" s="62" t="s">
        <v>2398</v>
      </c>
      <c r="C3462" s="61" t="s">
        <v>533</v>
      </c>
      <c r="D3462" s="60">
        <v>1.2317400000000001</v>
      </c>
      <c r="E3462" s="59">
        <v>4.7913800000000002</v>
      </c>
      <c r="F3462" s="59">
        <v>6.8912800000000001</v>
      </c>
      <c r="G3462" s="56">
        <v>1367.42</v>
      </c>
      <c r="H3462" s="56">
        <v>1110.1500000000001</v>
      </c>
      <c r="I3462" s="58">
        <v>0.53883899999999996</v>
      </c>
      <c r="J3462" s="57">
        <v>0.46840900000000002</v>
      </c>
      <c r="K3462" s="56"/>
      <c r="L3462" s="56" t="s">
        <v>488</v>
      </c>
    </row>
    <row r="3463" spans="2:12" x14ac:dyDescent="0.2">
      <c r="B3463" s="62" t="s">
        <v>2397</v>
      </c>
      <c r="C3463" s="61" t="s">
        <v>859</v>
      </c>
      <c r="D3463" s="60">
        <v>2.1507499999999999</v>
      </c>
      <c r="E3463" s="59">
        <v>2.6543100000000002</v>
      </c>
      <c r="F3463" s="59">
        <v>3.67394</v>
      </c>
      <c r="G3463" s="56">
        <v>0</v>
      </c>
      <c r="H3463" s="56">
        <v>0</v>
      </c>
      <c r="I3463" s="58">
        <v>0.184139</v>
      </c>
      <c r="J3463" s="57">
        <v>0.19139900000000001</v>
      </c>
      <c r="K3463" s="56"/>
      <c r="L3463" s="56" t="s">
        <v>488</v>
      </c>
    </row>
    <row r="3464" spans="2:12" x14ac:dyDescent="0.2">
      <c r="B3464" s="62" t="s">
        <v>2396</v>
      </c>
      <c r="C3464" s="61" t="s">
        <v>1637</v>
      </c>
      <c r="D3464" s="60">
        <v>1.8664099999999999</v>
      </c>
      <c r="E3464" s="59">
        <v>3.9402900000000001</v>
      </c>
      <c r="F3464" s="59">
        <v>4.71244</v>
      </c>
      <c r="G3464" s="56">
        <v>463.94900000000001</v>
      </c>
      <c r="H3464" s="56">
        <v>248.578</v>
      </c>
      <c r="I3464" s="58">
        <v>0.27835900000000002</v>
      </c>
      <c r="J3464" s="57">
        <v>0.25329800000000002</v>
      </c>
      <c r="K3464" s="56"/>
      <c r="L3464" s="56" t="s">
        <v>488</v>
      </c>
    </row>
    <row r="3465" spans="2:12" x14ac:dyDescent="0.2">
      <c r="B3465" s="62" t="s">
        <v>2395</v>
      </c>
      <c r="C3465" s="61" t="s">
        <v>499</v>
      </c>
      <c r="D3465" s="60">
        <v>1.41693</v>
      </c>
      <c r="E3465" s="59">
        <v>4.9720599999999999</v>
      </c>
      <c r="F3465" s="59">
        <v>6.8521900000000002</v>
      </c>
      <c r="G3465" s="56">
        <v>873.91200000000003</v>
      </c>
      <c r="H3465" s="56">
        <v>616.76599999999996</v>
      </c>
      <c r="I3465" s="58">
        <v>0.49393900000000002</v>
      </c>
      <c r="J3465" s="57">
        <v>0.36557899999999999</v>
      </c>
      <c r="K3465" s="56"/>
      <c r="L3465" s="56" t="s">
        <v>488</v>
      </c>
    </row>
    <row r="3466" spans="2:12" x14ac:dyDescent="0.2">
      <c r="B3466" s="62" t="s">
        <v>2394</v>
      </c>
      <c r="C3466" s="61" t="s">
        <v>550</v>
      </c>
      <c r="D3466" s="60">
        <v>1.72892</v>
      </c>
      <c r="E3466" s="59">
        <v>2.4722900000000001</v>
      </c>
      <c r="F3466" s="59">
        <v>3.1699899999999999</v>
      </c>
      <c r="G3466" s="56">
        <v>0</v>
      </c>
      <c r="H3466" s="56">
        <v>0</v>
      </c>
      <c r="I3466" s="58">
        <v>0.10846799999999999</v>
      </c>
      <c r="J3466" s="57">
        <v>0.22577700000000001</v>
      </c>
      <c r="K3466" s="56"/>
      <c r="L3466" s="56" t="s">
        <v>488</v>
      </c>
    </row>
    <row r="3467" spans="2:12" x14ac:dyDescent="0.2">
      <c r="B3467" s="62" t="s">
        <v>2393</v>
      </c>
      <c r="C3467" s="61" t="s">
        <v>1637</v>
      </c>
      <c r="D3467" s="60">
        <v>1.77196</v>
      </c>
      <c r="E3467" s="59">
        <v>3.3279899999999998</v>
      </c>
      <c r="F3467" s="59">
        <v>4.67652</v>
      </c>
      <c r="G3467" s="56">
        <v>0</v>
      </c>
      <c r="H3467" s="56">
        <v>0</v>
      </c>
      <c r="I3467" s="58">
        <v>0.24496999999999999</v>
      </c>
      <c r="J3467" s="57">
        <v>0.27823999999999999</v>
      </c>
      <c r="K3467" s="56"/>
      <c r="L3467" s="56" t="s">
        <v>488</v>
      </c>
    </row>
    <row r="3468" spans="2:12" x14ac:dyDescent="0.2">
      <c r="B3468" s="62" t="s">
        <v>2392</v>
      </c>
      <c r="C3468" s="61" t="s">
        <v>1637</v>
      </c>
      <c r="D3468" s="60">
        <v>1.73068</v>
      </c>
      <c r="E3468" s="59">
        <v>3.4574699999999998</v>
      </c>
      <c r="F3468" s="59">
        <v>6.2558800000000003</v>
      </c>
      <c r="G3468" s="56">
        <v>0</v>
      </c>
      <c r="H3468" s="56">
        <v>0</v>
      </c>
      <c r="I3468" s="58">
        <v>0.29528799999999999</v>
      </c>
      <c r="J3468" s="57">
        <v>0.29011399999999998</v>
      </c>
      <c r="K3468" s="56"/>
      <c r="L3468" s="56" t="s">
        <v>488</v>
      </c>
    </row>
    <row r="3469" spans="2:12" x14ac:dyDescent="0.2">
      <c r="B3469" s="62" t="s">
        <v>2391</v>
      </c>
      <c r="C3469" s="61" t="s">
        <v>641</v>
      </c>
      <c r="D3469" s="60">
        <v>1.12019</v>
      </c>
      <c r="E3469" s="59">
        <v>4.05802</v>
      </c>
      <c r="F3469" s="59">
        <v>6.28512</v>
      </c>
      <c r="G3469" s="56">
        <v>268.428</v>
      </c>
      <c r="H3469" s="56">
        <v>239.62799999999999</v>
      </c>
      <c r="I3469" s="58">
        <v>0.24126900000000001</v>
      </c>
      <c r="J3469" s="57">
        <v>0.41216399999999997</v>
      </c>
      <c r="K3469" s="56"/>
      <c r="L3469" s="56" t="s">
        <v>492</v>
      </c>
    </row>
    <row r="3470" spans="2:12" x14ac:dyDescent="0.2">
      <c r="B3470" s="62" t="s">
        <v>2390</v>
      </c>
      <c r="C3470" s="61" t="s">
        <v>1272</v>
      </c>
      <c r="D3470" s="60">
        <v>1.1906000000000001</v>
      </c>
      <c r="E3470" s="59">
        <v>3.8940700000000001</v>
      </c>
      <c r="F3470" s="59">
        <v>4.9352999999999998</v>
      </c>
      <c r="G3470" s="56">
        <v>115.34399999999999</v>
      </c>
      <c r="H3470" s="56">
        <v>96.878100000000003</v>
      </c>
      <c r="I3470" s="58">
        <v>0.183696</v>
      </c>
      <c r="J3470" s="57">
        <v>0.35463600000000001</v>
      </c>
      <c r="K3470" s="56"/>
      <c r="L3470" s="56" t="s">
        <v>492</v>
      </c>
    </row>
    <row r="3471" spans="2:12" x14ac:dyDescent="0.2">
      <c r="B3471" s="62" t="s">
        <v>2389</v>
      </c>
      <c r="C3471" s="61" t="s">
        <v>550</v>
      </c>
      <c r="D3471" s="60">
        <v>1.04837</v>
      </c>
      <c r="E3471" s="59">
        <v>3.1629900000000002</v>
      </c>
      <c r="F3471" s="59">
        <v>4.9879899999999999</v>
      </c>
      <c r="G3471" s="56">
        <v>0</v>
      </c>
      <c r="H3471" s="56">
        <v>0</v>
      </c>
      <c r="I3471" s="58">
        <v>0.40567900000000001</v>
      </c>
      <c r="J3471" s="57">
        <v>0.53278000000000003</v>
      </c>
      <c r="K3471" s="56"/>
      <c r="L3471" s="56" t="s">
        <v>730</v>
      </c>
    </row>
    <row r="3472" spans="2:12" x14ac:dyDescent="0.2">
      <c r="B3472" s="62" t="s">
        <v>2388</v>
      </c>
      <c r="C3472" s="61" t="s">
        <v>550</v>
      </c>
      <c r="D3472" s="60">
        <v>1.04634</v>
      </c>
      <c r="E3472" s="59">
        <v>3.16561</v>
      </c>
      <c r="F3472" s="59">
        <v>5.0416999999999996</v>
      </c>
      <c r="G3472" s="56">
        <v>0</v>
      </c>
      <c r="H3472" s="56">
        <v>0</v>
      </c>
      <c r="I3472" s="58">
        <v>0.42371599999999998</v>
      </c>
      <c r="J3472" s="57">
        <v>0.53581999999999996</v>
      </c>
      <c r="K3472" s="56"/>
      <c r="L3472" s="56" t="s">
        <v>730</v>
      </c>
    </row>
    <row r="3473" spans="2:12" x14ac:dyDescent="0.2">
      <c r="B3473" s="62" t="s">
        <v>2387</v>
      </c>
      <c r="C3473" s="61" t="s">
        <v>550</v>
      </c>
      <c r="D3473" s="60">
        <v>1.0417000000000001</v>
      </c>
      <c r="E3473" s="59">
        <v>3.0746899999999999</v>
      </c>
      <c r="F3473" s="59">
        <v>5.0610200000000001</v>
      </c>
      <c r="G3473" s="56">
        <v>0</v>
      </c>
      <c r="H3473" s="56">
        <v>0</v>
      </c>
      <c r="I3473" s="58">
        <v>0.46948800000000002</v>
      </c>
      <c r="J3473" s="57">
        <v>0.55716200000000005</v>
      </c>
      <c r="K3473" s="56"/>
      <c r="L3473" s="56" t="s">
        <v>488</v>
      </c>
    </row>
    <row r="3474" spans="2:12" x14ac:dyDescent="0.2">
      <c r="B3474" s="62" t="s">
        <v>2386</v>
      </c>
      <c r="C3474" s="61" t="s">
        <v>499</v>
      </c>
      <c r="D3474" s="60">
        <v>1.5009399999999999</v>
      </c>
      <c r="E3474" s="59">
        <v>2.7939799999999999</v>
      </c>
      <c r="F3474" s="59">
        <v>5.58826</v>
      </c>
      <c r="G3474" s="56">
        <v>0</v>
      </c>
      <c r="H3474" s="56">
        <v>0</v>
      </c>
      <c r="I3474" s="58">
        <v>0.30112899999999998</v>
      </c>
      <c r="J3474" s="57">
        <v>0.324882</v>
      </c>
      <c r="K3474" s="56"/>
      <c r="L3474" s="56" t="s">
        <v>488</v>
      </c>
    </row>
    <row r="3475" spans="2:12" x14ac:dyDescent="0.2">
      <c r="B3475" s="62" t="s">
        <v>2385</v>
      </c>
      <c r="C3475" s="61" t="s">
        <v>499</v>
      </c>
      <c r="D3475" s="60">
        <v>1.38748</v>
      </c>
      <c r="E3475" s="59">
        <v>3.5299900000000002</v>
      </c>
      <c r="F3475" s="59">
        <v>5.6500300000000001</v>
      </c>
      <c r="G3475" s="56">
        <v>0</v>
      </c>
      <c r="H3475" s="56">
        <v>0</v>
      </c>
      <c r="I3475" s="58">
        <v>0.40717799999999998</v>
      </c>
      <c r="J3475" s="57">
        <v>0.37907000000000002</v>
      </c>
      <c r="K3475" s="56"/>
      <c r="L3475" s="56" t="s">
        <v>488</v>
      </c>
    </row>
    <row r="3476" spans="2:12" x14ac:dyDescent="0.2">
      <c r="B3476" s="62" t="s">
        <v>2384</v>
      </c>
      <c r="C3476" s="61" t="s">
        <v>499</v>
      </c>
      <c r="D3476" s="60">
        <v>1.26745</v>
      </c>
      <c r="E3476" s="59">
        <v>3.5968300000000002</v>
      </c>
      <c r="F3476" s="59">
        <v>4.9723300000000004</v>
      </c>
      <c r="G3476" s="56">
        <v>0</v>
      </c>
      <c r="H3476" s="56">
        <v>0</v>
      </c>
      <c r="I3476" s="58">
        <v>0.409549</v>
      </c>
      <c r="J3476" s="57">
        <v>0.42200799999999999</v>
      </c>
      <c r="K3476" s="56"/>
      <c r="L3476" s="56" t="s">
        <v>488</v>
      </c>
    </row>
    <row r="3477" spans="2:12" x14ac:dyDescent="0.2">
      <c r="B3477" s="62" t="s">
        <v>2383</v>
      </c>
      <c r="C3477" s="61" t="s">
        <v>2382</v>
      </c>
      <c r="D3477" s="60">
        <v>2.3060900000000002</v>
      </c>
      <c r="E3477" s="59">
        <v>4.2355799999999997</v>
      </c>
      <c r="F3477" s="59">
        <v>5.1412699999999996</v>
      </c>
      <c r="G3477" s="56">
        <v>1762.47</v>
      </c>
      <c r="H3477" s="56">
        <v>764.26599999999996</v>
      </c>
      <c r="I3477" s="58">
        <v>0.54900300000000002</v>
      </c>
      <c r="J3477" s="57">
        <v>0.277947</v>
      </c>
      <c r="K3477" s="56"/>
      <c r="L3477" s="56" t="s">
        <v>488</v>
      </c>
    </row>
    <row r="3478" spans="2:12" x14ac:dyDescent="0.2">
      <c r="B3478" s="62" t="s">
        <v>2381</v>
      </c>
      <c r="C3478" s="61" t="s">
        <v>510</v>
      </c>
      <c r="D3478" s="60">
        <v>1.43909</v>
      </c>
      <c r="E3478" s="59">
        <v>4.2808900000000003</v>
      </c>
      <c r="F3478" s="59">
        <v>6.8043100000000001</v>
      </c>
      <c r="G3478" s="56">
        <v>1055.58</v>
      </c>
      <c r="H3478" s="56">
        <v>733.50900000000001</v>
      </c>
      <c r="I3478" s="58">
        <v>0.47378900000000002</v>
      </c>
      <c r="J3478" s="57">
        <v>0.36092299999999999</v>
      </c>
      <c r="K3478" s="56"/>
      <c r="L3478" s="56" t="s">
        <v>488</v>
      </c>
    </row>
    <row r="3479" spans="2:12" x14ac:dyDescent="0.2">
      <c r="B3479" s="62" t="s">
        <v>2380</v>
      </c>
      <c r="C3479" s="61" t="s">
        <v>1139</v>
      </c>
      <c r="D3479" s="60">
        <v>1.5098400000000001</v>
      </c>
      <c r="E3479" s="59">
        <v>3.3913700000000002</v>
      </c>
      <c r="F3479" s="59">
        <v>4.5369299999999999</v>
      </c>
      <c r="G3479" s="56">
        <v>0</v>
      </c>
      <c r="H3479" s="56">
        <v>0</v>
      </c>
      <c r="I3479" s="58">
        <v>0.22140299999999999</v>
      </c>
      <c r="J3479" s="57">
        <v>0.209901</v>
      </c>
      <c r="K3479" s="56"/>
      <c r="L3479" s="56" t="s">
        <v>488</v>
      </c>
    </row>
    <row r="3480" spans="2:12" x14ac:dyDescent="0.2">
      <c r="B3480" s="62" t="s">
        <v>2379</v>
      </c>
      <c r="C3480" s="61" t="s">
        <v>2378</v>
      </c>
      <c r="D3480" s="60">
        <v>1.7490000000000001</v>
      </c>
      <c r="E3480" s="59">
        <v>2.5964999999999998</v>
      </c>
      <c r="F3480" s="59">
        <v>4.70587</v>
      </c>
      <c r="G3480" s="56">
        <v>0</v>
      </c>
      <c r="H3480" s="56">
        <v>0</v>
      </c>
      <c r="I3480" s="58">
        <v>0.108963</v>
      </c>
      <c r="J3480" s="57">
        <v>0.25196000000000002</v>
      </c>
      <c r="K3480" s="56"/>
      <c r="L3480" s="56" t="s">
        <v>488</v>
      </c>
    </row>
    <row r="3481" spans="2:12" x14ac:dyDescent="0.2">
      <c r="B3481" s="62" t="s">
        <v>2377</v>
      </c>
      <c r="C3481" s="61" t="s">
        <v>502</v>
      </c>
      <c r="D3481" s="60">
        <v>1.38354</v>
      </c>
      <c r="E3481" s="59">
        <v>2.6430400000000001</v>
      </c>
      <c r="F3481" s="59">
        <v>5.3048700000000002</v>
      </c>
      <c r="G3481" s="56">
        <v>0</v>
      </c>
      <c r="H3481" s="56">
        <v>0</v>
      </c>
      <c r="I3481" s="58">
        <v>0.354466</v>
      </c>
      <c r="J3481" s="57">
        <v>0.36845099999999997</v>
      </c>
      <c r="K3481" s="56"/>
      <c r="L3481" s="56" t="s">
        <v>488</v>
      </c>
    </row>
    <row r="3482" spans="2:12" x14ac:dyDescent="0.2">
      <c r="B3482" s="62" t="s">
        <v>2376</v>
      </c>
      <c r="C3482" s="61" t="s">
        <v>502</v>
      </c>
      <c r="D3482" s="60">
        <v>1.3721699999999999</v>
      </c>
      <c r="E3482" s="59">
        <v>2.6598899999999999</v>
      </c>
      <c r="F3482" s="59">
        <v>5.3485100000000001</v>
      </c>
      <c r="G3482" s="56">
        <v>0</v>
      </c>
      <c r="H3482" s="56">
        <v>0</v>
      </c>
      <c r="I3482" s="58">
        <v>0.36589100000000002</v>
      </c>
      <c r="J3482" s="57">
        <v>0.37403399999999998</v>
      </c>
      <c r="K3482" s="56"/>
      <c r="L3482" s="56" t="s">
        <v>488</v>
      </c>
    </row>
    <row r="3483" spans="2:12" x14ac:dyDescent="0.2">
      <c r="B3483" s="62" t="s">
        <v>2375</v>
      </c>
      <c r="C3483" s="61" t="s">
        <v>541</v>
      </c>
      <c r="D3483" s="60">
        <v>1.98892</v>
      </c>
      <c r="E3483" s="59">
        <v>2.6175899999999999</v>
      </c>
      <c r="F3483" s="59">
        <v>3.5156399999999999</v>
      </c>
      <c r="G3483" s="56">
        <v>0</v>
      </c>
      <c r="H3483" s="56">
        <v>0</v>
      </c>
      <c r="I3483" s="58">
        <v>0.13411300000000001</v>
      </c>
      <c r="J3483" s="57">
        <v>0.20333599999999999</v>
      </c>
      <c r="K3483" s="56"/>
      <c r="L3483" s="56" t="s">
        <v>488</v>
      </c>
    </row>
    <row r="3484" spans="2:12" x14ac:dyDescent="0.2">
      <c r="B3484" s="62" t="s">
        <v>2374</v>
      </c>
      <c r="C3484" s="61" t="s">
        <v>531</v>
      </c>
      <c r="D3484" s="60">
        <v>2.0890900000000001</v>
      </c>
      <c r="E3484" s="59">
        <v>2.59294</v>
      </c>
      <c r="F3484" s="59">
        <v>3.4142100000000002</v>
      </c>
      <c r="G3484" s="56">
        <v>0</v>
      </c>
      <c r="H3484" s="56">
        <v>0</v>
      </c>
      <c r="I3484" s="58">
        <v>0.12084499999999999</v>
      </c>
      <c r="J3484" s="57">
        <v>0.187608</v>
      </c>
      <c r="K3484" s="56"/>
      <c r="L3484" s="56" t="s">
        <v>488</v>
      </c>
    </row>
    <row r="3485" spans="2:12" x14ac:dyDescent="0.2">
      <c r="B3485" s="62" t="s">
        <v>2373</v>
      </c>
      <c r="C3485" s="61" t="s">
        <v>579</v>
      </c>
      <c r="D3485" s="60">
        <v>1.3823799999999999</v>
      </c>
      <c r="E3485" s="59">
        <v>3.8693200000000001</v>
      </c>
      <c r="F3485" s="59">
        <v>5.0544599999999997</v>
      </c>
      <c r="G3485" s="56">
        <v>933.29899999999998</v>
      </c>
      <c r="H3485" s="56">
        <v>675.13699999999994</v>
      </c>
      <c r="I3485" s="58">
        <v>0.40876600000000002</v>
      </c>
      <c r="J3485" s="57">
        <v>0.39834599999999998</v>
      </c>
      <c r="K3485" s="56"/>
      <c r="L3485" s="56" t="s">
        <v>488</v>
      </c>
    </row>
    <row r="3486" spans="2:12" x14ac:dyDescent="0.2">
      <c r="B3486" s="62" t="s">
        <v>2372</v>
      </c>
      <c r="C3486" s="61" t="s">
        <v>2371</v>
      </c>
      <c r="D3486" s="60">
        <v>1.3675600000000001</v>
      </c>
      <c r="E3486" s="59">
        <v>2.4930300000000001</v>
      </c>
      <c r="F3486" s="59">
        <v>4.1789800000000001</v>
      </c>
      <c r="G3486" s="56">
        <v>0</v>
      </c>
      <c r="H3486" s="56">
        <v>0</v>
      </c>
      <c r="I3486" s="58">
        <v>0.23752899999999999</v>
      </c>
      <c r="J3486" s="57">
        <v>0.34767399999999998</v>
      </c>
      <c r="K3486" s="56"/>
      <c r="L3486" s="56" t="s">
        <v>488</v>
      </c>
    </row>
    <row r="3487" spans="2:12" x14ac:dyDescent="0.2">
      <c r="B3487" s="62" t="s">
        <v>2370</v>
      </c>
      <c r="C3487" s="61" t="s">
        <v>531</v>
      </c>
      <c r="D3487" s="60">
        <v>1.81873</v>
      </c>
      <c r="E3487" s="59">
        <v>2.7105700000000001</v>
      </c>
      <c r="F3487" s="59">
        <v>3.7594500000000002</v>
      </c>
      <c r="G3487" s="56">
        <v>0</v>
      </c>
      <c r="H3487" s="56">
        <v>0</v>
      </c>
      <c r="I3487" s="58">
        <v>0.108682</v>
      </c>
      <c r="J3487" s="57">
        <v>0.21035699999999999</v>
      </c>
      <c r="K3487" s="56"/>
      <c r="L3487" s="56" t="s">
        <v>488</v>
      </c>
    </row>
    <row r="3488" spans="2:12" x14ac:dyDescent="0.2">
      <c r="B3488" s="62" t="s">
        <v>2369</v>
      </c>
      <c r="C3488" s="61" t="s">
        <v>641</v>
      </c>
      <c r="D3488" s="60">
        <v>1.82518</v>
      </c>
      <c r="E3488" s="59">
        <v>2.8036500000000002</v>
      </c>
      <c r="F3488" s="59">
        <v>3.5421499999999999</v>
      </c>
      <c r="G3488" s="56">
        <v>0</v>
      </c>
      <c r="H3488" s="56">
        <v>0</v>
      </c>
      <c r="I3488" s="58">
        <v>0.25514599999999998</v>
      </c>
      <c r="J3488" s="57">
        <v>0.26089099999999998</v>
      </c>
      <c r="K3488" s="56"/>
      <c r="L3488" s="56" t="s">
        <v>488</v>
      </c>
    </row>
    <row r="3489" spans="2:12" x14ac:dyDescent="0.2">
      <c r="B3489" s="62" t="s">
        <v>2368</v>
      </c>
      <c r="C3489" s="61" t="s">
        <v>708</v>
      </c>
      <c r="D3489" s="60">
        <v>0.97210600000000003</v>
      </c>
      <c r="E3489" s="59">
        <v>4.2676999999999996</v>
      </c>
      <c r="F3489" s="59">
        <v>7.4619099999999996</v>
      </c>
      <c r="G3489" s="56">
        <v>1121.05</v>
      </c>
      <c r="H3489" s="56">
        <v>1153.22</v>
      </c>
      <c r="I3489" s="58">
        <v>0.504413</v>
      </c>
      <c r="J3489" s="57">
        <v>0.57377900000000004</v>
      </c>
      <c r="K3489" s="56"/>
      <c r="L3489" s="56" t="s">
        <v>488</v>
      </c>
    </row>
    <row r="3490" spans="2:12" x14ac:dyDescent="0.2">
      <c r="B3490" s="62" t="s">
        <v>2367</v>
      </c>
      <c r="C3490" s="61" t="s">
        <v>641</v>
      </c>
      <c r="D3490" s="60">
        <v>1.3810199999999999</v>
      </c>
      <c r="E3490" s="59">
        <v>4.1859099999999998</v>
      </c>
      <c r="F3490" s="59">
        <v>5.7960399999999996</v>
      </c>
      <c r="G3490" s="56">
        <v>1128.5</v>
      </c>
      <c r="H3490" s="56">
        <v>817.154</v>
      </c>
      <c r="I3490" s="58">
        <v>0.50954500000000003</v>
      </c>
      <c r="J3490" s="57">
        <v>0.40013300000000002</v>
      </c>
      <c r="K3490" s="56"/>
      <c r="L3490" s="56" t="s">
        <v>488</v>
      </c>
    </row>
    <row r="3491" spans="2:12" x14ac:dyDescent="0.2">
      <c r="B3491" s="62" t="s">
        <v>2366</v>
      </c>
      <c r="C3491" s="61" t="s">
        <v>507</v>
      </c>
      <c r="D3491" s="60">
        <v>1.3964799999999999</v>
      </c>
      <c r="E3491" s="59">
        <v>4.2150499999999997</v>
      </c>
      <c r="F3491" s="59">
        <v>5.7944199999999997</v>
      </c>
      <c r="G3491" s="56">
        <v>1163.06</v>
      </c>
      <c r="H3491" s="56">
        <v>832.84900000000005</v>
      </c>
      <c r="I3491" s="58">
        <v>0.50722199999999995</v>
      </c>
      <c r="J3491" s="57">
        <v>0.39430700000000002</v>
      </c>
      <c r="K3491" s="56"/>
      <c r="L3491" s="56" t="s">
        <v>488</v>
      </c>
    </row>
    <row r="3492" spans="2:12" x14ac:dyDescent="0.2">
      <c r="B3492" s="62" t="s">
        <v>2365</v>
      </c>
      <c r="C3492" s="61" t="s">
        <v>510</v>
      </c>
      <c r="D3492" s="60">
        <v>1.18737</v>
      </c>
      <c r="E3492" s="59">
        <v>2.7960099999999999</v>
      </c>
      <c r="F3492" s="59">
        <v>3.99648</v>
      </c>
      <c r="G3492" s="56">
        <v>0</v>
      </c>
      <c r="H3492" s="56">
        <v>0</v>
      </c>
      <c r="I3492" s="58">
        <v>0.283746</v>
      </c>
      <c r="J3492" s="57">
        <v>0.40391700000000003</v>
      </c>
      <c r="K3492" s="56"/>
      <c r="L3492" s="56" t="s">
        <v>488</v>
      </c>
    </row>
    <row r="3493" spans="2:12" x14ac:dyDescent="0.2">
      <c r="B3493" s="62" t="s">
        <v>2364</v>
      </c>
      <c r="C3493" s="61" t="s">
        <v>510</v>
      </c>
      <c r="D3493" s="60">
        <v>1.12235</v>
      </c>
      <c r="E3493" s="59">
        <v>5.8114299999999997</v>
      </c>
      <c r="F3493" s="59">
        <v>6.67584</v>
      </c>
      <c r="G3493" s="56">
        <v>798.601</v>
      </c>
      <c r="H3493" s="56">
        <v>711.54499999999996</v>
      </c>
      <c r="I3493" s="58">
        <v>0.31165999999999999</v>
      </c>
      <c r="J3493" s="57">
        <v>0.440826</v>
      </c>
      <c r="K3493" s="56"/>
      <c r="L3493" s="56" t="s">
        <v>488</v>
      </c>
    </row>
    <row r="3494" spans="2:12" x14ac:dyDescent="0.2">
      <c r="B3494" s="62" t="s">
        <v>2363</v>
      </c>
      <c r="C3494" s="61" t="s">
        <v>502</v>
      </c>
      <c r="D3494" s="60">
        <v>1.3880999999999999</v>
      </c>
      <c r="E3494" s="59">
        <v>4.0748899999999999</v>
      </c>
      <c r="F3494" s="59">
        <v>5.2768699999999997</v>
      </c>
      <c r="G3494" s="56">
        <v>1029.6199999999999</v>
      </c>
      <c r="H3494" s="56">
        <v>741.74300000000005</v>
      </c>
      <c r="I3494" s="58">
        <v>0.57881400000000005</v>
      </c>
      <c r="J3494" s="57">
        <v>0.42385800000000001</v>
      </c>
      <c r="K3494" s="56"/>
      <c r="L3494" s="56" t="s">
        <v>488</v>
      </c>
    </row>
    <row r="3495" spans="2:12" x14ac:dyDescent="0.2">
      <c r="B3495" s="62" t="s">
        <v>2362</v>
      </c>
      <c r="C3495" s="61" t="s">
        <v>499</v>
      </c>
      <c r="D3495" s="60">
        <v>1.7149700000000001</v>
      </c>
      <c r="E3495" s="59">
        <v>3.85554</v>
      </c>
      <c r="F3495" s="59">
        <v>4.3086500000000001</v>
      </c>
      <c r="G3495" s="56">
        <v>273.38900000000001</v>
      </c>
      <c r="H3495" s="56">
        <v>159.41300000000001</v>
      </c>
      <c r="I3495" s="58">
        <v>0.17577100000000001</v>
      </c>
      <c r="J3495" s="57">
        <v>0.21301999999999999</v>
      </c>
      <c r="K3495" s="56"/>
      <c r="L3495" s="56" t="s">
        <v>488</v>
      </c>
    </row>
    <row r="3496" spans="2:12" x14ac:dyDescent="0.2">
      <c r="B3496" s="62" t="s">
        <v>2361</v>
      </c>
      <c r="C3496" s="61" t="s">
        <v>499</v>
      </c>
      <c r="D3496" s="60">
        <v>1.56934</v>
      </c>
      <c r="E3496" s="59">
        <v>4.2726499999999996</v>
      </c>
      <c r="F3496" s="59">
        <v>5.7373200000000004</v>
      </c>
      <c r="G3496" s="56">
        <v>1006.44</v>
      </c>
      <c r="H3496" s="56">
        <v>641.31500000000005</v>
      </c>
      <c r="I3496" s="58">
        <v>0.43042999999999998</v>
      </c>
      <c r="J3496" s="57">
        <v>0.34309499999999998</v>
      </c>
      <c r="K3496" s="56"/>
      <c r="L3496" s="56" t="s">
        <v>488</v>
      </c>
    </row>
    <row r="3497" spans="2:12" x14ac:dyDescent="0.2">
      <c r="B3497" s="62" t="s">
        <v>2360</v>
      </c>
      <c r="C3497" s="61" t="s">
        <v>499</v>
      </c>
      <c r="D3497" s="60">
        <v>1.08192</v>
      </c>
      <c r="E3497" s="59">
        <v>4.2095700000000003</v>
      </c>
      <c r="F3497" s="59">
        <v>5.3573500000000003</v>
      </c>
      <c r="G3497" s="56">
        <v>1058.49</v>
      </c>
      <c r="H3497" s="56">
        <v>978.34400000000005</v>
      </c>
      <c r="I3497" s="58">
        <v>0.52329300000000001</v>
      </c>
      <c r="J3497" s="57">
        <v>0.53317400000000004</v>
      </c>
      <c r="K3497" s="56"/>
      <c r="L3497" s="56" t="s">
        <v>488</v>
      </c>
    </row>
    <row r="3498" spans="2:12" x14ac:dyDescent="0.2">
      <c r="B3498" s="62" t="s">
        <v>2359</v>
      </c>
      <c r="C3498" s="61" t="s">
        <v>499</v>
      </c>
      <c r="D3498" s="60">
        <v>0.95650400000000002</v>
      </c>
      <c r="E3498" s="59">
        <v>4.79223</v>
      </c>
      <c r="F3498" s="59">
        <v>6.2332900000000002</v>
      </c>
      <c r="G3498" s="56">
        <v>1741.9</v>
      </c>
      <c r="H3498" s="56">
        <v>1821.11</v>
      </c>
      <c r="I3498" s="58">
        <v>0.64434400000000003</v>
      </c>
      <c r="J3498" s="57">
        <v>0.66712700000000003</v>
      </c>
      <c r="K3498" s="56"/>
      <c r="L3498" s="56" t="s">
        <v>488</v>
      </c>
    </row>
    <row r="3499" spans="2:12" x14ac:dyDescent="0.2">
      <c r="B3499" s="62" t="s">
        <v>2358</v>
      </c>
      <c r="C3499" s="65" t="s">
        <v>548</v>
      </c>
      <c r="D3499" s="60">
        <v>0.94428199999999995</v>
      </c>
      <c r="E3499" s="59">
        <v>7.0098399999999996</v>
      </c>
      <c r="F3499" s="59">
        <v>7.4119000000000002</v>
      </c>
      <c r="G3499" s="56">
        <v>1434.48</v>
      </c>
      <c r="H3499" s="56">
        <v>1519.12</v>
      </c>
      <c r="I3499" s="64">
        <v>0.70399999999999996</v>
      </c>
      <c r="J3499" s="63">
        <v>0.66653799999999996</v>
      </c>
      <c r="K3499" s="56" t="s">
        <v>1278</v>
      </c>
      <c r="L3499" s="56" t="s">
        <v>563</v>
      </c>
    </row>
    <row r="3500" spans="2:12" x14ac:dyDescent="0.2">
      <c r="B3500" s="62" t="s">
        <v>2357</v>
      </c>
      <c r="C3500" s="61" t="s">
        <v>495</v>
      </c>
      <c r="D3500" s="60">
        <v>2.1123699999999999</v>
      </c>
      <c r="E3500" s="59">
        <v>3.0013800000000002</v>
      </c>
      <c r="F3500" s="59">
        <v>3.3953700000000002</v>
      </c>
      <c r="G3500" s="56">
        <v>0</v>
      </c>
      <c r="H3500" s="56">
        <v>0</v>
      </c>
      <c r="I3500" s="58">
        <v>0.12141200000000001</v>
      </c>
      <c r="J3500" s="57">
        <v>0.15332200000000001</v>
      </c>
      <c r="K3500" s="56"/>
      <c r="L3500" s="56" t="s">
        <v>492</v>
      </c>
    </row>
    <row r="3501" spans="2:12" x14ac:dyDescent="0.2">
      <c r="B3501" s="62" t="s">
        <v>2356</v>
      </c>
      <c r="C3501" s="61" t="s">
        <v>510</v>
      </c>
      <c r="D3501" s="60">
        <v>1.6150500000000001</v>
      </c>
      <c r="E3501" s="59">
        <v>2.5691199999999998</v>
      </c>
      <c r="F3501" s="59">
        <v>3.5192800000000002</v>
      </c>
      <c r="G3501" s="56">
        <v>0</v>
      </c>
      <c r="H3501" s="56">
        <v>0</v>
      </c>
      <c r="I3501" s="58">
        <v>0.13950899999999999</v>
      </c>
      <c r="J3501" s="57">
        <v>0.28156599999999998</v>
      </c>
      <c r="K3501" s="56"/>
      <c r="L3501" s="56" t="s">
        <v>488</v>
      </c>
    </row>
    <row r="3502" spans="2:12" x14ac:dyDescent="0.2">
      <c r="B3502" s="62" t="s">
        <v>2355</v>
      </c>
      <c r="C3502" s="61" t="s">
        <v>499</v>
      </c>
      <c r="D3502" s="60">
        <v>1.06978</v>
      </c>
      <c r="E3502" s="59">
        <v>4.1565500000000002</v>
      </c>
      <c r="F3502" s="59">
        <v>6.7756299999999996</v>
      </c>
      <c r="G3502" s="56">
        <v>1498.29</v>
      </c>
      <c r="H3502" s="56">
        <v>1400.56</v>
      </c>
      <c r="I3502" s="58">
        <v>0.60153900000000005</v>
      </c>
      <c r="J3502" s="57">
        <v>0.59520899999999999</v>
      </c>
      <c r="K3502" s="56"/>
      <c r="L3502" s="56" t="s">
        <v>488</v>
      </c>
    </row>
    <row r="3503" spans="2:12" x14ac:dyDescent="0.2">
      <c r="B3503" s="62" t="s">
        <v>2354</v>
      </c>
      <c r="C3503" s="61" t="s">
        <v>708</v>
      </c>
      <c r="D3503" s="60">
        <v>1.4188400000000001</v>
      </c>
      <c r="E3503" s="59">
        <v>8.8884899999999991</v>
      </c>
      <c r="F3503" s="59">
        <v>9.1076700000000006</v>
      </c>
      <c r="G3503" s="56">
        <v>1180.3</v>
      </c>
      <c r="H3503" s="56">
        <v>831.88</v>
      </c>
      <c r="I3503" s="58">
        <v>0.49787100000000001</v>
      </c>
      <c r="J3503" s="57">
        <v>0.38792300000000002</v>
      </c>
      <c r="K3503" s="56"/>
      <c r="L3503" s="56" t="s">
        <v>488</v>
      </c>
    </row>
    <row r="3504" spans="2:12" x14ac:dyDescent="0.2">
      <c r="B3504" s="62" t="s">
        <v>2353</v>
      </c>
      <c r="C3504" s="61" t="s">
        <v>708</v>
      </c>
      <c r="D3504" s="60">
        <v>1.3484799999999999</v>
      </c>
      <c r="E3504" s="59">
        <v>9.1616</v>
      </c>
      <c r="F3504" s="59">
        <v>9.8282299999999996</v>
      </c>
      <c r="G3504" s="56">
        <v>1222.74</v>
      </c>
      <c r="H3504" s="56">
        <v>906.75199999999995</v>
      </c>
      <c r="I3504" s="58">
        <v>0.47154499999999999</v>
      </c>
      <c r="J3504" s="57">
        <v>0.421487</v>
      </c>
      <c r="K3504" s="56"/>
      <c r="L3504" s="56" t="s">
        <v>488</v>
      </c>
    </row>
    <row r="3505" spans="2:12" x14ac:dyDescent="0.2">
      <c r="B3505" s="62" t="s">
        <v>2352</v>
      </c>
      <c r="C3505" s="61" t="s">
        <v>1786</v>
      </c>
      <c r="D3505" s="60">
        <v>1.4516</v>
      </c>
      <c r="E3505" s="59">
        <v>3.2966700000000002</v>
      </c>
      <c r="F3505" s="59">
        <v>4.7525700000000004</v>
      </c>
      <c r="G3505" s="56">
        <v>0</v>
      </c>
      <c r="H3505" s="56">
        <v>0</v>
      </c>
      <c r="I3505" s="58">
        <v>0.33217999999999998</v>
      </c>
      <c r="J3505" s="57">
        <v>0.350605</v>
      </c>
      <c r="K3505" s="56"/>
      <c r="L3505" s="56" t="s">
        <v>488</v>
      </c>
    </row>
    <row r="3506" spans="2:12" x14ac:dyDescent="0.2">
      <c r="B3506" s="62" t="s">
        <v>2351</v>
      </c>
      <c r="C3506" s="61" t="s">
        <v>1786</v>
      </c>
      <c r="D3506" s="60">
        <v>1.4602599999999999</v>
      </c>
      <c r="E3506" s="59">
        <v>3.3061699999999998</v>
      </c>
      <c r="F3506" s="59">
        <v>4.7534599999999996</v>
      </c>
      <c r="G3506" s="56">
        <v>0</v>
      </c>
      <c r="H3506" s="56">
        <v>0</v>
      </c>
      <c r="I3506" s="58">
        <v>0.33296700000000001</v>
      </c>
      <c r="J3506" s="57">
        <v>0.347354</v>
      </c>
      <c r="K3506" s="56"/>
      <c r="L3506" s="56" t="s">
        <v>488</v>
      </c>
    </row>
    <row r="3507" spans="2:12" x14ac:dyDescent="0.2">
      <c r="B3507" s="62" t="s">
        <v>2350</v>
      </c>
      <c r="C3507" s="61" t="s">
        <v>632</v>
      </c>
      <c r="D3507" s="60">
        <v>1.7117800000000001</v>
      </c>
      <c r="E3507" s="59">
        <v>2.7385299999999999</v>
      </c>
      <c r="F3507" s="59">
        <v>2.9616899999999999</v>
      </c>
      <c r="G3507" s="56">
        <v>0</v>
      </c>
      <c r="H3507" s="56">
        <v>0</v>
      </c>
      <c r="I3507" s="58">
        <v>0.17181299999999999</v>
      </c>
      <c r="J3507" s="57">
        <v>0.24240900000000001</v>
      </c>
      <c r="K3507" s="56"/>
      <c r="L3507" s="56" t="s">
        <v>488</v>
      </c>
    </row>
    <row r="3508" spans="2:12" x14ac:dyDescent="0.2">
      <c r="B3508" s="62" t="s">
        <v>2349</v>
      </c>
      <c r="C3508" s="61" t="s">
        <v>510</v>
      </c>
      <c r="D3508" s="60">
        <v>1.4133199999999999</v>
      </c>
      <c r="E3508" s="59">
        <v>5.6301699999999997</v>
      </c>
      <c r="F3508" s="59">
        <v>7.5517799999999999</v>
      </c>
      <c r="G3508" s="56">
        <v>1080.54</v>
      </c>
      <c r="H3508" s="56">
        <v>764.53800000000001</v>
      </c>
      <c r="I3508" s="58">
        <v>0.35898099999999999</v>
      </c>
      <c r="J3508" s="57">
        <v>0.37954300000000002</v>
      </c>
      <c r="K3508" s="56"/>
      <c r="L3508" s="56" t="s">
        <v>730</v>
      </c>
    </row>
    <row r="3509" spans="2:12" x14ac:dyDescent="0.2">
      <c r="B3509" s="62" t="s">
        <v>2348</v>
      </c>
      <c r="C3509" s="61" t="s">
        <v>502</v>
      </c>
      <c r="D3509" s="60">
        <v>0.75325500000000001</v>
      </c>
      <c r="E3509" s="59">
        <v>4.2522200000000003</v>
      </c>
      <c r="F3509" s="59">
        <v>16.364460000000001</v>
      </c>
      <c r="G3509" s="56">
        <v>1827.5</v>
      </c>
      <c r="H3509" s="56">
        <v>2426.13</v>
      </c>
      <c r="I3509" s="58">
        <v>0.71693700000000005</v>
      </c>
      <c r="J3509" s="57">
        <v>0.92532700000000001</v>
      </c>
      <c r="K3509" s="56"/>
      <c r="L3509" s="56" t="s">
        <v>488</v>
      </c>
    </row>
    <row r="3510" spans="2:12" x14ac:dyDescent="0.2">
      <c r="B3510" s="62" t="s">
        <v>2347</v>
      </c>
      <c r="C3510" s="61" t="s">
        <v>502</v>
      </c>
      <c r="D3510" s="60">
        <v>0.34206199999999998</v>
      </c>
      <c r="E3510" s="59">
        <v>8.5601000000000003</v>
      </c>
      <c r="F3510" s="59">
        <v>20.1526</v>
      </c>
      <c r="G3510" s="56">
        <v>1856.48</v>
      </c>
      <c r="H3510" s="56">
        <v>5427.33</v>
      </c>
      <c r="I3510" s="58">
        <v>0.90692700000000004</v>
      </c>
      <c r="J3510" s="57">
        <v>2.52128</v>
      </c>
      <c r="K3510" s="56"/>
      <c r="L3510" s="56" t="s">
        <v>488</v>
      </c>
    </row>
    <row r="3511" spans="2:12" x14ac:dyDescent="0.2">
      <c r="B3511" s="62" t="s">
        <v>2346</v>
      </c>
      <c r="C3511" s="61" t="s">
        <v>502</v>
      </c>
      <c r="D3511" s="60">
        <v>2.0220699999999998</v>
      </c>
      <c r="E3511" s="59">
        <v>3.61253</v>
      </c>
      <c r="F3511" s="59">
        <v>4.2597899999999997</v>
      </c>
      <c r="G3511" s="56">
        <v>0</v>
      </c>
      <c r="H3511" s="56">
        <v>0</v>
      </c>
      <c r="I3511" s="58">
        <v>0.239873</v>
      </c>
      <c r="J3511" s="57">
        <v>0.218219</v>
      </c>
      <c r="K3511" s="56"/>
      <c r="L3511" s="56" t="s">
        <v>488</v>
      </c>
    </row>
    <row r="3512" spans="2:12" x14ac:dyDescent="0.2">
      <c r="B3512" s="62" t="s">
        <v>2345</v>
      </c>
      <c r="C3512" s="61" t="s">
        <v>499</v>
      </c>
      <c r="D3512" s="60">
        <v>1.1624000000000001</v>
      </c>
      <c r="E3512" s="59">
        <v>4.6547000000000001</v>
      </c>
      <c r="F3512" s="59">
        <v>5.2734300000000003</v>
      </c>
      <c r="G3512" s="56">
        <v>809.15899999999999</v>
      </c>
      <c r="H3512" s="56">
        <v>696.11099999999999</v>
      </c>
      <c r="I3512" s="58">
        <v>0.49476399999999998</v>
      </c>
      <c r="J3512" s="57">
        <v>0.445019</v>
      </c>
      <c r="K3512" s="56"/>
      <c r="L3512" s="56" t="s">
        <v>488</v>
      </c>
    </row>
    <row r="3513" spans="2:12" x14ac:dyDescent="0.2">
      <c r="B3513" s="62" t="s">
        <v>2344</v>
      </c>
      <c r="C3513" s="61" t="s">
        <v>502</v>
      </c>
      <c r="D3513" s="60">
        <v>0.86369600000000002</v>
      </c>
      <c r="E3513" s="59">
        <v>5.2969900000000001</v>
      </c>
      <c r="F3513" s="59">
        <v>7.4249200000000002</v>
      </c>
      <c r="G3513" s="56">
        <v>1470.55</v>
      </c>
      <c r="H3513" s="56">
        <v>1702.62</v>
      </c>
      <c r="I3513" s="58">
        <v>0.50931199999999999</v>
      </c>
      <c r="J3513" s="57">
        <v>0.70552800000000004</v>
      </c>
      <c r="K3513" s="56"/>
      <c r="L3513" s="56" t="s">
        <v>492</v>
      </c>
    </row>
    <row r="3514" spans="2:12" x14ac:dyDescent="0.2">
      <c r="B3514" s="62" t="s">
        <v>2343</v>
      </c>
      <c r="C3514" s="61" t="s">
        <v>550</v>
      </c>
      <c r="D3514" s="60">
        <v>2.0514899999999998</v>
      </c>
      <c r="E3514" s="59">
        <v>2.42441</v>
      </c>
      <c r="F3514" s="59">
        <v>4.7495799999999999</v>
      </c>
      <c r="G3514" s="56">
        <v>0</v>
      </c>
      <c r="H3514" s="56">
        <v>0</v>
      </c>
      <c r="I3514" s="58">
        <v>0.27608700000000003</v>
      </c>
      <c r="J3514" s="57">
        <v>0.246559</v>
      </c>
      <c r="K3514" s="56"/>
      <c r="L3514" s="56" t="s">
        <v>488</v>
      </c>
    </row>
    <row r="3515" spans="2:12" x14ac:dyDescent="0.2">
      <c r="B3515" s="62" t="s">
        <v>2342</v>
      </c>
      <c r="C3515" s="61" t="s">
        <v>550</v>
      </c>
      <c r="D3515" s="60">
        <v>2.0579200000000002</v>
      </c>
      <c r="E3515" s="59">
        <v>2.41506</v>
      </c>
      <c r="F3515" s="59">
        <v>4.8448599999999997</v>
      </c>
      <c r="G3515" s="56">
        <v>0</v>
      </c>
      <c r="H3515" s="56">
        <v>0</v>
      </c>
      <c r="I3515" s="58">
        <v>0.27898499999999998</v>
      </c>
      <c r="J3515" s="57">
        <v>0.24709500000000001</v>
      </c>
      <c r="K3515" s="56"/>
      <c r="L3515" s="56" t="s">
        <v>488</v>
      </c>
    </row>
    <row r="3516" spans="2:12" x14ac:dyDescent="0.2">
      <c r="B3516" s="62" t="s">
        <v>2341</v>
      </c>
      <c r="C3516" s="61" t="s">
        <v>550</v>
      </c>
      <c r="D3516" s="60">
        <v>2.0439400000000001</v>
      </c>
      <c r="E3516" s="59">
        <v>2.4447700000000001</v>
      </c>
      <c r="F3516" s="59">
        <v>4.8786300000000002</v>
      </c>
      <c r="G3516" s="56">
        <v>0</v>
      </c>
      <c r="H3516" s="56">
        <v>0</v>
      </c>
      <c r="I3516" s="58">
        <v>0.28151900000000002</v>
      </c>
      <c r="J3516" s="57">
        <v>0.24981500000000001</v>
      </c>
      <c r="K3516" s="56"/>
      <c r="L3516" s="56" t="s">
        <v>488</v>
      </c>
    </row>
    <row r="3517" spans="2:12" x14ac:dyDescent="0.2">
      <c r="B3517" s="62" t="s">
        <v>2340</v>
      </c>
      <c r="C3517" s="61" t="s">
        <v>502</v>
      </c>
      <c r="D3517" s="60">
        <v>0.67468399999999995</v>
      </c>
      <c r="E3517" s="59">
        <v>5.5529999999999999</v>
      </c>
      <c r="F3517" s="59">
        <v>7.9620899999999999</v>
      </c>
      <c r="G3517" s="56">
        <v>2327.29</v>
      </c>
      <c r="H3517" s="56">
        <v>3449.46</v>
      </c>
      <c r="I3517" s="58">
        <v>0.67141499999999998</v>
      </c>
      <c r="J3517" s="57">
        <v>1.05545</v>
      </c>
      <c r="K3517" s="56"/>
      <c r="L3517" s="56" t="s">
        <v>488</v>
      </c>
    </row>
    <row r="3518" spans="2:12" x14ac:dyDescent="0.2">
      <c r="B3518" s="62" t="s">
        <v>2339</v>
      </c>
      <c r="C3518" s="61" t="s">
        <v>499</v>
      </c>
      <c r="D3518" s="60">
        <v>1.0479799999999999</v>
      </c>
      <c r="E3518" s="59">
        <v>4.4790099999999997</v>
      </c>
      <c r="F3518" s="59">
        <v>5.71523</v>
      </c>
      <c r="G3518" s="56">
        <v>1513.57</v>
      </c>
      <c r="H3518" s="56">
        <v>1444.28</v>
      </c>
      <c r="I3518" s="58">
        <v>0.59695900000000002</v>
      </c>
      <c r="J3518" s="57">
        <v>0.56910099999999997</v>
      </c>
      <c r="K3518" s="56"/>
      <c r="L3518" s="56" t="s">
        <v>488</v>
      </c>
    </row>
    <row r="3519" spans="2:12" x14ac:dyDescent="0.2">
      <c r="B3519" s="62" t="s">
        <v>2338</v>
      </c>
      <c r="C3519" s="61" t="s">
        <v>499</v>
      </c>
      <c r="D3519" s="60">
        <v>1.05792</v>
      </c>
      <c r="E3519" s="59">
        <v>4.5375199999999998</v>
      </c>
      <c r="F3519" s="59">
        <v>6.1963800000000004</v>
      </c>
      <c r="G3519" s="56">
        <v>1492.32</v>
      </c>
      <c r="H3519" s="56">
        <v>1410.62</v>
      </c>
      <c r="I3519" s="58">
        <v>0.606012</v>
      </c>
      <c r="J3519" s="57">
        <v>0.55858699999999994</v>
      </c>
      <c r="K3519" s="56"/>
      <c r="L3519" s="56" t="s">
        <v>488</v>
      </c>
    </row>
    <row r="3520" spans="2:12" x14ac:dyDescent="0.2">
      <c r="B3520" s="62" t="s">
        <v>2337</v>
      </c>
      <c r="C3520" s="61" t="s">
        <v>499</v>
      </c>
      <c r="D3520" s="60">
        <v>1.5424199999999999</v>
      </c>
      <c r="E3520" s="59">
        <v>2.92014</v>
      </c>
      <c r="F3520" s="59">
        <v>3.5402</v>
      </c>
      <c r="G3520" s="56">
        <v>0</v>
      </c>
      <c r="H3520" s="56">
        <v>0</v>
      </c>
      <c r="I3520" s="58">
        <v>0.125524</v>
      </c>
      <c r="J3520" s="57">
        <v>0.25509100000000001</v>
      </c>
      <c r="K3520" s="56"/>
      <c r="L3520" s="56" t="s">
        <v>488</v>
      </c>
    </row>
    <row r="3521" spans="2:12" x14ac:dyDescent="0.2">
      <c r="B3521" s="62" t="s">
        <v>2336</v>
      </c>
      <c r="C3521" s="61" t="s">
        <v>2335</v>
      </c>
      <c r="D3521" s="60">
        <v>1.6126400000000001</v>
      </c>
      <c r="E3521" s="59">
        <v>3.1789900000000002</v>
      </c>
      <c r="F3521" s="59">
        <v>5.2348400000000002</v>
      </c>
      <c r="G3521" s="56">
        <v>0</v>
      </c>
      <c r="H3521" s="56">
        <v>0</v>
      </c>
      <c r="I3521" s="58">
        <v>0.60339200000000004</v>
      </c>
      <c r="J3521" s="57">
        <v>0.30883699999999997</v>
      </c>
      <c r="K3521" s="56"/>
      <c r="L3521" s="56" t="s">
        <v>488</v>
      </c>
    </row>
    <row r="3522" spans="2:12" x14ac:dyDescent="0.2">
      <c r="B3522" s="62" t="s">
        <v>2334</v>
      </c>
      <c r="C3522" s="61" t="s">
        <v>1141</v>
      </c>
      <c r="D3522" s="60">
        <v>1.56592</v>
      </c>
      <c r="E3522" s="59">
        <v>4.5457099999999997</v>
      </c>
      <c r="F3522" s="59">
        <v>4.9768600000000003</v>
      </c>
      <c r="G3522" s="56">
        <v>619.71500000000003</v>
      </c>
      <c r="H3522" s="56">
        <v>395.75200000000001</v>
      </c>
      <c r="I3522" s="58">
        <v>0.35712699999999997</v>
      </c>
      <c r="J3522" s="57">
        <v>0.276225</v>
      </c>
      <c r="K3522" s="56"/>
      <c r="L3522" s="56" t="s">
        <v>488</v>
      </c>
    </row>
    <row r="3523" spans="2:12" x14ac:dyDescent="0.2">
      <c r="B3523" s="62" t="s">
        <v>2333</v>
      </c>
      <c r="C3523" s="61" t="s">
        <v>625</v>
      </c>
      <c r="D3523" s="60">
        <v>1.8004800000000001</v>
      </c>
      <c r="E3523" s="59">
        <v>3.0696099999999999</v>
      </c>
      <c r="F3523" s="59">
        <v>4.0055300000000003</v>
      </c>
      <c r="G3523" s="56">
        <v>0</v>
      </c>
      <c r="H3523" s="56">
        <v>0</v>
      </c>
      <c r="I3523" s="58">
        <v>9.9001699999999998E-2</v>
      </c>
      <c r="J3523" s="57">
        <v>0.217697</v>
      </c>
      <c r="K3523" s="56"/>
      <c r="L3523" s="56" t="s">
        <v>488</v>
      </c>
    </row>
    <row r="3524" spans="2:12" x14ac:dyDescent="0.2">
      <c r="B3524" s="62" t="s">
        <v>2332</v>
      </c>
      <c r="C3524" s="61" t="s">
        <v>550</v>
      </c>
      <c r="D3524" s="60">
        <v>1.8667899999999999</v>
      </c>
      <c r="E3524" s="59">
        <v>2.9756100000000001</v>
      </c>
      <c r="F3524" s="59">
        <v>3.5567500000000001</v>
      </c>
      <c r="G3524" s="56">
        <v>0</v>
      </c>
      <c r="H3524" s="56">
        <v>0</v>
      </c>
      <c r="I3524" s="58">
        <v>0.121895</v>
      </c>
      <c r="J3524" s="57">
        <v>0.193051</v>
      </c>
      <c r="K3524" s="56"/>
      <c r="L3524" s="56" t="s">
        <v>488</v>
      </c>
    </row>
    <row r="3525" spans="2:12" x14ac:dyDescent="0.2">
      <c r="B3525" s="62" t="s">
        <v>2331</v>
      </c>
      <c r="C3525" s="61" t="s">
        <v>2330</v>
      </c>
      <c r="D3525" s="60">
        <v>2.98549</v>
      </c>
      <c r="E3525" s="59">
        <v>6.4755000000000003</v>
      </c>
      <c r="F3525" s="59">
        <v>9.1879899999999992</v>
      </c>
      <c r="G3525" s="56">
        <v>816.09299999999996</v>
      </c>
      <c r="H3525" s="56">
        <v>273.35300000000001</v>
      </c>
      <c r="I3525" s="58">
        <v>0.28120099999999998</v>
      </c>
      <c r="J3525" s="57">
        <v>0.16148799999999999</v>
      </c>
      <c r="K3525" s="56"/>
      <c r="L3525" s="56" t="s">
        <v>492</v>
      </c>
    </row>
    <row r="3526" spans="2:12" x14ac:dyDescent="0.2">
      <c r="B3526" s="62" t="s">
        <v>2329</v>
      </c>
      <c r="C3526" s="61" t="s">
        <v>550</v>
      </c>
      <c r="D3526" s="60">
        <v>2.0487500000000001</v>
      </c>
      <c r="E3526" s="59">
        <v>2.4081700000000001</v>
      </c>
      <c r="F3526" s="59">
        <v>3.9476100000000001</v>
      </c>
      <c r="G3526" s="56">
        <v>0</v>
      </c>
      <c r="H3526" s="56">
        <v>0</v>
      </c>
      <c r="I3526" s="58">
        <v>0.27518700000000001</v>
      </c>
      <c r="J3526" s="57">
        <v>0.218892</v>
      </c>
      <c r="K3526" s="56"/>
      <c r="L3526" s="56" t="s">
        <v>488</v>
      </c>
    </row>
    <row r="3527" spans="2:12" x14ac:dyDescent="0.2">
      <c r="B3527" s="62" t="s">
        <v>2328</v>
      </c>
      <c r="C3527" s="61" t="s">
        <v>875</v>
      </c>
      <c r="D3527" s="60">
        <v>2.0448900000000001</v>
      </c>
      <c r="E3527" s="59">
        <v>2.8906700000000001</v>
      </c>
      <c r="F3527" s="59">
        <v>4.3199500000000004</v>
      </c>
      <c r="G3527" s="56">
        <v>0</v>
      </c>
      <c r="H3527" s="56">
        <v>0</v>
      </c>
      <c r="I3527" s="58">
        <v>0.29271999999999998</v>
      </c>
      <c r="J3527" s="57">
        <v>0.22001799999999999</v>
      </c>
      <c r="K3527" s="56"/>
      <c r="L3527" s="56" t="s">
        <v>488</v>
      </c>
    </row>
    <row r="3528" spans="2:12" x14ac:dyDescent="0.2">
      <c r="B3528" s="62" t="s">
        <v>2327</v>
      </c>
      <c r="C3528" s="61" t="s">
        <v>1100</v>
      </c>
      <c r="D3528" s="60">
        <v>2.1311399999999998</v>
      </c>
      <c r="E3528" s="59">
        <v>2.8889300000000002</v>
      </c>
      <c r="F3528" s="59">
        <v>4.2215999999999996</v>
      </c>
      <c r="G3528" s="56">
        <v>0</v>
      </c>
      <c r="H3528" s="56">
        <v>0</v>
      </c>
      <c r="I3528" s="58">
        <v>0.28035500000000002</v>
      </c>
      <c r="J3528" s="57">
        <v>0.20599500000000001</v>
      </c>
      <c r="K3528" s="56"/>
      <c r="L3528" s="56" t="s">
        <v>488</v>
      </c>
    </row>
    <row r="3529" spans="2:12" x14ac:dyDescent="0.2">
      <c r="B3529" s="62" t="s">
        <v>2326</v>
      </c>
      <c r="C3529" s="61" t="s">
        <v>502</v>
      </c>
      <c r="D3529" s="60">
        <v>1.34108</v>
      </c>
      <c r="E3529" s="59">
        <v>3.2852199999999998</v>
      </c>
      <c r="F3529" s="59">
        <v>4.1023399999999999</v>
      </c>
      <c r="G3529" s="56">
        <v>0</v>
      </c>
      <c r="H3529" s="56">
        <v>0</v>
      </c>
      <c r="I3529" s="58">
        <v>0.222524</v>
      </c>
      <c r="J3529" s="57">
        <v>0.31797500000000001</v>
      </c>
      <c r="K3529" s="56"/>
      <c r="L3529" s="56" t="s">
        <v>492</v>
      </c>
    </row>
    <row r="3530" spans="2:12" x14ac:dyDescent="0.2">
      <c r="B3530" s="62" t="s">
        <v>2325</v>
      </c>
      <c r="C3530" s="61" t="s">
        <v>550</v>
      </c>
      <c r="D3530" s="60">
        <v>1.2958000000000001</v>
      </c>
      <c r="E3530" s="59">
        <v>3.5144099999999998</v>
      </c>
      <c r="F3530" s="59">
        <v>4.8467700000000002</v>
      </c>
      <c r="G3530" s="56">
        <v>0</v>
      </c>
      <c r="H3530" s="56">
        <v>0</v>
      </c>
      <c r="I3530" s="58">
        <v>0.232463</v>
      </c>
      <c r="J3530" s="57">
        <v>0.35429500000000003</v>
      </c>
      <c r="K3530" s="56"/>
      <c r="L3530" s="56" t="s">
        <v>488</v>
      </c>
    </row>
    <row r="3531" spans="2:12" x14ac:dyDescent="0.2">
      <c r="B3531" s="62" t="s">
        <v>2324</v>
      </c>
      <c r="C3531" s="61" t="s">
        <v>526</v>
      </c>
      <c r="D3531" s="60">
        <v>1.52871</v>
      </c>
      <c r="E3531" s="59">
        <v>9.6043699999999994</v>
      </c>
      <c r="F3531" s="59">
        <v>10.29771</v>
      </c>
      <c r="G3531" s="56">
        <v>953.69799999999998</v>
      </c>
      <c r="H3531" s="56">
        <v>623.85299999999995</v>
      </c>
      <c r="I3531" s="58">
        <v>0.48276799999999997</v>
      </c>
      <c r="J3531" s="57">
        <v>0.34596300000000002</v>
      </c>
      <c r="K3531" s="56"/>
      <c r="L3531" s="56" t="s">
        <v>488</v>
      </c>
    </row>
    <row r="3532" spans="2:12" x14ac:dyDescent="0.2">
      <c r="B3532" s="62" t="s">
        <v>2323</v>
      </c>
      <c r="C3532" s="61" t="s">
        <v>550</v>
      </c>
      <c r="D3532" s="60">
        <v>1.54037</v>
      </c>
      <c r="E3532" s="59">
        <v>4.7036800000000003</v>
      </c>
      <c r="F3532" s="59">
        <v>6.4437300000000004</v>
      </c>
      <c r="G3532" s="56">
        <v>963.03599999999994</v>
      </c>
      <c r="H3532" s="56">
        <v>625.19899999999996</v>
      </c>
      <c r="I3532" s="58">
        <v>0.390928</v>
      </c>
      <c r="J3532" s="57">
        <v>0.36777700000000002</v>
      </c>
      <c r="K3532" s="56"/>
      <c r="L3532" s="56" t="s">
        <v>488</v>
      </c>
    </row>
    <row r="3533" spans="2:12" x14ac:dyDescent="0.2">
      <c r="B3533" s="62" t="s">
        <v>2322</v>
      </c>
      <c r="C3533" s="61" t="s">
        <v>533</v>
      </c>
      <c r="D3533" s="60">
        <v>2.0611700000000002</v>
      </c>
      <c r="E3533" s="59">
        <v>3.8939400000000002</v>
      </c>
      <c r="F3533" s="59">
        <v>4.3034600000000003</v>
      </c>
      <c r="G3533" s="56">
        <v>434.76499999999999</v>
      </c>
      <c r="H3533" s="56">
        <v>210.93100000000001</v>
      </c>
      <c r="I3533" s="58">
        <v>0.363344</v>
      </c>
      <c r="J3533" s="57">
        <v>0.23513300000000001</v>
      </c>
      <c r="K3533" s="56"/>
      <c r="L3533" s="56" t="s">
        <v>488</v>
      </c>
    </row>
    <row r="3534" spans="2:12" x14ac:dyDescent="0.2">
      <c r="B3534" s="62" t="s">
        <v>2321</v>
      </c>
      <c r="C3534" s="61" t="s">
        <v>510</v>
      </c>
      <c r="D3534" s="60">
        <v>1.29661</v>
      </c>
      <c r="E3534" s="59">
        <v>3.0939000000000001</v>
      </c>
      <c r="F3534" s="59">
        <v>4.2276600000000002</v>
      </c>
      <c r="G3534" s="56">
        <v>0</v>
      </c>
      <c r="H3534" s="56">
        <v>0</v>
      </c>
      <c r="I3534" s="58">
        <v>0.25571899999999997</v>
      </c>
      <c r="J3534" s="57">
        <v>0.34333999999999998</v>
      </c>
      <c r="K3534" s="56"/>
      <c r="L3534" s="56" t="s">
        <v>488</v>
      </c>
    </row>
    <row r="3535" spans="2:12" x14ac:dyDescent="0.2">
      <c r="B3535" s="62" t="s">
        <v>2320</v>
      </c>
      <c r="C3535" s="61" t="s">
        <v>499</v>
      </c>
      <c r="D3535" s="60">
        <v>1.27658</v>
      </c>
      <c r="E3535" s="59">
        <v>3.7266499999999998</v>
      </c>
      <c r="F3535" s="59">
        <v>5.0270900000000003</v>
      </c>
      <c r="G3535" s="56">
        <v>424.34100000000001</v>
      </c>
      <c r="H3535" s="56">
        <v>332.40600000000001</v>
      </c>
      <c r="I3535" s="58">
        <v>0.28669499999999998</v>
      </c>
      <c r="J3535" s="57">
        <v>0.36850500000000003</v>
      </c>
      <c r="K3535" s="56"/>
      <c r="L3535" s="56" t="s">
        <v>488</v>
      </c>
    </row>
    <row r="3536" spans="2:12" x14ac:dyDescent="0.2">
      <c r="B3536" s="62" t="s">
        <v>2319</v>
      </c>
      <c r="C3536" s="61" t="s">
        <v>550</v>
      </c>
      <c r="D3536" s="60">
        <v>1.3389800000000001</v>
      </c>
      <c r="E3536" s="59">
        <v>3.6146099999999999</v>
      </c>
      <c r="F3536" s="59">
        <v>5.9342600000000001</v>
      </c>
      <c r="G3536" s="56">
        <v>0</v>
      </c>
      <c r="H3536" s="56">
        <v>0</v>
      </c>
      <c r="I3536" s="58">
        <v>0.38984600000000003</v>
      </c>
      <c r="J3536" s="57">
        <v>0.36458800000000002</v>
      </c>
      <c r="K3536" s="56"/>
      <c r="L3536" s="56" t="s">
        <v>488</v>
      </c>
    </row>
    <row r="3537" spans="2:12" x14ac:dyDescent="0.2">
      <c r="B3537" s="62" t="s">
        <v>2318</v>
      </c>
      <c r="C3537" s="61" t="s">
        <v>878</v>
      </c>
      <c r="D3537" s="60">
        <v>1.8265</v>
      </c>
      <c r="E3537" s="59">
        <v>2.4938099999999999</v>
      </c>
      <c r="F3537" s="59">
        <v>4.0275100000000004</v>
      </c>
      <c r="G3537" s="56">
        <v>0</v>
      </c>
      <c r="H3537" s="56">
        <v>0</v>
      </c>
      <c r="I3537" s="58">
        <v>0.139876</v>
      </c>
      <c r="J3537" s="57">
        <v>0.23080100000000001</v>
      </c>
      <c r="K3537" s="56"/>
      <c r="L3537" s="56" t="s">
        <v>488</v>
      </c>
    </row>
    <row r="3538" spans="2:12" x14ac:dyDescent="0.2">
      <c r="B3538" s="62" t="s">
        <v>2317</v>
      </c>
      <c r="C3538" s="61" t="s">
        <v>499</v>
      </c>
      <c r="D3538" s="60">
        <v>0.86245499999999997</v>
      </c>
      <c r="E3538" s="59">
        <v>5.4288400000000001</v>
      </c>
      <c r="F3538" s="59">
        <v>7.9467699999999999</v>
      </c>
      <c r="G3538" s="56">
        <v>2281.96</v>
      </c>
      <c r="H3538" s="56">
        <v>2645.89</v>
      </c>
      <c r="I3538" s="58">
        <v>0.77053499999999997</v>
      </c>
      <c r="J3538" s="57">
        <v>0.80493999999999999</v>
      </c>
      <c r="K3538" s="56"/>
      <c r="L3538" s="56" t="s">
        <v>488</v>
      </c>
    </row>
    <row r="3539" spans="2:12" x14ac:dyDescent="0.2">
      <c r="B3539" s="62" t="s">
        <v>2316</v>
      </c>
      <c r="C3539" s="61" t="s">
        <v>550</v>
      </c>
      <c r="D3539" s="60">
        <v>0.94867699999999999</v>
      </c>
      <c r="E3539" s="59">
        <v>5.8124900000000004</v>
      </c>
      <c r="F3539" s="59">
        <v>8.2080300000000008</v>
      </c>
      <c r="G3539" s="56">
        <v>2266.6799999999998</v>
      </c>
      <c r="H3539" s="56">
        <v>2389.31</v>
      </c>
      <c r="I3539" s="58">
        <v>0.77801399999999998</v>
      </c>
      <c r="J3539" s="57">
        <v>0.74743599999999999</v>
      </c>
      <c r="K3539" s="56"/>
      <c r="L3539" s="56" t="s">
        <v>488</v>
      </c>
    </row>
    <row r="3540" spans="2:12" x14ac:dyDescent="0.2">
      <c r="B3540" s="62" t="s">
        <v>2315</v>
      </c>
      <c r="C3540" s="61" t="s">
        <v>569</v>
      </c>
      <c r="D3540" s="60">
        <v>0.94838100000000003</v>
      </c>
      <c r="E3540" s="59">
        <v>3.7404999999999999</v>
      </c>
      <c r="F3540" s="59">
        <v>5.2491700000000003</v>
      </c>
      <c r="G3540" s="56">
        <v>756.17200000000003</v>
      </c>
      <c r="H3540" s="56">
        <v>797.32899999999995</v>
      </c>
      <c r="I3540" s="58">
        <v>0.475049</v>
      </c>
      <c r="J3540" s="57">
        <v>0.56964999999999999</v>
      </c>
      <c r="K3540" s="56"/>
      <c r="L3540" s="56" t="s">
        <v>488</v>
      </c>
    </row>
    <row r="3541" spans="2:12" x14ac:dyDescent="0.2">
      <c r="B3541" s="62" t="s">
        <v>2314</v>
      </c>
      <c r="C3541" s="61" t="s">
        <v>708</v>
      </c>
      <c r="D3541" s="60">
        <v>1.78813</v>
      </c>
      <c r="E3541" s="59">
        <v>3.46231</v>
      </c>
      <c r="F3541" s="59">
        <v>5.0483200000000004</v>
      </c>
      <c r="G3541" s="56">
        <v>0</v>
      </c>
      <c r="H3541" s="56">
        <v>0</v>
      </c>
      <c r="I3541" s="58">
        <v>9.0242600000000006E-2</v>
      </c>
      <c r="J3541" s="57">
        <v>0.192444</v>
      </c>
      <c r="K3541" s="56"/>
      <c r="L3541" s="56" t="s">
        <v>823</v>
      </c>
    </row>
    <row r="3542" spans="2:12" x14ac:dyDescent="0.2">
      <c r="B3542" s="62" t="s">
        <v>2313</v>
      </c>
      <c r="C3542" s="61" t="s">
        <v>502</v>
      </c>
      <c r="D3542" s="60">
        <v>2.2073200000000002</v>
      </c>
      <c r="E3542" s="59">
        <v>3.5603500000000001</v>
      </c>
      <c r="F3542" s="59">
        <v>4.1174600000000003</v>
      </c>
      <c r="G3542" s="56">
        <v>0</v>
      </c>
      <c r="H3542" s="56">
        <v>0</v>
      </c>
      <c r="I3542" s="58">
        <v>0.140267</v>
      </c>
      <c r="J3542" s="57">
        <v>0.159445</v>
      </c>
      <c r="K3542" s="56"/>
      <c r="L3542" s="56" t="s">
        <v>488</v>
      </c>
    </row>
    <row r="3543" spans="2:12" x14ac:dyDescent="0.2">
      <c r="B3543" s="62" t="s">
        <v>2312</v>
      </c>
      <c r="C3543" s="61" t="s">
        <v>550</v>
      </c>
      <c r="D3543" s="60">
        <v>0.838148</v>
      </c>
      <c r="E3543" s="59">
        <v>4.1926100000000002</v>
      </c>
      <c r="F3543" s="59">
        <v>5.9703499999999998</v>
      </c>
      <c r="G3543" s="56">
        <v>2170.41</v>
      </c>
      <c r="H3543" s="56">
        <v>2589.5300000000002</v>
      </c>
      <c r="I3543" s="58">
        <v>0.674014</v>
      </c>
      <c r="J3543" s="57">
        <v>0.78136899999999998</v>
      </c>
      <c r="K3543" s="56"/>
      <c r="L3543" s="56" t="s">
        <v>488</v>
      </c>
    </row>
    <row r="3544" spans="2:12" x14ac:dyDescent="0.2">
      <c r="B3544" s="62" t="s">
        <v>2311</v>
      </c>
      <c r="C3544" s="61" t="s">
        <v>499</v>
      </c>
      <c r="D3544" s="60">
        <v>0.77386900000000003</v>
      </c>
      <c r="E3544" s="59">
        <v>4.3401199999999998</v>
      </c>
      <c r="F3544" s="59">
        <v>6.7052199999999997</v>
      </c>
      <c r="G3544" s="56">
        <v>1994.14</v>
      </c>
      <c r="H3544" s="56">
        <v>2576.84</v>
      </c>
      <c r="I3544" s="58">
        <v>0.66675300000000004</v>
      </c>
      <c r="J3544" s="57">
        <v>0.84316400000000002</v>
      </c>
      <c r="K3544" s="56"/>
      <c r="L3544" s="56" t="s">
        <v>488</v>
      </c>
    </row>
    <row r="3545" spans="2:12" x14ac:dyDescent="0.2">
      <c r="B3545" s="62" t="s">
        <v>2310</v>
      </c>
      <c r="C3545" s="61" t="s">
        <v>499</v>
      </c>
      <c r="D3545" s="60">
        <v>1.2043200000000001</v>
      </c>
      <c r="E3545" s="59">
        <v>3.1824400000000002</v>
      </c>
      <c r="F3545" s="59">
        <v>4.1094299999999997</v>
      </c>
      <c r="G3545" s="56">
        <v>0</v>
      </c>
      <c r="H3545" s="56">
        <v>0</v>
      </c>
      <c r="I3545" s="58">
        <v>0.37347599999999997</v>
      </c>
      <c r="J3545" s="57">
        <v>0.40979100000000002</v>
      </c>
      <c r="K3545" s="56"/>
      <c r="L3545" s="56" t="s">
        <v>488</v>
      </c>
    </row>
    <row r="3546" spans="2:12" x14ac:dyDescent="0.2">
      <c r="B3546" s="62" t="s">
        <v>2309</v>
      </c>
      <c r="C3546" s="61" t="s">
        <v>2104</v>
      </c>
      <c r="D3546" s="60">
        <v>1.1130899999999999</v>
      </c>
      <c r="E3546" s="59">
        <v>4.9859799999999996</v>
      </c>
      <c r="F3546" s="59">
        <v>6.7348800000000004</v>
      </c>
      <c r="G3546" s="56">
        <v>1226.81</v>
      </c>
      <c r="H3546" s="56">
        <v>1102.1600000000001</v>
      </c>
      <c r="I3546" s="58">
        <v>0.49842999999999998</v>
      </c>
      <c r="J3546" s="57">
        <v>0.53137100000000004</v>
      </c>
      <c r="K3546" s="56"/>
      <c r="L3546" s="56" t="s">
        <v>488</v>
      </c>
    </row>
    <row r="3547" spans="2:12" x14ac:dyDescent="0.2">
      <c r="B3547" s="62" t="s">
        <v>2308</v>
      </c>
      <c r="C3547" s="61" t="s">
        <v>2304</v>
      </c>
      <c r="D3547" s="60">
        <v>1.40517</v>
      </c>
      <c r="E3547" s="59">
        <v>2.6615700000000002</v>
      </c>
      <c r="F3547" s="59">
        <v>4.2818399999999999</v>
      </c>
      <c r="G3547" s="56">
        <v>0</v>
      </c>
      <c r="H3547" s="56">
        <v>0</v>
      </c>
      <c r="I3547" s="58">
        <v>0.20653099999999999</v>
      </c>
      <c r="J3547" s="57">
        <v>0.32278899999999999</v>
      </c>
      <c r="K3547" s="56"/>
      <c r="L3547" s="56" t="s">
        <v>492</v>
      </c>
    </row>
    <row r="3548" spans="2:12" x14ac:dyDescent="0.2">
      <c r="B3548" s="62" t="s">
        <v>2307</v>
      </c>
      <c r="C3548" s="61" t="s">
        <v>499</v>
      </c>
      <c r="D3548" s="60">
        <v>0.56502300000000005</v>
      </c>
      <c r="E3548" s="59">
        <v>7.4090999999999996</v>
      </c>
      <c r="F3548" s="59">
        <v>10.669090000000001</v>
      </c>
      <c r="G3548" s="56">
        <v>2356.96</v>
      </c>
      <c r="H3548" s="56">
        <v>4171.45</v>
      </c>
      <c r="I3548" s="58">
        <v>0.81973300000000004</v>
      </c>
      <c r="J3548" s="57">
        <v>1.3785400000000001</v>
      </c>
      <c r="K3548" s="56"/>
      <c r="L3548" s="56" t="s">
        <v>488</v>
      </c>
    </row>
    <row r="3549" spans="2:12" x14ac:dyDescent="0.2">
      <c r="B3549" s="62" t="s">
        <v>2306</v>
      </c>
      <c r="C3549" s="61" t="s">
        <v>550</v>
      </c>
      <c r="D3549" s="60">
        <v>0.97644500000000001</v>
      </c>
      <c r="E3549" s="59">
        <v>4.2346700000000004</v>
      </c>
      <c r="F3549" s="59">
        <v>5.3266900000000001</v>
      </c>
      <c r="G3549" s="56">
        <v>1229.98</v>
      </c>
      <c r="H3549" s="56">
        <v>1259.6500000000001</v>
      </c>
      <c r="I3549" s="58">
        <v>0.50062700000000004</v>
      </c>
      <c r="J3549" s="57">
        <v>0.61824100000000004</v>
      </c>
      <c r="K3549" s="56"/>
      <c r="L3549" s="56" t="s">
        <v>492</v>
      </c>
    </row>
    <row r="3550" spans="2:12" x14ac:dyDescent="0.2">
      <c r="B3550" s="62" t="s">
        <v>2305</v>
      </c>
      <c r="C3550" s="61" t="s">
        <v>2304</v>
      </c>
      <c r="D3550" s="60">
        <v>1.171</v>
      </c>
      <c r="E3550" s="59">
        <v>3.7506699999999999</v>
      </c>
      <c r="F3550" s="59">
        <v>5.4142099999999997</v>
      </c>
      <c r="G3550" s="56">
        <v>881.13199999999995</v>
      </c>
      <c r="H3550" s="56">
        <v>752.45799999999997</v>
      </c>
      <c r="I3550" s="58">
        <v>0.43692900000000001</v>
      </c>
      <c r="J3550" s="57">
        <v>0.46720099999999998</v>
      </c>
      <c r="K3550" s="56"/>
      <c r="L3550" s="56" t="s">
        <v>488</v>
      </c>
    </row>
    <row r="3551" spans="2:12" x14ac:dyDescent="0.2">
      <c r="B3551" s="62" t="s">
        <v>2303</v>
      </c>
      <c r="C3551" s="61" t="s">
        <v>875</v>
      </c>
      <c r="D3551" s="60">
        <v>1.6842699999999999</v>
      </c>
      <c r="E3551" s="59">
        <v>3.1469399999999998</v>
      </c>
      <c r="F3551" s="59">
        <v>5.5403799999999999</v>
      </c>
      <c r="G3551" s="56">
        <v>0</v>
      </c>
      <c r="H3551" s="56">
        <v>0</v>
      </c>
      <c r="I3551" s="58">
        <v>0.19194700000000001</v>
      </c>
      <c r="J3551" s="57">
        <v>0.248366</v>
      </c>
      <c r="K3551" s="56"/>
      <c r="L3551" s="56" t="s">
        <v>492</v>
      </c>
    </row>
    <row r="3552" spans="2:12" x14ac:dyDescent="0.2">
      <c r="B3552" s="62" t="s">
        <v>2302</v>
      </c>
      <c r="C3552" s="61" t="s">
        <v>510</v>
      </c>
      <c r="D3552" s="60">
        <v>1.54457</v>
      </c>
      <c r="E3552" s="59">
        <v>4.39215</v>
      </c>
      <c r="F3552" s="59">
        <v>5.8900399999999999</v>
      </c>
      <c r="G3552" s="56">
        <v>1339.34</v>
      </c>
      <c r="H3552" s="56">
        <v>867.12900000000002</v>
      </c>
      <c r="I3552" s="58">
        <v>0.52308500000000002</v>
      </c>
      <c r="J3552" s="57">
        <v>0.32881100000000002</v>
      </c>
      <c r="K3552" s="56"/>
      <c r="L3552" s="56" t="s">
        <v>488</v>
      </c>
    </row>
    <row r="3553" spans="2:12" x14ac:dyDescent="0.2">
      <c r="B3553" s="62" t="s">
        <v>2301</v>
      </c>
      <c r="C3553" s="61" t="s">
        <v>537</v>
      </c>
      <c r="D3553" s="60">
        <v>2.1139000000000001</v>
      </c>
      <c r="E3553" s="59">
        <v>3.1982699999999999</v>
      </c>
      <c r="F3553" s="59">
        <v>3.9515099999999999</v>
      </c>
      <c r="G3553" s="56">
        <v>0</v>
      </c>
      <c r="H3553" s="56">
        <v>0</v>
      </c>
      <c r="I3553" s="58">
        <v>0.204317</v>
      </c>
      <c r="J3553" s="57">
        <v>0.192356</v>
      </c>
      <c r="K3553" s="56"/>
      <c r="L3553" s="56" t="s">
        <v>488</v>
      </c>
    </row>
    <row r="3554" spans="2:12" x14ac:dyDescent="0.2">
      <c r="B3554" s="62" t="s">
        <v>2300</v>
      </c>
      <c r="C3554" s="61" t="s">
        <v>561</v>
      </c>
      <c r="D3554" s="60">
        <v>1.78284</v>
      </c>
      <c r="E3554" s="59">
        <v>3.2046199999999998</v>
      </c>
      <c r="F3554" s="59">
        <v>3.9491299999999998</v>
      </c>
      <c r="G3554" s="56">
        <v>0</v>
      </c>
      <c r="H3554" s="56">
        <v>0</v>
      </c>
      <c r="I3554" s="58">
        <v>0.20507400000000001</v>
      </c>
      <c r="J3554" s="57">
        <v>0.22447600000000001</v>
      </c>
      <c r="K3554" s="56"/>
      <c r="L3554" s="56" t="s">
        <v>488</v>
      </c>
    </row>
    <row r="3555" spans="2:12" x14ac:dyDescent="0.2">
      <c r="B3555" s="62" t="s">
        <v>2299</v>
      </c>
      <c r="C3555" s="61" t="s">
        <v>859</v>
      </c>
      <c r="D3555" s="60">
        <v>2.16</v>
      </c>
      <c r="E3555" s="59">
        <v>3.2005300000000001</v>
      </c>
      <c r="F3555" s="59">
        <v>3.9769600000000001</v>
      </c>
      <c r="G3555" s="56">
        <v>0</v>
      </c>
      <c r="H3555" s="56">
        <v>0</v>
      </c>
      <c r="I3555" s="58">
        <v>0.20702999999999999</v>
      </c>
      <c r="J3555" s="57">
        <v>0.18607000000000001</v>
      </c>
      <c r="K3555" s="56"/>
      <c r="L3555" s="56" t="s">
        <v>488</v>
      </c>
    </row>
    <row r="3556" spans="2:12" x14ac:dyDescent="0.2">
      <c r="B3556" s="62" t="s">
        <v>2298</v>
      </c>
      <c r="C3556" s="61" t="s">
        <v>1652</v>
      </c>
      <c r="D3556" s="60">
        <v>2.2379500000000001</v>
      </c>
      <c r="E3556" s="59">
        <v>3.1651400000000001</v>
      </c>
      <c r="F3556" s="59">
        <v>3.8860199999999998</v>
      </c>
      <c r="G3556" s="56">
        <v>0</v>
      </c>
      <c r="H3556" s="56">
        <v>0</v>
      </c>
      <c r="I3556" s="58">
        <v>0.21007500000000001</v>
      </c>
      <c r="J3556" s="57">
        <v>0.176427</v>
      </c>
      <c r="K3556" s="56"/>
      <c r="L3556" s="56" t="s">
        <v>488</v>
      </c>
    </row>
    <row r="3557" spans="2:12" x14ac:dyDescent="0.2">
      <c r="B3557" s="62" t="s">
        <v>2297</v>
      </c>
      <c r="C3557" s="61" t="s">
        <v>489</v>
      </c>
      <c r="D3557" s="60">
        <v>1.0680700000000001</v>
      </c>
      <c r="E3557" s="59">
        <v>4.7166300000000003</v>
      </c>
      <c r="F3557" s="59">
        <v>6.8334400000000004</v>
      </c>
      <c r="G3557" s="56">
        <v>1038.26</v>
      </c>
      <c r="H3557" s="56">
        <v>972.08799999999997</v>
      </c>
      <c r="I3557" s="58">
        <v>0.46857399999999999</v>
      </c>
      <c r="J3557" s="57">
        <v>0.58060599999999996</v>
      </c>
      <c r="K3557" s="56"/>
      <c r="L3557" s="56" t="s">
        <v>488</v>
      </c>
    </row>
    <row r="3558" spans="2:12" x14ac:dyDescent="0.2">
      <c r="B3558" s="62" t="s">
        <v>2296</v>
      </c>
      <c r="C3558" s="61" t="s">
        <v>489</v>
      </c>
      <c r="D3558" s="60">
        <v>0.93135999999999997</v>
      </c>
      <c r="E3558" s="59">
        <v>4.8882500000000002</v>
      </c>
      <c r="F3558" s="59">
        <v>6.9732900000000004</v>
      </c>
      <c r="G3558" s="56">
        <v>1893.18</v>
      </c>
      <c r="H3558" s="56">
        <v>2032.71</v>
      </c>
      <c r="I3558" s="58">
        <v>0.52393000000000001</v>
      </c>
      <c r="J3558" s="57">
        <v>0.69530700000000001</v>
      </c>
      <c r="K3558" s="56"/>
      <c r="L3558" s="56" t="s">
        <v>488</v>
      </c>
    </row>
    <row r="3559" spans="2:12" x14ac:dyDescent="0.2">
      <c r="B3559" s="62" t="s">
        <v>2295</v>
      </c>
      <c r="C3559" s="61" t="s">
        <v>499</v>
      </c>
      <c r="D3559" s="60">
        <v>0.76113299999999995</v>
      </c>
      <c r="E3559" s="59">
        <v>10.00981</v>
      </c>
      <c r="F3559" s="59">
        <v>12.365180000000001</v>
      </c>
      <c r="G3559" s="56">
        <v>1911.51</v>
      </c>
      <c r="H3559" s="56">
        <v>2671.18</v>
      </c>
      <c r="I3559" s="58">
        <v>0.69128999999999996</v>
      </c>
      <c r="J3559" s="57">
        <v>0.92158099999999998</v>
      </c>
      <c r="K3559" s="56"/>
      <c r="L3559" s="56" t="s">
        <v>488</v>
      </c>
    </row>
    <row r="3560" spans="2:12" x14ac:dyDescent="0.2">
      <c r="B3560" s="62" t="s">
        <v>2294</v>
      </c>
      <c r="C3560" s="61" t="s">
        <v>499</v>
      </c>
      <c r="D3560" s="60">
        <v>0.71560500000000005</v>
      </c>
      <c r="E3560" s="59">
        <v>9.2690800000000007</v>
      </c>
      <c r="F3560" s="59">
        <v>10.9643</v>
      </c>
      <c r="G3560" s="56">
        <v>1961.38</v>
      </c>
      <c r="H3560" s="56">
        <v>2576.9299999999998</v>
      </c>
      <c r="I3560" s="58">
        <v>0.70615499999999998</v>
      </c>
      <c r="J3560" s="57">
        <v>1.0063800000000001</v>
      </c>
      <c r="K3560" s="56"/>
      <c r="L3560" s="56" t="s">
        <v>488</v>
      </c>
    </row>
    <row r="3561" spans="2:12" x14ac:dyDescent="0.2">
      <c r="B3561" s="62" t="s">
        <v>2293</v>
      </c>
      <c r="C3561" s="61" t="s">
        <v>510</v>
      </c>
      <c r="D3561" s="60">
        <v>1.5158700000000001</v>
      </c>
      <c r="E3561" s="59">
        <v>5.04854</v>
      </c>
      <c r="F3561" s="59">
        <v>5.7955199999999998</v>
      </c>
      <c r="G3561" s="56">
        <v>703.54</v>
      </c>
      <c r="H3561" s="56">
        <v>464.11500000000001</v>
      </c>
      <c r="I3561" s="58">
        <v>0.32627299999999998</v>
      </c>
      <c r="J3561" s="57">
        <v>0.29924600000000001</v>
      </c>
      <c r="K3561" s="56"/>
      <c r="L3561" s="56" t="s">
        <v>488</v>
      </c>
    </row>
    <row r="3562" spans="2:12" x14ac:dyDescent="0.2">
      <c r="B3562" s="62" t="s">
        <v>2292</v>
      </c>
      <c r="C3562" s="61" t="s">
        <v>499</v>
      </c>
      <c r="D3562" s="60">
        <v>1.54054</v>
      </c>
      <c r="E3562" s="59">
        <v>5.0763400000000001</v>
      </c>
      <c r="F3562" s="59">
        <v>5.83718</v>
      </c>
      <c r="G3562" s="56">
        <v>705.39599999999996</v>
      </c>
      <c r="H3562" s="56">
        <v>457.89</v>
      </c>
      <c r="I3562" s="58">
        <v>0.32807700000000001</v>
      </c>
      <c r="J3562" s="57">
        <v>0.302871</v>
      </c>
      <c r="K3562" s="56"/>
      <c r="L3562" s="56" t="s">
        <v>488</v>
      </c>
    </row>
    <row r="3563" spans="2:12" x14ac:dyDescent="0.2">
      <c r="B3563" s="62" t="s">
        <v>2291</v>
      </c>
      <c r="C3563" s="61" t="s">
        <v>625</v>
      </c>
      <c r="D3563" s="60">
        <v>1.6388499999999999</v>
      </c>
      <c r="E3563" s="59">
        <v>3.3275899999999998</v>
      </c>
      <c r="F3563" s="59">
        <v>6.9837499999999997</v>
      </c>
      <c r="G3563" s="56">
        <v>0</v>
      </c>
      <c r="H3563" s="56">
        <v>0</v>
      </c>
      <c r="I3563" s="58">
        <v>0.375056</v>
      </c>
      <c r="J3563" s="57">
        <v>0.32471100000000003</v>
      </c>
      <c r="K3563" s="56"/>
      <c r="L3563" s="56" t="s">
        <v>492</v>
      </c>
    </row>
    <row r="3564" spans="2:12" x14ac:dyDescent="0.2">
      <c r="B3564" s="62" t="s">
        <v>2290</v>
      </c>
      <c r="C3564" s="61" t="s">
        <v>502</v>
      </c>
      <c r="D3564" s="60">
        <v>0.72794199999999998</v>
      </c>
      <c r="E3564" s="59">
        <v>6.0731599999999997</v>
      </c>
      <c r="F3564" s="59">
        <v>6.91275</v>
      </c>
      <c r="G3564" s="56">
        <v>1514.27</v>
      </c>
      <c r="H3564" s="56">
        <v>2080.21</v>
      </c>
      <c r="I3564" s="58">
        <v>0.65207400000000004</v>
      </c>
      <c r="J3564" s="57">
        <v>0.93510899999999997</v>
      </c>
      <c r="K3564" s="56"/>
      <c r="L3564" s="56" t="s">
        <v>492</v>
      </c>
    </row>
    <row r="3565" spans="2:12" x14ac:dyDescent="0.2">
      <c r="B3565" s="62" t="s">
        <v>2289</v>
      </c>
      <c r="C3565" s="61" t="s">
        <v>2288</v>
      </c>
      <c r="D3565" s="60">
        <v>1.8576900000000001</v>
      </c>
      <c r="E3565" s="59">
        <v>2.8411200000000001</v>
      </c>
      <c r="F3565" s="59">
        <v>4.4707299999999996</v>
      </c>
      <c r="G3565" s="56">
        <v>0</v>
      </c>
      <c r="H3565" s="56">
        <v>0</v>
      </c>
      <c r="I3565" s="58">
        <v>0.36894500000000002</v>
      </c>
      <c r="J3565" s="57">
        <v>0.26949000000000001</v>
      </c>
      <c r="K3565" s="56"/>
      <c r="L3565" s="56" t="s">
        <v>488</v>
      </c>
    </row>
    <row r="3566" spans="2:12" x14ac:dyDescent="0.2">
      <c r="B3566" s="62" t="s">
        <v>2287</v>
      </c>
      <c r="C3566" s="61" t="s">
        <v>499</v>
      </c>
      <c r="D3566" s="60">
        <v>1.1447799999999999</v>
      </c>
      <c r="E3566" s="59">
        <v>5.4858599999999997</v>
      </c>
      <c r="F3566" s="59">
        <v>6.8061600000000002</v>
      </c>
      <c r="G3566" s="56">
        <v>1640.95</v>
      </c>
      <c r="H3566" s="56">
        <v>1433.42</v>
      </c>
      <c r="I3566" s="58">
        <v>0.61218399999999995</v>
      </c>
      <c r="J3566" s="57">
        <v>0.54629000000000005</v>
      </c>
      <c r="K3566" s="56"/>
      <c r="L3566" s="56" t="s">
        <v>488</v>
      </c>
    </row>
    <row r="3567" spans="2:12" x14ac:dyDescent="0.2">
      <c r="B3567" s="62" t="s">
        <v>2286</v>
      </c>
      <c r="C3567" s="61" t="s">
        <v>502</v>
      </c>
      <c r="D3567" s="60">
        <v>0.59485200000000005</v>
      </c>
      <c r="E3567" s="59">
        <v>6.5736800000000004</v>
      </c>
      <c r="F3567" s="59">
        <v>19.038489999999999</v>
      </c>
      <c r="G3567" s="56">
        <v>2075.02</v>
      </c>
      <c r="H3567" s="56">
        <v>3488.29</v>
      </c>
      <c r="I3567" s="58">
        <v>0.83605499999999999</v>
      </c>
      <c r="J3567" s="57">
        <v>1.31352</v>
      </c>
      <c r="K3567" s="56"/>
      <c r="L3567" s="56" t="s">
        <v>488</v>
      </c>
    </row>
    <row r="3568" spans="2:12" x14ac:dyDescent="0.2">
      <c r="B3568" s="62" t="s">
        <v>2285</v>
      </c>
      <c r="C3568" s="61" t="s">
        <v>555</v>
      </c>
      <c r="D3568" s="60">
        <v>1.3255999999999999</v>
      </c>
      <c r="E3568" s="59">
        <v>2.9599899999999999</v>
      </c>
      <c r="F3568" s="59">
        <v>3.9925199999999998</v>
      </c>
      <c r="G3568" s="56">
        <v>0</v>
      </c>
      <c r="H3568" s="56">
        <v>0</v>
      </c>
      <c r="I3568" s="58">
        <v>0.27812300000000001</v>
      </c>
      <c r="J3568" s="57">
        <v>0.32073200000000002</v>
      </c>
      <c r="K3568" s="56"/>
      <c r="L3568" s="56" t="s">
        <v>488</v>
      </c>
    </row>
    <row r="3569" spans="2:12" x14ac:dyDescent="0.2">
      <c r="B3569" s="62" t="s">
        <v>2284</v>
      </c>
      <c r="C3569" s="61" t="s">
        <v>499</v>
      </c>
      <c r="D3569" s="60">
        <v>0.92125100000000004</v>
      </c>
      <c r="E3569" s="59">
        <v>5.7524100000000002</v>
      </c>
      <c r="F3569" s="59">
        <v>6.2301599999999997</v>
      </c>
      <c r="G3569" s="56">
        <v>2320.58</v>
      </c>
      <c r="H3569" s="56">
        <v>2518.94</v>
      </c>
      <c r="I3569" s="58">
        <v>0.69095099999999998</v>
      </c>
      <c r="J3569" s="57">
        <v>0.76332</v>
      </c>
      <c r="K3569" s="56"/>
      <c r="L3569" s="56" t="s">
        <v>488</v>
      </c>
    </row>
    <row r="3570" spans="2:12" x14ac:dyDescent="0.2">
      <c r="B3570" s="62" t="s">
        <v>2283</v>
      </c>
      <c r="C3570" s="61" t="s">
        <v>499</v>
      </c>
      <c r="D3570" s="60">
        <v>0.85700600000000005</v>
      </c>
      <c r="E3570" s="59">
        <v>5.7458400000000003</v>
      </c>
      <c r="F3570" s="59">
        <v>8.1028300000000009</v>
      </c>
      <c r="G3570" s="56">
        <v>2433.17</v>
      </c>
      <c r="H3570" s="56">
        <v>2839.15</v>
      </c>
      <c r="I3570" s="58">
        <v>0.73007599999999995</v>
      </c>
      <c r="J3570" s="57">
        <v>0.850101</v>
      </c>
      <c r="K3570" s="56"/>
      <c r="L3570" s="56" t="s">
        <v>488</v>
      </c>
    </row>
    <row r="3571" spans="2:12" x14ac:dyDescent="0.2">
      <c r="B3571" s="62" t="s">
        <v>2282</v>
      </c>
      <c r="C3571" s="61" t="s">
        <v>499</v>
      </c>
      <c r="D3571" s="60">
        <v>1.38195</v>
      </c>
      <c r="E3571" s="59">
        <v>3.1368100000000001</v>
      </c>
      <c r="F3571" s="59">
        <v>4.1460699999999999</v>
      </c>
      <c r="G3571" s="56">
        <v>0</v>
      </c>
      <c r="H3571" s="56">
        <v>0</v>
      </c>
      <c r="I3571" s="58">
        <v>0.13109299999999999</v>
      </c>
      <c r="J3571" s="57">
        <v>0.30065799999999998</v>
      </c>
      <c r="K3571" s="56"/>
      <c r="L3571" s="56" t="s">
        <v>488</v>
      </c>
    </row>
    <row r="3572" spans="2:12" x14ac:dyDescent="0.2">
      <c r="B3572" s="62" t="s">
        <v>2281</v>
      </c>
      <c r="C3572" s="61" t="s">
        <v>890</v>
      </c>
      <c r="D3572" s="60">
        <v>1.6414599999999999</v>
      </c>
      <c r="E3572" s="59">
        <v>2.4104800000000002</v>
      </c>
      <c r="F3572" s="59">
        <v>5.4422800000000002</v>
      </c>
      <c r="G3572" s="56">
        <v>0</v>
      </c>
      <c r="H3572" s="56">
        <v>0</v>
      </c>
      <c r="I3572" s="58">
        <v>0.32141500000000001</v>
      </c>
      <c r="J3572" s="57">
        <v>0.28955399999999998</v>
      </c>
      <c r="K3572" s="56"/>
      <c r="L3572" s="56" t="s">
        <v>488</v>
      </c>
    </row>
    <row r="3573" spans="2:12" x14ac:dyDescent="0.2">
      <c r="B3573" s="62" t="s">
        <v>2280</v>
      </c>
      <c r="C3573" s="61" t="s">
        <v>798</v>
      </c>
      <c r="D3573" s="60">
        <v>1.1850700000000001</v>
      </c>
      <c r="E3573" s="59">
        <v>4.56792</v>
      </c>
      <c r="F3573" s="59">
        <v>5.3459399999999997</v>
      </c>
      <c r="G3573" s="56">
        <v>831.274</v>
      </c>
      <c r="H3573" s="56">
        <v>701.45299999999997</v>
      </c>
      <c r="I3573" s="58">
        <v>0.48217399999999999</v>
      </c>
      <c r="J3573" s="57">
        <v>0.42318</v>
      </c>
      <c r="K3573" s="56"/>
      <c r="L3573" s="56" t="s">
        <v>488</v>
      </c>
    </row>
    <row r="3574" spans="2:12" x14ac:dyDescent="0.2">
      <c r="B3574" s="62" t="s">
        <v>2279</v>
      </c>
      <c r="C3574" s="61" t="s">
        <v>582</v>
      </c>
      <c r="D3574" s="60">
        <v>2.3894899999999999</v>
      </c>
      <c r="E3574" s="59">
        <v>3.4508299999999998</v>
      </c>
      <c r="F3574" s="59">
        <v>5.0998900000000003</v>
      </c>
      <c r="G3574" s="56">
        <v>0</v>
      </c>
      <c r="H3574" s="56">
        <v>0</v>
      </c>
      <c r="I3574" s="58">
        <v>0.251247</v>
      </c>
      <c r="J3574" s="57">
        <v>0.17016800000000001</v>
      </c>
      <c r="K3574" s="56"/>
      <c r="L3574" s="56" t="s">
        <v>488</v>
      </c>
    </row>
    <row r="3575" spans="2:12" x14ac:dyDescent="0.2">
      <c r="B3575" s="62" t="s">
        <v>2278</v>
      </c>
      <c r="C3575" s="61" t="s">
        <v>531</v>
      </c>
      <c r="D3575" s="60">
        <v>2.43093</v>
      </c>
      <c r="E3575" s="59">
        <v>3.51139</v>
      </c>
      <c r="F3575" s="59">
        <v>5.0850099999999996</v>
      </c>
      <c r="G3575" s="56">
        <v>0</v>
      </c>
      <c r="H3575" s="56">
        <v>0</v>
      </c>
      <c r="I3575" s="58">
        <v>0.25454199999999999</v>
      </c>
      <c r="J3575" s="57">
        <v>0.16662199999999999</v>
      </c>
      <c r="K3575" s="56"/>
      <c r="L3575" s="56" t="s">
        <v>488</v>
      </c>
    </row>
    <row r="3576" spans="2:12" x14ac:dyDescent="0.2">
      <c r="B3576" s="62" t="s">
        <v>2277</v>
      </c>
      <c r="C3576" s="61" t="s">
        <v>612</v>
      </c>
      <c r="D3576" s="60">
        <v>1.7442599999999999</v>
      </c>
      <c r="E3576" s="59">
        <v>3.6751999999999998</v>
      </c>
      <c r="F3576" s="59">
        <v>4.6921499999999998</v>
      </c>
      <c r="G3576" s="56">
        <v>0</v>
      </c>
      <c r="H3576" s="56">
        <v>0</v>
      </c>
      <c r="I3576" s="58">
        <v>0.25761899999999999</v>
      </c>
      <c r="J3576" s="57">
        <v>0.25673400000000002</v>
      </c>
      <c r="K3576" s="56"/>
      <c r="L3576" s="56" t="s">
        <v>488</v>
      </c>
    </row>
    <row r="3577" spans="2:12" x14ac:dyDescent="0.2">
      <c r="B3577" s="62" t="s">
        <v>2276</v>
      </c>
      <c r="C3577" s="61" t="s">
        <v>612</v>
      </c>
      <c r="D3577" s="60">
        <v>1.7384599999999999</v>
      </c>
      <c r="E3577" s="59">
        <v>3.72749</v>
      </c>
      <c r="F3577" s="59">
        <v>4.7095900000000004</v>
      </c>
      <c r="G3577" s="56">
        <v>450.49099999999999</v>
      </c>
      <c r="H3577" s="56">
        <v>259.13299999999998</v>
      </c>
      <c r="I3577" s="58">
        <v>0.26077899999999998</v>
      </c>
      <c r="J3577" s="57">
        <v>0.25850299999999998</v>
      </c>
      <c r="K3577" s="56"/>
      <c r="L3577" s="56" t="s">
        <v>488</v>
      </c>
    </row>
    <row r="3578" spans="2:12" x14ac:dyDescent="0.2">
      <c r="B3578" s="62" t="s">
        <v>2275</v>
      </c>
      <c r="C3578" s="61" t="s">
        <v>612</v>
      </c>
      <c r="D3578" s="60">
        <v>1.72801</v>
      </c>
      <c r="E3578" s="59">
        <v>3.7831000000000001</v>
      </c>
      <c r="F3578" s="59">
        <v>4.7471300000000003</v>
      </c>
      <c r="G3578" s="56">
        <v>480.46199999999999</v>
      </c>
      <c r="H3578" s="56">
        <v>278.04300000000001</v>
      </c>
      <c r="I3578" s="58">
        <v>0.26677000000000001</v>
      </c>
      <c r="J3578" s="57">
        <v>0.26300099999999998</v>
      </c>
      <c r="K3578" s="56"/>
      <c r="L3578" s="56" t="s">
        <v>488</v>
      </c>
    </row>
    <row r="3579" spans="2:12" x14ac:dyDescent="0.2">
      <c r="B3579" s="62" t="s">
        <v>2274</v>
      </c>
      <c r="C3579" s="61" t="s">
        <v>499</v>
      </c>
      <c r="D3579" s="60">
        <v>1.9185399999999999</v>
      </c>
      <c r="E3579" s="59">
        <v>3.6314700000000002</v>
      </c>
      <c r="F3579" s="59">
        <v>4.6606800000000002</v>
      </c>
      <c r="G3579" s="56">
        <v>0</v>
      </c>
      <c r="H3579" s="56">
        <v>0</v>
      </c>
      <c r="I3579" s="58">
        <v>0.26133699999999999</v>
      </c>
      <c r="J3579" s="57">
        <v>0.238368</v>
      </c>
      <c r="K3579" s="56"/>
      <c r="L3579" s="56" t="s">
        <v>488</v>
      </c>
    </row>
    <row r="3580" spans="2:12" x14ac:dyDescent="0.2">
      <c r="B3580" s="62" t="s">
        <v>2273</v>
      </c>
      <c r="C3580" s="61" t="s">
        <v>502</v>
      </c>
      <c r="D3580" s="60">
        <v>1.1164799999999999</v>
      </c>
      <c r="E3580" s="59">
        <v>3.3814799999999998</v>
      </c>
      <c r="F3580" s="59">
        <v>4.99071</v>
      </c>
      <c r="G3580" s="56">
        <v>0</v>
      </c>
      <c r="H3580" s="56">
        <v>0</v>
      </c>
      <c r="I3580" s="58">
        <v>0.52932599999999996</v>
      </c>
      <c r="J3580" s="57">
        <v>0.506915</v>
      </c>
      <c r="K3580" s="56"/>
      <c r="L3580" s="56" t="s">
        <v>492</v>
      </c>
    </row>
    <row r="3581" spans="2:12" x14ac:dyDescent="0.2">
      <c r="B3581" s="62" t="s">
        <v>2272</v>
      </c>
      <c r="C3581" s="61" t="s">
        <v>535</v>
      </c>
      <c r="D3581" s="60">
        <v>1.75407</v>
      </c>
      <c r="E3581" s="59">
        <v>4.62948</v>
      </c>
      <c r="F3581" s="59">
        <v>5.5884600000000004</v>
      </c>
      <c r="G3581" s="56">
        <v>898.60299999999995</v>
      </c>
      <c r="H3581" s="56">
        <v>512.29499999999996</v>
      </c>
      <c r="I3581" s="58">
        <v>0.44644899999999998</v>
      </c>
      <c r="J3581" s="57">
        <v>0.28795799999999999</v>
      </c>
      <c r="K3581" s="56"/>
      <c r="L3581" s="56" t="s">
        <v>488</v>
      </c>
    </row>
    <row r="3582" spans="2:12" x14ac:dyDescent="0.2">
      <c r="B3582" s="62" t="s">
        <v>2271</v>
      </c>
      <c r="C3582" s="61" t="s">
        <v>537</v>
      </c>
      <c r="D3582" s="60">
        <v>1.77494</v>
      </c>
      <c r="E3582" s="59">
        <v>4.6284700000000001</v>
      </c>
      <c r="F3582" s="59">
        <v>5.6061300000000003</v>
      </c>
      <c r="G3582" s="56">
        <v>892.88300000000004</v>
      </c>
      <c r="H3582" s="56">
        <v>503.05099999999999</v>
      </c>
      <c r="I3582" s="58">
        <v>0.44770900000000002</v>
      </c>
      <c r="J3582" s="57">
        <v>0.284557</v>
      </c>
      <c r="K3582" s="56"/>
      <c r="L3582" s="56" t="s">
        <v>488</v>
      </c>
    </row>
    <row r="3583" spans="2:12" x14ac:dyDescent="0.2">
      <c r="B3583" s="62" t="s">
        <v>2270</v>
      </c>
      <c r="C3583" s="61" t="s">
        <v>798</v>
      </c>
      <c r="D3583" s="60">
        <v>1.3466100000000001</v>
      </c>
      <c r="E3583" s="59">
        <v>3.0995599999999999</v>
      </c>
      <c r="F3583" s="59">
        <v>3.7373500000000002</v>
      </c>
      <c r="G3583" s="56">
        <v>0</v>
      </c>
      <c r="H3583" s="56">
        <v>0</v>
      </c>
      <c r="I3583" s="58">
        <v>0.17417299999999999</v>
      </c>
      <c r="J3583" s="57">
        <v>0.31704900000000003</v>
      </c>
      <c r="K3583" s="56"/>
      <c r="L3583" s="56" t="s">
        <v>488</v>
      </c>
    </row>
    <row r="3584" spans="2:12" x14ac:dyDescent="0.2">
      <c r="B3584" s="62" t="s">
        <v>2269</v>
      </c>
      <c r="C3584" s="61" t="s">
        <v>550</v>
      </c>
      <c r="D3584" s="60">
        <v>1.2293400000000001</v>
      </c>
      <c r="E3584" s="59">
        <v>4.3646099999999999</v>
      </c>
      <c r="F3584" s="59">
        <v>6.0620500000000002</v>
      </c>
      <c r="G3584" s="56">
        <v>1536.72</v>
      </c>
      <c r="H3584" s="56">
        <v>1250.04</v>
      </c>
      <c r="I3584" s="58">
        <v>0.59176600000000001</v>
      </c>
      <c r="J3584" s="57">
        <v>0.50671900000000003</v>
      </c>
      <c r="K3584" s="56"/>
      <c r="L3584" s="56" t="s">
        <v>488</v>
      </c>
    </row>
    <row r="3585" spans="2:12" x14ac:dyDescent="0.2">
      <c r="B3585" s="62" t="s">
        <v>2268</v>
      </c>
      <c r="C3585" s="61" t="s">
        <v>510</v>
      </c>
      <c r="D3585" s="60">
        <v>1.8665400000000001</v>
      </c>
      <c r="E3585" s="59">
        <v>3.5678999999999998</v>
      </c>
      <c r="F3585" s="59">
        <v>4.5986900000000004</v>
      </c>
      <c r="G3585" s="56">
        <v>0</v>
      </c>
      <c r="H3585" s="56">
        <v>0</v>
      </c>
      <c r="I3585" s="58">
        <v>0.247478</v>
      </c>
      <c r="J3585" s="57">
        <v>0.231852</v>
      </c>
      <c r="K3585" s="56"/>
      <c r="L3585" s="56" t="s">
        <v>488</v>
      </c>
    </row>
    <row r="3586" spans="2:12" x14ac:dyDescent="0.2">
      <c r="B3586" s="62" t="s">
        <v>2267</v>
      </c>
      <c r="C3586" s="61" t="s">
        <v>510</v>
      </c>
      <c r="D3586" s="60">
        <v>1.8604799999999999</v>
      </c>
      <c r="E3586" s="59">
        <v>3.5768</v>
      </c>
      <c r="F3586" s="59">
        <v>4.5782699999999998</v>
      </c>
      <c r="G3586" s="56">
        <v>0</v>
      </c>
      <c r="H3586" s="56">
        <v>0</v>
      </c>
      <c r="I3586" s="58">
        <v>0.24957799999999999</v>
      </c>
      <c r="J3586" s="57">
        <v>0.23438200000000001</v>
      </c>
      <c r="K3586" s="56"/>
      <c r="L3586" s="56" t="s">
        <v>488</v>
      </c>
    </row>
    <row r="3587" spans="2:12" x14ac:dyDescent="0.2">
      <c r="B3587" s="62" t="s">
        <v>2266</v>
      </c>
      <c r="C3587" s="61" t="s">
        <v>510</v>
      </c>
      <c r="D3587" s="60">
        <v>1.84578</v>
      </c>
      <c r="E3587" s="59">
        <v>3.6589399999999999</v>
      </c>
      <c r="F3587" s="59">
        <v>4.63178</v>
      </c>
      <c r="G3587" s="56">
        <v>0</v>
      </c>
      <c r="H3587" s="56">
        <v>0</v>
      </c>
      <c r="I3587" s="58">
        <v>0.25563999999999998</v>
      </c>
      <c r="J3587" s="57">
        <v>0.23638200000000001</v>
      </c>
      <c r="K3587" s="56"/>
      <c r="L3587" s="56" t="s">
        <v>488</v>
      </c>
    </row>
    <row r="3588" spans="2:12" x14ac:dyDescent="0.2">
      <c r="B3588" s="62" t="s">
        <v>2265</v>
      </c>
      <c r="C3588" s="61" t="s">
        <v>510</v>
      </c>
      <c r="D3588" s="60">
        <v>1.84029</v>
      </c>
      <c r="E3588" s="59">
        <v>3.6520199999999998</v>
      </c>
      <c r="F3588" s="59">
        <v>4.7007700000000003</v>
      </c>
      <c r="G3588" s="56">
        <v>0</v>
      </c>
      <c r="H3588" s="56">
        <v>0</v>
      </c>
      <c r="I3588" s="58">
        <v>0.255747</v>
      </c>
      <c r="J3588" s="57">
        <v>0.23824100000000001</v>
      </c>
      <c r="K3588" s="56"/>
      <c r="L3588" s="56" t="s">
        <v>488</v>
      </c>
    </row>
    <row r="3589" spans="2:12" x14ac:dyDescent="0.2">
      <c r="B3589" s="62" t="s">
        <v>2264</v>
      </c>
      <c r="C3589" s="61" t="s">
        <v>510</v>
      </c>
      <c r="D3589" s="60">
        <v>1.82386</v>
      </c>
      <c r="E3589" s="59">
        <v>3.6836500000000001</v>
      </c>
      <c r="F3589" s="59">
        <v>4.6132999999999997</v>
      </c>
      <c r="G3589" s="56">
        <v>0</v>
      </c>
      <c r="H3589" s="56">
        <v>0</v>
      </c>
      <c r="I3589" s="58">
        <v>0.25815500000000002</v>
      </c>
      <c r="J3589" s="57">
        <v>0.24423900000000001</v>
      </c>
      <c r="K3589" s="56"/>
      <c r="L3589" s="56" t="s">
        <v>488</v>
      </c>
    </row>
    <row r="3590" spans="2:12" x14ac:dyDescent="0.2">
      <c r="B3590" s="62" t="s">
        <v>2263</v>
      </c>
      <c r="C3590" s="61" t="s">
        <v>798</v>
      </c>
      <c r="D3590" s="60">
        <v>0.61117299999999997</v>
      </c>
      <c r="E3590" s="59">
        <v>16.37707</v>
      </c>
      <c r="F3590" s="59">
        <v>17.182569999999998</v>
      </c>
      <c r="G3590" s="56">
        <v>1361.69</v>
      </c>
      <c r="H3590" s="56">
        <v>2228</v>
      </c>
      <c r="I3590" s="58">
        <v>0.81895300000000004</v>
      </c>
      <c r="J3590" s="57">
        <v>1.2283999999999999</v>
      </c>
      <c r="K3590" s="56"/>
      <c r="L3590" s="56" t="s">
        <v>488</v>
      </c>
    </row>
    <row r="3591" spans="2:12" x14ac:dyDescent="0.2">
      <c r="B3591" s="62" t="s">
        <v>2262</v>
      </c>
      <c r="C3591" s="61" t="s">
        <v>798</v>
      </c>
      <c r="D3591" s="60">
        <v>0.536555</v>
      </c>
      <c r="E3591" s="59">
        <v>17.513950000000001</v>
      </c>
      <c r="F3591" s="59">
        <v>17.925160000000002</v>
      </c>
      <c r="G3591" s="56">
        <v>1406.18</v>
      </c>
      <c r="H3591" s="56">
        <v>2620.7800000000002</v>
      </c>
      <c r="I3591" s="58">
        <v>0.76524700000000001</v>
      </c>
      <c r="J3591" s="57">
        <v>1.41673</v>
      </c>
      <c r="K3591" s="56"/>
      <c r="L3591" s="56" t="s">
        <v>488</v>
      </c>
    </row>
    <row r="3592" spans="2:12" x14ac:dyDescent="0.2">
      <c r="B3592" s="62" t="s">
        <v>2261</v>
      </c>
      <c r="C3592" s="61" t="s">
        <v>798</v>
      </c>
      <c r="D3592" s="60">
        <v>0.43906200000000001</v>
      </c>
      <c r="E3592" s="59">
        <v>23.627210000000002</v>
      </c>
      <c r="F3592" s="59">
        <v>24.44059</v>
      </c>
      <c r="G3592" s="56">
        <v>1211.17</v>
      </c>
      <c r="H3592" s="56">
        <v>2758.56</v>
      </c>
      <c r="I3592" s="58">
        <v>0.82803199999999999</v>
      </c>
      <c r="J3592" s="57">
        <v>1.8132999999999999</v>
      </c>
      <c r="K3592" s="56"/>
      <c r="L3592" s="56" t="s">
        <v>488</v>
      </c>
    </row>
    <row r="3593" spans="2:12" x14ac:dyDescent="0.2">
      <c r="B3593" s="62" t="s">
        <v>2260</v>
      </c>
      <c r="C3593" s="61" t="s">
        <v>798</v>
      </c>
      <c r="D3593" s="60">
        <v>0.36221599999999998</v>
      </c>
      <c r="E3593" s="59">
        <v>30.144079999999999</v>
      </c>
      <c r="F3593" s="59">
        <v>30.700559999999999</v>
      </c>
      <c r="G3593" s="56">
        <v>1093.0999999999999</v>
      </c>
      <c r="H3593" s="56">
        <v>3017.79</v>
      </c>
      <c r="I3593" s="58">
        <v>0.81969800000000004</v>
      </c>
      <c r="J3593" s="57">
        <v>2.2811400000000002</v>
      </c>
      <c r="K3593" s="56"/>
      <c r="L3593" s="56" t="s">
        <v>488</v>
      </c>
    </row>
    <row r="3594" spans="2:12" x14ac:dyDescent="0.2">
      <c r="B3594" s="62" t="s">
        <v>2259</v>
      </c>
      <c r="C3594" s="61" t="s">
        <v>798</v>
      </c>
      <c r="D3594" s="60">
        <v>0.38376300000000002</v>
      </c>
      <c r="E3594" s="59">
        <v>27.559699999999999</v>
      </c>
      <c r="F3594" s="59">
        <v>28.21773</v>
      </c>
      <c r="G3594" s="56">
        <v>1118.8699999999999</v>
      </c>
      <c r="H3594" s="56">
        <v>2915.51</v>
      </c>
      <c r="I3594" s="58">
        <v>0.78198500000000004</v>
      </c>
      <c r="J3594" s="57">
        <v>2.10589</v>
      </c>
      <c r="K3594" s="56"/>
      <c r="L3594" s="56" t="s">
        <v>488</v>
      </c>
    </row>
    <row r="3595" spans="2:12" x14ac:dyDescent="0.2">
      <c r="B3595" s="62" t="s">
        <v>2258</v>
      </c>
      <c r="C3595" s="61" t="s">
        <v>499</v>
      </c>
      <c r="D3595" s="60">
        <v>0.33472600000000002</v>
      </c>
      <c r="E3595" s="59">
        <v>36.433129999999998</v>
      </c>
      <c r="F3595" s="59">
        <v>36.787559999999999</v>
      </c>
      <c r="G3595" s="56">
        <v>968.39700000000005</v>
      </c>
      <c r="H3595" s="56">
        <v>2893.09</v>
      </c>
      <c r="I3595" s="58">
        <v>0.85303899999999999</v>
      </c>
      <c r="J3595" s="57">
        <v>2.5478000000000001</v>
      </c>
      <c r="K3595" s="56"/>
      <c r="L3595" s="56" t="s">
        <v>488</v>
      </c>
    </row>
    <row r="3596" spans="2:12" x14ac:dyDescent="0.2">
      <c r="B3596" s="62" t="s">
        <v>2257</v>
      </c>
      <c r="C3596" s="61" t="s">
        <v>798</v>
      </c>
      <c r="D3596" s="60">
        <v>0.286105</v>
      </c>
      <c r="E3596" s="59">
        <v>34.355420000000002</v>
      </c>
      <c r="F3596" s="59">
        <v>34.859610000000004</v>
      </c>
      <c r="G3596" s="56">
        <v>961.28399999999999</v>
      </c>
      <c r="H3596" s="56">
        <v>3359.89</v>
      </c>
      <c r="I3596" s="58">
        <v>0.83030700000000002</v>
      </c>
      <c r="J3596" s="57">
        <v>2.9644200000000001</v>
      </c>
      <c r="K3596" s="56"/>
      <c r="L3596" s="56" t="s">
        <v>488</v>
      </c>
    </row>
    <row r="3597" spans="2:12" x14ac:dyDescent="0.2">
      <c r="B3597" s="62" t="s">
        <v>2256</v>
      </c>
      <c r="C3597" s="61" t="s">
        <v>798</v>
      </c>
      <c r="D3597" s="60">
        <v>0.32677200000000001</v>
      </c>
      <c r="E3597" s="59">
        <v>38.066490000000002</v>
      </c>
      <c r="F3597" s="59">
        <v>38.228119999999997</v>
      </c>
      <c r="G3597" s="56">
        <v>917.93200000000002</v>
      </c>
      <c r="H3597" s="56">
        <v>2809.08</v>
      </c>
      <c r="I3597" s="58">
        <v>0.79015899999999994</v>
      </c>
      <c r="J3597" s="57">
        <v>2.5409099999999998</v>
      </c>
      <c r="K3597" s="56"/>
      <c r="L3597" s="56" t="s">
        <v>488</v>
      </c>
    </row>
    <row r="3598" spans="2:12" x14ac:dyDescent="0.2">
      <c r="B3598" s="62" t="s">
        <v>2255</v>
      </c>
      <c r="C3598" s="61" t="s">
        <v>798</v>
      </c>
      <c r="D3598" s="60">
        <v>0.234628</v>
      </c>
      <c r="E3598" s="59">
        <v>53.264299999999999</v>
      </c>
      <c r="F3598" s="59">
        <v>53.576740000000001</v>
      </c>
      <c r="G3598" s="56">
        <v>712.28</v>
      </c>
      <c r="H3598" s="56">
        <v>3035.76</v>
      </c>
      <c r="I3598" s="58">
        <v>0.86081200000000002</v>
      </c>
      <c r="J3598" s="57">
        <v>3.7352799999999999</v>
      </c>
      <c r="K3598" s="56"/>
      <c r="L3598" s="56" t="s">
        <v>488</v>
      </c>
    </row>
    <row r="3599" spans="2:12" x14ac:dyDescent="0.2">
      <c r="B3599" s="62" t="s">
        <v>2254</v>
      </c>
      <c r="C3599" s="61" t="s">
        <v>798</v>
      </c>
      <c r="D3599" s="60">
        <v>0.17910300000000001</v>
      </c>
      <c r="E3599" s="59">
        <v>71.50197</v>
      </c>
      <c r="F3599" s="59">
        <v>71.641189999999995</v>
      </c>
      <c r="G3599" s="56">
        <v>590.87300000000005</v>
      </c>
      <c r="H3599" s="56">
        <v>3299.08</v>
      </c>
      <c r="I3599" s="58">
        <v>0.87782899999999997</v>
      </c>
      <c r="J3599" s="57">
        <v>5.0226600000000001</v>
      </c>
      <c r="K3599" s="56"/>
      <c r="L3599" s="56" t="s">
        <v>488</v>
      </c>
    </row>
    <row r="3600" spans="2:12" x14ac:dyDescent="0.2">
      <c r="B3600" s="62" t="s">
        <v>2253</v>
      </c>
      <c r="C3600" s="61" t="s">
        <v>499</v>
      </c>
      <c r="D3600" s="60">
        <v>1.24447</v>
      </c>
      <c r="E3600" s="59">
        <v>5.1892300000000002</v>
      </c>
      <c r="F3600" s="59">
        <v>6.59267</v>
      </c>
      <c r="G3600" s="56">
        <v>1071.98</v>
      </c>
      <c r="H3600" s="56">
        <v>861.39499999999998</v>
      </c>
      <c r="I3600" s="58">
        <v>0.423095</v>
      </c>
      <c r="J3600" s="57">
        <v>0.44575599999999999</v>
      </c>
      <c r="K3600" s="56"/>
      <c r="L3600" s="56" t="s">
        <v>492</v>
      </c>
    </row>
    <row r="3601" spans="2:12" x14ac:dyDescent="0.2">
      <c r="B3601" s="62" t="s">
        <v>2252</v>
      </c>
      <c r="C3601" s="61" t="s">
        <v>499</v>
      </c>
      <c r="D3601" s="60">
        <v>1.3488599999999999</v>
      </c>
      <c r="E3601" s="59">
        <v>2.9599700000000002</v>
      </c>
      <c r="F3601" s="59">
        <v>5.0629</v>
      </c>
      <c r="G3601" s="56">
        <v>0</v>
      </c>
      <c r="H3601" s="56">
        <v>0</v>
      </c>
      <c r="I3601" s="58">
        <v>0.30621500000000001</v>
      </c>
      <c r="J3601" s="57">
        <v>0.36864000000000002</v>
      </c>
      <c r="K3601" s="56"/>
      <c r="L3601" s="56" t="s">
        <v>492</v>
      </c>
    </row>
    <row r="3602" spans="2:12" x14ac:dyDescent="0.2">
      <c r="B3602" s="62" t="s">
        <v>2251</v>
      </c>
      <c r="C3602" s="61" t="s">
        <v>499</v>
      </c>
      <c r="D3602" s="60">
        <v>0.75626000000000004</v>
      </c>
      <c r="E3602" s="59">
        <v>4.9561900000000003</v>
      </c>
      <c r="F3602" s="59">
        <v>7.5271100000000004</v>
      </c>
      <c r="G3602" s="56">
        <v>2391.1999999999998</v>
      </c>
      <c r="H3602" s="56">
        <v>3161.88</v>
      </c>
      <c r="I3602" s="58">
        <v>0.72284999999999999</v>
      </c>
      <c r="J3602" s="57">
        <v>0.91557699999999997</v>
      </c>
      <c r="K3602" s="56"/>
      <c r="L3602" s="56" t="s">
        <v>488</v>
      </c>
    </row>
    <row r="3603" spans="2:12" x14ac:dyDescent="0.2">
      <c r="B3603" s="62" t="s">
        <v>2250</v>
      </c>
      <c r="C3603" s="61" t="s">
        <v>499</v>
      </c>
      <c r="D3603" s="60">
        <v>1.4387300000000001</v>
      </c>
      <c r="E3603" s="59">
        <v>2.8034500000000002</v>
      </c>
      <c r="F3603" s="59">
        <v>3.78</v>
      </c>
      <c r="G3603" s="56">
        <v>0</v>
      </c>
      <c r="H3603" s="56">
        <v>0</v>
      </c>
      <c r="I3603" s="58">
        <v>0.144704</v>
      </c>
      <c r="J3603" s="57">
        <v>0.28043000000000001</v>
      </c>
      <c r="K3603" s="56"/>
      <c r="L3603" s="56" t="s">
        <v>488</v>
      </c>
    </row>
    <row r="3604" spans="2:12" x14ac:dyDescent="0.2">
      <c r="B3604" s="62" t="s">
        <v>2249</v>
      </c>
      <c r="C3604" s="61" t="s">
        <v>2248</v>
      </c>
      <c r="D3604" s="60">
        <v>1.4391099999999999</v>
      </c>
      <c r="E3604" s="59">
        <v>3.19292</v>
      </c>
      <c r="F3604" s="59">
        <v>4.79453</v>
      </c>
      <c r="G3604" s="56">
        <v>0</v>
      </c>
      <c r="H3604" s="56">
        <v>0</v>
      </c>
      <c r="I3604" s="58">
        <v>0.35256799999999999</v>
      </c>
      <c r="J3604" s="57">
        <v>0.364761</v>
      </c>
      <c r="K3604" s="56"/>
      <c r="L3604" s="56" t="s">
        <v>492</v>
      </c>
    </row>
    <row r="3605" spans="2:12" x14ac:dyDescent="0.2">
      <c r="B3605" s="62" t="s">
        <v>2247</v>
      </c>
      <c r="C3605" s="61" t="s">
        <v>495</v>
      </c>
      <c r="D3605" s="60">
        <v>1.3000499999999999</v>
      </c>
      <c r="E3605" s="59">
        <v>4.3238599999999998</v>
      </c>
      <c r="F3605" s="59">
        <v>4.7975399999999997</v>
      </c>
      <c r="G3605" s="56">
        <v>486.08199999999999</v>
      </c>
      <c r="H3605" s="56">
        <v>373.89600000000002</v>
      </c>
      <c r="I3605" s="58">
        <v>0.232432</v>
      </c>
      <c r="J3605" s="57">
        <v>0.33479100000000001</v>
      </c>
      <c r="K3605" s="56"/>
      <c r="L3605" s="56" t="s">
        <v>488</v>
      </c>
    </row>
    <row r="3606" spans="2:12" x14ac:dyDescent="0.2">
      <c r="B3606" s="62" t="s">
        <v>2246</v>
      </c>
      <c r="C3606" s="61" t="s">
        <v>502</v>
      </c>
      <c r="D3606" s="60">
        <v>0.95928500000000005</v>
      </c>
      <c r="E3606" s="59">
        <v>9.45289</v>
      </c>
      <c r="F3606" s="59">
        <v>15.817780000000001</v>
      </c>
      <c r="G3606" s="56">
        <v>1435.56</v>
      </c>
      <c r="H3606" s="56">
        <v>1496.49</v>
      </c>
      <c r="I3606" s="58">
        <v>0.67700300000000002</v>
      </c>
      <c r="J3606" s="57">
        <v>0.73346699999999998</v>
      </c>
      <c r="K3606" s="56"/>
      <c r="L3606" s="56" t="s">
        <v>488</v>
      </c>
    </row>
    <row r="3607" spans="2:12" x14ac:dyDescent="0.2">
      <c r="B3607" s="62" t="s">
        <v>2245</v>
      </c>
      <c r="C3607" s="61" t="s">
        <v>502</v>
      </c>
      <c r="D3607" s="60">
        <v>0.96584700000000001</v>
      </c>
      <c r="E3607" s="59">
        <v>10.03609</v>
      </c>
      <c r="F3607" s="59">
        <v>13.87561</v>
      </c>
      <c r="G3607" s="56">
        <v>1541.49</v>
      </c>
      <c r="H3607" s="56">
        <v>1596</v>
      </c>
      <c r="I3607" s="58">
        <v>0.66872900000000002</v>
      </c>
      <c r="J3607" s="57">
        <v>0.72741</v>
      </c>
      <c r="K3607" s="56"/>
      <c r="L3607" s="56" t="s">
        <v>488</v>
      </c>
    </row>
    <row r="3608" spans="2:12" x14ac:dyDescent="0.2">
      <c r="B3608" s="62" t="s">
        <v>2244</v>
      </c>
      <c r="C3608" s="61" t="s">
        <v>499</v>
      </c>
      <c r="D3608" s="60">
        <v>1.0251300000000001</v>
      </c>
      <c r="E3608" s="59">
        <v>7.3646500000000001</v>
      </c>
      <c r="F3608" s="59">
        <v>9.58596</v>
      </c>
      <c r="G3608" s="56">
        <v>1040.1300000000001</v>
      </c>
      <c r="H3608" s="56">
        <v>1014.63</v>
      </c>
      <c r="I3608" s="58">
        <v>0.47435500000000003</v>
      </c>
      <c r="J3608" s="57">
        <v>0.54059400000000002</v>
      </c>
      <c r="K3608" s="56"/>
      <c r="L3608" s="56" t="s">
        <v>488</v>
      </c>
    </row>
    <row r="3609" spans="2:12" x14ac:dyDescent="0.2">
      <c r="B3609" s="62" t="s">
        <v>2243</v>
      </c>
      <c r="C3609" s="61" t="s">
        <v>499</v>
      </c>
      <c r="D3609" s="60">
        <v>1.03474</v>
      </c>
      <c r="E3609" s="59">
        <v>7.1234799999999998</v>
      </c>
      <c r="F3609" s="59">
        <v>9.4947099999999995</v>
      </c>
      <c r="G3609" s="56">
        <v>997.70399999999995</v>
      </c>
      <c r="H3609" s="56">
        <v>964.21199999999999</v>
      </c>
      <c r="I3609" s="58">
        <v>0.457986</v>
      </c>
      <c r="J3609" s="57">
        <v>0.53419099999999997</v>
      </c>
      <c r="K3609" s="56"/>
      <c r="L3609" s="56" t="s">
        <v>488</v>
      </c>
    </row>
    <row r="3610" spans="2:12" x14ac:dyDescent="0.2">
      <c r="B3610" s="62" t="s">
        <v>2242</v>
      </c>
      <c r="C3610" s="61" t="s">
        <v>499</v>
      </c>
      <c r="D3610" s="60">
        <v>1.0593600000000001</v>
      </c>
      <c r="E3610" s="59">
        <v>5.8394899999999996</v>
      </c>
      <c r="F3610" s="59">
        <v>8.9640199999999997</v>
      </c>
      <c r="G3610" s="56">
        <v>975.57600000000002</v>
      </c>
      <c r="H3610" s="56">
        <v>920.90599999999995</v>
      </c>
      <c r="I3610" s="58">
        <v>0.42876399999999998</v>
      </c>
      <c r="J3610" s="57">
        <v>0.516347</v>
      </c>
      <c r="K3610" s="56"/>
      <c r="L3610" s="56" t="s">
        <v>488</v>
      </c>
    </row>
    <row r="3611" spans="2:12" x14ac:dyDescent="0.2">
      <c r="B3611" s="62" t="s">
        <v>2241</v>
      </c>
      <c r="C3611" s="61" t="s">
        <v>499</v>
      </c>
      <c r="D3611" s="60">
        <v>1.05948</v>
      </c>
      <c r="E3611" s="59">
        <v>5.7027099999999997</v>
      </c>
      <c r="F3611" s="59">
        <v>8.06325</v>
      </c>
      <c r="G3611" s="56">
        <v>998.87199999999996</v>
      </c>
      <c r="H3611" s="56">
        <v>942.798</v>
      </c>
      <c r="I3611" s="58">
        <v>0.41849399999999998</v>
      </c>
      <c r="J3611" s="57">
        <v>0.51303200000000004</v>
      </c>
      <c r="K3611" s="56"/>
      <c r="L3611" s="56" t="s">
        <v>488</v>
      </c>
    </row>
    <row r="3612" spans="2:12" x14ac:dyDescent="0.2">
      <c r="B3612" s="62" t="s">
        <v>2240</v>
      </c>
      <c r="C3612" s="61" t="s">
        <v>499</v>
      </c>
      <c r="D3612" s="60">
        <v>1.0652200000000001</v>
      </c>
      <c r="E3612" s="59">
        <v>5.6430999999999996</v>
      </c>
      <c r="F3612" s="59">
        <v>8.0263799999999996</v>
      </c>
      <c r="G3612" s="56">
        <v>977.09199999999998</v>
      </c>
      <c r="H3612" s="56">
        <v>917.26900000000001</v>
      </c>
      <c r="I3612" s="58">
        <v>0.40963300000000002</v>
      </c>
      <c r="J3612" s="57">
        <v>0.510436</v>
      </c>
      <c r="K3612" s="56"/>
      <c r="L3612" s="56" t="s">
        <v>488</v>
      </c>
    </row>
    <row r="3613" spans="2:12" x14ac:dyDescent="0.2">
      <c r="B3613" s="62" t="s">
        <v>2239</v>
      </c>
      <c r="C3613" s="61" t="s">
        <v>499</v>
      </c>
      <c r="D3613" s="60">
        <v>1.0883</v>
      </c>
      <c r="E3613" s="59">
        <v>5.0666000000000002</v>
      </c>
      <c r="F3613" s="59">
        <v>7.6245900000000004</v>
      </c>
      <c r="G3613" s="56">
        <v>1035.4000000000001</v>
      </c>
      <c r="H3613" s="56">
        <v>951.39300000000003</v>
      </c>
      <c r="I3613" s="58">
        <v>0.41515800000000003</v>
      </c>
      <c r="J3613" s="57">
        <v>0.48945300000000003</v>
      </c>
      <c r="K3613" s="56"/>
      <c r="L3613" s="56" t="s">
        <v>488</v>
      </c>
    </row>
    <row r="3614" spans="2:12" x14ac:dyDescent="0.2">
      <c r="B3614" s="62" t="s">
        <v>2238</v>
      </c>
      <c r="C3614" s="61" t="s">
        <v>499</v>
      </c>
      <c r="D3614" s="60">
        <v>1.0986100000000001</v>
      </c>
      <c r="E3614" s="59">
        <v>5.1961700000000004</v>
      </c>
      <c r="F3614" s="59">
        <v>6.8393300000000004</v>
      </c>
      <c r="G3614" s="56">
        <v>1061.26</v>
      </c>
      <c r="H3614" s="56">
        <v>966.00699999999995</v>
      </c>
      <c r="I3614" s="58">
        <v>0.40810099999999999</v>
      </c>
      <c r="J3614" s="57">
        <v>0.48216999999999999</v>
      </c>
      <c r="K3614" s="56"/>
      <c r="L3614" s="56" t="s">
        <v>488</v>
      </c>
    </row>
    <row r="3615" spans="2:12" x14ac:dyDescent="0.2">
      <c r="B3615" s="62" t="s">
        <v>2237</v>
      </c>
      <c r="C3615" s="61" t="s">
        <v>499</v>
      </c>
      <c r="D3615" s="60">
        <v>1.1053900000000001</v>
      </c>
      <c r="E3615" s="59">
        <v>4.8146800000000001</v>
      </c>
      <c r="F3615" s="59">
        <v>6.5768500000000003</v>
      </c>
      <c r="G3615" s="56">
        <v>1019.29</v>
      </c>
      <c r="H3615" s="56">
        <v>922.10400000000004</v>
      </c>
      <c r="I3615" s="58">
        <v>0.38441199999999998</v>
      </c>
      <c r="J3615" s="57">
        <v>0.476553</v>
      </c>
      <c r="K3615" s="56"/>
      <c r="L3615" s="56" t="s">
        <v>488</v>
      </c>
    </row>
    <row r="3616" spans="2:12" x14ac:dyDescent="0.2">
      <c r="B3616" s="62" t="s">
        <v>2236</v>
      </c>
      <c r="C3616" s="61" t="s">
        <v>510</v>
      </c>
      <c r="D3616" s="60">
        <v>0.85338400000000003</v>
      </c>
      <c r="E3616" s="59">
        <v>4.0037900000000004</v>
      </c>
      <c r="F3616" s="59">
        <v>6.1123399999999997</v>
      </c>
      <c r="G3616" s="56">
        <v>1907.98</v>
      </c>
      <c r="H3616" s="56">
        <v>2235.7800000000002</v>
      </c>
      <c r="I3616" s="58">
        <v>0.65229700000000002</v>
      </c>
      <c r="J3616" s="57">
        <v>0.74081399999999997</v>
      </c>
      <c r="K3616" s="56"/>
      <c r="L3616" s="56" t="s">
        <v>488</v>
      </c>
    </row>
    <row r="3617" spans="2:12" x14ac:dyDescent="0.2">
      <c r="B3617" s="62" t="s">
        <v>2235</v>
      </c>
      <c r="C3617" s="61" t="s">
        <v>499</v>
      </c>
      <c r="D3617" s="60">
        <v>1.1069500000000001</v>
      </c>
      <c r="E3617" s="59">
        <v>4.7840999999999996</v>
      </c>
      <c r="F3617" s="59">
        <v>6.6241500000000002</v>
      </c>
      <c r="G3617" s="56">
        <v>1007.13</v>
      </c>
      <c r="H3617" s="56">
        <v>909.82</v>
      </c>
      <c r="I3617" s="58">
        <v>0.38743499999999997</v>
      </c>
      <c r="J3617" s="57">
        <v>0.47696499999999997</v>
      </c>
      <c r="K3617" s="56"/>
      <c r="L3617" s="56" t="s">
        <v>488</v>
      </c>
    </row>
    <row r="3618" spans="2:12" x14ac:dyDescent="0.2">
      <c r="B3618" s="62" t="s">
        <v>2234</v>
      </c>
      <c r="C3618" s="61" t="s">
        <v>526</v>
      </c>
      <c r="D3618" s="60">
        <v>0.502799</v>
      </c>
      <c r="E3618" s="59">
        <v>9.8030500000000007</v>
      </c>
      <c r="F3618" s="59">
        <v>13.47425</v>
      </c>
      <c r="G3618" s="56">
        <v>2062.19</v>
      </c>
      <c r="H3618" s="56">
        <v>4101.42</v>
      </c>
      <c r="I3618" s="58">
        <v>0.89753099999999997</v>
      </c>
      <c r="J3618" s="57">
        <v>1.6105400000000001</v>
      </c>
      <c r="K3618" s="56"/>
      <c r="L3618" s="56" t="s">
        <v>488</v>
      </c>
    </row>
    <row r="3619" spans="2:12" x14ac:dyDescent="0.2">
      <c r="B3619" s="62" t="s">
        <v>2233</v>
      </c>
      <c r="C3619" s="61" t="s">
        <v>495</v>
      </c>
      <c r="D3619" s="60">
        <v>0.42400599999999999</v>
      </c>
      <c r="E3619" s="59">
        <v>9.6569900000000004</v>
      </c>
      <c r="F3619" s="59">
        <v>13.90455</v>
      </c>
      <c r="G3619" s="56">
        <v>2067.02</v>
      </c>
      <c r="H3619" s="56">
        <v>4874.97</v>
      </c>
      <c r="I3619" s="58">
        <v>0.87595599999999996</v>
      </c>
      <c r="J3619" s="57">
        <v>1.9181999999999999</v>
      </c>
      <c r="K3619" s="56"/>
      <c r="L3619" s="56" t="s">
        <v>488</v>
      </c>
    </row>
    <row r="3620" spans="2:12" x14ac:dyDescent="0.2">
      <c r="B3620" s="62" t="s">
        <v>2232</v>
      </c>
      <c r="C3620" s="61" t="s">
        <v>502</v>
      </c>
      <c r="D3620" s="60">
        <v>1.6171</v>
      </c>
      <c r="E3620" s="59">
        <v>5.1443000000000003</v>
      </c>
      <c r="F3620" s="59">
        <v>5.2292199999999998</v>
      </c>
      <c r="G3620" s="56">
        <v>583.76400000000001</v>
      </c>
      <c r="H3620" s="56">
        <v>360.99400000000003</v>
      </c>
      <c r="I3620" s="58">
        <v>0.32047300000000001</v>
      </c>
      <c r="J3620" s="57">
        <v>0.31780900000000001</v>
      </c>
      <c r="K3620" s="56"/>
      <c r="L3620" s="56" t="s">
        <v>488</v>
      </c>
    </row>
    <row r="3621" spans="2:12" x14ac:dyDescent="0.2">
      <c r="B3621" s="62" t="s">
        <v>2231</v>
      </c>
      <c r="C3621" s="61" t="s">
        <v>1167</v>
      </c>
      <c r="D3621" s="60">
        <v>1.5613600000000001</v>
      </c>
      <c r="E3621" s="59">
        <v>4.2330800000000002</v>
      </c>
      <c r="F3621" s="59">
        <v>7.6788699999999999</v>
      </c>
      <c r="G3621" s="56">
        <v>892.20699999999999</v>
      </c>
      <c r="H3621" s="56">
        <v>571.42899999999997</v>
      </c>
      <c r="I3621" s="58">
        <v>0.39684900000000001</v>
      </c>
      <c r="J3621" s="57">
        <v>0.287497</v>
      </c>
      <c r="K3621" s="56"/>
      <c r="L3621" s="56" t="s">
        <v>488</v>
      </c>
    </row>
    <row r="3622" spans="2:12" x14ac:dyDescent="0.2">
      <c r="B3622" s="62" t="s">
        <v>2230</v>
      </c>
      <c r="C3622" s="61" t="s">
        <v>502</v>
      </c>
      <c r="D3622" s="60">
        <v>1.4050100000000001</v>
      </c>
      <c r="E3622" s="59">
        <v>6.2053200000000004</v>
      </c>
      <c r="F3622" s="59">
        <v>7.8830799999999996</v>
      </c>
      <c r="G3622" s="56">
        <v>1451.99</v>
      </c>
      <c r="H3622" s="56">
        <v>1033.43</v>
      </c>
      <c r="I3622" s="58">
        <v>0.64010999999999996</v>
      </c>
      <c r="J3622" s="57">
        <v>0.42969800000000002</v>
      </c>
      <c r="K3622" s="56"/>
      <c r="L3622" s="56" t="s">
        <v>488</v>
      </c>
    </row>
    <row r="3623" spans="2:12" x14ac:dyDescent="0.2">
      <c r="B3623" s="62" t="s">
        <v>2229</v>
      </c>
      <c r="C3623" s="61" t="s">
        <v>502</v>
      </c>
      <c r="D3623" s="60">
        <v>1.0766800000000001</v>
      </c>
      <c r="E3623" s="59">
        <v>5.9969400000000004</v>
      </c>
      <c r="F3623" s="59">
        <v>7.7253100000000003</v>
      </c>
      <c r="G3623" s="56">
        <v>1538.25</v>
      </c>
      <c r="H3623" s="56">
        <v>1428.7</v>
      </c>
      <c r="I3623" s="58">
        <v>0.64718600000000004</v>
      </c>
      <c r="J3623" s="57">
        <v>0.56895799999999996</v>
      </c>
      <c r="K3623" s="56"/>
      <c r="L3623" s="56" t="s">
        <v>488</v>
      </c>
    </row>
    <row r="3624" spans="2:12" x14ac:dyDescent="0.2">
      <c r="B3624" s="62" t="s">
        <v>2228</v>
      </c>
      <c r="C3624" s="61" t="s">
        <v>499</v>
      </c>
      <c r="D3624" s="60">
        <v>0.887235</v>
      </c>
      <c r="E3624" s="59">
        <v>6.7679499999999999</v>
      </c>
      <c r="F3624" s="59">
        <v>10.04852</v>
      </c>
      <c r="G3624" s="56">
        <v>1087.99</v>
      </c>
      <c r="H3624" s="56">
        <v>1226.27</v>
      </c>
      <c r="I3624" s="58">
        <v>0.55979000000000001</v>
      </c>
      <c r="J3624" s="57">
        <v>0.70506500000000005</v>
      </c>
      <c r="K3624" s="56"/>
      <c r="L3624" s="56" t="s">
        <v>488</v>
      </c>
    </row>
    <row r="3625" spans="2:12" x14ac:dyDescent="0.2">
      <c r="B3625" s="62" t="s">
        <v>2227</v>
      </c>
      <c r="C3625" s="61" t="s">
        <v>499</v>
      </c>
      <c r="D3625" s="60">
        <v>1.6231500000000001</v>
      </c>
      <c r="E3625" s="59">
        <v>3.5242100000000001</v>
      </c>
      <c r="F3625" s="59">
        <v>5.1149199999999997</v>
      </c>
      <c r="G3625" s="56">
        <v>0</v>
      </c>
      <c r="H3625" s="56">
        <v>0</v>
      </c>
      <c r="I3625" s="58">
        <v>0.39307900000000001</v>
      </c>
      <c r="J3625" s="57">
        <v>0.30204999999999999</v>
      </c>
      <c r="K3625" s="56"/>
      <c r="L3625" s="56" t="s">
        <v>488</v>
      </c>
    </row>
    <row r="3626" spans="2:12" x14ac:dyDescent="0.2">
      <c r="B3626" s="62" t="s">
        <v>2226</v>
      </c>
      <c r="C3626" s="61" t="s">
        <v>499</v>
      </c>
      <c r="D3626" s="60">
        <v>1.7177899999999999</v>
      </c>
      <c r="E3626" s="59">
        <v>5.3007099999999996</v>
      </c>
      <c r="F3626" s="59">
        <v>6.0024699999999998</v>
      </c>
      <c r="G3626" s="56">
        <v>845.37300000000005</v>
      </c>
      <c r="H3626" s="56">
        <v>492.12799999999999</v>
      </c>
      <c r="I3626" s="58">
        <v>0.35722399999999999</v>
      </c>
      <c r="J3626" s="57">
        <v>0.28038600000000002</v>
      </c>
      <c r="K3626" s="56"/>
      <c r="L3626" s="56" t="s">
        <v>488</v>
      </c>
    </row>
    <row r="3627" spans="2:12" x14ac:dyDescent="0.2">
      <c r="B3627" s="62" t="s">
        <v>2225</v>
      </c>
      <c r="C3627" s="61" t="s">
        <v>2224</v>
      </c>
      <c r="D3627" s="60">
        <v>1.4831799999999999</v>
      </c>
      <c r="E3627" s="59">
        <v>5.87073</v>
      </c>
      <c r="F3627" s="59">
        <v>6.2774099999999997</v>
      </c>
      <c r="G3627" s="56">
        <v>982.75300000000004</v>
      </c>
      <c r="H3627" s="56">
        <v>662.59799999999996</v>
      </c>
      <c r="I3627" s="58">
        <v>0.44007499999999999</v>
      </c>
      <c r="J3627" s="57">
        <v>0.30581799999999998</v>
      </c>
      <c r="K3627" s="56"/>
      <c r="L3627" s="56" t="s">
        <v>488</v>
      </c>
    </row>
    <row r="3628" spans="2:12" x14ac:dyDescent="0.2">
      <c r="B3628" s="62" t="s">
        <v>2223</v>
      </c>
      <c r="C3628" s="61" t="s">
        <v>828</v>
      </c>
      <c r="D3628" s="60">
        <v>1.6071</v>
      </c>
      <c r="E3628" s="59">
        <v>5.7884799999999998</v>
      </c>
      <c r="F3628" s="59">
        <v>6.5301799999999997</v>
      </c>
      <c r="G3628" s="56">
        <v>617.505</v>
      </c>
      <c r="H3628" s="56">
        <v>384.23500000000001</v>
      </c>
      <c r="I3628" s="58">
        <v>0.25892700000000002</v>
      </c>
      <c r="J3628" s="57">
        <v>0.278501</v>
      </c>
      <c r="K3628" s="56"/>
      <c r="L3628" s="56" t="s">
        <v>488</v>
      </c>
    </row>
    <row r="3629" spans="2:12" x14ac:dyDescent="0.2">
      <c r="B3629" s="62" t="s">
        <v>2222</v>
      </c>
      <c r="C3629" s="61" t="s">
        <v>2221</v>
      </c>
      <c r="D3629" s="60">
        <v>1.44048</v>
      </c>
      <c r="E3629" s="59">
        <v>5.81813</v>
      </c>
      <c r="F3629" s="59">
        <v>6.6228699999999998</v>
      </c>
      <c r="G3629" s="56">
        <v>606.51700000000005</v>
      </c>
      <c r="H3629" s="56">
        <v>421.05099999999999</v>
      </c>
      <c r="I3629" s="58">
        <v>0.25679299999999999</v>
      </c>
      <c r="J3629" s="57">
        <v>0.30982500000000002</v>
      </c>
      <c r="K3629" s="56"/>
      <c r="L3629" s="56" t="s">
        <v>488</v>
      </c>
    </row>
    <row r="3630" spans="2:12" x14ac:dyDescent="0.2">
      <c r="B3630" s="62" t="s">
        <v>2220</v>
      </c>
      <c r="C3630" s="61" t="s">
        <v>510</v>
      </c>
      <c r="D3630" s="60">
        <v>2.1854900000000002</v>
      </c>
      <c r="E3630" s="59">
        <v>3.9690599999999998</v>
      </c>
      <c r="F3630" s="59">
        <v>4.1906100000000004</v>
      </c>
      <c r="G3630" s="56">
        <v>228.96100000000001</v>
      </c>
      <c r="H3630" s="56">
        <v>104.26</v>
      </c>
      <c r="I3630" s="58">
        <v>0.293771</v>
      </c>
      <c r="J3630" s="57">
        <v>0.17094699999999999</v>
      </c>
      <c r="K3630" s="56"/>
      <c r="L3630" s="56" t="s">
        <v>488</v>
      </c>
    </row>
    <row r="3631" spans="2:12" x14ac:dyDescent="0.2">
      <c r="B3631" s="62" t="s">
        <v>2219</v>
      </c>
      <c r="C3631" s="61" t="s">
        <v>510</v>
      </c>
      <c r="D3631" s="60">
        <v>2.1960500000000001</v>
      </c>
      <c r="E3631" s="59">
        <v>3.7532100000000002</v>
      </c>
      <c r="F3631" s="59">
        <v>4.1560100000000002</v>
      </c>
      <c r="G3631" s="56">
        <v>207.56899999999999</v>
      </c>
      <c r="H3631" s="56">
        <v>94.218500000000006</v>
      </c>
      <c r="I3631" s="58">
        <v>0.288051</v>
      </c>
      <c r="J3631" s="57">
        <v>0.168851</v>
      </c>
      <c r="K3631" s="56"/>
      <c r="L3631" s="56" t="s">
        <v>488</v>
      </c>
    </row>
    <row r="3632" spans="2:12" x14ac:dyDescent="0.2">
      <c r="B3632" s="62" t="s">
        <v>2218</v>
      </c>
      <c r="C3632" s="61" t="s">
        <v>510</v>
      </c>
      <c r="D3632" s="60">
        <v>2.2030599999999998</v>
      </c>
      <c r="E3632" s="59">
        <v>4.0321699999999998</v>
      </c>
      <c r="F3632" s="59">
        <v>4.22072</v>
      </c>
      <c r="G3632" s="56">
        <v>306.39100000000002</v>
      </c>
      <c r="H3632" s="56">
        <v>140.19300000000001</v>
      </c>
      <c r="I3632" s="58">
        <v>0.27478900000000001</v>
      </c>
      <c r="J3632" s="57">
        <v>0.16666900000000001</v>
      </c>
      <c r="K3632" s="56"/>
      <c r="L3632" s="56" t="s">
        <v>488</v>
      </c>
    </row>
    <row r="3633" spans="2:12" x14ac:dyDescent="0.2">
      <c r="B3633" s="62" t="s">
        <v>2217</v>
      </c>
      <c r="C3633" s="61" t="s">
        <v>550</v>
      </c>
      <c r="D3633" s="60">
        <v>2.0711900000000001</v>
      </c>
      <c r="E3633" s="59">
        <v>3.2460399999999998</v>
      </c>
      <c r="F3633" s="59">
        <v>4.5216000000000003</v>
      </c>
      <c r="G3633" s="56">
        <v>0</v>
      </c>
      <c r="H3633" s="56">
        <v>0</v>
      </c>
      <c r="I3633" s="58">
        <v>0.381832</v>
      </c>
      <c r="J3633" s="57">
        <v>0.25597199999999998</v>
      </c>
      <c r="K3633" s="56"/>
      <c r="L3633" s="56" t="s">
        <v>488</v>
      </c>
    </row>
    <row r="3634" spans="2:12" x14ac:dyDescent="0.2">
      <c r="B3634" s="62" t="s">
        <v>2216</v>
      </c>
      <c r="C3634" s="61" t="s">
        <v>499</v>
      </c>
      <c r="D3634" s="60">
        <v>1.0325899999999999</v>
      </c>
      <c r="E3634" s="59">
        <v>5.4753400000000001</v>
      </c>
      <c r="F3634" s="59">
        <v>6.3755600000000001</v>
      </c>
      <c r="G3634" s="56">
        <v>2212.44</v>
      </c>
      <c r="H3634" s="56">
        <v>2142.62</v>
      </c>
      <c r="I3634" s="58">
        <v>0.69440800000000003</v>
      </c>
      <c r="J3634" s="57">
        <v>0.66354199999999997</v>
      </c>
      <c r="K3634" s="56"/>
      <c r="L3634" s="56" t="s">
        <v>488</v>
      </c>
    </row>
    <row r="3635" spans="2:12" x14ac:dyDescent="0.2">
      <c r="B3635" s="62" t="s">
        <v>2215</v>
      </c>
      <c r="C3635" s="61" t="s">
        <v>499</v>
      </c>
      <c r="D3635" s="60">
        <v>0.92579800000000001</v>
      </c>
      <c r="E3635" s="59">
        <v>5.5496299999999996</v>
      </c>
      <c r="F3635" s="59">
        <v>9.4553700000000003</v>
      </c>
      <c r="G3635" s="56">
        <v>2084.19</v>
      </c>
      <c r="H3635" s="56">
        <v>2251.23</v>
      </c>
      <c r="I3635" s="58">
        <v>0.73496499999999998</v>
      </c>
      <c r="J3635" s="57">
        <v>0.76590999999999998</v>
      </c>
      <c r="K3635" s="56"/>
      <c r="L3635" s="56" t="s">
        <v>488</v>
      </c>
    </row>
    <row r="3636" spans="2:12" x14ac:dyDescent="0.2">
      <c r="B3636" s="62" t="s">
        <v>2214</v>
      </c>
      <c r="C3636" s="61" t="s">
        <v>499</v>
      </c>
      <c r="D3636" s="60">
        <v>0.89966699999999999</v>
      </c>
      <c r="E3636" s="59">
        <v>6.4818699999999998</v>
      </c>
      <c r="F3636" s="59">
        <v>7.7866499999999998</v>
      </c>
      <c r="G3636" s="56">
        <v>2264.4</v>
      </c>
      <c r="H3636" s="56">
        <v>2516.9299999999998</v>
      </c>
      <c r="I3636" s="58">
        <v>0.75065999999999999</v>
      </c>
      <c r="J3636" s="57">
        <v>0.79396</v>
      </c>
      <c r="K3636" s="56"/>
      <c r="L3636" s="56" t="s">
        <v>488</v>
      </c>
    </row>
    <row r="3637" spans="2:12" x14ac:dyDescent="0.2">
      <c r="B3637" s="62" t="s">
        <v>2213</v>
      </c>
      <c r="C3637" s="61" t="s">
        <v>499</v>
      </c>
      <c r="D3637" s="60">
        <v>0.813635</v>
      </c>
      <c r="E3637" s="59">
        <v>6.6287000000000003</v>
      </c>
      <c r="F3637" s="59">
        <v>9.2157999999999998</v>
      </c>
      <c r="G3637" s="56">
        <v>2118.4</v>
      </c>
      <c r="H3637" s="56">
        <v>2603.63</v>
      </c>
      <c r="I3637" s="58">
        <v>0.75433899999999998</v>
      </c>
      <c r="J3637" s="57">
        <v>0.90956999999999999</v>
      </c>
      <c r="K3637" s="56"/>
      <c r="L3637" s="56" t="s">
        <v>488</v>
      </c>
    </row>
    <row r="3638" spans="2:12" x14ac:dyDescent="0.2">
      <c r="B3638" s="62" t="s">
        <v>2212</v>
      </c>
      <c r="C3638" s="61" t="s">
        <v>510</v>
      </c>
      <c r="D3638" s="60">
        <v>0.922207</v>
      </c>
      <c r="E3638" s="59">
        <v>7.1215400000000004</v>
      </c>
      <c r="F3638" s="59">
        <v>19.50714</v>
      </c>
      <c r="G3638" s="56">
        <v>1394.76</v>
      </c>
      <c r="H3638" s="56">
        <v>1512.42</v>
      </c>
      <c r="I3638" s="58">
        <v>0.62211099999999997</v>
      </c>
      <c r="J3638" s="57">
        <v>0.72119999999999995</v>
      </c>
      <c r="K3638" s="56"/>
      <c r="L3638" s="56" t="s">
        <v>488</v>
      </c>
    </row>
    <row r="3639" spans="2:12" x14ac:dyDescent="0.2">
      <c r="B3639" s="62" t="s">
        <v>2211</v>
      </c>
      <c r="C3639" s="61" t="s">
        <v>502</v>
      </c>
      <c r="D3639" s="60">
        <v>0.69506199999999996</v>
      </c>
      <c r="E3639" s="59">
        <v>10.16991</v>
      </c>
      <c r="F3639" s="59">
        <v>17.693239999999999</v>
      </c>
      <c r="G3639" s="56">
        <v>1179.79</v>
      </c>
      <c r="H3639" s="56">
        <v>1697.39</v>
      </c>
      <c r="I3639" s="58">
        <v>0.824654</v>
      </c>
      <c r="J3639" s="57">
        <v>1.0693900000000001</v>
      </c>
      <c r="K3639" s="56"/>
      <c r="L3639" s="56" t="s">
        <v>488</v>
      </c>
    </row>
    <row r="3640" spans="2:12" x14ac:dyDescent="0.2">
      <c r="B3640" s="62" t="s">
        <v>2210</v>
      </c>
      <c r="C3640" s="61" t="s">
        <v>550</v>
      </c>
      <c r="D3640" s="60">
        <v>0.97877199999999998</v>
      </c>
      <c r="E3640" s="59">
        <v>7.3042600000000002</v>
      </c>
      <c r="F3640" s="59">
        <v>9.5023</v>
      </c>
      <c r="G3640" s="56">
        <v>1923.1</v>
      </c>
      <c r="H3640" s="56">
        <v>1964.81</v>
      </c>
      <c r="I3640" s="58">
        <v>0.70814200000000005</v>
      </c>
      <c r="J3640" s="57">
        <v>0.69977900000000004</v>
      </c>
      <c r="K3640" s="56"/>
      <c r="L3640" s="56" t="s">
        <v>488</v>
      </c>
    </row>
    <row r="3641" spans="2:12" x14ac:dyDescent="0.2">
      <c r="B3641" s="62" t="s">
        <v>2209</v>
      </c>
      <c r="C3641" s="61" t="s">
        <v>625</v>
      </c>
      <c r="D3641" s="60">
        <v>1.4157200000000001</v>
      </c>
      <c r="E3641" s="59">
        <v>3.7023799999999998</v>
      </c>
      <c r="F3641" s="59">
        <v>5.9343300000000001</v>
      </c>
      <c r="G3641" s="56">
        <v>0</v>
      </c>
      <c r="H3641" s="56">
        <v>0</v>
      </c>
      <c r="I3641" s="58">
        <v>0.27824100000000002</v>
      </c>
      <c r="J3641" s="57">
        <v>0.32436700000000002</v>
      </c>
      <c r="K3641" s="56"/>
      <c r="L3641" s="56" t="s">
        <v>492</v>
      </c>
    </row>
    <row r="3642" spans="2:12" x14ac:dyDescent="0.2">
      <c r="B3642" s="62" t="s">
        <v>2208</v>
      </c>
      <c r="C3642" s="61" t="s">
        <v>625</v>
      </c>
      <c r="D3642" s="60">
        <v>1.43835</v>
      </c>
      <c r="E3642" s="59">
        <v>3.1509200000000002</v>
      </c>
      <c r="F3642" s="59">
        <v>4.31609</v>
      </c>
      <c r="G3642" s="56">
        <v>0</v>
      </c>
      <c r="H3642" s="56">
        <v>0</v>
      </c>
      <c r="I3642" s="58">
        <v>0.239429</v>
      </c>
      <c r="J3642" s="57">
        <v>0.33648299999999998</v>
      </c>
      <c r="K3642" s="56"/>
      <c r="L3642" s="56" t="s">
        <v>492</v>
      </c>
    </row>
    <row r="3643" spans="2:12" x14ac:dyDescent="0.2">
      <c r="B3643" s="62" t="s">
        <v>2207</v>
      </c>
      <c r="C3643" s="61" t="s">
        <v>550</v>
      </c>
      <c r="D3643" s="60">
        <v>1.1701600000000001</v>
      </c>
      <c r="E3643" s="59">
        <v>3.54705</v>
      </c>
      <c r="F3643" s="59">
        <v>5.0656600000000003</v>
      </c>
      <c r="G3643" s="56">
        <v>0</v>
      </c>
      <c r="H3643" s="56">
        <v>0</v>
      </c>
      <c r="I3643" s="58">
        <v>0.38922200000000001</v>
      </c>
      <c r="J3643" s="57">
        <v>0.42707400000000001</v>
      </c>
      <c r="K3643" s="56"/>
      <c r="L3643" s="56" t="s">
        <v>488</v>
      </c>
    </row>
    <row r="3644" spans="2:12" x14ac:dyDescent="0.2">
      <c r="B3644" s="62" t="s">
        <v>2206</v>
      </c>
      <c r="C3644" s="61" t="s">
        <v>510</v>
      </c>
      <c r="D3644" s="60">
        <v>1.1719900000000001</v>
      </c>
      <c r="E3644" s="59">
        <v>4.8491600000000004</v>
      </c>
      <c r="F3644" s="59">
        <v>5.1863999999999999</v>
      </c>
      <c r="G3644" s="56">
        <v>1147.49</v>
      </c>
      <c r="H3644" s="56">
        <v>979.09900000000005</v>
      </c>
      <c r="I3644" s="58">
        <v>0.471279</v>
      </c>
      <c r="J3644" s="57">
        <v>0.44836300000000001</v>
      </c>
      <c r="K3644" s="56"/>
      <c r="L3644" s="56" t="s">
        <v>488</v>
      </c>
    </row>
    <row r="3645" spans="2:12" x14ac:dyDescent="0.2">
      <c r="B3645" s="62" t="s">
        <v>2205</v>
      </c>
      <c r="C3645" s="61" t="s">
        <v>510</v>
      </c>
      <c r="D3645" s="60">
        <v>1.0909599999999999</v>
      </c>
      <c r="E3645" s="59">
        <v>4.2796599999999998</v>
      </c>
      <c r="F3645" s="59">
        <v>7.0125599999999997</v>
      </c>
      <c r="G3645" s="56">
        <v>1451.21</v>
      </c>
      <c r="H3645" s="56">
        <v>1330.21</v>
      </c>
      <c r="I3645" s="58">
        <v>0.53011600000000003</v>
      </c>
      <c r="J3645" s="57">
        <v>0.51761400000000002</v>
      </c>
      <c r="K3645" s="56"/>
      <c r="L3645" s="56" t="s">
        <v>488</v>
      </c>
    </row>
    <row r="3646" spans="2:12" x14ac:dyDescent="0.2">
      <c r="B3646" s="62" t="s">
        <v>2204</v>
      </c>
      <c r="C3646" s="61" t="s">
        <v>798</v>
      </c>
      <c r="D3646" s="60">
        <v>1.3883300000000001</v>
      </c>
      <c r="E3646" s="59">
        <v>3.6727500000000002</v>
      </c>
      <c r="F3646" s="59">
        <v>4.8937799999999996</v>
      </c>
      <c r="G3646" s="56">
        <v>0</v>
      </c>
      <c r="H3646" s="56">
        <v>0</v>
      </c>
      <c r="I3646" s="58">
        <v>0.29143999999999998</v>
      </c>
      <c r="J3646" s="57">
        <v>0.33258100000000002</v>
      </c>
      <c r="K3646" s="56"/>
      <c r="L3646" s="56" t="s">
        <v>488</v>
      </c>
    </row>
    <row r="3647" spans="2:12" x14ac:dyDescent="0.2">
      <c r="B3647" s="62" t="s">
        <v>2203</v>
      </c>
      <c r="C3647" s="61" t="s">
        <v>499</v>
      </c>
      <c r="D3647" s="60">
        <v>0.89601600000000003</v>
      </c>
      <c r="E3647" s="59">
        <v>5.5988499999999997</v>
      </c>
      <c r="F3647" s="59">
        <v>7.2550800000000004</v>
      </c>
      <c r="G3647" s="56">
        <v>1746.98</v>
      </c>
      <c r="H3647" s="56">
        <v>1949.72</v>
      </c>
      <c r="I3647" s="58">
        <v>0.64414800000000005</v>
      </c>
      <c r="J3647" s="57">
        <v>0.70644600000000002</v>
      </c>
      <c r="K3647" s="56"/>
      <c r="L3647" s="56" t="s">
        <v>488</v>
      </c>
    </row>
    <row r="3648" spans="2:12" x14ac:dyDescent="0.2">
      <c r="B3648" s="62" t="s">
        <v>2202</v>
      </c>
      <c r="C3648" s="61" t="s">
        <v>510</v>
      </c>
      <c r="D3648" s="60">
        <v>1.5499400000000001</v>
      </c>
      <c r="E3648" s="59">
        <v>2.6469399999999998</v>
      </c>
      <c r="F3648" s="59">
        <v>3.12344</v>
      </c>
      <c r="G3648" s="56">
        <v>0</v>
      </c>
      <c r="H3648" s="56">
        <v>0</v>
      </c>
      <c r="I3648" s="58">
        <v>0.19117300000000001</v>
      </c>
      <c r="J3648" s="57">
        <v>0.29283500000000001</v>
      </c>
      <c r="K3648" s="56"/>
      <c r="L3648" s="56" t="s">
        <v>488</v>
      </c>
    </row>
    <row r="3649" spans="2:12" x14ac:dyDescent="0.2">
      <c r="B3649" s="62" t="s">
        <v>2201</v>
      </c>
      <c r="C3649" s="61" t="s">
        <v>510</v>
      </c>
      <c r="D3649" s="60">
        <v>1.5833299999999999</v>
      </c>
      <c r="E3649" s="59">
        <v>2.6921900000000001</v>
      </c>
      <c r="F3649" s="59">
        <v>3.1522999999999999</v>
      </c>
      <c r="G3649" s="56">
        <v>0</v>
      </c>
      <c r="H3649" s="56">
        <v>0</v>
      </c>
      <c r="I3649" s="58">
        <v>0.157692</v>
      </c>
      <c r="J3649" s="57">
        <v>0.27865899999999999</v>
      </c>
      <c r="K3649" s="56"/>
      <c r="L3649" s="56" t="s">
        <v>488</v>
      </c>
    </row>
    <row r="3650" spans="2:12" x14ac:dyDescent="0.2">
      <c r="B3650" s="62" t="s">
        <v>2200</v>
      </c>
      <c r="C3650" s="61" t="s">
        <v>550</v>
      </c>
      <c r="D3650" s="60">
        <v>0.97123300000000001</v>
      </c>
      <c r="E3650" s="59">
        <v>8.0891099999999998</v>
      </c>
      <c r="F3650" s="59">
        <v>8.9699899999999992</v>
      </c>
      <c r="G3650" s="56">
        <v>1801.52</v>
      </c>
      <c r="H3650" s="56">
        <v>1854.88</v>
      </c>
      <c r="I3650" s="58">
        <v>0.66573599999999999</v>
      </c>
      <c r="J3650" s="57">
        <v>0.69403000000000004</v>
      </c>
      <c r="K3650" s="56"/>
      <c r="L3650" s="56" t="s">
        <v>488</v>
      </c>
    </row>
    <row r="3651" spans="2:12" x14ac:dyDescent="0.2">
      <c r="B3651" s="62" t="s">
        <v>2199</v>
      </c>
      <c r="C3651" s="61" t="s">
        <v>550</v>
      </c>
      <c r="D3651" s="60">
        <v>1.5150399999999999</v>
      </c>
      <c r="E3651" s="59">
        <v>3.7271100000000001</v>
      </c>
      <c r="F3651" s="59">
        <v>5.3045</v>
      </c>
      <c r="G3651" s="56">
        <v>350.08100000000002</v>
      </c>
      <c r="H3651" s="56">
        <v>231.07</v>
      </c>
      <c r="I3651" s="58">
        <v>0.22331899999999999</v>
      </c>
      <c r="J3651" s="57">
        <v>0.27831699999999998</v>
      </c>
      <c r="K3651" s="56"/>
      <c r="L3651" s="56" t="s">
        <v>488</v>
      </c>
    </row>
    <row r="3652" spans="2:12" x14ac:dyDescent="0.2">
      <c r="B3652" s="62" t="s">
        <v>2198</v>
      </c>
      <c r="C3652" s="61" t="s">
        <v>708</v>
      </c>
      <c r="D3652" s="60">
        <v>1.1798299999999999</v>
      </c>
      <c r="E3652" s="59">
        <v>3.7422900000000001</v>
      </c>
      <c r="F3652" s="59">
        <v>5.3363300000000002</v>
      </c>
      <c r="G3652" s="56">
        <v>607.30100000000004</v>
      </c>
      <c r="H3652" s="56">
        <v>514.73699999999997</v>
      </c>
      <c r="I3652" s="58">
        <v>0.36721900000000002</v>
      </c>
      <c r="J3652" s="57">
        <v>0.43385200000000002</v>
      </c>
      <c r="K3652" s="56"/>
      <c r="L3652" s="56" t="s">
        <v>488</v>
      </c>
    </row>
    <row r="3653" spans="2:12" x14ac:dyDescent="0.2">
      <c r="B3653" s="62" t="s">
        <v>2197</v>
      </c>
      <c r="C3653" s="61" t="s">
        <v>859</v>
      </c>
      <c r="D3653" s="60">
        <v>1.9705999999999999</v>
      </c>
      <c r="E3653" s="59">
        <v>3.1669900000000002</v>
      </c>
      <c r="F3653" s="59">
        <v>5.1010499999999999</v>
      </c>
      <c r="G3653" s="56">
        <v>0</v>
      </c>
      <c r="H3653" s="56">
        <v>0</v>
      </c>
      <c r="I3653" s="58">
        <v>0.30586600000000003</v>
      </c>
      <c r="J3653" s="57">
        <v>0.23364399999999999</v>
      </c>
      <c r="K3653" s="56"/>
      <c r="L3653" s="56" t="s">
        <v>488</v>
      </c>
    </row>
    <row r="3654" spans="2:12" x14ac:dyDescent="0.2">
      <c r="B3654" s="62" t="s">
        <v>2196</v>
      </c>
      <c r="C3654" s="61" t="s">
        <v>859</v>
      </c>
      <c r="D3654" s="60">
        <v>1.7076</v>
      </c>
      <c r="E3654" s="59">
        <v>2.5251600000000001</v>
      </c>
      <c r="F3654" s="59">
        <v>4.8204000000000002</v>
      </c>
      <c r="G3654" s="56">
        <v>0</v>
      </c>
      <c r="H3654" s="56">
        <v>0</v>
      </c>
      <c r="I3654" s="58">
        <v>0.36195100000000002</v>
      </c>
      <c r="J3654" s="57">
        <v>0.28493600000000002</v>
      </c>
      <c r="K3654" s="56"/>
      <c r="L3654" s="56" t="s">
        <v>488</v>
      </c>
    </row>
    <row r="3655" spans="2:12" x14ac:dyDescent="0.2">
      <c r="B3655" s="62" t="s">
        <v>2195</v>
      </c>
      <c r="C3655" s="61" t="s">
        <v>859</v>
      </c>
      <c r="D3655" s="60">
        <v>1.66971</v>
      </c>
      <c r="E3655" s="59">
        <v>2.52745</v>
      </c>
      <c r="F3655" s="59">
        <v>4.8143799999999999</v>
      </c>
      <c r="G3655" s="56">
        <v>0</v>
      </c>
      <c r="H3655" s="56">
        <v>0</v>
      </c>
      <c r="I3655" s="58">
        <v>0.384438</v>
      </c>
      <c r="J3655" s="57">
        <v>0.29796899999999998</v>
      </c>
      <c r="K3655" s="56"/>
      <c r="L3655" s="56" t="s">
        <v>488</v>
      </c>
    </row>
    <row r="3656" spans="2:12" x14ac:dyDescent="0.2">
      <c r="B3656" s="62" t="s">
        <v>2194</v>
      </c>
      <c r="C3656" s="61" t="s">
        <v>859</v>
      </c>
      <c r="D3656" s="60">
        <v>1.66971</v>
      </c>
      <c r="E3656" s="59">
        <v>2.47871</v>
      </c>
      <c r="F3656" s="59">
        <v>4.72323</v>
      </c>
      <c r="G3656" s="56">
        <v>0</v>
      </c>
      <c r="H3656" s="56">
        <v>0</v>
      </c>
      <c r="I3656" s="58">
        <v>0.38946999999999998</v>
      </c>
      <c r="J3656" s="57">
        <v>0.29860900000000001</v>
      </c>
      <c r="K3656" s="56"/>
      <c r="L3656" s="56" t="s">
        <v>488</v>
      </c>
    </row>
    <row r="3657" spans="2:12" x14ac:dyDescent="0.2">
      <c r="B3657" s="62" t="s">
        <v>2193</v>
      </c>
      <c r="C3657" s="61" t="s">
        <v>499</v>
      </c>
      <c r="D3657" s="60">
        <v>1.36188</v>
      </c>
      <c r="E3657" s="59">
        <v>3.74465</v>
      </c>
      <c r="F3657" s="59">
        <v>5.7003500000000003</v>
      </c>
      <c r="G3657" s="56">
        <v>604.73699999999997</v>
      </c>
      <c r="H3657" s="56">
        <v>444.04399999999998</v>
      </c>
      <c r="I3657" s="58">
        <v>0.33231500000000003</v>
      </c>
      <c r="J3657" s="57">
        <v>0.33922000000000002</v>
      </c>
      <c r="K3657" s="56"/>
      <c r="L3657" s="56" t="s">
        <v>488</v>
      </c>
    </row>
    <row r="3658" spans="2:12" x14ac:dyDescent="0.2">
      <c r="B3658" s="62" t="s">
        <v>2192</v>
      </c>
      <c r="C3658" s="61" t="s">
        <v>1697</v>
      </c>
      <c r="D3658" s="60">
        <v>0.70305799999999996</v>
      </c>
      <c r="E3658" s="59">
        <v>5.9200900000000001</v>
      </c>
      <c r="F3658" s="59">
        <v>12.469849999999999</v>
      </c>
      <c r="G3658" s="56">
        <v>2001.6</v>
      </c>
      <c r="H3658" s="56">
        <v>2846.99</v>
      </c>
      <c r="I3658" s="58">
        <v>0.77549000000000001</v>
      </c>
      <c r="J3658" s="57">
        <v>1.0298099999999999</v>
      </c>
      <c r="K3658" s="56" t="s">
        <v>1816</v>
      </c>
      <c r="L3658" s="56" t="s">
        <v>563</v>
      </c>
    </row>
    <row r="3659" spans="2:12" x14ac:dyDescent="0.2">
      <c r="B3659" s="62" t="s">
        <v>2191</v>
      </c>
      <c r="C3659" s="61" t="s">
        <v>502</v>
      </c>
      <c r="D3659" s="60">
        <v>0.57833999999999997</v>
      </c>
      <c r="E3659" s="59">
        <v>6.9426199999999998</v>
      </c>
      <c r="F3659" s="59">
        <v>18.511060000000001</v>
      </c>
      <c r="G3659" s="56">
        <v>2170.4</v>
      </c>
      <c r="H3659" s="56">
        <v>3631.46</v>
      </c>
      <c r="I3659" s="58">
        <v>0.84707600000000005</v>
      </c>
      <c r="J3659" s="57">
        <v>1.3623499999999999</v>
      </c>
      <c r="K3659" s="56"/>
      <c r="L3659" s="56" t="s">
        <v>488</v>
      </c>
    </row>
    <row r="3660" spans="2:12" x14ac:dyDescent="0.2">
      <c r="B3660" s="62" t="s">
        <v>2190</v>
      </c>
      <c r="C3660" s="61" t="s">
        <v>502</v>
      </c>
      <c r="D3660" s="60">
        <v>0.59766699999999995</v>
      </c>
      <c r="E3660" s="59">
        <v>6.76945</v>
      </c>
      <c r="F3660" s="59">
        <v>19.37323</v>
      </c>
      <c r="G3660" s="56">
        <v>2134.56</v>
      </c>
      <c r="H3660" s="56">
        <v>3690.83</v>
      </c>
      <c r="I3660" s="58">
        <v>0.84128199999999997</v>
      </c>
      <c r="J3660" s="57">
        <v>1.3066500000000001</v>
      </c>
      <c r="K3660" s="56"/>
      <c r="L3660" s="56" t="s">
        <v>488</v>
      </c>
    </row>
    <row r="3661" spans="2:12" x14ac:dyDescent="0.2">
      <c r="B3661" s="62" t="s">
        <v>2189</v>
      </c>
      <c r="C3661" s="61" t="s">
        <v>499</v>
      </c>
      <c r="D3661" s="60">
        <v>1.3796900000000001</v>
      </c>
      <c r="E3661" s="59">
        <v>5.70512</v>
      </c>
      <c r="F3661" s="59">
        <v>8.0849299999999999</v>
      </c>
      <c r="G3661" s="56">
        <v>1533.06</v>
      </c>
      <c r="H3661" s="56">
        <v>1111.1600000000001</v>
      </c>
      <c r="I3661" s="58">
        <v>0.53334199999999998</v>
      </c>
      <c r="J3661" s="57">
        <v>0.452399</v>
      </c>
      <c r="K3661" s="56"/>
      <c r="L3661" s="56" t="s">
        <v>488</v>
      </c>
    </row>
    <row r="3662" spans="2:12" x14ac:dyDescent="0.2">
      <c r="B3662" s="62" t="s">
        <v>2188</v>
      </c>
      <c r="C3662" s="61" t="s">
        <v>499</v>
      </c>
      <c r="D3662" s="60">
        <v>1.32352</v>
      </c>
      <c r="E3662" s="59">
        <v>5.8472999999999997</v>
      </c>
      <c r="F3662" s="59">
        <v>8.7721900000000002</v>
      </c>
      <c r="G3662" s="56">
        <v>1580.64</v>
      </c>
      <c r="H3662" s="56">
        <v>1194.27</v>
      </c>
      <c r="I3662" s="58">
        <v>0.552284</v>
      </c>
      <c r="J3662" s="57">
        <v>0.482846</v>
      </c>
      <c r="K3662" s="56"/>
      <c r="L3662" s="56" t="s">
        <v>488</v>
      </c>
    </row>
    <row r="3663" spans="2:12" x14ac:dyDescent="0.2">
      <c r="B3663" s="62" t="s">
        <v>2187</v>
      </c>
      <c r="C3663" s="61" t="s">
        <v>499</v>
      </c>
      <c r="D3663" s="60">
        <v>1.3616200000000001</v>
      </c>
      <c r="E3663" s="59">
        <v>5.5677099999999999</v>
      </c>
      <c r="F3663" s="59">
        <v>8.6378500000000003</v>
      </c>
      <c r="G3663" s="56">
        <v>1553.07</v>
      </c>
      <c r="H3663" s="56">
        <v>1140.5999999999999</v>
      </c>
      <c r="I3663" s="58">
        <v>0.54578599999999999</v>
      </c>
      <c r="J3663" s="57">
        <v>0.46250400000000003</v>
      </c>
      <c r="K3663" s="56"/>
      <c r="L3663" s="56" t="s">
        <v>488</v>
      </c>
    </row>
    <row r="3664" spans="2:12" x14ac:dyDescent="0.2">
      <c r="B3664" s="62" t="s">
        <v>2186</v>
      </c>
      <c r="C3664" s="61" t="s">
        <v>499</v>
      </c>
      <c r="D3664" s="60">
        <v>1.2843500000000001</v>
      </c>
      <c r="E3664" s="59">
        <v>5.6243400000000001</v>
      </c>
      <c r="F3664" s="59">
        <v>10.30851</v>
      </c>
      <c r="G3664" s="56">
        <v>1624.65</v>
      </c>
      <c r="H3664" s="56">
        <v>1264.96</v>
      </c>
      <c r="I3664" s="58">
        <v>0.57570100000000002</v>
      </c>
      <c r="J3664" s="57">
        <v>0.505714</v>
      </c>
      <c r="K3664" s="56"/>
      <c r="L3664" s="56" t="s">
        <v>488</v>
      </c>
    </row>
    <row r="3665" spans="2:12" x14ac:dyDescent="0.2">
      <c r="B3665" s="62" t="s">
        <v>2185</v>
      </c>
      <c r="C3665" s="61" t="s">
        <v>499</v>
      </c>
      <c r="D3665" s="60">
        <v>1.3688400000000001</v>
      </c>
      <c r="E3665" s="59">
        <v>5.3158599999999998</v>
      </c>
      <c r="F3665" s="59">
        <v>8.4844600000000003</v>
      </c>
      <c r="G3665" s="56">
        <v>1486.68</v>
      </c>
      <c r="H3665" s="56">
        <v>1086.0899999999999</v>
      </c>
      <c r="I3665" s="58">
        <v>0.52877200000000002</v>
      </c>
      <c r="J3665" s="57">
        <v>0.45830399999999999</v>
      </c>
      <c r="K3665" s="56"/>
      <c r="L3665" s="56" t="s">
        <v>488</v>
      </c>
    </row>
    <row r="3666" spans="2:12" x14ac:dyDescent="0.2">
      <c r="B3666" s="62" t="s">
        <v>2184</v>
      </c>
      <c r="C3666" s="61" t="s">
        <v>499</v>
      </c>
      <c r="D3666" s="60">
        <v>1.2857000000000001</v>
      </c>
      <c r="E3666" s="59">
        <v>7.0989500000000003</v>
      </c>
      <c r="F3666" s="59">
        <v>8.9063099999999995</v>
      </c>
      <c r="G3666" s="56">
        <v>1614.15</v>
      </c>
      <c r="H3666" s="56">
        <v>1255.47</v>
      </c>
      <c r="I3666" s="58">
        <v>0.571627</v>
      </c>
      <c r="J3666" s="57">
        <v>0.50499799999999995</v>
      </c>
      <c r="K3666" s="56"/>
      <c r="L3666" s="56" t="s">
        <v>488</v>
      </c>
    </row>
    <row r="3667" spans="2:12" x14ac:dyDescent="0.2">
      <c r="B3667" s="62" t="s">
        <v>2183</v>
      </c>
      <c r="C3667" s="61" t="s">
        <v>499</v>
      </c>
      <c r="D3667" s="60">
        <v>1.26275</v>
      </c>
      <c r="E3667" s="59">
        <v>6.2397099999999996</v>
      </c>
      <c r="F3667" s="59">
        <v>10.396979999999999</v>
      </c>
      <c r="G3667" s="56">
        <v>1592.57</v>
      </c>
      <c r="H3667" s="56">
        <v>1261.2</v>
      </c>
      <c r="I3667" s="58">
        <v>0.58452000000000004</v>
      </c>
      <c r="J3667" s="57">
        <v>0.52091600000000005</v>
      </c>
      <c r="K3667" s="56"/>
      <c r="L3667" s="56" t="s">
        <v>488</v>
      </c>
    </row>
    <row r="3668" spans="2:12" x14ac:dyDescent="0.2">
      <c r="B3668" s="62" t="s">
        <v>2182</v>
      </c>
      <c r="C3668" s="61" t="s">
        <v>499</v>
      </c>
      <c r="D3668" s="60">
        <v>1.3595299999999999</v>
      </c>
      <c r="E3668" s="59">
        <v>5.6784299999999996</v>
      </c>
      <c r="F3668" s="59">
        <v>8.6384000000000007</v>
      </c>
      <c r="G3668" s="56">
        <v>1574.51</v>
      </c>
      <c r="H3668" s="56">
        <v>1158.1300000000001</v>
      </c>
      <c r="I3668" s="58">
        <v>0.556481</v>
      </c>
      <c r="J3668" s="57">
        <v>0.46329100000000001</v>
      </c>
      <c r="K3668" s="56"/>
      <c r="L3668" s="56" t="s">
        <v>488</v>
      </c>
    </row>
    <row r="3669" spans="2:12" x14ac:dyDescent="0.2">
      <c r="B3669" s="62" t="s">
        <v>2181</v>
      </c>
      <c r="C3669" s="61" t="s">
        <v>499</v>
      </c>
      <c r="D3669" s="60">
        <v>1.32806</v>
      </c>
      <c r="E3669" s="59">
        <v>6.6932299999999998</v>
      </c>
      <c r="F3669" s="59">
        <v>8.3790899999999997</v>
      </c>
      <c r="G3669" s="56">
        <v>1577.47</v>
      </c>
      <c r="H3669" s="56">
        <v>1187.8</v>
      </c>
      <c r="I3669" s="58">
        <v>0.55408100000000005</v>
      </c>
      <c r="J3669" s="57">
        <v>0.480078</v>
      </c>
      <c r="K3669" s="56"/>
      <c r="L3669" s="56" t="s">
        <v>488</v>
      </c>
    </row>
    <row r="3670" spans="2:12" x14ac:dyDescent="0.2">
      <c r="B3670" s="62" t="s">
        <v>2180</v>
      </c>
      <c r="C3670" s="61" t="s">
        <v>499</v>
      </c>
      <c r="D3670" s="60">
        <v>1.3343700000000001</v>
      </c>
      <c r="E3670" s="59">
        <v>5.9612299999999996</v>
      </c>
      <c r="F3670" s="59">
        <v>9.2095400000000005</v>
      </c>
      <c r="G3670" s="56">
        <v>1564.27</v>
      </c>
      <c r="H3670" s="56">
        <v>1172.3</v>
      </c>
      <c r="I3670" s="58">
        <v>0.560284</v>
      </c>
      <c r="J3670" s="57">
        <v>0.47684500000000002</v>
      </c>
      <c r="K3670" s="56"/>
      <c r="L3670" s="56" t="s">
        <v>488</v>
      </c>
    </row>
    <row r="3671" spans="2:12" x14ac:dyDescent="0.2">
      <c r="B3671" s="62" t="s">
        <v>2179</v>
      </c>
      <c r="C3671" s="61" t="s">
        <v>499</v>
      </c>
      <c r="D3671" s="60">
        <v>1.3584799999999999</v>
      </c>
      <c r="E3671" s="59">
        <v>5.7786400000000002</v>
      </c>
      <c r="F3671" s="59">
        <v>8.7734400000000008</v>
      </c>
      <c r="G3671" s="56">
        <v>1559.58</v>
      </c>
      <c r="H3671" s="56">
        <v>1148.03</v>
      </c>
      <c r="I3671" s="58">
        <v>0.54847800000000002</v>
      </c>
      <c r="J3671" s="57">
        <v>0.46368799999999999</v>
      </c>
      <c r="K3671" s="56"/>
      <c r="L3671" s="56" t="s">
        <v>488</v>
      </c>
    </row>
    <row r="3672" spans="2:12" x14ac:dyDescent="0.2">
      <c r="B3672" s="62" t="s">
        <v>2178</v>
      </c>
      <c r="C3672" s="61" t="s">
        <v>499</v>
      </c>
      <c r="D3672" s="60">
        <v>1.35087</v>
      </c>
      <c r="E3672" s="59">
        <v>6.22037</v>
      </c>
      <c r="F3672" s="59">
        <v>8.5557800000000004</v>
      </c>
      <c r="G3672" s="56">
        <v>1560.74</v>
      </c>
      <c r="H3672" s="56">
        <v>1155.3499999999999</v>
      </c>
      <c r="I3672" s="58">
        <v>0.54913299999999998</v>
      </c>
      <c r="J3672" s="57">
        <v>0.46898299999999998</v>
      </c>
      <c r="K3672" s="56"/>
      <c r="L3672" s="56" t="s">
        <v>488</v>
      </c>
    </row>
    <row r="3673" spans="2:12" x14ac:dyDescent="0.2">
      <c r="B3673" s="62" t="s">
        <v>2177</v>
      </c>
      <c r="C3673" s="61" t="s">
        <v>499</v>
      </c>
      <c r="D3673" s="60">
        <v>1.3552200000000001</v>
      </c>
      <c r="E3673" s="59">
        <v>6.18424</v>
      </c>
      <c r="F3673" s="59">
        <v>8.1117299999999997</v>
      </c>
      <c r="G3673" s="56">
        <v>1564.17</v>
      </c>
      <c r="H3673" s="56">
        <v>1154.18</v>
      </c>
      <c r="I3673" s="58">
        <v>0.54970799999999997</v>
      </c>
      <c r="J3673" s="57">
        <v>0.46526000000000001</v>
      </c>
      <c r="K3673" s="56"/>
      <c r="L3673" s="56" t="s">
        <v>488</v>
      </c>
    </row>
    <row r="3674" spans="2:12" x14ac:dyDescent="0.2">
      <c r="B3674" s="62" t="s">
        <v>2176</v>
      </c>
      <c r="C3674" s="61" t="s">
        <v>499</v>
      </c>
      <c r="D3674" s="60">
        <v>1.2934399999999999</v>
      </c>
      <c r="E3674" s="59">
        <v>3.5095100000000001</v>
      </c>
      <c r="F3674" s="59">
        <v>4.1994499999999997</v>
      </c>
      <c r="G3674" s="56">
        <v>0</v>
      </c>
      <c r="H3674" s="56">
        <v>0</v>
      </c>
      <c r="I3674" s="58">
        <v>0.223028</v>
      </c>
      <c r="J3674" s="57">
        <v>0.35290100000000002</v>
      </c>
      <c r="K3674" s="56"/>
      <c r="L3674" s="56" t="s">
        <v>488</v>
      </c>
    </row>
    <row r="3675" spans="2:12" x14ac:dyDescent="0.2">
      <c r="B3675" s="62" t="s">
        <v>2175</v>
      </c>
      <c r="C3675" s="61" t="s">
        <v>499</v>
      </c>
      <c r="D3675" s="60">
        <v>1.64652</v>
      </c>
      <c r="E3675" s="59">
        <v>2.8294000000000001</v>
      </c>
      <c r="F3675" s="59">
        <v>3.74512</v>
      </c>
      <c r="G3675" s="56">
        <v>0</v>
      </c>
      <c r="H3675" s="56">
        <v>0</v>
      </c>
      <c r="I3675" s="58">
        <v>8.0355700000000002E-2</v>
      </c>
      <c r="J3675" s="57">
        <v>0.23267499999999999</v>
      </c>
      <c r="K3675" s="56"/>
      <c r="L3675" s="56" t="s">
        <v>488</v>
      </c>
    </row>
    <row r="3676" spans="2:12" x14ac:dyDescent="0.2">
      <c r="B3676" s="62" t="s">
        <v>2174</v>
      </c>
      <c r="C3676" s="61" t="s">
        <v>499</v>
      </c>
      <c r="D3676" s="60">
        <v>1.1970700000000001</v>
      </c>
      <c r="E3676" s="59">
        <v>3.16913</v>
      </c>
      <c r="F3676" s="59">
        <v>3.9564900000000001</v>
      </c>
      <c r="G3676" s="56">
        <v>0</v>
      </c>
      <c r="H3676" s="56">
        <v>0</v>
      </c>
      <c r="I3676" s="58">
        <v>0.20782400000000001</v>
      </c>
      <c r="J3676" s="57">
        <v>0.39380300000000001</v>
      </c>
      <c r="K3676" s="56"/>
      <c r="L3676" s="56" t="s">
        <v>488</v>
      </c>
    </row>
    <row r="3677" spans="2:12" x14ac:dyDescent="0.2">
      <c r="B3677" s="62" t="s">
        <v>2173</v>
      </c>
      <c r="C3677" s="61" t="s">
        <v>499</v>
      </c>
      <c r="D3677" s="60">
        <v>1.8817999999999999</v>
      </c>
      <c r="E3677" s="59">
        <v>2.8511299999999999</v>
      </c>
      <c r="F3677" s="59">
        <v>3.0943399999999999</v>
      </c>
      <c r="G3677" s="56">
        <v>0</v>
      </c>
      <c r="H3677" s="56">
        <v>0</v>
      </c>
      <c r="I3677" s="58">
        <v>3.9301700000000002E-2</v>
      </c>
      <c r="J3677" s="57">
        <v>0.18562100000000001</v>
      </c>
      <c r="K3677" s="56"/>
      <c r="L3677" s="56" t="s">
        <v>488</v>
      </c>
    </row>
    <row r="3678" spans="2:12" x14ac:dyDescent="0.2">
      <c r="B3678" s="62" t="s">
        <v>2172</v>
      </c>
      <c r="C3678" s="61" t="s">
        <v>499</v>
      </c>
      <c r="D3678" s="60">
        <v>1.1842299999999999</v>
      </c>
      <c r="E3678" s="59">
        <v>5.2754200000000004</v>
      </c>
      <c r="F3678" s="59">
        <v>5.4072100000000001</v>
      </c>
      <c r="G3678" s="56">
        <v>1275.27</v>
      </c>
      <c r="H3678" s="56">
        <v>1076.8800000000001</v>
      </c>
      <c r="I3678" s="58">
        <v>0.48074299999999998</v>
      </c>
      <c r="J3678" s="57">
        <v>0.45672800000000002</v>
      </c>
      <c r="K3678" s="56"/>
      <c r="L3678" s="56" t="s">
        <v>488</v>
      </c>
    </row>
    <row r="3679" spans="2:12" x14ac:dyDescent="0.2">
      <c r="B3679" s="62" t="s">
        <v>2171</v>
      </c>
      <c r="C3679" s="61" t="s">
        <v>510</v>
      </c>
      <c r="D3679" s="60">
        <v>1.1009199999999999</v>
      </c>
      <c r="E3679" s="59">
        <v>4.5590299999999999</v>
      </c>
      <c r="F3679" s="59">
        <v>5.17319</v>
      </c>
      <c r="G3679" s="56">
        <v>984.62900000000002</v>
      </c>
      <c r="H3679" s="56">
        <v>894.37099999999998</v>
      </c>
      <c r="I3679" s="58">
        <v>0.48664299999999999</v>
      </c>
      <c r="J3679" s="57">
        <v>0.49580299999999999</v>
      </c>
      <c r="K3679" s="56"/>
      <c r="L3679" s="56" t="s">
        <v>488</v>
      </c>
    </row>
    <row r="3680" spans="2:12" x14ac:dyDescent="0.2">
      <c r="B3680" s="62" t="s">
        <v>2170</v>
      </c>
      <c r="C3680" s="61" t="s">
        <v>708</v>
      </c>
      <c r="D3680" s="60">
        <v>0.92739000000000005</v>
      </c>
      <c r="E3680" s="59">
        <v>5.0342000000000002</v>
      </c>
      <c r="F3680" s="59">
        <v>5.9750500000000004</v>
      </c>
      <c r="G3680" s="56">
        <v>2125.73</v>
      </c>
      <c r="H3680" s="56">
        <v>2292.17</v>
      </c>
      <c r="I3680" s="58">
        <v>0.66075700000000004</v>
      </c>
      <c r="J3680" s="57">
        <v>0.71999100000000005</v>
      </c>
      <c r="K3680" s="56"/>
      <c r="L3680" s="56" t="s">
        <v>488</v>
      </c>
    </row>
    <row r="3681" spans="2:12" x14ac:dyDescent="0.2">
      <c r="B3681" s="62" t="s">
        <v>2169</v>
      </c>
      <c r="C3681" s="61" t="s">
        <v>510</v>
      </c>
      <c r="D3681" s="60">
        <v>0.93228999999999995</v>
      </c>
      <c r="E3681" s="59">
        <v>5.0950800000000003</v>
      </c>
      <c r="F3681" s="59">
        <v>6.08901</v>
      </c>
      <c r="G3681" s="56">
        <v>2102.77</v>
      </c>
      <c r="H3681" s="56">
        <v>2255.4899999999998</v>
      </c>
      <c r="I3681" s="58">
        <v>0.662157</v>
      </c>
      <c r="J3681" s="57">
        <v>0.70795300000000005</v>
      </c>
      <c r="K3681" s="56"/>
      <c r="L3681" s="56" t="s">
        <v>488</v>
      </c>
    </row>
    <row r="3682" spans="2:12" x14ac:dyDescent="0.2">
      <c r="B3682" s="62" t="s">
        <v>2168</v>
      </c>
      <c r="C3682" s="61" t="s">
        <v>502</v>
      </c>
      <c r="D3682" s="60">
        <v>0.87706700000000004</v>
      </c>
      <c r="E3682" s="59">
        <v>5.0162199999999997</v>
      </c>
      <c r="F3682" s="59">
        <v>7.9434199999999997</v>
      </c>
      <c r="G3682" s="56">
        <v>2434.5500000000002</v>
      </c>
      <c r="H3682" s="56">
        <v>2775.78</v>
      </c>
      <c r="I3682" s="58">
        <v>0.754382</v>
      </c>
      <c r="J3682" s="57">
        <v>0.80999200000000005</v>
      </c>
      <c r="K3682" s="56"/>
      <c r="L3682" s="56" t="s">
        <v>488</v>
      </c>
    </row>
    <row r="3683" spans="2:12" x14ac:dyDescent="0.2">
      <c r="B3683" s="62" t="s">
        <v>2167</v>
      </c>
      <c r="C3683" s="61" t="s">
        <v>502</v>
      </c>
      <c r="D3683" s="60">
        <v>0.39918399999999998</v>
      </c>
      <c r="E3683" s="59">
        <v>8.5923800000000004</v>
      </c>
      <c r="F3683" s="59">
        <v>11.375220000000001</v>
      </c>
      <c r="G3683" s="56">
        <v>2293.2399999999998</v>
      </c>
      <c r="H3683" s="56">
        <v>5744.81</v>
      </c>
      <c r="I3683" s="58">
        <v>0.87561</v>
      </c>
      <c r="J3683" s="57">
        <v>2.07057</v>
      </c>
      <c r="K3683" s="56"/>
      <c r="L3683" s="56" t="s">
        <v>488</v>
      </c>
    </row>
    <row r="3684" spans="2:12" x14ac:dyDescent="0.2">
      <c r="B3684" s="62" t="s">
        <v>2166</v>
      </c>
      <c r="C3684" s="61" t="s">
        <v>641</v>
      </c>
      <c r="D3684" s="60">
        <v>1.6810799999999999</v>
      </c>
      <c r="E3684" s="59">
        <v>3.40584</v>
      </c>
      <c r="F3684" s="59">
        <v>4.3273299999999999</v>
      </c>
      <c r="G3684" s="56">
        <v>0</v>
      </c>
      <c r="H3684" s="56">
        <v>0</v>
      </c>
      <c r="I3684" s="58">
        <v>0.20843500000000001</v>
      </c>
      <c r="J3684" s="57">
        <v>0.25573600000000002</v>
      </c>
      <c r="K3684" s="56"/>
      <c r="L3684" s="56" t="s">
        <v>488</v>
      </c>
    </row>
    <row r="3685" spans="2:12" x14ac:dyDescent="0.2">
      <c r="B3685" s="62" t="s">
        <v>2165</v>
      </c>
      <c r="C3685" s="61" t="s">
        <v>526</v>
      </c>
      <c r="D3685" s="60">
        <v>1.2478499999999999</v>
      </c>
      <c r="E3685" s="59">
        <v>5.81046</v>
      </c>
      <c r="F3685" s="59">
        <v>6.4950599999999996</v>
      </c>
      <c r="G3685" s="56">
        <v>1138.3800000000001</v>
      </c>
      <c r="H3685" s="56">
        <v>912.27499999999998</v>
      </c>
      <c r="I3685" s="58">
        <v>0.514127</v>
      </c>
      <c r="J3685" s="57">
        <v>0.487734</v>
      </c>
      <c r="K3685" s="56"/>
      <c r="L3685" s="56" t="s">
        <v>492</v>
      </c>
    </row>
    <row r="3686" spans="2:12" x14ac:dyDescent="0.2">
      <c r="B3686" s="62" t="s">
        <v>2164</v>
      </c>
      <c r="C3686" s="61" t="s">
        <v>510</v>
      </c>
      <c r="D3686" s="60">
        <v>1.46258</v>
      </c>
      <c r="E3686" s="59">
        <v>5.1592200000000004</v>
      </c>
      <c r="F3686" s="59">
        <v>6.19381</v>
      </c>
      <c r="G3686" s="56">
        <v>1097.3599999999999</v>
      </c>
      <c r="H3686" s="56">
        <v>750.29200000000003</v>
      </c>
      <c r="I3686" s="58">
        <v>0.48611799999999999</v>
      </c>
      <c r="J3686" s="57">
        <v>0.349499</v>
      </c>
      <c r="K3686" s="56"/>
      <c r="L3686" s="56" t="s">
        <v>488</v>
      </c>
    </row>
    <row r="3687" spans="2:12" x14ac:dyDescent="0.2">
      <c r="B3687" s="62" t="s">
        <v>2163</v>
      </c>
      <c r="C3687" s="61" t="s">
        <v>2162</v>
      </c>
      <c r="D3687" s="60">
        <v>0.939805</v>
      </c>
      <c r="E3687" s="59">
        <v>3.5289199999999998</v>
      </c>
      <c r="F3687" s="59">
        <v>5.01403</v>
      </c>
      <c r="G3687" s="56">
        <v>0</v>
      </c>
      <c r="H3687" s="56">
        <v>0</v>
      </c>
      <c r="I3687" s="58">
        <v>0.47058100000000003</v>
      </c>
      <c r="J3687" s="57">
        <v>0.62904000000000004</v>
      </c>
      <c r="K3687" s="56"/>
      <c r="L3687" s="56" t="s">
        <v>488</v>
      </c>
    </row>
    <row r="3688" spans="2:12" x14ac:dyDescent="0.2">
      <c r="B3688" s="62" t="s">
        <v>2161</v>
      </c>
      <c r="C3688" s="61" t="s">
        <v>502</v>
      </c>
      <c r="D3688" s="60">
        <v>1.44651</v>
      </c>
      <c r="E3688" s="59">
        <v>4.0251700000000001</v>
      </c>
      <c r="F3688" s="59">
        <v>5.2181899999999999</v>
      </c>
      <c r="G3688" s="56">
        <v>537.846</v>
      </c>
      <c r="H3688" s="56">
        <v>371.822</v>
      </c>
      <c r="I3688" s="58">
        <v>0.24329300000000001</v>
      </c>
      <c r="J3688" s="57">
        <v>0.32118999999999998</v>
      </c>
      <c r="K3688" s="56"/>
      <c r="L3688" s="56" t="s">
        <v>492</v>
      </c>
    </row>
    <row r="3689" spans="2:12" x14ac:dyDescent="0.2">
      <c r="B3689" s="62" t="s">
        <v>2160</v>
      </c>
      <c r="C3689" s="61" t="s">
        <v>499</v>
      </c>
      <c r="D3689" s="60">
        <v>0.86753000000000002</v>
      </c>
      <c r="E3689" s="59">
        <v>6.8262499999999999</v>
      </c>
      <c r="F3689" s="59">
        <v>13.00544</v>
      </c>
      <c r="G3689" s="56">
        <v>1892.66</v>
      </c>
      <c r="H3689" s="56">
        <v>2181.66</v>
      </c>
      <c r="I3689" s="58">
        <v>0.77327900000000005</v>
      </c>
      <c r="J3689" s="57">
        <v>0.83650599999999997</v>
      </c>
      <c r="K3689" s="56"/>
      <c r="L3689" s="56" t="s">
        <v>488</v>
      </c>
    </row>
    <row r="3690" spans="2:12" x14ac:dyDescent="0.2">
      <c r="B3690" s="62" t="s">
        <v>2159</v>
      </c>
      <c r="C3690" s="61" t="s">
        <v>507</v>
      </c>
      <c r="D3690" s="60">
        <v>2.65252</v>
      </c>
      <c r="E3690" s="59">
        <v>2.9413800000000001</v>
      </c>
      <c r="F3690" s="59">
        <v>4.4670800000000002</v>
      </c>
      <c r="G3690" s="56">
        <v>0</v>
      </c>
      <c r="H3690" s="56">
        <v>0</v>
      </c>
      <c r="I3690" s="58">
        <v>0.203649</v>
      </c>
      <c r="J3690" s="57">
        <v>0.14357900000000001</v>
      </c>
      <c r="K3690" s="56"/>
      <c r="L3690" s="56" t="s">
        <v>488</v>
      </c>
    </row>
    <row r="3691" spans="2:12" x14ac:dyDescent="0.2">
      <c r="B3691" s="62" t="s">
        <v>2158</v>
      </c>
      <c r="C3691" s="61" t="s">
        <v>510</v>
      </c>
      <c r="D3691" s="60">
        <v>1.93171</v>
      </c>
      <c r="E3691" s="59">
        <v>4.2367600000000003</v>
      </c>
      <c r="F3691" s="59">
        <v>5.6172000000000004</v>
      </c>
      <c r="G3691" s="56">
        <v>932.41300000000001</v>
      </c>
      <c r="H3691" s="56">
        <v>482.68799999999999</v>
      </c>
      <c r="I3691" s="58">
        <v>0.38041599999999998</v>
      </c>
      <c r="J3691" s="57">
        <v>0.235676</v>
      </c>
      <c r="K3691" s="56"/>
      <c r="L3691" s="56" t="s">
        <v>488</v>
      </c>
    </row>
    <row r="3692" spans="2:12" x14ac:dyDescent="0.2">
      <c r="B3692" s="62" t="s">
        <v>2157</v>
      </c>
      <c r="C3692" s="61" t="s">
        <v>510</v>
      </c>
      <c r="D3692" s="60">
        <v>0.71698300000000004</v>
      </c>
      <c r="E3692" s="59">
        <v>4.8445999999999998</v>
      </c>
      <c r="F3692" s="59">
        <v>12.93918</v>
      </c>
      <c r="G3692" s="56">
        <v>1401.79</v>
      </c>
      <c r="H3692" s="56">
        <v>1955.13</v>
      </c>
      <c r="I3692" s="58">
        <v>0.69436399999999998</v>
      </c>
      <c r="J3692" s="57">
        <v>0.95353299999999996</v>
      </c>
      <c r="K3692" s="56"/>
      <c r="L3692" s="56" t="s">
        <v>488</v>
      </c>
    </row>
    <row r="3693" spans="2:12" x14ac:dyDescent="0.2">
      <c r="B3693" s="62" t="s">
        <v>2156</v>
      </c>
      <c r="C3693" s="61" t="s">
        <v>531</v>
      </c>
      <c r="D3693" s="60">
        <v>2.25257</v>
      </c>
      <c r="E3693" s="59">
        <v>5.1732800000000001</v>
      </c>
      <c r="F3693" s="59">
        <v>5.3969399999999998</v>
      </c>
      <c r="G3693" s="56">
        <v>642.21699999999998</v>
      </c>
      <c r="H3693" s="56">
        <v>285.10500000000002</v>
      </c>
      <c r="I3693" s="58">
        <v>0.32890599999999998</v>
      </c>
      <c r="J3693" s="57">
        <v>0.18096699999999999</v>
      </c>
      <c r="K3693" s="56"/>
      <c r="L3693" s="56" t="s">
        <v>488</v>
      </c>
    </row>
    <row r="3694" spans="2:12" x14ac:dyDescent="0.2">
      <c r="B3694" s="62" t="s">
        <v>2155</v>
      </c>
      <c r="C3694" s="61" t="s">
        <v>510</v>
      </c>
      <c r="D3694" s="60">
        <v>1.4640299999999999</v>
      </c>
      <c r="E3694" s="59">
        <v>5.1417299999999999</v>
      </c>
      <c r="F3694" s="59">
        <v>6.2088700000000001</v>
      </c>
      <c r="G3694" s="56">
        <v>1092.24</v>
      </c>
      <c r="H3694" s="56">
        <v>746.05200000000002</v>
      </c>
      <c r="I3694" s="58">
        <v>0.48254900000000001</v>
      </c>
      <c r="J3694" s="57">
        <v>0.348022</v>
      </c>
      <c r="K3694" s="56"/>
      <c r="L3694" s="56" t="s">
        <v>488</v>
      </c>
    </row>
    <row r="3695" spans="2:12" x14ac:dyDescent="0.2">
      <c r="B3695" s="62" t="s">
        <v>2154</v>
      </c>
      <c r="C3695" s="61" t="s">
        <v>2153</v>
      </c>
      <c r="D3695" s="60">
        <v>1.6766000000000001</v>
      </c>
      <c r="E3695" s="59">
        <v>2.5655299999999999</v>
      </c>
      <c r="F3695" s="59">
        <v>5.9426899999999998</v>
      </c>
      <c r="G3695" s="56">
        <v>0</v>
      </c>
      <c r="H3695" s="56">
        <v>0</v>
      </c>
      <c r="I3695" s="58">
        <v>0.23794000000000001</v>
      </c>
      <c r="J3695" s="57">
        <v>0.27687200000000001</v>
      </c>
      <c r="K3695" s="56"/>
      <c r="L3695" s="56" t="s">
        <v>492</v>
      </c>
    </row>
    <row r="3696" spans="2:12" x14ac:dyDescent="0.2">
      <c r="B3696" s="62" t="s">
        <v>2152</v>
      </c>
      <c r="C3696" s="61" t="s">
        <v>495</v>
      </c>
      <c r="D3696" s="60">
        <v>1.30078</v>
      </c>
      <c r="E3696" s="59">
        <v>3.3071000000000002</v>
      </c>
      <c r="F3696" s="59">
        <v>4.3110099999999996</v>
      </c>
      <c r="G3696" s="56">
        <v>0</v>
      </c>
      <c r="H3696" s="56">
        <v>0</v>
      </c>
      <c r="I3696" s="58">
        <v>0.32611600000000002</v>
      </c>
      <c r="J3696" s="57">
        <v>0.37054900000000002</v>
      </c>
      <c r="K3696" s="56"/>
      <c r="L3696" s="56" t="s">
        <v>488</v>
      </c>
    </row>
    <row r="3697" spans="2:12" x14ac:dyDescent="0.2">
      <c r="B3697" s="62" t="s">
        <v>2151</v>
      </c>
      <c r="C3697" s="61" t="s">
        <v>550</v>
      </c>
      <c r="D3697" s="60">
        <v>1.3131999999999999</v>
      </c>
      <c r="E3697" s="59">
        <v>4.1420300000000001</v>
      </c>
      <c r="F3697" s="59">
        <v>4.7825100000000003</v>
      </c>
      <c r="G3697" s="56">
        <v>354.863</v>
      </c>
      <c r="H3697" s="56">
        <v>270.22699999999998</v>
      </c>
      <c r="I3697" s="58">
        <v>0.25691000000000003</v>
      </c>
      <c r="J3697" s="57">
        <v>0.34917799999999999</v>
      </c>
      <c r="K3697" s="56"/>
      <c r="L3697" s="56" t="s">
        <v>492</v>
      </c>
    </row>
    <row r="3698" spans="2:12" x14ac:dyDescent="0.2">
      <c r="B3698" s="62" t="s">
        <v>2150</v>
      </c>
      <c r="C3698" s="61" t="s">
        <v>499</v>
      </c>
      <c r="D3698" s="60">
        <v>1.54847</v>
      </c>
      <c r="E3698" s="59">
        <v>4.1607200000000004</v>
      </c>
      <c r="F3698" s="59">
        <v>5.4046799999999999</v>
      </c>
      <c r="G3698" s="56">
        <v>1112.05</v>
      </c>
      <c r="H3698" s="56">
        <v>718.15899999999999</v>
      </c>
      <c r="I3698" s="58">
        <v>0.40940900000000002</v>
      </c>
      <c r="J3698" s="57">
        <v>0.33376099999999997</v>
      </c>
      <c r="K3698" s="56"/>
      <c r="L3698" s="56" t="s">
        <v>488</v>
      </c>
    </row>
    <row r="3699" spans="2:12" x14ac:dyDescent="0.2">
      <c r="B3699" s="62" t="s">
        <v>2149</v>
      </c>
      <c r="C3699" s="61" t="s">
        <v>2148</v>
      </c>
      <c r="D3699" s="60">
        <v>1.36277</v>
      </c>
      <c r="E3699" s="59">
        <v>3.1650499999999999</v>
      </c>
      <c r="F3699" s="59">
        <v>5.5722699999999996</v>
      </c>
      <c r="G3699" s="56">
        <v>0</v>
      </c>
      <c r="H3699" s="56">
        <v>0</v>
      </c>
      <c r="I3699" s="58">
        <v>0.36891699999999999</v>
      </c>
      <c r="J3699" s="57">
        <v>0.38123400000000002</v>
      </c>
      <c r="K3699" s="56"/>
      <c r="L3699" s="56" t="s">
        <v>488</v>
      </c>
    </row>
    <row r="3700" spans="2:12" x14ac:dyDescent="0.2">
      <c r="B3700" s="62" t="s">
        <v>2147</v>
      </c>
      <c r="C3700" s="61" t="s">
        <v>2146</v>
      </c>
      <c r="D3700" s="60">
        <v>1.30487</v>
      </c>
      <c r="E3700" s="59">
        <v>4.4087899999999998</v>
      </c>
      <c r="F3700" s="59">
        <v>4.7435499999999999</v>
      </c>
      <c r="G3700" s="56">
        <v>840.31799999999998</v>
      </c>
      <c r="H3700" s="56">
        <v>643.98599999999999</v>
      </c>
      <c r="I3700" s="58">
        <v>0.31848900000000002</v>
      </c>
      <c r="J3700" s="57">
        <v>0.39708900000000003</v>
      </c>
      <c r="K3700" s="56"/>
      <c r="L3700" s="56" t="s">
        <v>488</v>
      </c>
    </row>
    <row r="3701" spans="2:12" x14ac:dyDescent="0.2">
      <c r="B3701" s="62" t="s">
        <v>2145</v>
      </c>
      <c r="C3701" s="61" t="s">
        <v>550</v>
      </c>
      <c r="D3701" s="60">
        <v>1.1097999999999999</v>
      </c>
      <c r="E3701" s="59">
        <v>4.6173900000000003</v>
      </c>
      <c r="F3701" s="59">
        <v>5.9676200000000001</v>
      </c>
      <c r="G3701" s="56">
        <v>891.15700000000004</v>
      </c>
      <c r="H3701" s="56">
        <v>802.99099999999999</v>
      </c>
      <c r="I3701" s="58">
        <v>0.41795100000000002</v>
      </c>
      <c r="J3701" s="57">
        <v>0.51594300000000004</v>
      </c>
      <c r="K3701" s="56"/>
      <c r="L3701" s="56" t="s">
        <v>488</v>
      </c>
    </row>
    <row r="3702" spans="2:12" x14ac:dyDescent="0.2">
      <c r="B3702" s="62" t="s">
        <v>2144</v>
      </c>
      <c r="C3702" s="61" t="s">
        <v>495</v>
      </c>
      <c r="D3702" s="60">
        <v>1.21211</v>
      </c>
      <c r="E3702" s="59">
        <v>4.0475199999999996</v>
      </c>
      <c r="F3702" s="59">
        <v>6.0094599999999998</v>
      </c>
      <c r="G3702" s="56">
        <v>533.02800000000002</v>
      </c>
      <c r="H3702" s="56">
        <v>439.75099999999998</v>
      </c>
      <c r="I3702" s="58">
        <v>0.27767700000000001</v>
      </c>
      <c r="J3702" s="57">
        <v>0.385683</v>
      </c>
      <c r="K3702" s="56"/>
      <c r="L3702" s="56" t="s">
        <v>488</v>
      </c>
    </row>
    <row r="3703" spans="2:12" x14ac:dyDescent="0.2">
      <c r="B3703" s="62" t="s">
        <v>2143</v>
      </c>
      <c r="C3703" s="61" t="s">
        <v>495</v>
      </c>
      <c r="D3703" s="60">
        <v>1.14836</v>
      </c>
      <c r="E3703" s="59">
        <v>4.6577599999999997</v>
      </c>
      <c r="F3703" s="59">
        <v>6.3515899999999998</v>
      </c>
      <c r="G3703" s="56">
        <v>839.75800000000004</v>
      </c>
      <c r="H3703" s="56">
        <v>731.26900000000001</v>
      </c>
      <c r="I3703" s="58">
        <v>0.40232899999999999</v>
      </c>
      <c r="J3703" s="57">
        <v>0.44412800000000002</v>
      </c>
      <c r="K3703" s="56"/>
      <c r="L3703" s="56" t="s">
        <v>488</v>
      </c>
    </row>
    <row r="3704" spans="2:12" x14ac:dyDescent="0.2">
      <c r="B3704" s="62" t="s">
        <v>2142</v>
      </c>
      <c r="C3704" s="61" t="s">
        <v>1174</v>
      </c>
      <c r="D3704" s="60">
        <v>1.2985800000000001</v>
      </c>
      <c r="E3704" s="59">
        <v>2.5215200000000002</v>
      </c>
      <c r="F3704" s="59">
        <v>3.6480899999999998</v>
      </c>
      <c r="G3704" s="56">
        <v>0</v>
      </c>
      <c r="H3704" s="56">
        <v>0</v>
      </c>
      <c r="I3704" s="58">
        <v>0.17746799999999999</v>
      </c>
      <c r="J3704" s="57">
        <v>0.30227199999999999</v>
      </c>
      <c r="K3704" s="56"/>
      <c r="L3704" s="56" t="s">
        <v>488</v>
      </c>
    </row>
    <row r="3705" spans="2:12" x14ac:dyDescent="0.2">
      <c r="B3705" s="62" t="s">
        <v>2141</v>
      </c>
      <c r="C3705" s="61" t="s">
        <v>708</v>
      </c>
      <c r="D3705" s="60">
        <v>1.2463</v>
      </c>
      <c r="E3705" s="59">
        <v>3.8401900000000002</v>
      </c>
      <c r="F3705" s="59">
        <v>5.3301699999999999</v>
      </c>
      <c r="G3705" s="56">
        <v>738.22799999999995</v>
      </c>
      <c r="H3705" s="56">
        <v>592.33500000000004</v>
      </c>
      <c r="I3705" s="58">
        <v>0.36213600000000001</v>
      </c>
      <c r="J3705" s="57">
        <v>0.41508899999999999</v>
      </c>
      <c r="K3705" s="56"/>
      <c r="L3705" s="56" t="s">
        <v>488</v>
      </c>
    </row>
    <row r="3706" spans="2:12" x14ac:dyDescent="0.2">
      <c r="B3706" s="62" t="s">
        <v>2140</v>
      </c>
      <c r="C3706" s="61" t="s">
        <v>499</v>
      </c>
      <c r="D3706" s="60">
        <v>0.53748700000000005</v>
      </c>
      <c r="E3706" s="59">
        <v>9.9143600000000003</v>
      </c>
      <c r="F3706" s="59">
        <v>12.392659999999999</v>
      </c>
      <c r="G3706" s="56">
        <v>2154.9499999999998</v>
      </c>
      <c r="H3706" s="56">
        <v>4009.31</v>
      </c>
      <c r="I3706" s="58">
        <v>0.81889100000000004</v>
      </c>
      <c r="J3706" s="57">
        <v>1.45627</v>
      </c>
      <c r="K3706" s="56"/>
      <c r="L3706" s="56" t="s">
        <v>488</v>
      </c>
    </row>
    <row r="3707" spans="2:12" x14ac:dyDescent="0.2">
      <c r="B3707" s="62" t="s">
        <v>2139</v>
      </c>
      <c r="C3707" s="61" t="s">
        <v>708</v>
      </c>
      <c r="D3707" s="60">
        <v>1.1701900000000001</v>
      </c>
      <c r="E3707" s="59">
        <v>4.4910800000000002</v>
      </c>
      <c r="F3707" s="59">
        <v>7.2610999999999999</v>
      </c>
      <c r="G3707" s="56">
        <v>1533.03</v>
      </c>
      <c r="H3707" s="56">
        <v>1310.07</v>
      </c>
      <c r="I3707" s="58">
        <v>0.57431100000000002</v>
      </c>
      <c r="J3707" s="57">
        <v>0.52039500000000005</v>
      </c>
      <c r="K3707" s="56"/>
      <c r="L3707" s="56" t="s">
        <v>488</v>
      </c>
    </row>
    <row r="3708" spans="2:12" x14ac:dyDescent="0.2">
      <c r="B3708" s="62" t="s">
        <v>2138</v>
      </c>
      <c r="C3708" s="61" t="s">
        <v>1006</v>
      </c>
      <c r="D3708" s="60">
        <v>1.6946099999999999</v>
      </c>
      <c r="E3708" s="59">
        <v>2.7775599999999998</v>
      </c>
      <c r="F3708" s="59">
        <v>4.0195100000000004</v>
      </c>
      <c r="G3708" s="56">
        <v>0</v>
      </c>
      <c r="H3708" s="56">
        <v>0</v>
      </c>
      <c r="I3708" s="58">
        <v>0.323714</v>
      </c>
      <c r="J3708" s="57">
        <v>0.26544800000000002</v>
      </c>
      <c r="K3708" s="56"/>
      <c r="L3708" s="56" t="s">
        <v>488</v>
      </c>
    </row>
    <row r="3709" spans="2:12" x14ac:dyDescent="0.2">
      <c r="B3709" s="62" t="s">
        <v>2137</v>
      </c>
      <c r="C3709" s="61" t="s">
        <v>940</v>
      </c>
      <c r="D3709" s="60">
        <v>1.45289</v>
      </c>
      <c r="E3709" s="59">
        <v>7.6260599999999998</v>
      </c>
      <c r="F3709" s="59">
        <v>9.0947399999999998</v>
      </c>
      <c r="G3709" s="56">
        <v>1021.06</v>
      </c>
      <c r="H3709" s="56">
        <v>702.779</v>
      </c>
      <c r="I3709" s="58">
        <v>0.39619300000000002</v>
      </c>
      <c r="J3709" s="57">
        <v>0.40311799999999998</v>
      </c>
      <c r="K3709" s="56"/>
      <c r="L3709" s="56" t="s">
        <v>488</v>
      </c>
    </row>
    <row r="3710" spans="2:12" x14ac:dyDescent="0.2">
      <c r="B3710" s="62" t="s">
        <v>2136</v>
      </c>
      <c r="C3710" s="61" t="s">
        <v>550</v>
      </c>
      <c r="D3710" s="60">
        <v>1.11083</v>
      </c>
      <c r="E3710" s="59">
        <v>4.9316199999999997</v>
      </c>
      <c r="F3710" s="59">
        <v>6.4462299999999999</v>
      </c>
      <c r="G3710" s="56">
        <v>2532.9899999999998</v>
      </c>
      <c r="H3710" s="56">
        <v>2280.2600000000002</v>
      </c>
      <c r="I3710" s="58">
        <v>0.62840200000000002</v>
      </c>
      <c r="J3710" s="57">
        <v>0.67337999999999998</v>
      </c>
      <c r="K3710" s="56"/>
      <c r="L3710" s="56" t="s">
        <v>488</v>
      </c>
    </row>
    <row r="3711" spans="2:12" x14ac:dyDescent="0.2">
      <c r="B3711" s="62" t="s">
        <v>2135</v>
      </c>
      <c r="C3711" s="61" t="s">
        <v>731</v>
      </c>
      <c r="D3711" s="60">
        <v>1.8707499999999999</v>
      </c>
      <c r="E3711" s="59">
        <v>2.8931200000000001</v>
      </c>
      <c r="F3711" s="59">
        <v>4.0692700000000004</v>
      </c>
      <c r="G3711" s="56">
        <v>0</v>
      </c>
      <c r="H3711" s="56">
        <v>0</v>
      </c>
      <c r="I3711" s="58">
        <v>0.19389000000000001</v>
      </c>
      <c r="J3711" s="57">
        <v>0.234289</v>
      </c>
      <c r="K3711" s="56"/>
      <c r="L3711" s="56" t="s">
        <v>730</v>
      </c>
    </row>
    <row r="3712" spans="2:12" x14ac:dyDescent="0.2">
      <c r="B3712" s="62" t="s">
        <v>2134</v>
      </c>
      <c r="C3712" s="61" t="s">
        <v>510</v>
      </c>
      <c r="D3712" s="60">
        <v>1.08673</v>
      </c>
      <c r="E3712" s="59">
        <v>2.7800099999999999</v>
      </c>
      <c r="F3712" s="59">
        <v>5.6458399999999997</v>
      </c>
      <c r="G3712" s="56">
        <v>0</v>
      </c>
      <c r="H3712" s="56">
        <v>0</v>
      </c>
      <c r="I3712" s="58">
        <v>0.25196499999999999</v>
      </c>
      <c r="J3712" s="57">
        <v>0.45944400000000002</v>
      </c>
      <c r="K3712" s="56"/>
      <c r="L3712" s="56" t="s">
        <v>488</v>
      </c>
    </row>
    <row r="3713" spans="2:12" x14ac:dyDescent="0.2">
      <c r="B3713" s="62" t="s">
        <v>2133</v>
      </c>
      <c r="C3713" s="61" t="s">
        <v>2132</v>
      </c>
      <c r="D3713" s="60">
        <v>2.0869800000000001</v>
      </c>
      <c r="E3713" s="59">
        <v>3.1539899999999998</v>
      </c>
      <c r="F3713" s="59">
        <v>3.70221</v>
      </c>
      <c r="G3713" s="56">
        <v>0</v>
      </c>
      <c r="H3713" s="56">
        <v>0</v>
      </c>
      <c r="I3713" s="58">
        <v>0.136263</v>
      </c>
      <c r="J3713" s="57">
        <v>0.18492</v>
      </c>
      <c r="K3713" s="56"/>
      <c r="L3713" s="56" t="s">
        <v>488</v>
      </c>
    </row>
    <row r="3714" spans="2:12" x14ac:dyDescent="0.2">
      <c r="B3714" s="62" t="s">
        <v>2131</v>
      </c>
      <c r="C3714" s="61" t="s">
        <v>2130</v>
      </c>
      <c r="D3714" s="60">
        <v>2.2932800000000002</v>
      </c>
      <c r="E3714" s="59">
        <v>2.9687700000000001</v>
      </c>
      <c r="F3714" s="59">
        <v>3.5845799999999999</v>
      </c>
      <c r="G3714" s="56">
        <v>0</v>
      </c>
      <c r="H3714" s="56">
        <v>0</v>
      </c>
      <c r="I3714" s="58">
        <v>0.120504</v>
      </c>
      <c r="J3714" s="57">
        <v>0.15753400000000001</v>
      </c>
      <c r="K3714" s="56"/>
      <c r="L3714" s="56" t="s">
        <v>488</v>
      </c>
    </row>
    <row r="3715" spans="2:12" x14ac:dyDescent="0.2">
      <c r="B3715" s="62" t="s">
        <v>2129</v>
      </c>
      <c r="C3715" s="61" t="s">
        <v>702</v>
      </c>
      <c r="D3715" s="60">
        <v>1.1982999999999999</v>
      </c>
      <c r="E3715" s="59">
        <v>4.0093500000000004</v>
      </c>
      <c r="F3715" s="59">
        <v>8.7037899999999997</v>
      </c>
      <c r="G3715" s="56">
        <v>1356.59</v>
      </c>
      <c r="H3715" s="56">
        <v>1132.0999999999999</v>
      </c>
      <c r="I3715" s="58">
        <v>0.56423299999999998</v>
      </c>
      <c r="J3715" s="57">
        <v>0.49962400000000001</v>
      </c>
      <c r="K3715" s="56"/>
      <c r="L3715" s="56" t="s">
        <v>730</v>
      </c>
    </row>
    <row r="3716" spans="2:12" x14ac:dyDescent="0.2">
      <c r="B3716" s="62" t="s">
        <v>2128</v>
      </c>
      <c r="C3716" s="61" t="s">
        <v>702</v>
      </c>
      <c r="D3716" s="60">
        <v>1.2354099999999999</v>
      </c>
      <c r="E3716" s="59">
        <v>3.8855900000000001</v>
      </c>
      <c r="F3716" s="59">
        <v>8.4953699999999994</v>
      </c>
      <c r="G3716" s="56">
        <v>1269.3499999999999</v>
      </c>
      <c r="H3716" s="56">
        <v>1027.47</v>
      </c>
      <c r="I3716" s="58">
        <v>0.54689699999999997</v>
      </c>
      <c r="J3716" s="57">
        <v>0.48363400000000001</v>
      </c>
      <c r="K3716" s="56"/>
      <c r="L3716" s="56" t="s">
        <v>730</v>
      </c>
    </row>
    <row r="3717" spans="2:12" x14ac:dyDescent="0.2">
      <c r="B3717" s="62" t="s">
        <v>2127</v>
      </c>
      <c r="C3717" s="61" t="s">
        <v>2126</v>
      </c>
      <c r="D3717" s="60">
        <v>2.1605400000000001</v>
      </c>
      <c r="E3717" s="59">
        <v>3.8180000000000001</v>
      </c>
      <c r="F3717" s="59">
        <v>4.4049800000000001</v>
      </c>
      <c r="G3717" s="56">
        <v>373.846</v>
      </c>
      <c r="H3717" s="56">
        <v>173.03399999999999</v>
      </c>
      <c r="I3717" s="58">
        <v>0.31119999999999998</v>
      </c>
      <c r="J3717" s="57">
        <v>0.24248800000000001</v>
      </c>
      <c r="K3717" s="56"/>
      <c r="L3717" s="56" t="s">
        <v>488</v>
      </c>
    </row>
    <row r="3718" spans="2:12" x14ac:dyDescent="0.2">
      <c r="B3718" s="62" t="s">
        <v>2125</v>
      </c>
      <c r="C3718" s="61" t="s">
        <v>555</v>
      </c>
      <c r="D3718" s="60">
        <v>1.5174000000000001</v>
      </c>
      <c r="E3718" s="59">
        <v>2.9224999999999999</v>
      </c>
      <c r="F3718" s="59">
        <v>4.1168100000000001</v>
      </c>
      <c r="G3718" s="56">
        <v>0</v>
      </c>
      <c r="H3718" s="56">
        <v>0</v>
      </c>
      <c r="I3718" s="58">
        <v>0.249391</v>
      </c>
      <c r="J3718" s="57">
        <v>0.247086</v>
      </c>
      <c r="K3718" s="56"/>
      <c r="L3718" s="56" t="s">
        <v>488</v>
      </c>
    </row>
    <row r="3719" spans="2:12" x14ac:dyDescent="0.2">
      <c r="B3719" s="62" t="s">
        <v>2124</v>
      </c>
      <c r="C3719" s="61" t="s">
        <v>555</v>
      </c>
      <c r="D3719" s="60">
        <v>1.51217</v>
      </c>
      <c r="E3719" s="59">
        <v>2.7716599999999998</v>
      </c>
      <c r="F3719" s="59">
        <v>3.9762</v>
      </c>
      <c r="G3719" s="56">
        <v>0</v>
      </c>
      <c r="H3719" s="56">
        <v>0</v>
      </c>
      <c r="I3719" s="58">
        <v>0.27320100000000003</v>
      </c>
      <c r="J3719" s="57">
        <v>0.25223400000000001</v>
      </c>
      <c r="K3719" s="56"/>
      <c r="L3719" s="56" t="s">
        <v>488</v>
      </c>
    </row>
    <row r="3720" spans="2:12" x14ac:dyDescent="0.2">
      <c r="B3720" s="62" t="s">
        <v>2123</v>
      </c>
      <c r="C3720" s="61" t="s">
        <v>632</v>
      </c>
      <c r="D3720" s="60">
        <v>1.2241899999999999</v>
      </c>
      <c r="E3720" s="59">
        <v>5.9974400000000001</v>
      </c>
      <c r="F3720" s="59">
        <v>6.1932700000000001</v>
      </c>
      <c r="G3720" s="56">
        <v>1289.82</v>
      </c>
      <c r="H3720" s="56">
        <v>1053.6099999999999</v>
      </c>
      <c r="I3720" s="58">
        <v>0.61304400000000003</v>
      </c>
      <c r="J3720" s="57">
        <v>0.473829</v>
      </c>
      <c r="K3720" s="56"/>
      <c r="L3720" s="56" t="s">
        <v>488</v>
      </c>
    </row>
    <row r="3721" spans="2:12" x14ac:dyDescent="0.2">
      <c r="B3721" s="62" t="s">
        <v>2122</v>
      </c>
      <c r="C3721" s="61" t="s">
        <v>495</v>
      </c>
      <c r="D3721" s="60">
        <v>1.70495</v>
      </c>
      <c r="E3721" s="59">
        <v>3.1719300000000001</v>
      </c>
      <c r="F3721" s="59">
        <v>3.7109299999999998</v>
      </c>
      <c r="G3721" s="56">
        <v>0</v>
      </c>
      <c r="H3721" s="56">
        <v>0</v>
      </c>
      <c r="I3721" s="58">
        <v>0.165606</v>
      </c>
      <c r="J3721" s="57">
        <v>0.22195000000000001</v>
      </c>
      <c r="K3721" s="56"/>
      <c r="L3721" s="56" t="s">
        <v>488</v>
      </c>
    </row>
    <row r="3722" spans="2:12" x14ac:dyDescent="0.2">
      <c r="B3722" s="62" t="s">
        <v>2121</v>
      </c>
      <c r="C3722" s="61" t="s">
        <v>2120</v>
      </c>
      <c r="D3722" s="60">
        <v>1.57222</v>
      </c>
      <c r="E3722" s="59">
        <v>6.8976699999999997</v>
      </c>
      <c r="F3722" s="59">
        <v>8.4506399999999999</v>
      </c>
      <c r="G3722" s="56">
        <v>953.423</v>
      </c>
      <c r="H3722" s="56">
        <v>606.41999999999996</v>
      </c>
      <c r="I3722" s="58">
        <v>0.36571700000000001</v>
      </c>
      <c r="J3722" s="57">
        <v>0.36186200000000002</v>
      </c>
      <c r="K3722" s="56"/>
      <c r="L3722" s="56" t="s">
        <v>488</v>
      </c>
    </row>
    <row r="3723" spans="2:12" x14ac:dyDescent="0.2">
      <c r="B3723" s="62" t="s">
        <v>2119</v>
      </c>
      <c r="C3723" s="61" t="s">
        <v>612</v>
      </c>
      <c r="D3723" s="60">
        <v>0.83919900000000003</v>
      </c>
      <c r="E3723" s="59">
        <v>3.5559500000000002</v>
      </c>
      <c r="F3723" s="59">
        <v>15.354240000000001</v>
      </c>
      <c r="G3723" s="56">
        <v>0</v>
      </c>
      <c r="H3723" s="56">
        <v>0</v>
      </c>
      <c r="I3723" s="58">
        <v>0.656385</v>
      </c>
      <c r="J3723" s="57">
        <v>0.77657200000000004</v>
      </c>
      <c r="K3723" s="56"/>
      <c r="L3723" s="56" t="s">
        <v>488</v>
      </c>
    </row>
    <row r="3724" spans="2:12" x14ac:dyDescent="0.2">
      <c r="B3724" s="62" t="s">
        <v>2118</v>
      </c>
      <c r="C3724" s="61" t="s">
        <v>495</v>
      </c>
      <c r="D3724" s="60">
        <v>0.84252400000000005</v>
      </c>
      <c r="E3724" s="59">
        <v>3.91499</v>
      </c>
      <c r="F3724" s="59">
        <v>15.25339</v>
      </c>
      <c r="G3724" s="56">
        <v>1428.39</v>
      </c>
      <c r="H3724" s="56">
        <v>1695.37</v>
      </c>
      <c r="I3724" s="58">
        <v>0.68261099999999997</v>
      </c>
      <c r="J3724" s="57">
        <v>0.79004099999999999</v>
      </c>
      <c r="K3724" s="56"/>
      <c r="L3724" s="56" t="s">
        <v>488</v>
      </c>
    </row>
    <row r="3725" spans="2:12" x14ac:dyDescent="0.2">
      <c r="B3725" s="62" t="s">
        <v>2117</v>
      </c>
      <c r="C3725" s="61" t="s">
        <v>499</v>
      </c>
      <c r="D3725" s="60">
        <v>1.1050199999999999</v>
      </c>
      <c r="E3725" s="59">
        <v>4.39757</v>
      </c>
      <c r="F3725" s="59">
        <v>6.2010699999999996</v>
      </c>
      <c r="G3725" s="56">
        <v>1074.27</v>
      </c>
      <c r="H3725" s="56">
        <v>972.17499999999995</v>
      </c>
      <c r="I3725" s="58">
        <v>0.540767</v>
      </c>
      <c r="J3725" s="57">
        <v>0.50927699999999998</v>
      </c>
      <c r="K3725" s="56"/>
      <c r="L3725" s="56" t="s">
        <v>488</v>
      </c>
    </row>
    <row r="3726" spans="2:12" x14ac:dyDescent="0.2">
      <c r="B3726" s="62" t="s">
        <v>2116</v>
      </c>
      <c r="C3726" s="61" t="s">
        <v>989</v>
      </c>
      <c r="D3726" s="60">
        <v>0.82033599999999995</v>
      </c>
      <c r="E3726" s="59">
        <v>4.4592900000000002</v>
      </c>
      <c r="F3726" s="59">
        <v>12.086029999999999</v>
      </c>
      <c r="G3726" s="56">
        <v>1842.58</v>
      </c>
      <c r="H3726" s="56">
        <v>2246.13</v>
      </c>
      <c r="I3726" s="58">
        <v>0.64193299999999998</v>
      </c>
      <c r="J3726" s="57">
        <v>0.84573600000000004</v>
      </c>
      <c r="K3726" s="56"/>
      <c r="L3726" s="56" t="s">
        <v>730</v>
      </c>
    </row>
    <row r="3727" spans="2:12" x14ac:dyDescent="0.2">
      <c r="B3727" s="62" t="s">
        <v>2115</v>
      </c>
      <c r="C3727" s="61" t="s">
        <v>499</v>
      </c>
      <c r="D3727" s="60">
        <v>1.5496000000000001</v>
      </c>
      <c r="E3727" s="59">
        <v>3.2534800000000001</v>
      </c>
      <c r="F3727" s="59">
        <v>3.48373</v>
      </c>
      <c r="G3727" s="56">
        <v>0</v>
      </c>
      <c r="H3727" s="56">
        <v>0</v>
      </c>
      <c r="I3727" s="58">
        <v>0.10929700000000001</v>
      </c>
      <c r="J3727" s="57">
        <v>0.24122299999999999</v>
      </c>
      <c r="K3727" s="56"/>
      <c r="L3727" s="56" t="s">
        <v>488</v>
      </c>
    </row>
    <row r="3728" spans="2:12" x14ac:dyDescent="0.2">
      <c r="B3728" s="62" t="s">
        <v>2114</v>
      </c>
      <c r="C3728" s="61" t="s">
        <v>2113</v>
      </c>
      <c r="D3728" s="60">
        <v>1.79681</v>
      </c>
      <c r="E3728" s="59">
        <v>3.9956100000000001</v>
      </c>
      <c r="F3728" s="59">
        <v>4.3730399999999996</v>
      </c>
      <c r="G3728" s="56">
        <v>575.56899999999996</v>
      </c>
      <c r="H3728" s="56">
        <v>320.32900000000001</v>
      </c>
      <c r="I3728" s="58">
        <v>0.37908999999999998</v>
      </c>
      <c r="J3728" s="57">
        <v>0.29803800000000003</v>
      </c>
      <c r="K3728" s="56"/>
      <c r="L3728" s="56" t="s">
        <v>488</v>
      </c>
    </row>
    <row r="3729" spans="2:12" x14ac:dyDescent="0.2">
      <c r="B3729" s="62" t="s">
        <v>2112</v>
      </c>
      <c r="C3729" s="61" t="s">
        <v>499</v>
      </c>
      <c r="D3729" s="60">
        <v>1.80091</v>
      </c>
      <c r="E3729" s="59">
        <v>2.8999299999999999</v>
      </c>
      <c r="F3729" s="59">
        <v>4.2761899999999997</v>
      </c>
      <c r="G3729" s="56">
        <v>0</v>
      </c>
      <c r="H3729" s="56">
        <v>0</v>
      </c>
      <c r="I3729" s="58">
        <v>0.18044099999999999</v>
      </c>
      <c r="J3729" s="57">
        <v>0.23236399999999999</v>
      </c>
      <c r="K3729" s="56"/>
      <c r="L3729" s="56" t="s">
        <v>488</v>
      </c>
    </row>
    <row r="3730" spans="2:12" x14ac:dyDescent="0.2">
      <c r="B3730" s="62" t="s">
        <v>2111</v>
      </c>
      <c r="C3730" s="61" t="s">
        <v>2110</v>
      </c>
      <c r="D3730" s="60">
        <v>1.7259100000000001</v>
      </c>
      <c r="E3730" s="59">
        <v>3.1886000000000001</v>
      </c>
      <c r="F3730" s="59">
        <v>4.0791500000000003</v>
      </c>
      <c r="G3730" s="56">
        <v>0</v>
      </c>
      <c r="H3730" s="56">
        <v>0</v>
      </c>
      <c r="I3730" s="58">
        <v>0.21415799999999999</v>
      </c>
      <c r="J3730" s="57">
        <v>0.23815500000000001</v>
      </c>
      <c r="K3730" s="56"/>
      <c r="L3730" s="56" t="s">
        <v>488</v>
      </c>
    </row>
    <row r="3731" spans="2:12" x14ac:dyDescent="0.2">
      <c r="B3731" s="62" t="s">
        <v>2109</v>
      </c>
      <c r="C3731" s="61" t="s">
        <v>2108</v>
      </c>
      <c r="D3731" s="60">
        <v>1.8483099999999999</v>
      </c>
      <c r="E3731" s="59">
        <v>3.3167</v>
      </c>
      <c r="F3731" s="59">
        <v>5.4617899999999997</v>
      </c>
      <c r="G3731" s="56">
        <v>0</v>
      </c>
      <c r="H3731" s="56">
        <v>0</v>
      </c>
      <c r="I3731" s="58">
        <v>0.444214</v>
      </c>
      <c r="J3731" s="57">
        <v>0.277397</v>
      </c>
      <c r="K3731" s="56"/>
      <c r="L3731" s="56" t="s">
        <v>488</v>
      </c>
    </row>
    <row r="3732" spans="2:12" x14ac:dyDescent="0.2">
      <c r="B3732" s="62" t="s">
        <v>2107</v>
      </c>
      <c r="C3732" s="61" t="s">
        <v>499</v>
      </c>
      <c r="D3732" s="60">
        <v>0.24082300000000001</v>
      </c>
      <c r="E3732" s="59">
        <v>14.64846</v>
      </c>
      <c r="F3732" s="59">
        <v>24.61262</v>
      </c>
      <c r="G3732" s="56">
        <v>1493.04</v>
      </c>
      <c r="H3732" s="56">
        <v>6199.71</v>
      </c>
      <c r="I3732" s="58">
        <v>0.89845699999999995</v>
      </c>
      <c r="J3732" s="57">
        <v>3.7278899999999999</v>
      </c>
      <c r="K3732" s="56" t="s">
        <v>2106</v>
      </c>
      <c r="L3732" s="56" t="s">
        <v>563</v>
      </c>
    </row>
    <row r="3733" spans="2:12" x14ac:dyDescent="0.2">
      <c r="B3733" s="62" t="s">
        <v>2105</v>
      </c>
      <c r="C3733" s="61" t="s">
        <v>2104</v>
      </c>
      <c r="D3733" s="60">
        <v>0.92166899999999996</v>
      </c>
      <c r="E3733" s="59">
        <v>7.4014100000000003</v>
      </c>
      <c r="F3733" s="59">
        <v>12.274990000000001</v>
      </c>
      <c r="G3733" s="56">
        <v>1800.3</v>
      </c>
      <c r="H3733" s="56">
        <v>1953.31</v>
      </c>
      <c r="I3733" s="58">
        <v>0.67632099999999995</v>
      </c>
      <c r="J3733" s="57">
        <v>0.77868700000000002</v>
      </c>
      <c r="K3733" s="56"/>
      <c r="L3733" s="56" t="s">
        <v>488</v>
      </c>
    </row>
    <row r="3734" spans="2:12" x14ac:dyDescent="0.2">
      <c r="B3734" s="62" t="s">
        <v>2103</v>
      </c>
      <c r="C3734" s="61" t="s">
        <v>502</v>
      </c>
      <c r="D3734" s="60">
        <v>0.601684</v>
      </c>
      <c r="E3734" s="59">
        <v>7.1544699999999999</v>
      </c>
      <c r="F3734" s="59">
        <v>11.95152</v>
      </c>
      <c r="G3734" s="56">
        <v>2148.7199999999998</v>
      </c>
      <c r="H3734" s="56">
        <v>3571.17</v>
      </c>
      <c r="I3734" s="58">
        <v>0.833422</v>
      </c>
      <c r="J3734" s="57">
        <v>1.3057300000000001</v>
      </c>
      <c r="K3734" s="56"/>
      <c r="L3734" s="56" t="s">
        <v>488</v>
      </c>
    </row>
    <row r="3735" spans="2:12" x14ac:dyDescent="0.2">
      <c r="B3735" s="62" t="s">
        <v>2102</v>
      </c>
      <c r="C3735" s="61" t="s">
        <v>531</v>
      </c>
      <c r="D3735" s="60">
        <v>1.6625700000000001</v>
      </c>
      <c r="E3735" s="59">
        <v>3.3412500000000001</v>
      </c>
      <c r="F3735" s="59">
        <v>4.7562300000000004</v>
      </c>
      <c r="G3735" s="56">
        <v>0</v>
      </c>
      <c r="H3735" s="56">
        <v>0</v>
      </c>
      <c r="I3735" s="58">
        <v>0.41730899999999999</v>
      </c>
      <c r="J3735" s="57">
        <v>0.33661400000000002</v>
      </c>
      <c r="K3735" s="56"/>
      <c r="L3735" s="56" t="s">
        <v>488</v>
      </c>
    </row>
    <row r="3736" spans="2:12" x14ac:dyDescent="0.2">
      <c r="B3736" s="62" t="s">
        <v>2101</v>
      </c>
      <c r="C3736" s="61" t="s">
        <v>499</v>
      </c>
      <c r="D3736" s="60">
        <v>1.2008000000000001</v>
      </c>
      <c r="E3736" s="59">
        <v>4.4138700000000002</v>
      </c>
      <c r="F3736" s="59">
        <v>5.2243300000000001</v>
      </c>
      <c r="G3736" s="56">
        <v>1200.44</v>
      </c>
      <c r="H3736" s="56">
        <v>999.70299999999997</v>
      </c>
      <c r="I3736" s="58">
        <v>0.53391100000000002</v>
      </c>
      <c r="J3736" s="57">
        <v>0.47581699999999999</v>
      </c>
      <c r="K3736" s="56"/>
      <c r="L3736" s="56" t="s">
        <v>488</v>
      </c>
    </row>
    <row r="3737" spans="2:12" x14ac:dyDescent="0.2">
      <c r="B3737" s="62" t="s">
        <v>2100</v>
      </c>
      <c r="C3737" s="61" t="s">
        <v>641</v>
      </c>
      <c r="D3737" s="60">
        <v>1.4857499999999999</v>
      </c>
      <c r="E3737" s="59">
        <v>3.9085899999999998</v>
      </c>
      <c r="F3737" s="59">
        <v>5.0398100000000001</v>
      </c>
      <c r="G3737" s="56">
        <v>854.79700000000003</v>
      </c>
      <c r="H3737" s="56">
        <v>574.85299999999995</v>
      </c>
      <c r="I3737" s="58">
        <v>0.41865799999999997</v>
      </c>
      <c r="J3737" s="57">
        <v>0.33502799999999999</v>
      </c>
      <c r="K3737" s="56"/>
      <c r="L3737" s="56" t="s">
        <v>488</v>
      </c>
    </row>
    <row r="3738" spans="2:12" x14ac:dyDescent="0.2">
      <c r="B3738" s="62" t="s">
        <v>2099</v>
      </c>
      <c r="C3738" s="61" t="s">
        <v>641</v>
      </c>
      <c r="D3738" s="60">
        <v>1.48698</v>
      </c>
      <c r="E3738" s="59">
        <v>3.9010799999999999</v>
      </c>
      <c r="F3738" s="59">
        <v>5.0384000000000002</v>
      </c>
      <c r="G3738" s="56">
        <v>845.42</v>
      </c>
      <c r="H3738" s="56">
        <v>569.02</v>
      </c>
      <c r="I3738" s="58">
        <v>0.41920299999999999</v>
      </c>
      <c r="J3738" s="57">
        <v>0.33416899999999999</v>
      </c>
      <c r="K3738" s="56"/>
      <c r="L3738" s="56" t="s">
        <v>488</v>
      </c>
    </row>
    <row r="3739" spans="2:12" x14ac:dyDescent="0.2">
      <c r="B3739" s="62" t="s">
        <v>2098</v>
      </c>
      <c r="C3739" s="61" t="s">
        <v>641</v>
      </c>
      <c r="D3739" s="60">
        <v>1.5499700000000001</v>
      </c>
      <c r="E3739" s="59">
        <v>4.0055899999999998</v>
      </c>
      <c r="F3739" s="59">
        <v>5.1285100000000003</v>
      </c>
      <c r="G3739" s="56">
        <v>622.54399999999998</v>
      </c>
      <c r="H3739" s="56">
        <v>401.649</v>
      </c>
      <c r="I3739" s="58">
        <v>0.35604999999999998</v>
      </c>
      <c r="J3739" s="57">
        <v>0.30136099999999999</v>
      </c>
      <c r="K3739" s="56"/>
      <c r="L3739" s="56" t="s">
        <v>488</v>
      </c>
    </row>
    <row r="3740" spans="2:12" x14ac:dyDescent="0.2">
      <c r="B3740" s="62" t="s">
        <v>2097</v>
      </c>
      <c r="C3740" s="61" t="s">
        <v>641</v>
      </c>
      <c r="D3740" s="60">
        <v>1.5323800000000001</v>
      </c>
      <c r="E3740" s="59">
        <v>4.0298999999999996</v>
      </c>
      <c r="F3740" s="59">
        <v>5.17293</v>
      </c>
      <c r="G3740" s="56">
        <v>622.05600000000004</v>
      </c>
      <c r="H3740" s="56">
        <v>405.94200000000001</v>
      </c>
      <c r="I3740" s="58">
        <v>0.32370199999999999</v>
      </c>
      <c r="J3740" s="57">
        <v>0.308749</v>
      </c>
      <c r="K3740" s="56"/>
      <c r="L3740" s="56" t="s">
        <v>488</v>
      </c>
    </row>
    <row r="3741" spans="2:12" x14ac:dyDescent="0.2">
      <c r="B3741" s="62" t="s">
        <v>2096</v>
      </c>
      <c r="C3741" s="61" t="s">
        <v>641</v>
      </c>
      <c r="D3741" s="60">
        <v>1.4680200000000001</v>
      </c>
      <c r="E3741" s="59">
        <v>3.9414099999999999</v>
      </c>
      <c r="F3741" s="59">
        <v>5.0381099999999996</v>
      </c>
      <c r="G3741" s="56">
        <v>863.39400000000001</v>
      </c>
      <c r="H3741" s="56">
        <v>588.13699999999994</v>
      </c>
      <c r="I3741" s="58">
        <v>0.42836299999999999</v>
      </c>
      <c r="J3741" s="57">
        <v>0.342256</v>
      </c>
      <c r="K3741" s="56"/>
      <c r="L3741" s="56" t="s">
        <v>488</v>
      </c>
    </row>
    <row r="3742" spans="2:12" x14ac:dyDescent="0.2">
      <c r="B3742" s="62" t="s">
        <v>2095</v>
      </c>
      <c r="C3742" s="65" t="s">
        <v>548</v>
      </c>
      <c r="D3742" s="60">
        <v>0.99941599999999997</v>
      </c>
      <c r="E3742" s="59">
        <v>5.9824000000000002</v>
      </c>
      <c r="F3742" s="59">
        <v>6.2654800000000002</v>
      </c>
      <c r="G3742" s="56">
        <v>1341.68</v>
      </c>
      <c r="H3742" s="56">
        <v>1333.73</v>
      </c>
      <c r="I3742" s="64">
        <v>0.67100000000000004</v>
      </c>
      <c r="J3742" s="63">
        <v>0.59094500000000005</v>
      </c>
      <c r="K3742" s="56" t="s">
        <v>1278</v>
      </c>
      <c r="L3742" s="56" t="s">
        <v>563</v>
      </c>
    </row>
    <row r="3743" spans="2:12" x14ac:dyDescent="0.2">
      <c r="B3743" s="62" t="s">
        <v>2094</v>
      </c>
      <c r="C3743" s="65" t="s">
        <v>548</v>
      </c>
      <c r="D3743" s="60">
        <v>1.00596</v>
      </c>
      <c r="E3743" s="59">
        <v>6.2047499999999998</v>
      </c>
      <c r="F3743" s="59">
        <v>6.4899800000000001</v>
      </c>
      <c r="G3743" s="56">
        <v>1376.45</v>
      </c>
      <c r="H3743" s="56">
        <v>1377.25</v>
      </c>
      <c r="I3743" s="64">
        <v>0.68400000000000005</v>
      </c>
      <c r="J3743" s="63">
        <v>0.58610799999999996</v>
      </c>
      <c r="K3743" s="56" t="s">
        <v>1278</v>
      </c>
      <c r="L3743" s="56" t="s">
        <v>563</v>
      </c>
    </row>
    <row r="3744" spans="2:12" x14ac:dyDescent="0.2">
      <c r="B3744" s="62" t="s">
        <v>2093</v>
      </c>
      <c r="C3744" s="61" t="s">
        <v>548</v>
      </c>
      <c r="D3744" s="60">
        <v>0.97897100000000004</v>
      </c>
      <c r="E3744" s="59">
        <v>6.7647700000000004</v>
      </c>
      <c r="F3744" s="59">
        <v>7.0198400000000003</v>
      </c>
      <c r="G3744" s="56">
        <v>1409.2</v>
      </c>
      <c r="H3744" s="56">
        <v>1439.47</v>
      </c>
      <c r="I3744" s="58">
        <v>0.69525000000000003</v>
      </c>
      <c r="J3744" s="57">
        <v>0.61344600000000005</v>
      </c>
      <c r="K3744" s="56" t="s">
        <v>2092</v>
      </c>
      <c r="L3744" s="56" t="s">
        <v>563</v>
      </c>
    </row>
    <row r="3745" spans="2:12" x14ac:dyDescent="0.2">
      <c r="B3745" s="62" t="s">
        <v>2091</v>
      </c>
      <c r="C3745" s="61" t="s">
        <v>548</v>
      </c>
      <c r="D3745" s="60">
        <v>1.45295</v>
      </c>
      <c r="E3745" s="59">
        <v>2.7633100000000002</v>
      </c>
      <c r="F3745" s="59">
        <v>2.97851</v>
      </c>
      <c r="G3745" s="56">
        <v>0</v>
      </c>
      <c r="H3745" s="56">
        <v>0</v>
      </c>
      <c r="I3745" s="58">
        <v>0.20269899999999999</v>
      </c>
      <c r="J3745" s="57">
        <v>0.27100600000000002</v>
      </c>
      <c r="K3745" s="56"/>
      <c r="L3745" s="56" t="s">
        <v>730</v>
      </c>
    </row>
    <row r="3746" spans="2:12" x14ac:dyDescent="0.2">
      <c r="B3746" s="62" t="s">
        <v>2090</v>
      </c>
      <c r="C3746" s="61" t="s">
        <v>499</v>
      </c>
      <c r="D3746" s="60">
        <v>1.2392000000000001</v>
      </c>
      <c r="E3746" s="59">
        <v>7.6376799999999996</v>
      </c>
      <c r="F3746" s="59">
        <v>8.1060999999999996</v>
      </c>
      <c r="G3746" s="56">
        <v>1563.28</v>
      </c>
      <c r="H3746" s="56">
        <v>1261.52</v>
      </c>
      <c r="I3746" s="58">
        <v>0.62527900000000003</v>
      </c>
      <c r="J3746" s="57">
        <v>0.53483000000000003</v>
      </c>
      <c r="K3746" s="56"/>
      <c r="L3746" s="56" t="s">
        <v>488</v>
      </c>
    </row>
    <row r="3747" spans="2:12" x14ac:dyDescent="0.2">
      <c r="B3747" s="62" t="s">
        <v>2089</v>
      </c>
      <c r="C3747" s="61" t="s">
        <v>499</v>
      </c>
      <c r="D3747" s="60">
        <v>1.22736</v>
      </c>
      <c r="E3747" s="59">
        <v>7.5947300000000002</v>
      </c>
      <c r="F3747" s="59">
        <v>8.2086000000000006</v>
      </c>
      <c r="G3747" s="56">
        <v>1579.61</v>
      </c>
      <c r="H3747" s="56">
        <v>1286.99</v>
      </c>
      <c r="I3747" s="58">
        <v>0.62575400000000003</v>
      </c>
      <c r="J3747" s="57">
        <v>0.54078300000000001</v>
      </c>
      <c r="K3747" s="56"/>
      <c r="L3747" s="56" t="s">
        <v>488</v>
      </c>
    </row>
    <row r="3748" spans="2:12" x14ac:dyDescent="0.2">
      <c r="B3748" s="62" t="s">
        <v>2088</v>
      </c>
      <c r="C3748" s="61" t="s">
        <v>541</v>
      </c>
      <c r="D3748" s="60">
        <v>1.5050399999999999</v>
      </c>
      <c r="E3748" s="59">
        <v>6.8053999999999997</v>
      </c>
      <c r="F3748" s="59">
        <v>7.1118699999999997</v>
      </c>
      <c r="G3748" s="56">
        <v>1400.26</v>
      </c>
      <c r="H3748" s="56">
        <v>930.38400000000001</v>
      </c>
      <c r="I3748" s="58">
        <v>0.60292900000000005</v>
      </c>
      <c r="J3748" s="57">
        <v>0.37730399999999997</v>
      </c>
      <c r="K3748" s="56"/>
      <c r="L3748" s="56" t="s">
        <v>488</v>
      </c>
    </row>
    <row r="3749" spans="2:12" x14ac:dyDescent="0.2">
      <c r="B3749" s="62" t="s">
        <v>2087</v>
      </c>
      <c r="C3749" s="61" t="s">
        <v>1226</v>
      </c>
      <c r="D3749" s="60">
        <v>1.6716500000000001</v>
      </c>
      <c r="E3749" s="59">
        <v>6.4814699999999998</v>
      </c>
      <c r="F3749" s="59">
        <v>6.8565199999999997</v>
      </c>
      <c r="G3749" s="56">
        <v>1375.96</v>
      </c>
      <c r="H3749" s="56">
        <v>823.11500000000001</v>
      </c>
      <c r="I3749" s="58">
        <v>0.62502599999999997</v>
      </c>
      <c r="J3749" s="57">
        <v>0.33869300000000002</v>
      </c>
      <c r="K3749" s="56"/>
      <c r="L3749" s="56" t="s">
        <v>488</v>
      </c>
    </row>
    <row r="3750" spans="2:12" x14ac:dyDescent="0.2">
      <c r="B3750" s="62" t="s">
        <v>2086</v>
      </c>
      <c r="C3750" s="61" t="s">
        <v>541</v>
      </c>
      <c r="D3750" s="60">
        <v>1.5426</v>
      </c>
      <c r="E3750" s="59">
        <v>6.6834800000000003</v>
      </c>
      <c r="F3750" s="59">
        <v>7.0647700000000002</v>
      </c>
      <c r="G3750" s="56">
        <v>1356.97</v>
      </c>
      <c r="H3750" s="56">
        <v>879.66600000000005</v>
      </c>
      <c r="I3750" s="58">
        <v>0.59728400000000004</v>
      </c>
      <c r="J3750" s="57">
        <v>0.36481200000000003</v>
      </c>
      <c r="K3750" s="56"/>
      <c r="L3750" s="56" t="s">
        <v>488</v>
      </c>
    </row>
    <row r="3751" spans="2:12" x14ac:dyDescent="0.2">
      <c r="B3751" s="62" t="s">
        <v>2085</v>
      </c>
      <c r="C3751" s="61" t="s">
        <v>612</v>
      </c>
      <c r="D3751" s="60">
        <v>1.5669</v>
      </c>
      <c r="E3751" s="59">
        <v>2.7855799999999999</v>
      </c>
      <c r="F3751" s="59">
        <v>3.0162800000000001</v>
      </c>
      <c r="G3751" s="56">
        <v>0</v>
      </c>
      <c r="H3751" s="56">
        <v>0</v>
      </c>
      <c r="I3751" s="58">
        <v>0.13449800000000001</v>
      </c>
      <c r="J3751" s="57">
        <v>0.274175</v>
      </c>
      <c r="K3751" s="56"/>
      <c r="L3751" s="56" t="s">
        <v>488</v>
      </c>
    </row>
    <row r="3752" spans="2:12" x14ac:dyDescent="0.2">
      <c r="B3752" s="62" t="s">
        <v>2084</v>
      </c>
      <c r="C3752" s="61" t="s">
        <v>612</v>
      </c>
      <c r="D3752" s="60">
        <v>1.1211899999999999</v>
      </c>
      <c r="E3752" s="59">
        <v>5.8505000000000003</v>
      </c>
      <c r="F3752" s="59">
        <v>6.0368700000000004</v>
      </c>
      <c r="G3752" s="56">
        <v>1227.07</v>
      </c>
      <c r="H3752" s="56">
        <v>1094.44</v>
      </c>
      <c r="I3752" s="58">
        <v>0.52118100000000001</v>
      </c>
      <c r="J3752" s="57">
        <v>0.52424300000000001</v>
      </c>
      <c r="K3752" s="56"/>
      <c r="L3752" s="56" t="s">
        <v>488</v>
      </c>
    </row>
    <row r="3753" spans="2:12" x14ac:dyDescent="0.2">
      <c r="B3753" s="62" t="s">
        <v>2083</v>
      </c>
      <c r="C3753" s="61" t="s">
        <v>612</v>
      </c>
      <c r="D3753" s="60">
        <v>0.98374200000000001</v>
      </c>
      <c r="E3753" s="59">
        <v>7.3625999999999996</v>
      </c>
      <c r="F3753" s="59">
        <v>7.87521</v>
      </c>
      <c r="G3753" s="56">
        <v>1580.79</v>
      </c>
      <c r="H3753" s="56">
        <v>1606.92</v>
      </c>
      <c r="I3753" s="58">
        <v>0.64225399999999999</v>
      </c>
      <c r="J3753" s="57">
        <v>0.65119400000000005</v>
      </c>
      <c r="K3753" s="56"/>
      <c r="L3753" s="56" t="s">
        <v>488</v>
      </c>
    </row>
    <row r="3754" spans="2:12" x14ac:dyDescent="0.2">
      <c r="B3754" s="62" t="s">
        <v>2082</v>
      </c>
      <c r="C3754" s="61" t="s">
        <v>2081</v>
      </c>
      <c r="D3754" s="60">
        <v>1.29941</v>
      </c>
      <c r="E3754" s="59">
        <v>2.8066800000000001</v>
      </c>
      <c r="F3754" s="59">
        <v>7.3761700000000001</v>
      </c>
      <c r="G3754" s="56">
        <v>0</v>
      </c>
      <c r="H3754" s="56">
        <v>0</v>
      </c>
      <c r="I3754" s="58">
        <v>0.25184699999999999</v>
      </c>
      <c r="J3754" s="57">
        <v>0.36832199999999998</v>
      </c>
      <c r="K3754" s="56"/>
      <c r="L3754" s="56" t="s">
        <v>492</v>
      </c>
    </row>
    <row r="3755" spans="2:12" x14ac:dyDescent="0.2">
      <c r="B3755" s="62" t="s">
        <v>2080</v>
      </c>
      <c r="C3755" s="61" t="s">
        <v>550</v>
      </c>
      <c r="D3755" s="60">
        <v>1.20366</v>
      </c>
      <c r="E3755" s="59">
        <v>4.1565099999999999</v>
      </c>
      <c r="F3755" s="59">
        <v>5.1920299999999999</v>
      </c>
      <c r="G3755" s="56">
        <v>500.07900000000001</v>
      </c>
      <c r="H3755" s="56">
        <v>377.45400000000001</v>
      </c>
      <c r="I3755" s="58">
        <v>0.37635099999999999</v>
      </c>
      <c r="J3755" s="57">
        <v>0.403362</v>
      </c>
      <c r="K3755" s="56"/>
      <c r="L3755" s="56" t="s">
        <v>492</v>
      </c>
    </row>
    <row r="3756" spans="2:12" x14ac:dyDescent="0.2">
      <c r="B3756" s="62" t="s">
        <v>2079</v>
      </c>
      <c r="C3756" s="61" t="s">
        <v>550</v>
      </c>
      <c r="D3756" s="60">
        <v>1.32487</v>
      </c>
      <c r="E3756" s="59">
        <v>4.1185600000000004</v>
      </c>
      <c r="F3756" s="59">
        <v>5.10825</v>
      </c>
      <c r="G3756" s="56">
        <v>663.02800000000002</v>
      </c>
      <c r="H3756" s="56">
        <v>545.82899999999995</v>
      </c>
      <c r="I3756" s="58">
        <v>0.290885</v>
      </c>
      <c r="J3756" s="57">
        <v>0.33604499999999998</v>
      </c>
      <c r="K3756" s="56"/>
      <c r="L3756" s="56" t="s">
        <v>492</v>
      </c>
    </row>
    <row r="3757" spans="2:12" x14ac:dyDescent="0.2">
      <c r="B3757" s="62" t="s">
        <v>2078</v>
      </c>
      <c r="C3757" s="61" t="s">
        <v>550</v>
      </c>
      <c r="D3757" s="60">
        <v>1.21472</v>
      </c>
      <c r="E3757" s="59">
        <v>4.1307999999999998</v>
      </c>
      <c r="F3757" s="59">
        <v>5.1249399999999996</v>
      </c>
      <c r="G3757" s="56">
        <v>669.07299999999998</v>
      </c>
      <c r="H3757" s="56">
        <v>551.16200000000003</v>
      </c>
      <c r="I3757" s="58">
        <v>0.37558900000000001</v>
      </c>
      <c r="J3757" s="57">
        <v>0.39282299999999998</v>
      </c>
      <c r="K3757" s="56"/>
      <c r="L3757" s="56" t="s">
        <v>492</v>
      </c>
    </row>
    <row r="3758" spans="2:12" x14ac:dyDescent="0.2">
      <c r="B3758" s="62" t="s">
        <v>2077</v>
      </c>
      <c r="C3758" s="61" t="s">
        <v>550</v>
      </c>
      <c r="D3758" s="60">
        <v>1.21393</v>
      </c>
      <c r="E3758" s="59">
        <v>4.2474499999999997</v>
      </c>
      <c r="F3758" s="59">
        <v>5.20099</v>
      </c>
      <c r="G3758" s="56">
        <v>551.31899999999996</v>
      </c>
      <c r="H3758" s="56">
        <v>458.036</v>
      </c>
      <c r="I3758" s="58">
        <v>0.372114</v>
      </c>
      <c r="J3758" s="57">
        <v>0.39277800000000002</v>
      </c>
      <c r="K3758" s="56"/>
      <c r="L3758" s="56" t="s">
        <v>492</v>
      </c>
    </row>
    <row r="3759" spans="2:12" x14ac:dyDescent="0.2">
      <c r="B3759" s="62" t="s">
        <v>2076</v>
      </c>
      <c r="C3759" s="61" t="s">
        <v>499</v>
      </c>
      <c r="D3759" s="60">
        <v>0.60471699999999995</v>
      </c>
      <c r="E3759" s="59">
        <v>7.8306399999999998</v>
      </c>
      <c r="F3759" s="59">
        <v>14.94618</v>
      </c>
      <c r="G3759" s="56">
        <v>2196</v>
      </c>
      <c r="H3759" s="56">
        <v>3631.45</v>
      </c>
      <c r="I3759" s="58">
        <v>0.82788799999999996</v>
      </c>
      <c r="J3759" s="57">
        <v>1.33219</v>
      </c>
      <c r="K3759" s="56"/>
      <c r="L3759" s="56" t="s">
        <v>488</v>
      </c>
    </row>
    <row r="3760" spans="2:12" x14ac:dyDescent="0.2">
      <c r="B3760" s="62" t="s">
        <v>2075</v>
      </c>
      <c r="C3760" s="61" t="s">
        <v>550</v>
      </c>
      <c r="D3760" s="60">
        <v>1.2148699999999999</v>
      </c>
      <c r="E3760" s="59">
        <v>4.1236300000000004</v>
      </c>
      <c r="F3760" s="59">
        <v>5.1079600000000003</v>
      </c>
      <c r="G3760" s="56">
        <v>532.03</v>
      </c>
      <c r="H3760" s="56">
        <v>437.93299999999999</v>
      </c>
      <c r="I3760" s="58">
        <v>0.36152000000000001</v>
      </c>
      <c r="J3760" s="57">
        <v>0.39606400000000003</v>
      </c>
      <c r="K3760" s="56"/>
      <c r="L3760" s="56" t="s">
        <v>492</v>
      </c>
    </row>
    <row r="3761" spans="2:12" x14ac:dyDescent="0.2">
      <c r="B3761" s="62" t="s">
        <v>2074</v>
      </c>
      <c r="C3761" s="61" t="s">
        <v>499</v>
      </c>
      <c r="D3761" s="60">
        <v>0.58970800000000001</v>
      </c>
      <c r="E3761" s="59">
        <v>7.9390299999999998</v>
      </c>
      <c r="F3761" s="59">
        <v>15.110760000000001</v>
      </c>
      <c r="G3761" s="56">
        <v>2196.85</v>
      </c>
      <c r="H3761" s="56">
        <v>3729.22</v>
      </c>
      <c r="I3761" s="58">
        <v>0.829071</v>
      </c>
      <c r="J3761" s="57">
        <v>1.3734</v>
      </c>
      <c r="K3761" s="56"/>
      <c r="L3761" s="56" t="s">
        <v>488</v>
      </c>
    </row>
    <row r="3762" spans="2:12" x14ac:dyDescent="0.2">
      <c r="B3762" s="62" t="s">
        <v>2073</v>
      </c>
      <c r="C3762" s="61" t="s">
        <v>499</v>
      </c>
      <c r="D3762" s="60">
        <v>0.58909</v>
      </c>
      <c r="E3762" s="59">
        <v>7.9423700000000004</v>
      </c>
      <c r="F3762" s="59">
        <v>15.06405</v>
      </c>
      <c r="G3762" s="56">
        <v>2167.9899999999998</v>
      </c>
      <c r="H3762" s="56">
        <v>3664.09</v>
      </c>
      <c r="I3762" s="58">
        <v>0.82929200000000003</v>
      </c>
      <c r="J3762" s="57">
        <v>1.37398</v>
      </c>
      <c r="K3762" s="56"/>
      <c r="L3762" s="56" t="s">
        <v>488</v>
      </c>
    </row>
    <row r="3763" spans="2:12" x14ac:dyDescent="0.2">
      <c r="B3763" s="62" t="s">
        <v>2072</v>
      </c>
      <c r="C3763" s="61" t="s">
        <v>499</v>
      </c>
      <c r="D3763" s="60">
        <v>0.59168399999999999</v>
      </c>
      <c r="E3763" s="59">
        <v>7.9352099999999997</v>
      </c>
      <c r="F3763" s="59">
        <v>15.10981</v>
      </c>
      <c r="G3763" s="56">
        <v>2176.9</v>
      </c>
      <c r="H3763" s="56">
        <v>3692.7</v>
      </c>
      <c r="I3763" s="58">
        <v>0.82232400000000005</v>
      </c>
      <c r="J3763" s="57">
        <v>1.3650599999999999</v>
      </c>
      <c r="K3763" s="56"/>
      <c r="L3763" s="56" t="s">
        <v>488</v>
      </c>
    </row>
    <row r="3764" spans="2:12" x14ac:dyDescent="0.2">
      <c r="B3764" s="62" t="s">
        <v>2071</v>
      </c>
      <c r="C3764" s="61" t="s">
        <v>499</v>
      </c>
      <c r="D3764" s="60">
        <v>0.58951500000000001</v>
      </c>
      <c r="E3764" s="59">
        <v>7.9074799999999996</v>
      </c>
      <c r="F3764" s="59">
        <v>15.08873</v>
      </c>
      <c r="G3764" s="56">
        <v>2185.38</v>
      </c>
      <c r="H3764" s="56">
        <v>3707.09</v>
      </c>
      <c r="I3764" s="58">
        <v>0.82607200000000003</v>
      </c>
      <c r="J3764" s="57">
        <v>1.37148</v>
      </c>
      <c r="K3764" s="56"/>
      <c r="L3764" s="56" t="s">
        <v>488</v>
      </c>
    </row>
    <row r="3765" spans="2:12" x14ac:dyDescent="0.2">
      <c r="B3765" s="62" t="s">
        <v>2070</v>
      </c>
      <c r="C3765" s="61" t="s">
        <v>499</v>
      </c>
      <c r="D3765" s="60">
        <v>0.58951500000000001</v>
      </c>
      <c r="E3765" s="59">
        <v>7.9572599999999998</v>
      </c>
      <c r="F3765" s="59">
        <v>15.07943</v>
      </c>
      <c r="G3765" s="56">
        <v>2191.62</v>
      </c>
      <c r="H3765" s="56">
        <v>3716.44</v>
      </c>
      <c r="I3765" s="58">
        <v>0.83552800000000005</v>
      </c>
      <c r="J3765" s="57">
        <v>1.37286</v>
      </c>
      <c r="K3765" s="56"/>
      <c r="L3765" s="56" t="s">
        <v>488</v>
      </c>
    </row>
    <row r="3766" spans="2:12" x14ac:dyDescent="0.2">
      <c r="B3766" s="62" t="s">
        <v>2069</v>
      </c>
      <c r="C3766" s="61" t="s">
        <v>612</v>
      </c>
      <c r="D3766" s="60">
        <v>1.15323</v>
      </c>
      <c r="E3766" s="59">
        <v>3.2004199999999998</v>
      </c>
      <c r="F3766" s="59">
        <v>5.6013299999999999</v>
      </c>
      <c r="G3766" s="56">
        <v>0</v>
      </c>
      <c r="H3766" s="56">
        <v>0</v>
      </c>
      <c r="I3766" s="58">
        <v>0.32327099999999998</v>
      </c>
      <c r="J3766" s="57">
        <v>0.41173199999999999</v>
      </c>
      <c r="K3766" s="56"/>
      <c r="L3766" s="56" t="s">
        <v>488</v>
      </c>
    </row>
    <row r="3767" spans="2:12" x14ac:dyDescent="0.2">
      <c r="B3767" s="62" t="s">
        <v>2068</v>
      </c>
      <c r="C3767" s="61" t="s">
        <v>1921</v>
      </c>
      <c r="D3767" s="60">
        <v>0.82734099999999999</v>
      </c>
      <c r="E3767" s="59">
        <v>8.5945099999999996</v>
      </c>
      <c r="F3767" s="59">
        <v>15.48179</v>
      </c>
      <c r="G3767" s="56">
        <v>1022.19</v>
      </c>
      <c r="H3767" s="56">
        <v>1235.51</v>
      </c>
      <c r="I3767" s="58">
        <v>0.76998200000000006</v>
      </c>
      <c r="J3767" s="57">
        <v>0.84985900000000003</v>
      </c>
      <c r="K3767" s="56"/>
      <c r="L3767" s="56" t="s">
        <v>488</v>
      </c>
    </row>
    <row r="3768" spans="2:12" x14ac:dyDescent="0.2">
      <c r="B3768" s="62" t="s">
        <v>2067</v>
      </c>
      <c r="C3768" s="61" t="s">
        <v>499</v>
      </c>
      <c r="D3768" s="60">
        <v>1.0367500000000001</v>
      </c>
      <c r="E3768" s="59">
        <v>5.1290399999999998</v>
      </c>
      <c r="F3768" s="59">
        <v>5.5824499999999997</v>
      </c>
      <c r="G3768" s="56">
        <v>2049.59</v>
      </c>
      <c r="H3768" s="56">
        <v>1976.94</v>
      </c>
      <c r="I3768" s="58">
        <v>0.63993500000000003</v>
      </c>
      <c r="J3768" s="57">
        <v>0.64063400000000004</v>
      </c>
      <c r="K3768" s="56"/>
      <c r="L3768" s="56" t="s">
        <v>488</v>
      </c>
    </row>
    <row r="3769" spans="2:12" x14ac:dyDescent="0.2">
      <c r="B3769" s="62" t="s">
        <v>2066</v>
      </c>
      <c r="C3769" s="61" t="s">
        <v>499</v>
      </c>
      <c r="D3769" s="60">
        <v>1.0322499999999999</v>
      </c>
      <c r="E3769" s="59">
        <v>5.0255299999999998</v>
      </c>
      <c r="F3769" s="59">
        <v>5.5168999999999997</v>
      </c>
      <c r="G3769" s="56">
        <v>2059.04</v>
      </c>
      <c r="H3769" s="56">
        <v>1994.7</v>
      </c>
      <c r="I3769" s="58">
        <v>0.63429000000000002</v>
      </c>
      <c r="J3769" s="57">
        <v>0.64415800000000001</v>
      </c>
      <c r="K3769" s="56"/>
      <c r="L3769" s="56" t="s">
        <v>488</v>
      </c>
    </row>
    <row r="3770" spans="2:12" x14ac:dyDescent="0.2">
      <c r="B3770" s="62" t="s">
        <v>2065</v>
      </c>
      <c r="C3770" s="61" t="s">
        <v>550</v>
      </c>
      <c r="D3770" s="60">
        <v>1.48993</v>
      </c>
      <c r="E3770" s="59">
        <v>3.0422899999999999</v>
      </c>
      <c r="F3770" s="59">
        <v>4.08141</v>
      </c>
      <c r="G3770" s="56">
        <v>0</v>
      </c>
      <c r="H3770" s="56">
        <v>0</v>
      </c>
      <c r="I3770" s="58">
        <v>0.23191300000000001</v>
      </c>
      <c r="J3770" s="57">
        <v>0.33737</v>
      </c>
      <c r="K3770" s="56"/>
      <c r="L3770" s="56" t="s">
        <v>488</v>
      </c>
    </row>
    <row r="3771" spans="2:12" x14ac:dyDescent="0.2">
      <c r="B3771" s="62" t="s">
        <v>2064</v>
      </c>
      <c r="C3771" s="61" t="s">
        <v>495</v>
      </c>
      <c r="D3771" s="60">
        <v>1.26064</v>
      </c>
      <c r="E3771" s="59">
        <v>3.1043099999999999</v>
      </c>
      <c r="F3771" s="59">
        <v>4.1281100000000004</v>
      </c>
      <c r="G3771" s="56">
        <v>0</v>
      </c>
      <c r="H3771" s="56">
        <v>0</v>
      </c>
      <c r="I3771" s="58">
        <v>0.235072</v>
      </c>
      <c r="J3771" s="57">
        <v>0.38653999999999999</v>
      </c>
      <c r="K3771" s="56"/>
      <c r="L3771" s="56" t="s">
        <v>488</v>
      </c>
    </row>
    <row r="3772" spans="2:12" x14ac:dyDescent="0.2">
      <c r="B3772" s="62" t="s">
        <v>2063</v>
      </c>
      <c r="C3772" s="61" t="s">
        <v>550</v>
      </c>
      <c r="D3772" s="60">
        <v>1.1909700000000001</v>
      </c>
      <c r="E3772" s="59">
        <v>4.2230400000000001</v>
      </c>
      <c r="F3772" s="59">
        <v>6.0309299999999997</v>
      </c>
      <c r="G3772" s="56">
        <v>1099.8399999999999</v>
      </c>
      <c r="H3772" s="56">
        <v>891.45799999999997</v>
      </c>
      <c r="I3772" s="58">
        <v>0.49268000000000001</v>
      </c>
      <c r="J3772" s="57">
        <v>0.49004999999999999</v>
      </c>
      <c r="K3772" s="56" t="s">
        <v>2062</v>
      </c>
      <c r="L3772" s="56" t="s">
        <v>563</v>
      </c>
    </row>
    <row r="3773" spans="2:12" x14ac:dyDescent="0.2">
      <c r="B3773" s="62" t="s">
        <v>2061</v>
      </c>
      <c r="C3773" s="61" t="s">
        <v>550</v>
      </c>
      <c r="D3773" s="60">
        <v>1.2337499999999999</v>
      </c>
      <c r="E3773" s="59">
        <v>4.5874100000000002</v>
      </c>
      <c r="F3773" s="59">
        <v>6.3885800000000001</v>
      </c>
      <c r="G3773" s="56">
        <v>1366.93</v>
      </c>
      <c r="H3773" s="56">
        <v>1140.5</v>
      </c>
      <c r="I3773" s="58">
        <v>0.51368100000000005</v>
      </c>
      <c r="J3773" s="57">
        <v>0.466478</v>
      </c>
      <c r="K3773" s="56"/>
      <c r="L3773" s="56" t="s">
        <v>488</v>
      </c>
    </row>
    <row r="3774" spans="2:12" x14ac:dyDescent="0.2">
      <c r="B3774" s="62" t="s">
        <v>2060</v>
      </c>
      <c r="C3774" s="61" t="s">
        <v>550</v>
      </c>
      <c r="D3774" s="60">
        <v>1.1985399999999999</v>
      </c>
      <c r="E3774" s="59">
        <v>4.5979799999999997</v>
      </c>
      <c r="F3774" s="59">
        <v>6.3688599999999997</v>
      </c>
      <c r="G3774" s="56">
        <v>1341.56</v>
      </c>
      <c r="H3774" s="56">
        <v>1119.29</v>
      </c>
      <c r="I3774" s="58">
        <v>0.52871999999999997</v>
      </c>
      <c r="J3774" s="57">
        <v>0.49149700000000002</v>
      </c>
      <c r="K3774" s="56"/>
      <c r="L3774" s="56" t="s">
        <v>488</v>
      </c>
    </row>
    <row r="3775" spans="2:12" x14ac:dyDescent="0.2">
      <c r="B3775" s="62" t="s">
        <v>2059</v>
      </c>
      <c r="C3775" s="61" t="s">
        <v>550</v>
      </c>
      <c r="D3775" s="60">
        <v>1.19858</v>
      </c>
      <c r="E3775" s="59">
        <v>3.9909500000000002</v>
      </c>
      <c r="F3775" s="59">
        <v>5.80959</v>
      </c>
      <c r="G3775" s="56">
        <v>1165.22</v>
      </c>
      <c r="H3775" s="56">
        <v>978.37900000000002</v>
      </c>
      <c r="I3775" s="58">
        <v>0.530532</v>
      </c>
      <c r="J3775" s="57">
        <v>0.49323600000000001</v>
      </c>
      <c r="K3775" s="56"/>
      <c r="L3775" s="56" t="s">
        <v>488</v>
      </c>
    </row>
    <row r="3776" spans="2:12" x14ac:dyDescent="0.2">
      <c r="B3776" s="62" t="s">
        <v>2058</v>
      </c>
      <c r="C3776" s="61" t="s">
        <v>499</v>
      </c>
      <c r="D3776" s="60">
        <v>0.30567499999999997</v>
      </c>
      <c r="E3776" s="59">
        <v>23.239879999999999</v>
      </c>
      <c r="F3776" s="59">
        <v>28.193490000000001</v>
      </c>
      <c r="G3776" s="56">
        <v>915.15499999999997</v>
      </c>
      <c r="H3776" s="56">
        <v>2993.88</v>
      </c>
      <c r="I3776" s="58">
        <v>0.88910299999999998</v>
      </c>
      <c r="J3776" s="57">
        <v>2.8920499999999998</v>
      </c>
      <c r="K3776" s="56"/>
      <c r="L3776" s="56" t="s">
        <v>492</v>
      </c>
    </row>
    <row r="3777" spans="2:12" x14ac:dyDescent="0.2">
      <c r="B3777" s="62" t="s">
        <v>2057</v>
      </c>
      <c r="C3777" s="61" t="s">
        <v>2056</v>
      </c>
      <c r="D3777" s="60">
        <v>1.8612599999999999</v>
      </c>
      <c r="E3777" s="59">
        <v>3.23645</v>
      </c>
      <c r="F3777" s="59">
        <v>4.2425699999999997</v>
      </c>
      <c r="G3777" s="56">
        <v>0</v>
      </c>
      <c r="H3777" s="56">
        <v>0</v>
      </c>
      <c r="I3777" s="58">
        <v>8.2679799999999998E-2</v>
      </c>
      <c r="J3777" s="57">
        <v>0.21981700000000001</v>
      </c>
      <c r="K3777" s="56"/>
      <c r="L3777" s="56" t="s">
        <v>492</v>
      </c>
    </row>
    <row r="3778" spans="2:12" x14ac:dyDescent="0.2">
      <c r="B3778" s="62" t="s">
        <v>2055</v>
      </c>
      <c r="C3778" s="61" t="s">
        <v>2054</v>
      </c>
      <c r="D3778" s="60">
        <v>1.76057</v>
      </c>
      <c r="E3778" s="59">
        <v>3.0155799999999999</v>
      </c>
      <c r="F3778" s="59">
        <v>4.0787699999999996</v>
      </c>
      <c r="G3778" s="56">
        <v>0</v>
      </c>
      <c r="H3778" s="56">
        <v>0</v>
      </c>
      <c r="I3778" s="58">
        <v>6.6994499999999998E-2</v>
      </c>
      <c r="J3778" s="57">
        <v>0.228661</v>
      </c>
      <c r="K3778" s="56"/>
      <c r="L3778" s="56" t="s">
        <v>492</v>
      </c>
    </row>
    <row r="3779" spans="2:12" x14ac:dyDescent="0.2">
      <c r="B3779" s="62" t="s">
        <v>2053</v>
      </c>
      <c r="C3779" s="61" t="s">
        <v>535</v>
      </c>
      <c r="D3779" s="60">
        <v>0.89945900000000001</v>
      </c>
      <c r="E3779" s="59">
        <v>9.1391100000000005</v>
      </c>
      <c r="F3779" s="59">
        <v>10.6229</v>
      </c>
      <c r="G3779" s="56">
        <v>1613.6</v>
      </c>
      <c r="H3779" s="56">
        <v>1793.96</v>
      </c>
      <c r="I3779" s="58">
        <v>0.72584800000000005</v>
      </c>
      <c r="J3779" s="57">
        <v>0.76130900000000001</v>
      </c>
      <c r="K3779" s="56"/>
      <c r="L3779" s="56" t="s">
        <v>488</v>
      </c>
    </row>
    <row r="3780" spans="2:12" x14ac:dyDescent="0.2">
      <c r="B3780" s="62" t="s">
        <v>2052</v>
      </c>
      <c r="C3780" s="61" t="s">
        <v>558</v>
      </c>
      <c r="D3780" s="60">
        <v>0.91439499999999996</v>
      </c>
      <c r="E3780" s="59">
        <v>9.1327300000000005</v>
      </c>
      <c r="F3780" s="59">
        <v>10.62623</v>
      </c>
      <c r="G3780" s="56">
        <v>1585.68</v>
      </c>
      <c r="H3780" s="56">
        <v>1734.13</v>
      </c>
      <c r="I3780" s="58">
        <v>0.72940099999999997</v>
      </c>
      <c r="J3780" s="57">
        <v>0.74945799999999996</v>
      </c>
      <c r="K3780" s="56"/>
      <c r="L3780" s="56" t="s">
        <v>488</v>
      </c>
    </row>
    <row r="3781" spans="2:12" x14ac:dyDescent="0.2">
      <c r="B3781" s="62" t="s">
        <v>2051</v>
      </c>
      <c r="C3781" s="61" t="s">
        <v>859</v>
      </c>
      <c r="D3781" s="60">
        <v>0.91828200000000004</v>
      </c>
      <c r="E3781" s="59">
        <v>9.1071500000000007</v>
      </c>
      <c r="F3781" s="59">
        <v>10.65559</v>
      </c>
      <c r="G3781" s="56">
        <v>1585.58</v>
      </c>
      <c r="H3781" s="56">
        <v>1726.68</v>
      </c>
      <c r="I3781" s="58">
        <v>0.72649600000000003</v>
      </c>
      <c r="J3781" s="57">
        <v>0.74610799999999999</v>
      </c>
      <c r="K3781" s="56"/>
      <c r="L3781" s="56" t="s">
        <v>488</v>
      </c>
    </row>
    <row r="3782" spans="2:12" x14ac:dyDescent="0.2">
      <c r="B3782" s="62" t="s">
        <v>2050</v>
      </c>
      <c r="C3782" s="61" t="s">
        <v>561</v>
      </c>
      <c r="D3782" s="60">
        <v>0.77828299999999995</v>
      </c>
      <c r="E3782" s="59">
        <v>9.0728200000000001</v>
      </c>
      <c r="F3782" s="59">
        <v>10.68647</v>
      </c>
      <c r="G3782" s="56">
        <v>1578.54</v>
      </c>
      <c r="H3782" s="56">
        <v>2028.23</v>
      </c>
      <c r="I3782" s="58">
        <v>0.71241200000000005</v>
      </c>
      <c r="J3782" s="57">
        <v>0.87051999999999996</v>
      </c>
      <c r="K3782" s="56"/>
      <c r="L3782" s="56" t="s">
        <v>730</v>
      </c>
    </row>
    <row r="3783" spans="2:12" x14ac:dyDescent="0.2">
      <c r="B3783" s="62" t="s">
        <v>2049</v>
      </c>
      <c r="C3783" s="61" t="s">
        <v>550</v>
      </c>
      <c r="D3783" s="60">
        <v>1.07284</v>
      </c>
      <c r="E3783" s="59">
        <v>3.1503000000000001</v>
      </c>
      <c r="F3783" s="59">
        <v>5.5245300000000004</v>
      </c>
      <c r="G3783" s="56">
        <v>0</v>
      </c>
      <c r="H3783" s="56">
        <v>0</v>
      </c>
      <c r="I3783" s="58">
        <v>0.35411999999999999</v>
      </c>
      <c r="J3783" s="57">
        <v>0.48103899999999999</v>
      </c>
      <c r="K3783" s="56"/>
      <c r="L3783" s="56" t="s">
        <v>488</v>
      </c>
    </row>
    <row r="3784" spans="2:12" x14ac:dyDescent="0.2">
      <c r="B3784" s="62" t="s">
        <v>2048</v>
      </c>
      <c r="C3784" s="61" t="s">
        <v>499</v>
      </c>
      <c r="D3784" s="60">
        <v>1.20269</v>
      </c>
      <c r="E3784" s="59">
        <v>3.84015</v>
      </c>
      <c r="F3784" s="59">
        <v>5.0433700000000004</v>
      </c>
      <c r="G3784" s="56">
        <v>727.51300000000003</v>
      </c>
      <c r="H3784" s="56">
        <v>604.904</v>
      </c>
      <c r="I3784" s="58">
        <v>0.47642400000000001</v>
      </c>
      <c r="J3784" s="57">
        <v>0.44633699999999998</v>
      </c>
      <c r="K3784" s="56"/>
      <c r="L3784" s="56" t="s">
        <v>488</v>
      </c>
    </row>
    <row r="3785" spans="2:12" x14ac:dyDescent="0.2">
      <c r="B3785" s="62" t="s">
        <v>2047</v>
      </c>
      <c r="C3785" s="61" t="s">
        <v>499</v>
      </c>
      <c r="D3785" s="60">
        <v>1.29756</v>
      </c>
      <c r="E3785" s="59">
        <v>3.1295600000000001</v>
      </c>
      <c r="F3785" s="59">
        <v>6.3970000000000002</v>
      </c>
      <c r="G3785" s="56">
        <v>0</v>
      </c>
      <c r="H3785" s="56">
        <v>0</v>
      </c>
      <c r="I3785" s="58">
        <v>0.47981200000000002</v>
      </c>
      <c r="J3785" s="57">
        <v>0.38483000000000001</v>
      </c>
      <c r="K3785" s="56"/>
      <c r="L3785" s="56" t="s">
        <v>488</v>
      </c>
    </row>
    <row r="3786" spans="2:12" x14ac:dyDescent="0.2">
      <c r="B3786" s="62" t="s">
        <v>2046</v>
      </c>
      <c r="C3786" s="61" t="s">
        <v>499</v>
      </c>
      <c r="D3786" s="60">
        <v>1.2987</v>
      </c>
      <c r="E3786" s="59">
        <v>3.1046800000000001</v>
      </c>
      <c r="F3786" s="59">
        <v>6.3854600000000001</v>
      </c>
      <c r="G3786" s="56">
        <v>0</v>
      </c>
      <c r="H3786" s="56">
        <v>0</v>
      </c>
      <c r="I3786" s="58">
        <v>0.474414</v>
      </c>
      <c r="J3786" s="57">
        <v>0.38281799999999999</v>
      </c>
      <c r="K3786" s="56"/>
      <c r="L3786" s="56" t="s">
        <v>488</v>
      </c>
    </row>
    <row r="3787" spans="2:12" x14ac:dyDescent="0.2">
      <c r="B3787" s="62" t="s">
        <v>2045</v>
      </c>
      <c r="C3787" s="61" t="s">
        <v>612</v>
      </c>
      <c r="D3787" s="60">
        <v>1.13144</v>
      </c>
      <c r="E3787" s="59">
        <v>10.99572</v>
      </c>
      <c r="F3787" s="59">
        <v>11.61679</v>
      </c>
      <c r="G3787" s="56">
        <v>1467.58</v>
      </c>
      <c r="H3787" s="56">
        <v>1297.08</v>
      </c>
      <c r="I3787" s="58">
        <v>0.717642</v>
      </c>
      <c r="J3787" s="57">
        <v>0.57006999999999997</v>
      </c>
      <c r="K3787" s="56"/>
      <c r="L3787" s="56" t="s">
        <v>488</v>
      </c>
    </row>
    <row r="3788" spans="2:12" x14ac:dyDescent="0.2">
      <c r="B3788" s="62" t="s">
        <v>2044</v>
      </c>
      <c r="C3788" s="61" t="s">
        <v>612</v>
      </c>
      <c r="D3788" s="60">
        <v>1.1328800000000001</v>
      </c>
      <c r="E3788" s="59">
        <v>10.827019999999999</v>
      </c>
      <c r="F3788" s="59">
        <v>11.263960000000001</v>
      </c>
      <c r="G3788" s="56">
        <v>1440.46</v>
      </c>
      <c r="H3788" s="56">
        <v>1271.49</v>
      </c>
      <c r="I3788" s="58">
        <v>0.70673699999999995</v>
      </c>
      <c r="J3788" s="57">
        <v>0.56247800000000003</v>
      </c>
      <c r="K3788" s="56"/>
      <c r="L3788" s="56" t="s">
        <v>488</v>
      </c>
    </row>
    <row r="3789" spans="2:12" x14ac:dyDescent="0.2">
      <c r="B3789" s="62" t="s">
        <v>2043</v>
      </c>
      <c r="C3789" s="61" t="s">
        <v>612</v>
      </c>
      <c r="D3789" s="60">
        <v>1.1391199999999999</v>
      </c>
      <c r="E3789" s="59">
        <v>10.94497</v>
      </c>
      <c r="F3789" s="59">
        <v>11.57288</v>
      </c>
      <c r="G3789" s="56">
        <v>1470.79</v>
      </c>
      <c r="H3789" s="56">
        <v>1291.17</v>
      </c>
      <c r="I3789" s="58">
        <v>0.71835599999999999</v>
      </c>
      <c r="J3789" s="57">
        <v>0.56400899999999998</v>
      </c>
      <c r="K3789" s="56"/>
      <c r="L3789" s="56" t="s">
        <v>488</v>
      </c>
    </row>
    <row r="3790" spans="2:12" x14ac:dyDescent="0.2">
      <c r="B3790" s="62" t="s">
        <v>2042</v>
      </c>
      <c r="C3790" s="61" t="s">
        <v>531</v>
      </c>
      <c r="D3790" s="60">
        <v>1.72993</v>
      </c>
      <c r="E3790" s="59">
        <v>3.4431500000000002</v>
      </c>
      <c r="F3790" s="59">
        <v>4.3497399999999997</v>
      </c>
      <c r="G3790" s="56">
        <v>0</v>
      </c>
      <c r="H3790" s="56">
        <v>0</v>
      </c>
      <c r="I3790" s="58">
        <v>0.24896499999999999</v>
      </c>
      <c r="J3790" s="57">
        <v>0.24114099999999999</v>
      </c>
      <c r="K3790" s="56"/>
      <c r="L3790" s="56" t="s">
        <v>488</v>
      </c>
    </row>
    <row r="3791" spans="2:12" x14ac:dyDescent="0.2">
      <c r="B3791" s="62" t="s">
        <v>2041</v>
      </c>
      <c r="C3791" s="61" t="s">
        <v>533</v>
      </c>
      <c r="D3791" s="60">
        <v>1.74631</v>
      </c>
      <c r="E3791" s="59">
        <v>3.3717999999999999</v>
      </c>
      <c r="F3791" s="59">
        <v>4.2735300000000001</v>
      </c>
      <c r="G3791" s="56">
        <v>0</v>
      </c>
      <c r="H3791" s="56">
        <v>0</v>
      </c>
      <c r="I3791" s="58">
        <v>0.25013299999999999</v>
      </c>
      <c r="J3791" s="57">
        <v>0.23996200000000001</v>
      </c>
      <c r="K3791" s="56"/>
      <c r="L3791" s="56" t="s">
        <v>488</v>
      </c>
    </row>
    <row r="3792" spans="2:12" x14ac:dyDescent="0.2">
      <c r="B3792" s="62" t="s">
        <v>2040</v>
      </c>
      <c r="C3792" s="61" t="s">
        <v>531</v>
      </c>
      <c r="D3792" s="60">
        <v>1.4554</v>
      </c>
      <c r="E3792" s="59">
        <v>2.43072</v>
      </c>
      <c r="F3792" s="59">
        <v>5.1955200000000001</v>
      </c>
      <c r="G3792" s="56">
        <v>0</v>
      </c>
      <c r="H3792" s="56">
        <v>0</v>
      </c>
      <c r="I3792" s="58">
        <v>0.360207</v>
      </c>
      <c r="J3792" s="57">
        <v>0.33377299999999999</v>
      </c>
      <c r="K3792" s="56"/>
      <c r="L3792" s="56" t="s">
        <v>488</v>
      </c>
    </row>
    <row r="3793" spans="2:12" x14ac:dyDescent="0.2">
      <c r="B3793" s="62" t="s">
        <v>2039</v>
      </c>
      <c r="C3793" s="61" t="s">
        <v>499</v>
      </c>
      <c r="D3793" s="60">
        <v>1.10826</v>
      </c>
      <c r="E3793" s="59">
        <v>6.1686199999999998</v>
      </c>
      <c r="F3793" s="59">
        <v>9.2766000000000002</v>
      </c>
      <c r="G3793" s="56">
        <v>1561.92</v>
      </c>
      <c r="H3793" s="56">
        <v>1409.34</v>
      </c>
      <c r="I3793" s="58">
        <v>0.55196299999999998</v>
      </c>
      <c r="J3793" s="57">
        <v>0.58469899999999997</v>
      </c>
      <c r="K3793" s="56"/>
      <c r="L3793" s="56" t="s">
        <v>488</v>
      </c>
    </row>
    <row r="3794" spans="2:12" x14ac:dyDescent="0.2">
      <c r="B3794" s="62" t="s">
        <v>2038</v>
      </c>
      <c r="C3794" s="61" t="s">
        <v>1637</v>
      </c>
      <c r="D3794" s="60">
        <v>1.6701900000000001</v>
      </c>
      <c r="E3794" s="59">
        <v>5.3820800000000002</v>
      </c>
      <c r="F3794" s="59">
        <v>7.64046</v>
      </c>
      <c r="G3794" s="56">
        <v>773.255</v>
      </c>
      <c r="H3794" s="56">
        <v>462.97300000000001</v>
      </c>
      <c r="I3794" s="58">
        <v>0.33557399999999998</v>
      </c>
      <c r="J3794" s="57">
        <v>0.28964200000000001</v>
      </c>
      <c r="K3794" s="56"/>
      <c r="L3794" s="56" t="s">
        <v>488</v>
      </c>
    </row>
    <row r="3795" spans="2:12" x14ac:dyDescent="0.2">
      <c r="B3795" s="62" t="s">
        <v>2037</v>
      </c>
      <c r="C3795" s="61" t="s">
        <v>1637</v>
      </c>
      <c r="D3795" s="60">
        <v>1.34087</v>
      </c>
      <c r="E3795" s="59">
        <v>5.4871499999999997</v>
      </c>
      <c r="F3795" s="59">
        <v>7.1790900000000004</v>
      </c>
      <c r="G3795" s="56">
        <v>1480.3</v>
      </c>
      <c r="H3795" s="56">
        <v>1103.98</v>
      </c>
      <c r="I3795" s="58">
        <v>0.47862900000000003</v>
      </c>
      <c r="J3795" s="57">
        <v>0.44268400000000002</v>
      </c>
      <c r="K3795" s="56"/>
      <c r="L3795" s="56" t="s">
        <v>492</v>
      </c>
    </row>
    <row r="3796" spans="2:12" x14ac:dyDescent="0.2">
      <c r="B3796" s="62" t="s">
        <v>2036</v>
      </c>
      <c r="C3796" s="61" t="s">
        <v>1637</v>
      </c>
      <c r="D3796" s="60">
        <v>1.7500899999999999</v>
      </c>
      <c r="E3796" s="59">
        <v>5.3424199999999997</v>
      </c>
      <c r="F3796" s="59">
        <v>7.9178800000000003</v>
      </c>
      <c r="G3796" s="56">
        <v>772.31299999999999</v>
      </c>
      <c r="H3796" s="56">
        <v>441.29899999999998</v>
      </c>
      <c r="I3796" s="58">
        <v>0.34484599999999999</v>
      </c>
      <c r="J3796" s="57">
        <v>0.27314699999999997</v>
      </c>
      <c r="K3796" s="56"/>
      <c r="L3796" s="56" t="s">
        <v>488</v>
      </c>
    </row>
    <row r="3797" spans="2:12" x14ac:dyDescent="0.2">
      <c r="B3797" s="62" t="s">
        <v>2035</v>
      </c>
      <c r="C3797" s="61" t="s">
        <v>1637</v>
      </c>
      <c r="D3797" s="60">
        <v>1.60057</v>
      </c>
      <c r="E3797" s="59">
        <v>4.9366000000000003</v>
      </c>
      <c r="F3797" s="59">
        <v>7.2274399999999996</v>
      </c>
      <c r="G3797" s="56">
        <v>705.70899999999995</v>
      </c>
      <c r="H3797" s="56">
        <v>440.91199999999998</v>
      </c>
      <c r="I3797" s="58">
        <v>0.31970500000000002</v>
      </c>
      <c r="J3797" s="57">
        <v>0.29890699999999998</v>
      </c>
      <c r="K3797" s="56"/>
      <c r="L3797" s="56" t="s">
        <v>488</v>
      </c>
    </row>
    <row r="3798" spans="2:12" x14ac:dyDescent="0.2">
      <c r="B3798" s="62" t="s">
        <v>2034</v>
      </c>
      <c r="C3798" s="61" t="s">
        <v>510</v>
      </c>
      <c r="D3798" s="60">
        <v>1.1805699999999999</v>
      </c>
      <c r="E3798" s="59">
        <v>10.837070000000001</v>
      </c>
      <c r="F3798" s="59">
        <v>11.53388</v>
      </c>
      <c r="G3798" s="56">
        <v>1422.89</v>
      </c>
      <c r="H3798" s="56">
        <v>1209.23</v>
      </c>
      <c r="I3798" s="58">
        <v>0.72030700000000003</v>
      </c>
      <c r="J3798" s="57">
        <v>0.54281500000000005</v>
      </c>
      <c r="K3798" s="56"/>
      <c r="L3798" s="56" t="s">
        <v>488</v>
      </c>
    </row>
    <row r="3799" spans="2:12" x14ac:dyDescent="0.2">
      <c r="B3799" s="62" t="s">
        <v>2033</v>
      </c>
      <c r="C3799" s="61" t="s">
        <v>510</v>
      </c>
      <c r="D3799" s="60">
        <v>1.1767000000000001</v>
      </c>
      <c r="E3799" s="59">
        <v>10.819660000000001</v>
      </c>
      <c r="F3799" s="59">
        <v>11.52913</v>
      </c>
      <c r="G3799" s="56">
        <v>1475.67</v>
      </c>
      <c r="H3799" s="56">
        <v>1249.97</v>
      </c>
      <c r="I3799" s="58">
        <v>0.72045300000000001</v>
      </c>
      <c r="J3799" s="57">
        <v>0.54557599999999995</v>
      </c>
      <c r="K3799" s="56"/>
      <c r="L3799" s="56" t="s">
        <v>488</v>
      </c>
    </row>
    <row r="3800" spans="2:12" x14ac:dyDescent="0.2">
      <c r="B3800" s="62" t="s">
        <v>2032</v>
      </c>
      <c r="C3800" s="61" t="s">
        <v>550</v>
      </c>
      <c r="D3800" s="60">
        <v>1.73837</v>
      </c>
      <c r="E3800" s="59">
        <v>2.5292699999999999</v>
      </c>
      <c r="F3800" s="59">
        <v>3.1979500000000001</v>
      </c>
      <c r="G3800" s="56">
        <v>0</v>
      </c>
      <c r="H3800" s="56">
        <v>0</v>
      </c>
      <c r="I3800" s="58">
        <v>4.6127599999999998E-2</v>
      </c>
      <c r="J3800" s="57">
        <v>0.220554</v>
      </c>
      <c r="K3800" s="56"/>
      <c r="L3800" s="56" t="s">
        <v>488</v>
      </c>
    </row>
    <row r="3801" spans="2:12" x14ac:dyDescent="0.2">
      <c r="B3801" s="62" t="s">
        <v>2031</v>
      </c>
      <c r="C3801" s="61" t="s">
        <v>616</v>
      </c>
      <c r="D3801" s="60">
        <v>1.81918</v>
      </c>
      <c r="E3801" s="59">
        <v>3.22485</v>
      </c>
      <c r="F3801" s="59">
        <v>4.8129999999999997</v>
      </c>
      <c r="G3801" s="56">
        <v>0</v>
      </c>
      <c r="H3801" s="56">
        <v>0</v>
      </c>
      <c r="I3801" s="58">
        <v>0.24318999999999999</v>
      </c>
      <c r="J3801" s="57">
        <v>0.26005400000000001</v>
      </c>
      <c r="K3801" s="56"/>
      <c r="L3801" s="56" t="s">
        <v>488</v>
      </c>
    </row>
    <row r="3802" spans="2:12" x14ac:dyDescent="0.2">
      <c r="B3802" s="62" t="s">
        <v>2030</v>
      </c>
      <c r="C3802" s="61" t="s">
        <v>499</v>
      </c>
      <c r="D3802" s="60">
        <v>1.0253399999999999</v>
      </c>
      <c r="E3802" s="59">
        <v>5.1501099999999997</v>
      </c>
      <c r="F3802" s="59">
        <v>5.6583399999999999</v>
      </c>
      <c r="G3802" s="56">
        <v>2014.49</v>
      </c>
      <c r="H3802" s="56">
        <v>1964.71</v>
      </c>
      <c r="I3802" s="58">
        <v>0.63990800000000003</v>
      </c>
      <c r="J3802" s="57">
        <v>0.652335</v>
      </c>
      <c r="K3802" s="56"/>
      <c r="L3802" s="56" t="s">
        <v>488</v>
      </c>
    </row>
    <row r="3803" spans="2:12" x14ac:dyDescent="0.2">
      <c r="B3803" s="62" t="s">
        <v>2029</v>
      </c>
      <c r="C3803" s="61" t="s">
        <v>499</v>
      </c>
      <c r="D3803" s="60">
        <v>1.5537399999999999</v>
      </c>
      <c r="E3803" s="59">
        <v>2.9617800000000001</v>
      </c>
      <c r="F3803" s="59">
        <v>3.8128000000000002</v>
      </c>
      <c r="G3803" s="56">
        <v>0</v>
      </c>
      <c r="H3803" s="56">
        <v>0</v>
      </c>
      <c r="I3803" s="58">
        <v>0.106055</v>
      </c>
      <c r="J3803" s="57">
        <v>0.22778799999999999</v>
      </c>
      <c r="K3803" s="56"/>
      <c r="L3803" s="56" t="s">
        <v>492</v>
      </c>
    </row>
    <row r="3804" spans="2:12" x14ac:dyDescent="0.2">
      <c r="B3804" s="62" t="s">
        <v>2028</v>
      </c>
      <c r="C3804" s="61" t="s">
        <v>550</v>
      </c>
      <c r="D3804" s="60">
        <v>1.3091999999999999</v>
      </c>
      <c r="E3804" s="59">
        <v>4.6320600000000001</v>
      </c>
      <c r="F3804" s="59">
        <v>7.7447100000000004</v>
      </c>
      <c r="G3804" s="56">
        <v>763.01800000000003</v>
      </c>
      <c r="H3804" s="56">
        <v>582.81299999999999</v>
      </c>
      <c r="I3804" s="58">
        <v>0.32639099999999999</v>
      </c>
      <c r="J3804" s="57">
        <v>0.36807299999999998</v>
      </c>
      <c r="K3804" s="56"/>
      <c r="L3804" s="56" t="s">
        <v>488</v>
      </c>
    </row>
    <row r="3805" spans="2:12" x14ac:dyDescent="0.2">
      <c r="B3805" s="62" t="s">
        <v>2027</v>
      </c>
      <c r="C3805" s="61" t="s">
        <v>502</v>
      </c>
      <c r="D3805" s="60">
        <v>1.2244900000000001</v>
      </c>
      <c r="E3805" s="59">
        <v>9.5777800000000006</v>
      </c>
      <c r="F3805" s="59">
        <v>10.04679</v>
      </c>
      <c r="G3805" s="56">
        <v>784.11800000000005</v>
      </c>
      <c r="H3805" s="56">
        <v>640.35900000000004</v>
      </c>
      <c r="I3805" s="58">
        <v>0.37842100000000001</v>
      </c>
      <c r="J3805" s="57">
        <v>0.42229800000000001</v>
      </c>
      <c r="K3805" s="56"/>
      <c r="L3805" s="56" t="s">
        <v>488</v>
      </c>
    </row>
    <row r="3806" spans="2:12" x14ac:dyDescent="0.2">
      <c r="B3806" s="62" t="s">
        <v>2026</v>
      </c>
      <c r="C3806" s="61" t="s">
        <v>502</v>
      </c>
      <c r="D3806" s="60">
        <v>1.22462</v>
      </c>
      <c r="E3806" s="59">
        <v>9.5302799999999994</v>
      </c>
      <c r="F3806" s="59">
        <v>10.01901</v>
      </c>
      <c r="G3806" s="56">
        <v>761.48099999999999</v>
      </c>
      <c r="H3806" s="56">
        <v>621.81299999999999</v>
      </c>
      <c r="I3806" s="58">
        <v>0.37538500000000002</v>
      </c>
      <c r="J3806" s="57">
        <v>0.42298200000000002</v>
      </c>
      <c r="K3806" s="56"/>
      <c r="L3806" s="56" t="s">
        <v>488</v>
      </c>
    </row>
    <row r="3807" spans="2:12" x14ac:dyDescent="0.2">
      <c r="B3807" s="62" t="s">
        <v>2025</v>
      </c>
      <c r="C3807" s="61" t="s">
        <v>558</v>
      </c>
      <c r="D3807" s="60">
        <v>1.3569800000000001</v>
      </c>
      <c r="E3807" s="59">
        <v>4.61822</v>
      </c>
      <c r="F3807" s="59">
        <v>5.4729900000000002</v>
      </c>
      <c r="G3807" s="56">
        <v>1774.23</v>
      </c>
      <c r="H3807" s="56">
        <v>1307.48</v>
      </c>
      <c r="I3807" s="58">
        <v>0.64695400000000003</v>
      </c>
      <c r="J3807" s="57">
        <v>0.463592</v>
      </c>
      <c r="K3807" s="56"/>
      <c r="L3807" s="56" t="s">
        <v>488</v>
      </c>
    </row>
    <row r="3808" spans="2:12" x14ac:dyDescent="0.2">
      <c r="B3808" s="62" t="s">
        <v>2024</v>
      </c>
      <c r="C3808" s="61" t="s">
        <v>859</v>
      </c>
      <c r="D3808" s="60">
        <v>1.3754999999999999</v>
      </c>
      <c r="E3808" s="59">
        <v>4.6033099999999996</v>
      </c>
      <c r="F3808" s="59">
        <v>5.4470400000000003</v>
      </c>
      <c r="G3808" s="56">
        <v>1787.79</v>
      </c>
      <c r="H3808" s="56">
        <v>1299.74</v>
      </c>
      <c r="I3808" s="58">
        <v>0.64647600000000005</v>
      </c>
      <c r="J3808" s="57">
        <v>0.45654699999999998</v>
      </c>
      <c r="K3808" s="56"/>
      <c r="L3808" s="56" t="s">
        <v>488</v>
      </c>
    </row>
    <row r="3809" spans="2:12" x14ac:dyDescent="0.2">
      <c r="B3809" s="62" t="s">
        <v>2023</v>
      </c>
      <c r="C3809" s="61" t="s">
        <v>1226</v>
      </c>
      <c r="D3809" s="60">
        <v>1.4102399999999999</v>
      </c>
      <c r="E3809" s="59">
        <v>4.5935199999999998</v>
      </c>
      <c r="F3809" s="59">
        <v>5.4161200000000003</v>
      </c>
      <c r="G3809" s="56">
        <v>1804.5</v>
      </c>
      <c r="H3809" s="56">
        <v>1279.57</v>
      </c>
      <c r="I3809" s="58">
        <v>0.67345699999999997</v>
      </c>
      <c r="J3809" s="57">
        <v>0.443859</v>
      </c>
      <c r="K3809" s="56"/>
      <c r="L3809" s="56" t="s">
        <v>488</v>
      </c>
    </row>
    <row r="3810" spans="2:12" x14ac:dyDescent="0.2">
      <c r="B3810" s="62" t="s">
        <v>2022</v>
      </c>
      <c r="C3810" s="61" t="s">
        <v>561</v>
      </c>
      <c r="D3810" s="60">
        <v>1.0814600000000001</v>
      </c>
      <c r="E3810" s="59">
        <v>4.6162299999999998</v>
      </c>
      <c r="F3810" s="59">
        <v>5.4763099999999998</v>
      </c>
      <c r="G3810" s="56">
        <v>1812.31</v>
      </c>
      <c r="H3810" s="56">
        <v>1675.8</v>
      </c>
      <c r="I3810" s="58">
        <v>0.66033600000000003</v>
      </c>
      <c r="J3810" s="57">
        <v>0.58262899999999995</v>
      </c>
      <c r="K3810" s="56"/>
      <c r="L3810" s="56" t="s">
        <v>488</v>
      </c>
    </row>
    <row r="3811" spans="2:12" x14ac:dyDescent="0.2">
      <c r="B3811" s="62" t="s">
        <v>2021</v>
      </c>
      <c r="C3811" s="61" t="s">
        <v>531</v>
      </c>
      <c r="D3811" s="60">
        <v>1.5497000000000001</v>
      </c>
      <c r="E3811" s="59">
        <v>6.7222600000000003</v>
      </c>
      <c r="F3811" s="59">
        <v>7.0205500000000001</v>
      </c>
      <c r="G3811" s="56">
        <v>1432.24</v>
      </c>
      <c r="H3811" s="56">
        <v>924.202</v>
      </c>
      <c r="I3811" s="58">
        <v>0.60546900000000003</v>
      </c>
      <c r="J3811" s="57">
        <v>0.36806800000000001</v>
      </c>
      <c r="K3811" s="56"/>
      <c r="L3811" s="56" t="s">
        <v>488</v>
      </c>
    </row>
    <row r="3812" spans="2:12" x14ac:dyDescent="0.2">
      <c r="B3812" s="62" t="s">
        <v>2020</v>
      </c>
      <c r="C3812" s="61" t="s">
        <v>510</v>
      </c>
      <c r="D3812" s="60">
        <v>1.1468700000000001</v>
      </c>
      <c r="E3812" s="59">
        <v>4.0430400000000004</v>
      </c>
      <c r="F3812" s="59">
        <v>5.7241099999999996</v>
      </c>
      <c r="G3812" s="56">
        <v>664.31</v>
      </c>
      <c r="H3812" s="56">
        <v>579.24</v>
      </c>
      <c r="I3812" s="58">
        <v>0.371027</v>
      </c>
      <c r="J3812" s="57">
        <v>0.45014900000000002</v>
      </c>
      <c r="K3812" s="56"/>
      <c r="L3812" s="56" t="s">
        <v>488</v>
      </c>
    </row>
    <row r="3813" spans="2:12" x14ac:dyDescent="0.2">
      <c r="B3813" s="62" t="s">
        <v>2019</v>
      </c>
      <c r="C3813" s="61" t="s">
        <v>708</v>
      </c>
      <c r="D3813" s="60">
        <v>1.1703699999999999</v>
      </c>
      <c r="E3813" s="59">
        <v>3.8430300000000002</v>
      </c>
      <c r="F3813" s="59">
        <v>5.28043</v>
      </c>
      <c r="G3813" s="56">
        <v>515.48500000000001</v>
      </c>
      <c r="H3813" s="56">
        <v>440.44499999999999</v>
      </c>
      <c r="I3813" s="58">
        <v>0.35818899999999998</v>
      </c>
      <c r="J3813" s="57">
        <v>0.43912800000000002</v>
      </c>
      <c r="K3813" s="56"/>
      <c r="L3813" s="56" t="s">
        <v>488</v>
      </c>
    </row>
    <row r="3814" spans="2:12" x14ac:dyDescent="0.2">
      <c r="B3814" s="62" t="s">
        <v>2018</v>
      </c>
      <c r="C3814" s="61" t="s">
        <v>510</v>
      </c>
      <c r="D3814" s="60">
        <v>1.2717099999999999</v>
      </c>
      <c r="E3814" s="59">
        <v>4.0704099999999999</v>
      </c>
      <c r="F3814" s="59">
        <v>5.91615</v>
      </c>
      <c r="G3814" s="56">
        <v>489.86099999999999</v>
      </c>
      <c r="H3814" s="56">
        <v>385.19900000000001</v>
      </c>
      <c r="I3814" s="58">
        <v>0.44331999999999999</v>
      </c>
      <c r="J3814" s="57">
        <v>0.384934</v>
      </c>
      <c r="K3814" s="56"/>
      <c r="L3814" s="56" t="s">
        <v>492</v>
      </c>
    </row>
    <row r="3815" spans="2:12" x14ac:dyDescent="0.2">
      <c r="B3815" s="62" t="s">
        <v>2017</v>
      </c>
      <c r="C3815" s="61" t="s">
        <v>550</v>
      </c>
      <c r="D3815" s="60">
        <v>1.31707</v>
      </c>
      <c r="E3815" s="59">
        <v>4.1794900000000004</v>
      </c>
      <c r="F3815" s="59">
        <v>6.3017099999999999</v>
      </c>
      <c r="G3815" s="56">
        <v>516.49900000000002</v>
      </c>
      <c r="H3815" s="56">
        <v>392.15600000000001</v>
      </c>
      <c r="I3815" s="58">
        <v>0.44872000000000001</v>
      </c>
      <c r="J3815" s="57">
        <v>0.385907</v>
      </c>
      <c r="K3815" s="56"/>
      <c r="L3815" s="56" t="s">
        <v>492</v>
      </c>
    </row>
    <row r="3816" spans="2:12" x14ac:dyDescent="0.2">
      <c r="B3816" s="62" t="s">
        <v>2016</v>
      </c>
      <c r="C3816" s="61" t="s">
        <v>502</v>
      </c>
      <c r="D3816" s="60">
        <v>1.15974</v>
      </c>
      <c r="E3816" s="59">
        <v>3.3048099999999998</v>
      </c>
      <c r="F3816" s="59">
        <v>7.8249000000000004</v>
      </c>
      <c r="G3816" s="56">
        <v>0</v>
      </c>
      <c r="H3816" s="56">
        <v>0</v>
      </c>
      <c r="I3816" s="58">
        <v>0.380102</v>
      </c>
      <c r="J3816" s="57">
        <v>0.45816200000000001</v>
      </c>
      <c r="K3816" s="56"/>
      <c r="L3816" s="56" t="s">
        <v>488</v>
      </c>
    </row>
    <row r="3817" spans="2:12" x14ac:dyDescent="0.2">
      <c r="B3817" s="62" t="s">
        <v>2015</v>
      </c>
      <c r="C3817" s="61" t="s">
        <v>502</v>
      </c>
      <c r="D3817" s="60">
        <v>0.23723</v>
      </c>
      <c r="E3817" s="59">
        <v>12.93727</v>
      </c>
      <c r="F3817" s="59">
        <v>30.84703</v>
      </c>
      <c r="G3817" s="56">
        <v>1431.54</v>
      </c>
      <c r="H3817" s="56">
        <v>6034.4</v>
      </c>
      <c r="I3817" s="58">
        <v>0.93656399999999995</v>
      </c>
      <c r="J3817" s="57">
        <v>3.8075299999999999</v>
      </c>
      <c r="K3817" s="56"/>
      <c r="L3817" s="56" t="s">
        <v>488</v>
      </c>
    </row>
    <row r="3818" spans="2:12" x14ac:dyDescent="0.2">
      <c r="B3818" s="62" t="s">
        <v>2014</v>
      </c>
      <c r="C3818" s="61" t="s">
        <v>502</v>
      </c>
      <c r="D3818" s="60">
        <v>0.22212699999999999</v>
      </c>
      <c r="E3818" s="59">
        <v>13.58019</v>
      </c>
      <c r="F3818" s="59">
        <v>31.593160000000001</v>
      </c>
      <c r="G3818" s="56">
        <v>1372.78</v>
      </c>
      <c r="H3818" s="56">
        <v>6180.18</v>
      </c>
      <c r="I3818" s="58">
        <v>0.94296999999999997</v>
      </c>
      <c r="J3818" s="57">
        <v>4.0848100000000001</v>
      </c>
      <c r="K3818" s="56"/>
      <c r="L3818" s="56" t="s">
        <v>488</v>
      </c>
    </row>
    <row r="3819" spans="2:12" x14ac:dyDescent="0.2">
      <c r="B3819" s="62" t="s">
        <v>2013</v>
      </c>
      <c r="C3819" s="61" t="s">
        <v>510</v>
      </c>
      <c r="D3819" s="60">
        <v>0.85016499999999995</v>
      </c>
      <c r="E3819" s="59">
        <v>3.8895599999999999</v>
      </c>
      <c r="F3819" s="59">
        <v>15.36961</v>
      </c>
      <c r="G3819" s="56">
        <v>1419.77</v>
      </c>
      <c r="H3819" s="56">
        <v>1669.99</v>
      </c>
      <c r="I3819" s="58">
        <v>0.68585799999999997</v>
      </c>
      <c r="J3819" s="57">
        <v>0.77510400000000002</v>
      </c>
      <c r="K3819" s="56"/>
      <c r="L3819" s="56" t="s">
        <v>488</v>
      </c>
    </row>
    <row r="3820" spans="2:12" x14ac:dyDescent="0.2">
      <c r="B3820" s="62" t="s">
        <v>2012</v>
      </c>
      <c r="C3820" s="61" t="s">
        <v>499</v>
      </c>
      <c r="D3820" s="60">
        <v>0.73186499999999999</v>
      </c>
      <c r="E3820" s="59">
        <v>7.3748199999999997</v>
      </c>
      <c r="F3820" s="59">
        <v>8.6512200000000004</v>
      </c>
      <c r="G3820" s="56">
        <v>2321.04</v>
      </c>
      <c r="H3820" s="56">
        <v>3171.41</v>
      </c>
      <c r="I3820" s="58">
        <v>0.81761700000000004</v>
      </c>
      <c r="J3820" s="57">
        <v>1.0705499999999999</v>
      </c>
      <c r="K3820" s="56"/>
      <c r="L3820" s="56" t="s">
        <v>488</v>
      </c>
    </row>
    <row r="3821" spans="2:12" x14ac:dyDescent="0.2">
      <c r="B3821" s="62" t="s">
        <v>2011</v>
      </c>
      <c r="C3821" s="61" t="s">
        <v>499</v>
      </c>
      <c r="D3821" s="60">
        <v>1.2395700000000001</v>
      </c>
      <c r="E3821" s="59">
        <v>3.3152400000000002</v>
      </c>
      <c r="F3821" s="59">
        <v>5.9353800000000003</v>
      </c>
      <c r="G3821" s="56">
        <v>0</v>
      </c>
      <c r="H3821" s="56">
        <v>0</v>
      </c>
      <c r="I3821" s="58">
        <v>0.52857100000000001</v>
      </c>
      <c r="J3821" s="57">
        <v>0.51639299999999999</v>
      </c>
      <c r="K3821" s="56"/>
      <c r="L3821" s="56" t="s">
        <v>488</v>
      </c>
    </row>
    <row r="3822" spans="2:12" x14ac:dyDescent="0.2">
      <c r="B3822" s="62" t="s">
        <v>2010</v>
      </c>
      <c r="C3822" s="61" t="s">
        <v>499</v>
      </c>
      <c r="D3822" s="60">
        <v>0.78328399999999998</v>
      </c>
      <c r="E3822" s="59">
        <v>6.4962900000000001</v>
      </c>
      <c r="F3822" s="59">
        <v>8.5290800000000004</v>
      </c>
      <c r="G3822" s="56">
        <v>2426.3000000000002</v>
      </c>
      <c r="H3822" s="56">
        <v>3097.6</v>
      </c>
      <c r="I3822" s="58">
        <v>0.799535</v>
      </c>
      <c r="J3822" s="57">
        <v>0.98044200000000004</v>
      </c>
      <c r="K3822" s="56"/>
      <c r="L3822" s="56" t="s">
        <v>488</v>
      </c>
    </row>
    <row r="3823" spans="2:12" x14ac:dyDescent="0.2">
      <c r="B3823" s="62" t="s">
        <v>2009</v>
      </c>
      <c r="C3823" s="61" t="s">
        <v>499</v>
      </c>
      <c r="D3823" s="60">
        <v>0.74306399999999995</v>
      </c>
      <c r="E3823" s="59">
        <v>7.1355399999999998</v>
      </c>
      <c r="F3823" s="59">
        <v>8.9332100000000008</v>
      </c>
      <c r="G3823" s="56">
        <v>2369.38</v>
      </c>
      <c r="H3823" s="56">
        <v>3188.66</v>
      </c>
      <c r="I3823" s="58">
        <v>0.81461300000000003</v>
      </c>
      <c r="J3823" s="57">
        <v>1.05202</v>
      </c>
      <c r="K3823" s="56"/>
      <c r="L3823" s="56" t="s">
        <v>488</v>
      </c>
    </row>
    <row r="3824" spans="2:12" x14ac:dyDescent="0.2">
      <c r="B3824" s="62" t="s">
        <v>2008</v>
      </c>
      <c r="C3824" s="61" t="s">
        <v>708</v>
      </c>
      <c r="D3824" s="60">
        <v>1.1424000000000001</v>
      </c>
      <c r="E3824" s="59">
        <v>4.9316399999999998</v>
      </c>
      <c r="F3824" s="59">
        <v>5.5329600000000001</v>
      </c>
      <c r="G3824" s="56">
        <v>937.91099999999994</v>
      </c>
      <c r="H3824" s="56">
        <v>821.00199999999995</v>
      </c>
      <c r="I3824" s="58">
        <v>0.51033300000000004</v>
      </c>
      <c r="J3824" s="57">
        <v>0.48023900000000003</v>
      </c>
      <c r="K3824" s="56"/>
      <c r="L3824" s="56" t="s">
        <v>488</v>
      </c>
    </row>
    <row r="3825" spans="2:12" x14ac:dyDescent="0.2">
      <c r="B3825" s="62" t="s">
        <v>2007</v>
      </c>
      <c r="C3825" s="61" t="s">
        <v>510</v>
      </c>
      <c r="D3825" s="60">
        <v>1.00925</v>
      </c>
      <c r="E3825" s="59">
        <v>5.5355499999999997</v>
      </c>
      <c r="F3825" s="59">
        <v>6.1899499999999996</v>
      </c>
      <c r="G3825" s="56">
        <v>1231.8800000000001</v>
      </c>
      <c r="H3825" s="56">
        <v>1220.5999999999999</v>
      </c>
      <c r="I3825" s="58">
        <v>0.62146500000000005</v>
      </c>
      <c r="J3825" s="57">
        <v>0.58156600000000003</v>
      </c>
      <c r="K3825" s="56"/>
      <c r="L3825" s="56" t="s">
        <v>488</v>
      </c>
    </row>
    <row r="3826" spans="2:12" x14ac:dyDescent="0.2">
      <c r="B3826" s="62" t="s">
        <v>2006</v>
      </c>
      <c r="C3826" s="61" t="s">
        <v>495</v>
      </c>
      <c r="D3826" s="60">
        <v>0.96755199999999997</v>
      </c>
      <c r="E3826" s="59">
        <v>5.2239699999999996</v>
      </c>
      <c r="F3826" s="59">
        <v>7.6924999999999999</v>
      </c>
      <c r="G3826" s="56">
        <v>1184.07</v>
      </c>
      <c r="H3826" s="56">
        <v>1223.78</v>
      </c>
      <c r="I3826" s="58">
        <v>0.511212</v>
      </c>
      <c r="J3826" s="57">
        <v>0.59339799999999998</v>
      </c>
      <c r="K3826" s="56"/>
      <c r="L3826" s="56" t="s">
        <v>488</v>
      </c>
    </row>
    <row r="3827" spans="2:12" x14ac:dyDescent="0.2">
      <c r="B3827" s="62" t="s">
        <v>2005</v>
      </c>
      <c r="C3827" s="61" t="s">
        <v>499</v>
      </c>
      <c r="D3827" s="60">
        <v>0.70809800000000001</v>
      </c>
      <c r="E3827" s="59">
        <v>8.5693099999999998</v>
      </c>
      <c r="F3827" s="59">
        <v>10.07441</v>
      </c>
      <c r="G3827" s="56">
        <v>2178.6999999999998</v>
      </c>
      <c r="H3827" s="56">
        <v>3076.83</v>
      </c>
      <c r="I3827" s="58">
        <v>0.76467700000000005</v>
      </c>
      <c r="J3827" s="57">
        <v>1.0531299999999999</v>
      </c>
      <c r="K3827" s="56"/>
      <c r="L3827" s="56" t="s">
        <v>488</v>
      </c>
    </row>
    <row r="3828" spans="2:12" x14ac:dyDescent="0.2">
      <c r="B3828" s="62" t="s">
        <v>2004</v>
      </c>
      <c r="C3828" s="61" t="s">
        <v>859</v>
      </c>
      <c r="D3828" s="60">
        <v>1.47492</v>
      </c>
      <c r="E3828" s="59">
        <v>8.0285200000000003</v>
      </c>
      <c r="F3828" s="59">
        <v>8.8150999999999993</v>
      </c>
      <c r="G3828" s="56">
        <v>1271.78</v>
      </c>
      <c r="H3828" s="56">
        <v>862.27200000000005</v>
      </c>
      <c r="I3828" s="58">
        <v>0.53248600000000001</v>
      </c>
      <c r="J3828" s="57">
        <v>0.391621</v>
      </c>
      <c r="K3828" s="56"/>
      <c r="L3828" s="56" t="s">
        <v>488</v>
      </c>
    </row>
    <row r="3829" spans="2:12" x14ac:dyDescent="0.2">
      <c r="B3829" s="62" t="s">
        <v>2003</v>
      </c>
      <c r="C3829" s="61" t="s">
        <v>561</v>
      </c>
      <c r="D3829" s="60">
        <v>1.17608</v>
      </c>
      <c r="E3829" s="59">
        <v>8.1237700000000004</v>
      </c>
      <c r="F3829" s="59">
        <v>8.8165800000000001</v>
      </c>
      <c r="G3829" s="56">
        <v>1297.1199999999999</v>
      </c>
      <c r="H3829" s="56">
        <v>1102.9100000000001</v>
      </c>
      <c r="I3829" s="58">
        <v>0.54283300000000001</v>
      </c>
      <c r="J3829" s="57">
        <v>0.496336</v>
      </c>
      <c r="K3829" s="56"/>
      <c r="L3829" s="56" t="s">
        <v>488</v>
      </c>
    </row>
    <row r="3830" spans="2:12" x14ac:dyDescent="0.2">
      <c r="B3830" s="62" t="s">
        <v>2002</v>
      </c>
      <c r="C3830" s="61" t="s">
        <v>859</v>
      </c>
      <c r="D3830" s="60">
        <v>1.63113</v>
      </c>
      <c r="E3830" s="59">
        <v>8.37059</v>
      </c>
      <c r="F3830" s="59">
        <v>8.9514399999999998</v>
      </c>
      <c r="G3830" s="56">
        <v>1131.53</v>
      </c>
      <c r="H3830" s="56">
        <v>693.70899999999995</v>
      </c>
      <c r="I3830" s="58">
        <v>0.47445300000000001</v>
      </c>
      <c r="J3830" s="57">
        <v>0.33343699999999998</v>
      </c>
      <c r="K3830" s="56"/>
      <c r="L3830" s="56" t="s">
        <v>488</v>
      </c>
    </row>
    <row r="3831" spans="2:12" x14ac:dyDescent="0.2">
      <c r="B3831" s="62" t="s">
        <v>2001</v>
      </c>
      <c r="C3831" s="61" t="s">
        <v>561</v>
      </c>
      <c r="D3831" s="60">
        <v>1.3125100000000001</v>
      </c>
      <c r="E3831" s="59">
        <v>8.5208100000000009</v>
      </c>
      <c r="F3831" s="59">
        <v>9.1017200000000003</v>
      </c>
      <c r="G3831" s="56">
        <v>1144.8900000000001</v>
      </c>
      <c r="H3831" s="56">
        <v>872.29100000000005</v>
      </c>
      <c r="I3831" s="58">
        <v>0.48711700000000002</v>
      </c>
      <c r="J3831" s="57">
        <v>0.41811399999999999</v>
      </c>
      <c r="K3831" s="56"/>
      <c r="L3831" s="56" t="s">
        <v>488</v>
      </c>
    </row>
    <row r="3832" spans="2:12" x14ac:dyDescent="0.2">
      <c r="B3832" s="62" t="s">
        <v>2000</v>
      </c>
      <c r="C3832" s="61" t="s">
        <v>499</v>
      </c>
      <c r="D3832" s="60">
        <v>0.95167599999999997</v>
      </c>
      <c r="E3832" s="59">
        <v>5.3307700000000002</v>
      </c>
      <c r="F3832" s="59">
        <v>7.1431800000000001</v>
      </c>
      <c r="G3832" s="56">
        <v>1973.05</v>
      </c>
      <c r="H3832" s="56">
        <v>2073.2399999999998</v>
      </c>
      <c r="I3832" s="58">
        <v>0.61162799999999995</v>
      </c>
      <c r="J3832" s="57">
        <v>0.68467900000000004</v>
      </c>
      <c r="K3832" s="56"/>
      <c r="L3832" s="56" t="s">
        <v>488</v>
      </c>
    </row>
    <row r="3833" spans="2:12" x14ac:dyDescent="0.2">
      <c r="B3833" s="62" t="s">
        <v>1999</v>
      </c>
      <c r="C3833" s="61" t="s">
        <v>553</v>
      </c>
      <c r="D3833" s="60">
        <v>0.87359799999999999</v>
      </c>
      <c r="E3833" s="59">
        <v>4.0585699999999996</v>
      </c>
      <c r="F3833" s="59">
        <v>5.4276299999999997</v>
      </c>
      <c r="G3833" s="56">
        <v>1441.16</v>
      </c>
      <c r="H3833" s="56">
        <v>1649.68</v>
      </c>
      <c r="I3833" s="58">
        <v>0.58296800000000004</v>
      </c>
      <c r="J3833" s="57">
        <v>0.69750100000000004</v>
      </c>
      <c r="K3833" s="56"/>
      <c r="L3833" s="56" t="s">
        <v>488</v>
      </c>
    </row>
    <row r="3834" spans="2:12" x14ac:dyDescent="0.2">
      <c r="B3834" s="62" t="s">
        <v>1998</v>
      </c>
      <c r="C3834" s="61" t="s">
        <v>531</v>
      </c>
      <c r="D3834" s="60">
        <v>1.9343600000000001</v>
      </c>
      <c r="E3834" s="59">
        <v>2.6767500000000002</v>
      </c>
      <c r="F3834" s="59">
        <v>3.2888899999999999</v>
      </c>
      <c r="G3834" s="56">
        <v>0</v>
      </c>
      <c r="H3834" s="56">
        <v>0</v>
      </c>
      <c r="I3834" s="58">
        <v>0.102965</v>
      </c>
      <c r="J3834" s="57">
        <v>0.18177599999999999</v>
      </c>
      <c r="K3834" s="56"/>
      <c r="L3834" s="56" t="s">
        <v>488</v>
      </c>
    </row>
    <row r="3835" spans="2:12" x14ac:dyDescent="0.2">
      <c r="B3835" s="62" t="s">
        <v>1997</v>
      </c>
      <c r="C3835" s="61" t="s">
        <v>550</v>
      </c>
      <c r="D3835" s="60">
        <v>1.51085</v>
      </c>
      <c r="E3835" s="59">
        <v>2.5931500000000001</v>
      </c>
      <c r="F3835" s="59">
        <v>3.9906999999999999</v>
      </c>
      <c r="G3835" s="56">
        <v>0</v>
      </c>
      <c r="H3835" s="56">
        <v>0</v>
      </c>
      <c r="I3835" s="58">
        <v>0.44433</v>
      </c>
      <c r="J3835" s="57">
        <v>0.33095799999999997</v>
      </c>
      <c r="K3835" s="56"/>
      <c r="L3835" s="56" t="s">
        <v>488</v>
      </c>
    </row>
    <row r="3836" spans="2:12" x14ac:dyDescent="0.2">
      <c r="B3836" s="62" t="s">
        <v>1996</v>
      </c>
      <c r="C3836" s="61" t="s">
        <v>526</v>
      </c>
      <c r="D3836" s="60">
        <v>0.79422099999999995</v>
      </c>
      <c r="E3836" s="59">
        <v>3.6633900000000001</v>
      </c>
      <c r="F3836" s="59">
        <v>14.470470000000001</v>
      </c>
      <c r="G3836" s="56">
        <v>0</v>
      </c>
      <c r="H3836" s="56">
        <v>0</v>
      </c>
      <c r="I3836" s="58">
        <v>0.77426799999999996</v>
      </c>
      <c r="J3836" s="57">
        <v>0.90924199999999999</v>
      </c>
      <c r="K3836" s="56"/>
      <c r="L3836" s="56" t="s">
        <v>488</v>
      </c>
    </row>
    <row r="3837" spans="2:12" x14ac:dyDescent="0.2">
      <c r="B3837" s="62" t="s">
        <v>1995</v>
      </c>
      <c r="C3837" s="61" t="s">
        <v>612</v>
      </c>
      <c r="D3837" s="60">
        <v>0.98973299999999997</v>
      </c>
      <c r="E3837" s="59">
        <v>7.2119900000000001</v>
      </c>
      <c r="F3837" s="59">
        <v>7.7862499999999999</v>
      </c>
      <c r="G3837" s="56">
        <v>1571.14</v>
      </c>
      <c r="H3837" s="56">
        <v>1587.43</v>
      </c>
      <c r="I3837" s="58">
        <v>0.64291200000000004</v>
      </c>
      <c r="J3837" s="57">
        <v>0.64492700000000003</v>
      </c>
      <c r="K3837" s="56"/>
      <c r="L3837" s="56" t="s">
        <v>488</v>
      </c>
    </row>
    <row r="3838" spans="2:12" x14ac:dyDescent="0.2">
      <c r="B3838" s="62" t="s">
        <v>1994</v>
      </c>
      <c r="C3838" s="61" t="s">
        <v>612</v>
      </c>
      <c r="D3838" s="60">
        <v>0.99237500000000001</v>
      </c>
      <c r="E3838" s="59">
        <v>7.2347700000000001</v>
      </c>
      <c r="F3838" s="59">
        <v>7.7958499999999997</v>
      </c>
      <c r="G3838" s="56">
        <v>1569.64</v>
      </c>
      <c r="H3838" s="56">
        <v>1581.7</v>
      </c>
      <c r="I3838" s="58">
        <v>0.64366199999999996</v>
      </c>
      <c r="J3838" s="57">
        <v>0.64300599999999997</v>
      </c>
      <c r="K3838" s="56"/>
      <c r="L3838" s="56" t="s">
        <v>488</v>
      </c>
    </row>
    <row r="3839" spans="2:12" x14ac:dyDescent="0.2">
      <c r="B3839" s="62" t="s">
        <v>1993</v>
      </c>
      <c r="C3839" s="61" t="s">
        <v>1990</v>
      </c>
      <c r="D3839" s="60">
        <v>0.70220800000000005</v>
      </c>
      <c r="E3839" s="59">
        <v>8.5860800000000008</v>
      </c>
      <c r="F3839" s="59">
        <v>10.19056</v>
      </c>
      <c r="G3839" s="56">
        <v>2121.87</v>
      </c>
      <c r="H3839" s="56">
        <v>3021.71</v>
      </c>
      <c r="I3839" s="58">
        <v>0.77800000000000002</v>
      </c>
      <c r="J3839" s="57">
        <v>1.0536300000000001</v>
      </c>
      <c r="K3839" s="56"/>
      <c r="L3839" s="56" t="s">
        <v>488</v>
      </c>
    </row>
    <row r="3840" spans="2:12" x14ac:dyDescent="0.2">
      <c r="B3840" s="62" t="s">
        <v>1992</v>
      </c>
      <c r="C3840" s="61" t="s">
        <v>1990</v>
      </c>
      <c r="D3840" s="60">
        <v>0.81451200000000001</v>
      </c>
      <c r="E3840" s="59">
        <v>4.9852999999999996</v>
      </c>
      <c r="F3840" s="59">
        <v>6.3865699999999999</v>
      </c>
      <c r="G3840" s="56">
        <v>2247.02</v>
      </c>
      <c r="H3840" s="56">
        <v>2758.73</v>
      </c>
      <c r="I3840" s="58">
        <v>0.68645699999999998</v>
      </c>
      <c r="J3840" s="57">
        <v>0.83437399999999995</v>
      </c>
      <c r="K3840" s="56"/>
      <c r="L3840" s="56" t="s">
        <v>488</v>
      </c>
    </row>
    <row r="3841" spans="2:12" x14ac:dyDescent="0.2">
      <c r="B3841" s="62" t="s">
        <v>1991</v>
      </c>
      <c r="C3841" s="61" t="s">
        <v>1990</v>
      </c>
      <c r="D3841" s="60">
        <v>0.53410899999999994</v>
      </c>
      <c r="E3841" s="59">
        <v>10.03543</v>
      </c>
      <c r="F3841" s="59">
        <v>13.881959999999999</v>
      </c>
      <c r="G3841" s="56">
        <v>2033.81</v>
      </c>
      <c r="H3841" s="56">
        <v>3807.85</v>
      </c>
      <c r="I3841" s="58">
        <v>0.862479</v>
      </c>
      <c r="J3841" s="57">
        <v>1.48197</v>
      </c>
      <c r="K3841" s="56"/>
      <c r="L3841" s="56" t="s">
        <v>488</v>
      </c>
    </row>
    <row r="3842" spans="2:12" x14ac:dyDescent="0.2">
      <c r="B3842" s="62" t="s">
        <v>1989</v>
      </c>
      <c r="C3842" s="61" t="s">
        <v>690</v>
      </c>
      <c r="D3842" s="60">
        <v>1.9108799999999999</v>
      </c>
      <c r="E3842" s="59">
        <v>2.5639799999999999</v>
      </c>
      <c r="F3842" s="59">
        <v>4.0918200000000002</v>
      </c>
      <c r="G3842" s="56">
        <v>0</v>
      </c>
      <c r="H3842" s="56">
        <v>0</v>
      </c>
      <c r="I3842" s="58">
        <v>0.25158000000000003</v>
      </c>
      <c r="J3842" s="57">
        <v>0.24334600000000001</v>
      </c>
      <c r="K3842" s="56"/>
      <c r="L3842" s="56" t="s">
        <v>488</v>
      </c>
    </row>
    <row r="3843" spans="2:12" x14ac:dyDescent="0.2">
      <c r="B3843" s="62" t="s">
        <v>1988</v>
      </c>
      <c r="C3843" s="61" t="s">
        <v>690</v>
      </c>
      <c r="D3843" s="60">
        <v>2.05864</v>
      </c>
      <c r="E3843" s="59">
        <v>2.9815</v>
      </c>
      <c r="F3843" s="59">
        <v>3.71353</v>
      </c>
      <c r="G3843" s="56">
        <v>0</v>
      </c>
      <c r="H3843" s="56">
        <v>0</v>
      </c>
      <c r="I3843" s="58">
        <v>0.23225799999999999</v>
      </c>
      <c r="J3843" s="57">
        <v>0.21257499999999999</v>
      </c>
      <c r="K3843" s="56"/>
      <c r="L3843" s="56" t="s">
        <v>488</v>
      </c>
    </row>
    <row r="3844" spans="2:12" x14ac:dyDescent="0.2">
      <c r="B3844" s="62" t="s">
        <v>1987</v>
      </c>
      <c r="C3844" s="61" t="s">
        <v>1986</v>
      </c>
      <c r="D3844" s="60">
        <v>2.01139</v>
      </c>
      <c r="E3844" s="59">
        <v>3.0211199999999998</v>
      </c>
      <c r="F3844" s="59">
        <v>3.80992</v>
      </c>
      <c r="G3844" s="56">
        <v>0</v>
      </c>
      <c r="H3844" s="56">
        <v>0</v>
      </c>
      <c r="I3844" s="58">
        <v>0.25562499999999999</v>
      </c>
      <c r="J3844" s="57">
        <v>0.22873099999999999</v>
      </c>
      <c r="K3844" s="56"/>
      <c r="L3844" s="56" t="s">
        <v>488</v>
      </c>
    </row>
    <row r="3845" spans="2:12" x14ac:dyDescent="0.2">
      <c r="B3845" s="62" t="s">
        <v>1985</v>
      </c>
      <c r="C3845" s="61" t="s">
        <v>550</v>
      </c>
      <c r="D3845" s="60">
        <v>0.96313499999999996</v>
      </c>
      <c r="E3845" s="59">
        <v>7.3743299999999996</v>
      </c>
      <c r="F3845" s="59">
        <v>9.1752000000000002</v>
      </c>
      <c r="G3845" s="56">
        <v>1904.96</v>
      </c>
      <c r="H3845" s="56">
        <v>1977.87</v>
      </c>
      <c r="I3845" s="58">
        <v>0.61603799999999997</v>
      </c>
      <c r="J3845" s="57">
        <v>0.69570399999999999</v>
      </c>
      <c r="K3845" s="56"/>
      <c r="L3845" s="56" t="s">
        <v>488</v>
      </c>
    </row>
    <row r="3846" spans="2:12" x14ac:dyDescent="0.2">
      <c r="B3846" s="62" t="s">
        <v>1984</v>
      </c>
      <c r="C3846" s="61" t="s">
        <v>541</v>
      </c>
      <c r="D3846" s="60">
        <v>1.9488399999999999</v>
      </c>
      <c r="E3846" s="59">
        <v>2.5268299999999999</v>
      </c>
      <c r="F3846" s="59">
        <v>3.1446999999999998</v>
      </c>
      <c r="G3846" s="56">
        <v>0</v>
      </c>
      <c r="H3846" s="56">
        <v>0</v>
      </c>
      <c r="I3846" s="58">
        <v>0.12973399999999999</v>
      </c>
      <c r="J3846" s="57">
        <v>0.213203</v>
      </c>
      <c r="K3846" s="56"/>
      <c r="L3846" s="56" t="s">
        <v>730</v>
      </c>
    </row>
    <row r="3847" spans="2:12" x14ac:dyDescent="0.2">
      <c r="B3847" s="62" t="s">
        <v>1983</v>
      </c>
      <c r="C3847" s="61" t="s">
        <v>550</v>
      </c>
      <c r="D3847" s="60">
        <v>0.810307</v>
      </c>
      <c r="E3847" s="59">
        <v>9.5104000000000006</v>
      </c>
      <c r="F3847" s="59">
        <v>12.173690000000001</v>
      </c>
      <c r="G3847" s="56">
        <v>1600.3</v>
      </c>
      <c r="H3847" s="56">
        <v>1974.94</v>
      </c>
      <c r="I3847" s="58">
        <v>0.62902800000000003</v>
      </c>
      <c r="J3847" s="57">
        <v>0.82543</v>
      </c>
      <c r="K3847" s="56"/>
      <c r="L3847" s="56" t="s">
        <v>488</v>
      </c>
    </row>
    <row r="3848" spans="2:12" x14ac:dyDescent="0.2">
      <c r="B3848" s="62" t="s">
        <v>1982</v>
      </c>
      <c r="C3848" s="61" t="s">
        <v>561</v>
      </c>
      <c r="D3848" s="60">
        <v>1.64876</v>
      </c>
      <c r="E3848" s="59">
        <v>3.2521900000000001</v>
      </c>
      <c r="F3848" s="59">
        <v>4.0947800000000001</v>
      </c>
      <c r="G3848" s="56">
        <v>0</v>
      </c>
      <c r="H3848" s="56">
        <v>0</v>
      </c>
      <c r="I3848" s="58">
        <v>0.28957699999999997</v>
      </c>
      <c r="J3848" s="57">
        <v>0.27881600000000001</v>
      </c>
      <c r="K3848" s="56"/>
      <c r="L3848" s="56" t="s">
        <v>488</v>
      </c>
    </row>
    <row r="3849" spans="2:12" x14ac:dyDescent="0.2">
      <c r="B3849" s="62" t="s">
        <v>1981</v>
      </c>
      <c r="C3849" s="61" t="s">
        <v>859</v>
      </c>
      <c r="D3849" s="60">
        <v>2.02738</v>
      </c>
      <c r="E3849" s="59">
        <v>3.3060700000000001</v>
      </c>
      <c r="F3849" s="59">
        <v>4.1398700000000002</v>
      </c>
      <c r="G3849" s="56">
        <v>0</v>
      </c>
      <c r="H3849" s="56">
        <v>0</v>
      </c>
      <c r="I3849" s="58">
        <v>0.290321</v>
      </c>
      <c r="J3849" s="57">
        <v>0.229576</v>
      </c>
      <c r="K3849" s="56"/>
      <c r="L3849" s="56" t="s">
        <v>488</v>
      </c>
    </row>
    <row r="3850" spans="2:12" x14ac:dyDescent="0.2">
      <c r="B3850" s="62" t="s">
        <v>1980</v>
      </c>
      <c r="C3850" s="61" t="s">
        <v>1652</v>
      </c>
      <c r="D3850" s="60">
        <v>2.1412599999999999</v>
      </c>
      <c r="E3850" s="59">
        <v>3.1868099999999999</v>
      </c>
      <c r="F3850" s="59">
        <v>4.05966</v>
      </c>
      <c r="G3850" s="56">
        <v>0</v>
      </c>
      <c r="H3850" s="56">
        <v>0</v>
      </c>
      <c r="I3850" s="58">
        <v>0.27997100000000003</v>
      </c>
      <c r="J3850" s="57">
        <v>0.21171200000000001</v>
      </c>
      <c r="K3850" s="56"/>
      <c r="L3850" s="56" t="s">
        <v>488</v>
      </c>
    </row>
    <row r="3851" spans="2:12" x14ac:dyDescent="0.2">
      <c r="B3851" s="62" t="s">
        <v>1979</v>
      </c>
      <c r="C3851" s="61" t="s">
        <v>550</v>
      </c>
      <c r="D3851" s="60">
        <v>2.0313599999999998</v>
      </c>
      <c r="E3851" s="59">
        <v>2.4811800000000002</v>
      </c>
      <c r="F3851" s="59">
        <v>3.58684</v>
      </c>
      <c r="G3851" s="56">
        <v>0</v>
      </c>
      <c r="H3851" s="56">
        <v>0</v>
      </c>
      <c r="I3851" s="58">
        <v>0.114139</v>
      </c>
      <c r="J3851" s="57">
        <v>0.19439400000000001</v>
      </c>
      <c r="K3851" s="56"/>
      <c r="L3851" s="56" t="s">
        <v>488</v>
      </c>
    </row>
    <row r="3852" spans="2:12" x14ac:dyDescent="0.2">
      <c r="B3852" s="62" t="s">
        <v>1978</v>
      </c>
      <c r="C3852" s="61" t="s">
        <v>632</v>
      </c>
      <c r="D3852" s="60">
        <v>1.7117599999999999</v>
      </c>
      <c r="E3852" s="59">
        <v>2.5711900000000001</v>
      </c>
      <c r="F3852" s="59">
        <v>2.8386499999999999</v>
      </c>
      <c r="G3852" s="56">
        <v>0</v>
      </c>
      <c r="H3852" s="56">
        <v>0</v>
      </c>
      <c r="I3852" s="58">
        <v>0.10093299999999999</v>
      </c>
      <c r="J3852" s="57">
        <v>0.23775199999999999</v>
      </c>
      <c r="K3852" s="56"/>
      <c r="L3852" s="56" t="s">
        <v>488</v>
      </c>
    </row>
    <row r="3853" spans="2:12" x14ac:dyDescent="0.2">
      <c r="B3853" s="62" t="s">
        <v>1977</v>
      </c>
      <c r="C3853" s="61" t="s">
        <v>550</v>
      </c>
      <c r="D3853" s="60">
        <v>0.70879899999999996</v>
      </c>
      <c r="E3853" s="59">
        <v>6.7068000000000003</v>
      </c>
      <c r="F3853" s="59">
        <v>10.133599999999999</v>
      </c>
      <c r="G3853" s="56">
        <v>2151.2800000000002</v>
      </c>
      <c r="H3853" s="56">
        <v>3035.11</v>
      </c>
      <c r="I3853" s="58">
        <v>0.78956499999999996</v>
      </c>
      <c r="J3853" s="57">
        <v>1.03962</v>
      </c>
      <c r="K3853" s="56"/>
      <c r="L3853" s="56" t="s">
        <v>488</v>
      </c>
    </row>
    <row r="3854" spans="2:12" x14ac:dyDescent="0.2">
      <c r="B3854" s="62" t="s">
        <v>1976</v>
      </c>
      <c r="C3854" s="61" t="s">
        <v>526</v>
      </c>
      <c r="D3854" s="60">
        <v>0.419881</v>
      </c>
      <c r="E3854" s="59">
        <v>11.866350000000001</v>
      </c>
      <c r="F3854" s="59">
        <v>18.760860000000001</v>
      </c>
      <c r="G3854" s="56">
        <v>1742.99</v>
      </c>
      <c r="H3854" s="56">
        <v>4151.1400000000003</v>
      </c>
      <c r="I3854" s="58">
        <v>0.89705199999999996</v>
      </c>
      <c r="J3854" s="57">
        <v>2.0062899999999999</v>
      </c>
      <c r="K3854" s="56"/>
      <c r="L3854" s="56" t="s">
        <v>488</v>
      </c>
    </row>
    <row r="3855" spans="2:12" x14ac:dyDescent="0.2">
      <c r="B3855" s="62" t="s">
        <v>1975</v>
      </c>
      <c r="C3855" s="61" t="s">
        <v>1384</v>
      </c>
      <c r="D3855" s="60">
        <v>1.16245</v>
      </c>
      <c r="E3855" s="59">
        <v>3.4918100000000001</v>
      </c>
      <c r="F3855" s="59">
        <v>5.5290400000000002</v>
      </c>
      <c r="G3855" s="56">
        <v>0</v>
      </c>
      <c r="H3855" s="56">
        <v>0</v>
      </c>
      <c r="I3855" s="58">
        <v>0.26597399999999999</v>
      </c>
      <c r="J3855" s="57">
        <v>0.41916700000000001</v>
      </c>
      <c r="K3855" s="56"/>
      <c r="L3855" s="56" t="s">
        <v>488</v>
      </c>
    </row>
    <row r="3856" spans="2:12" x14ac:dyDescent="0.2">
      <c r="B3856" s="62" t="s">
        <v>1974</v>
      </c>
      <c r="C3856" s="61" t="s">
        <v>531</v>
      </c>
      <c r="D3856" s="60">
        <v>1.2109000000000001</v>
      </c>
      <c r="E3856" s="59">
        <v>4.2639300000000002</v>
      </c>
      <c r="F3856" s="59">
        <v>6.5302899999999999</v>
      </c>
      <c r="G3856" s="56">
        <v>1609.58</v>
      </c>
      <c r="H3856" s="56">
        <v>1329.24</v>
      </c>
      <c r="I3856" s="58">
        <v>0.61658500000000005</v>
      </c>
      <c r="J3856" s="57">
        <v>0.51436499999999996</v>
      </c>
      <c r="K3856" s="56"/>
      <c r="L3856" s="56" t="s">
        <v>488</v>
      </c>
    </row>
    <row r="3857" spans="2:12" x14ac:dyDescent="0.2">
      <c r="B3857" s="62" t="s">
        <v>1973</v>
      </c>
      <c r="C3857" s="61" t="s">
        <v>531</v>
      </c>
      <c r="D3857" s="60">
        <v>1.72217</v>
      </c>
      <c r="E3857" s="59">
        <v>3.8237000000000001</v>
      </c>
      <c r="F3857" s="59">
        <v>4.9458200000000003</v>
      </c>
      <c r="G3857" s="56">
        <v>302.33699999999999</v>
      </c>
      <c r="H3857" s="56">
        <v>175.55600000000001</v>
      </c>
      <c r="I3857" s="58">
        <v>0.24690000000000001</v>
      </c>
      <c r="J3857" s="57">
        <v>0.28797</v>
      </c>
      <c r="K3857" s="56"/>
      <c r="L3857" s="56" t="s">
        <v>492</v>
      </c>
    </row>
    <row r="3858" spans="2:12" x14ac:dyDescent="0.2">
      <c r="B3858" s="62" t="s">
        <v>1972</v>
      </c>
      <c r="C3858" s="61" t="s">
        <v>616</v>
      </c>
      <c r="D3858" s="60">
        <v>2.2117200000000001</v>
      </c>
      <c r="E3858" s="59">
        <v>3.2993800000000002</v>
      </c>
      <c r="F3858" s="59">
        <v>3.9249299999999998</v>
      </c>
      <c r="G3858" s="56">
        <v>0</v>
      </c>
      <c r="H3858" s="56">
        <v>0</v>
      </c>
      <c r="I3858" s="58">
        <v>7.5604000000000005E-2</v>
      </c>
      <c r="J3858" s="57">
        <v>0.17371800000000001</v>
      </c>
      <c r="K3858" s="56"/>
      <c r="L3858" s="56" t="s">
        <v>488</v>
      </c>
    </row>
    <row r="3859" spans="2:12" x14ac:dyDescent="0.2">
      <c r="B3859" s="62" t="s">
        <v>1971</v>
      </c>
      <c r="C3859" s="61" t="s">
        <v>1970</v>
      </c>
      <c r="D3859" s="60">
        <v>1.6855500000000001</v>
      </c>
      <c r="E3859" s="59">
        <v>3.0269400000000002</v>
      </c>
      <c r="F3859" s="59">
        <v>3.8012199999999998</v>
      </c>
      <c r="G3859" s="56">
        <v>0</v>
      </c>
      <c r="H3859" s="56">
        <v>0</v>
      </c>
      <c r="I3859" s="58">
        <v>0.25901299999999999</v>
      </c>
      <c r="J3859" s="57">
        <v>0.25306200000000001</v>
      </c>
      <c r="K3859" s="56"/>
      <c r="L3859" s="56" t="s">
        <v>488</v>
      </c>
    </row>
    <row r="3860" spans="2:12" x14ac:dyDescent="0.2">
      <c r="B3860" s="62" t="s">
        <v>1969</v>
      </c>
      <c r="C3860" s="61" t="s">
        <v>529</v>
      </c>
      <c r="D3860" s="60">
        <v>1.0221199999999999</v>
      </c>
      <c r="E3860" s="59">
        <v>4.7337699999999998</v>
      </c>
      <c r="F3860" s="59">
        <v>5.3806599999999998</v>
      </c>
      <c r="G3860" s="56">
        <v>1432.37</v>
      </c>
      <c r="H3860" s="56">
        <v>1401.37</v>
      </c>
      <c r="I3860" s="58">
        <v>0.50992099999999996</v>
      </c>
      <c r="J3860" s="57">
        <v>0.57860500000000004</v>
      </c>
      <c r="K3860" s="56"/>
      <c r="L3860" s="56" t="s">
        <v>488</v>
      </c>
    </row>
    <row r="3861" spans="2:12" x14ac:dyDescent="0.2">
      <c r="B3861" s="62" t="s">
        <v>1968</v>
      </c>
      <c r="C3861" s="61" t="s">
        <v>1967</v>
      </c>
      <c r="D3861" s="60">
        <v>1.61069</v>
      </c>
      <c r="E3861" s="59">
        <v>3.6646000000000001</v>
      </c>
      <c r="F3861" s="59">
        <v>4.4158799999999996</v>
      </c>
      <c r="G3861" s="56">
        <v>0</v>
      </c>
      <c r="H3861" s="56">
        <v>0</v>
      </c>
      <c r="I3861" s="58">
        <v>0.25234400000000001</v>
      </c>
      <c r="J3861" s="57">
        <v>0.26458900000000002</v>
      </c>
      <c r="K3861" s="56"/>
      <c r="L3861" s="56" t="s">
        <v>488</v>
      </c>
    </row>
    <row r="3862" spans="2:12" x14ac:dyDescent="0.2">
      <c r="B3862" s="62" t="s">
        <v>1966</v>
      </c>
      <c r="C3862" s="61" t="s">
        <v>1965</v>
      </c>
      <c r="D3862" s="60">
        <v>1.9556199999999999</v>
      </c>
      <c r="E3862" s="59">
        <v>3.83047</v>
      </c>
      <c r="F3862" s="59">
        <v>4.3097200000000004</v>
      </c>
      <c r="G3862" s="56">
        <v>62.911700000000003</v>
      </c>
      <c r="H3862" s="56">
        <v>32.169699999999999</v>
      </c>
      <c r="I3862" s="58">
        <v>8.4839100000000001E-2</v>
      </c>
      <c r="J3862" s="57">
        <v>0.21366599999999999</v>
      </c>
      <c r="K3862" s="56"/>
      <c r="L3862" s="56" t="s">
        <v>488</v>
      </c>
    </row>
    <row r="3863" spans="2:12" x14ac:dyDescent="0.2">
      <c r="B3863" s="62" t="s">
        <v>1964</v>
      </c>
      <c r="C3863" s="61" t="s">
        <v>502</v>
      </c>
      <c r="D3863" s="60">
        <v>1.49318</v>
      </c>
      <c r="E3863" s="59">
        <v>3.5350899999999998</v>
      </c>
      <c r="F3863" s="59">
        <v>4.9854900000000004</v>
      </c>
      <c r="G3863" s="56">
        <v>0</v>
      </c>
      <c r="H3863" s="56">
        <v>0</v>
      </c>
      <c r="I3863" s="58">
        <v>0.26765099999999997</v>
      </c>
      <c r="J3863" s="57">
        <v>0.31120999999999999</v>
      </c>
      <c r="K3863" s="56"/>
      <c r="L3863" s="56" t="s">
        <v>488</v>
      </c>
    </row>
    <row r="3864" spans="2:12" x14ac:dyDescent="0.2">
      <c r="B3864" s="62" t="s">
        <v>1963</v>
      </c>
      <c r="C3864" s="61" t="s">
        <v>1962</v>
      </c>
      <c r="D3864" s="60">
        <v>1.7002999999999999</v>
      </c>
      <c r="E3864" s="59">
        <v>2.8334899999999998</v>
      </c>
      <c r="F3864" s="59">
        <v>4.4355099999999998</v>
      </c>
      <c r="G3864" s="56">
        <v>0</v>
      </c>
      <c r="H3864" s="56">
        <v>0</v>
      </c>
      <c r="I3864" s="58">
        <v>0.18563499999999999</v>
      </c>
      <c r="J3864" s="57">
        <v>0.23405100000000001</v>
      </c>
      <c r="K3864" s="56"/>
      <c r="L3864" s="56" t="s">
        <v>492</v>
      </c>
    </row>
    <row r="3865" spans="2:12" x14ac:dyDescent="0.2">
      <c r="B3865" s="62" t="s">
        <v>1961</v>
      </c>
      <c r="C3865" s="61" t="s">
        <v>1960</v>
      </c>
      <c r="D3865" s="60">
        <v>1.87965</v>
      </c>
      <c r="E3865" s="59">
        <v>2.5343</v>
      </c>
      <c r="F3865" s="59">
        <v>4.1314799999999998</v>
      </c>
      <c r="G3865" s="56">
        <v>0</v>
      </c>
      <c r="H3865" s="56">
        <v>0</v>
      </c>
      <c r="I3865" s="58">
        <v>0.15576799999999999</v>
      </c>
      <c r="J3865" s="57">
        <v>0.190999</v>
      </c>
      <c r="K3865" s="56"/>
      <c r="L3865" s="56" t="s">
        <v>492</v>
      </c>
    </row>
    <row r="3866" spans="2:12" x14ac:dyDescent="0.2">
      <c r="B3866" s="62" t="s">
        <v>1959</v>
      </c>
      <c r="C3866" s="61" t="s">
        <v>499</v>
      </c>
      <c r="D3866" s="60">
        <v>0.69376300000000002</v>
      </c>
      <c r="E3866" s="59">
        <v>6.7101800000000003</v>
      </c>
      <c r="F3866" s="59">
        <v>19.232959999999999</v>
      </c>
      <c r="G3866" s="56">
        <v>2041.86</v>
      </c>
      <c r="H3866" s="56">
        <v>2943.17</v>
      </c>
      <c r="I3866" s="58">
        <v>0.83559399999999995</v>
      </c>
      <c r="J3866" s="57">
        <v>1.0934299999999999</v>
      </c>
      <c r="K3866" s="56"/>
      <c r="L3866" s="56" t="s">
        <v>488</v>
      </c>
    </row>
    <row r="3867" spans="2:12" x14ac:dyDescent="0.2">
      <c r="B3867" s="62" t="s">
        <v>1958</v>
      </c>
      <c r="C3867" s="61" t="s">
        <v>489</v>
      </c>
      <c r="D3867" s="60">
        <v>1.12835</v>
      </c>
      <c r="E3867" s="59">
        <v>4.4130900000000004</v>
      </c>
      <c r="F3867" s="59">
        <v>5.3783899999999996</v>
      </c>
      <c r="G3867" s="56">
        <v>1348.72</v>
      </c>
      <c r="H3867" s="56">
        <v>1195.3</v>
      </c>
      <c r="I3867" s="58">
        <v>0.42841000000000001</v>
      </c>
      <c r="J3867" s="57">
        <v>0.52017000000000002</v>
      </c>
      <c r="K3867" s="56"/>
      <c r="L3867" s="56" t="s">
        <v>488</v>
      </c>
    </row>
    <row r="3868" spans="2:12" x14ac:dyDescent="0.2">
      <c r="B3868" s="62" t="s">
        <v>1957</v>
      </c>
      <c r="C3868" s="61" t="s">
        <v>550</v>
      </c>
      <c r="D3868" s="60">
        <v>1.12643</v>
      </c>
      <c r="E3868" s="59">
        <v>3.3839399999999999</v>
      </c>
      <c r="F3868" s="59">
        <v>7.1477500000000003</v>
      </c>
      <c r="G3868" s="56">
        <v>0</v>
      </c>
      <c r="H3868" s="56">
        <v>0</v>
      </c>
      <c r="I3868" s="58">
        <v>0.414964</v>
      </c>
      <c r="J3868" s="57">
        <v>0.48231400000000002</v>
      </c>
      <c r="K3868" s="56"/>
      <c r="L3868" s="56" t="s">
        <v>492</v>
      </c>
    </row>
    <row r="3869" spans="2:12" x14ac:dyDescent="0.2">
      <c r="B3869" s="62" t="s">
        <v>1956</v>
      </c>
      <c r="C3869" s="61" t="s">
        <v>550</v>
      </c>
      <c r="D3869" s="60">
        <v>1.2687999999999999</v>
      </c>
      <c r="E3869" s="59">
        <v>5.2568099999999998</v>
      </c>
      <c r="F3869" s="59">
        <v>6.2320700000000002</v>
      </c>
      <c r="G3869" s="56">
        <v>960.57100000000003</v>
      </c>
      <c r="H3869" s="56">
        <v>757.07299999999998</v>
      </c>
      <c r="I3869" s="58">
        <v>0.39436199999999999</v>
      </c>
      <c r="J3869" s="57">
        <v>0.42398200000000003</v>
      </c>
      <c r="K3869" s="56"/>
      <c r="L3869" s="56" t="s">
        <v>488</v>
      </c>
    </row>
    <row r="3870" spans="2:12" x14ac:dyDescent="0.2">
      <c r="B3870" s="62" t="s">
        <v>1955</v>
      </c>
      <c r="C3870" s="61" t="s">
        <v>550</v>
      </c>
      <c r="D3870" s="60">
        <v>1.5800399999999999</v>
      </c>
      <c r="E3870" s="59">
        <v>3.0774900000000001</v>
      </c>
      <c r="F3870" s="59">
        <v>4.0500400000000001</v>
      </c>
      <c r="G3870" s="56">
        <v>0</v>
      </c>
      <c r="H3870" s="56">
        <v>0</v>
      </c>
      <c r="I3870" s="58">
        <v>0.34864899999999999</v>
      </c>
      <c r="J3870" s="57">
        <v>0.32885900000000001</v>
      </c>
      <c r="K3870" s="56"/>
      <c r="L3870" s="56" t="s">
        <v>492</v>
      </c>
    </row>
    <row r="3871" spans="2:12" x14ac:dyDescent="0.2">
      <c r="B3871" s="62" t="s">
        <v>1954</v>
      </c>
      <c r="C3871" s="61" t="s">
        <v>510</v>
      </c>
      <c r="D3871" s="60">
        <v>0.72383900000000001</v>
      </c>
      <c r="E3871" s="59">
        <v>8.1783900000000003</v>
      </c>
      <c r="F3871" s="59">
        <v>9.6953200000000006</v>
      </c>
      <c r="G3871" s="56">
        <v>1679.26</v>
      </c>
      <c r="H3871" s="56">
        <v>2319.94</v>
      </c>
      <c r="I3871" s="58">
        <v>0.70996199999999998</v>
      </c>
      <c r="J3871" s="57">
        <v>0.96689199999999997</v>
      </c>
      <c r="K3871" s="56"/>
      <c r="L3871" s="56" t="s">
        <v>488</v>
      </c>
    </row>
    <row r="3872" spans="2:12" x14ac:dyDescent="0.2">
      <c r="B3872" s="62" t="s">
        <v>1953</v>
      </c>
      <c r="C3872" s="61" t="s">
        <v>499</v>
      </c>
      <c r="D3872" s="60">
        <v>1.1939900000000001</v>
      </c>
      <c r="E3872" s="59">
        <v>8.0230099999999993</v>
      </c>
      <c r="F3872" s="59">
        <v>8.6538299999999992</v>
      </c>
      <c r="G3872" s="56">
        <v>1629.56</v>
      </c>
      <c r="H3872" s="56">
        <v>1364.8</v>
      </c>
      <c r="I3872" s="58">
        <v>0.64434100000000005</v>
      </c>
      <c r="J3872" s="57">
        <v>0.56500099999999998</v>
      </c>
      <c r="K3872" s="56"/>
      <c r="L3872" s="56" t="s">
        <v>488</v>
      </c>
    </row>
    <row r="3873" spans="2:12" x14ac:dyDescent="0.2">
      <c r="B3873" s="62" t="s">
        <v>1952</v>
      </c>
      <c r="C3873" s="61" t="s">
        <v>499</v>
      </c>
      <c r="D3873" s="60">
        <v>1.2172000000000001</v>
      </c>
      <c r="E3873" s="59">
        <v>7.5702199999999999</v>
      </c>
      <c r="F3873" s="59">
        <v>8.2069299999999998</v>
      </c>
      <c r="G3873" s="56">
        <v>1594.98</v>
      </c>
      <c r="H3873" s="56">
        <v>1310.3699999999999</v>
      </c>
      <c r="I3873" s="58">
        <v>0.63146599999999997</v>
      </c>
      <c r="J3873" s="57">
        <v>0.54833299999999996</v>
      </c>
      <c r="K3873" s="56"/>
      <c r="L3873" s="56" t="s">
        <v>488</v>
      </c>
    </row>
    <row r="3874" spans="2:12" x14ac:dyDescent="0.2">
      <c r="B3874" s="62" t="s">
        <v>1951</v>
      </c>
      <c r="C3874" s="61" t="s">
        <v>523</v>
      </c>
      <c r="D3874" s="60">
        <v>1.15595</v>
      </c>
      <c r="E3874" s="59">
        <v>3.1234700000000002</v>
      </c>
      <c r="F3874" s="59">
        <v>4.0582900000000004</v>
      </c>
      <c r="G3874" s="56">
        <v>0</v>
      </c>
      <c r="H3874" s="56">
        <v>0</v>
      </c>
      <c r="I3874" s="58">
        <v>0.35128999999999999</v>
      </c>
      <c r="J3874" s="57">
        <v>0.42245199999999999</v>
      </c>
      <c r="K3874" s="56"/>
      <c r="L3874" s="56" t="s">
        <v>488</v>
      </c>
    </row>
    <row r="3875" spans="2:12" x14ac:dyDescent="0.2">
      <c r="B3875" s="62" t="s">
        <v>1950</v>
      </c>
      <c r="C3875" s="61" t="s">
        <v>507</v>
      </c>
      <c r="D3875" s="60">
        <v>1.2452399999999999</v>
      </c>
      <c r="E3875" s="59">
        <v>4.9206099999999999</v>
      </c>
      <c r="F3875" s="59">
        <v>6.2539300000000004</v>
      </c>
      <c r="G3875" s="56">
        <v>697.93100000000004</v>
      </c>
      <c r="H3875" s="56">
        <v>560.47699999999998</v>
      </c>
      <c r="I3875" s="58">
        <v>0.43705500000000003</v>
      </c>
      <c r="J3875" s="57">
        <v>0.40936899999999998</v>
      </c>
      <c r="K3875" s="56"/>
      <c r="L3875" s="56" t="s">
        <v>488</v>
      </c>
    </row>
    <row r="3876" spans="2:12" x14ac:dyDescent="0.2">
      <c r="B3876" s="62" t="s">
        <v>1949</v>
      </c>
      <c r="C3876" s="61" t="s">
        <v>526</v>
      </c>
      <c r="D3876" s="60">
        <v>1.2113799999999999</v>
      </c>
      <c r="E3876" s="59">
        <v>5.6691799999999999</v>
      </c>
      <c r="F3876" s="59">
        <v>6.1791999999999998</v>
      </c>
      <c r="G3876" s="56">
        <v>712.32299999999998</v>
      </c>
      <c r="H3876" s="56">
        <v>588.024</v>
      </c>
      <c r="I3876" s="58">
        <v>0.40794000000000002</v>
      </c>
      <c r="J3876" s="57">
        <v>0.44587199999999999</v>
      </c>
      <c r="K3876" s="56"/>
      <c r="L3876" s="56" t="s">
        <v>624</v>
      </c>
    </row>
    <row r="3877" spans="2:12" x14ac:dyDescent="0.2">
      <c r="B3877" s="62" t="s">
        <v>1948</v>
      </c>
      <c r="C3877" s="61" t="s">
        <v>499</v>
      </c>
      <c r="D3877" s="60">
        <v>1.2304600000000001</v>
      </c>
      <c r="E3877" s="59">
        <v>7.3917200000000003</v>
      </c>
      <c r="F3877" s="59">
        <v>8.1134799999999991</v>
      </c>
      <c r="G3877" s="56">
        <v>1588.21</v>
      </c>
      <c r="H3877" s="56">
        <v>1290.74</v>
      </c>
      <c r="I3877" s="58">
        <v>0.62902499999999995</v>
      </c>
      <c r="J3877" s="57">
        <v>0.53925299999999998</v>
      </c>
      <c r="K3877" s="56"/>
      <c r="L3877" s="56" t="s">
        <v>488</v>
      </c>
    </row>
    <row r="3878" spans="2:12" x14ac:dyDescent="0.2">
      <c r="B3878" s="62" t="s">
        <v>1947</v>
      </c>
      <c r="C3878" s="61" t="s">
        <v>579</v>
      </c>
      <c r="D3878" s="60">
        <v>1.0009399999999999</v>
      </c>
      <c r="E3878" s="59">
        <v>5.2828799999999996</v>
      </c>
      <c r="F3878" s="59">
        <v>6.9779900000000001</v>
      </c>
      <c r="G3878" s="56">
        <v>1967.85</v>
      </c>
      <c r="H3878" s="56">
        <v>1965.99</v>
      </c>
      <c r="I3878" s="58">
        <v>0.642096</v>
      </c>
      <c r="J3878" s="57">
        <v>0.66884900000000003</v>
      </c>
      <c r="K3878" s="56" t="s">
        <v>1946</v>
      </c>
      <c r="L3878" s="56" t="s">
        <v>563</v>
      </c>
    </row>
    <row r="3879" spans="2:12" x14ac:dyDescent="0.2">
      <c r="B3879" s="62" t="s">
        <v>1945</v>
      </c>
      <c r="C3879" s="61" t="s">
        <v>502</v>
      </c>
      <c r="D3879" s="60">
        <v>0.88297599999999998</v>
      </c>
      <c r="E3879" s="59">
        <v>6.5510400000000004</v>
      </c>
      <c r="F3879" s="59">
        <v>11.07564</v>
      </c>
      <c r="G3879" s="56">
        <v>1951.66</v>
      </c>
      <c r="H3879" s="56">
        <v>2210.3200000000002</v>
      </c>
      <c r="I3879" s="58">
        <v>0.75347200000000003</v>
      </c>
      <c r="J3879" s="57">
        <v>0.81446399999999997</v>
      </c>
      <c r="K3879" s="56" t="s">
        <v>636</v>
      </c>
      <c r="L3879" s="56" t="s">
        <v>1691</v>
      </c>
    </row>
    <row r="3880" spans="2:12" x14ac:dyDescent="0.2">
      <c r="B3880" s="62" t="s">
        <v>1944</v>
      </c>
      <c r="C3880" s="61" t="s">
        <v>502</v>
      </c>
      <c r="D3880" s="60">
        <v>0.88151000000000002</v>
      </c>
      <c r="E3880" s="59">
        <v>6.56576</v>
      </c>
      <c r="F3880" s="59">
        <v>13.179589999999999</v>
      </c>
      <c r="G3880" s="56">
        <v>1890.62</v>
      </c>
      <c r="H3880" s="56">
        <v>2144.75</v>
      </c>
      <c r="I3880" s="58">
        <v>0.76292099999999996</v>
      </c>
      <c r="J3880" s="57">
        <v>0.81817200000000001</v>
      </c>
      <c r="K3880" s="56" t="s">
        <v>636</v>
      </c>
      <c r="L3880" s="56" t="s">
        <v>1691</v>
      </c>
    </row>
    <row r="3881" spans="2:12" x14ac:dyDescent="0.2">
      <c r="B3881" s="62" t="s">
        <v>1943</v>
      </c>
      <c r="C3881" s="61" t="s">
        <v>502</v>
      </c>
      <c r="D3881" s="60">
        <v>0.87992099999999995</v>
      </c>
      <c r="E3881" s="59">
        <v>6.6216200000000001</v>
      </c>
      <c r="F3881" s="59">
        <v>13.20026</v>
      </c>
      <c r="G3881" s="56">
        <v>1923.4</v>
      </c>
      <c r="H3881" s="56">
        <v>2185.88</v>
      </c>
      <c r="I3881" s="58">
        <v>0.76437500000000003</v>
      </c>
      <c r="J3881" s="57">
        <v>0.82069800000000004</v>
      </c>
      <c r="K3881" s="56" t="s">
        <v>636</v>
      </c>
      <c r="L3881" s="56" t="s">
        <v>1691</v>
      </c>
    </row>
    <row r="3882" spans="2:12" x14ac:dyDescent="0.2">
      <c r="B3882" s="62" t="s">
        <v>1942</v>
      </c>
      <c r="C3882" s="61" t="s">
        <v>502</v>
      </c>
      <c r="D3882" s="60">
        <v>0.88101300000000005</v>
      </c>
      <c r="E3882" s="59">
        <v>6.6398200000000003</v>
      </c>
      <c r="F3882" s="59">
        <v>13.1935</v>
      </c>
      <c r="G3882" s="56">
        <v>1925.45</v>
      </c>
      <c r="H3882" s="56">
        <v>2185.5</v>
      </c>
      <c r="I3882" s="58">
        <v>0.76356000000000002</v>
      </c>
      <c r="J3882" s="57">
        <v>0.81989900000000004</v>
      </c>
      <c r="K3882" s="56" t="s">
        <v>636</v>
      </c>
      <c r="L3882" s="56" t="s">
        <v>1691</v>
      </c>
    </row>
    <row r="3883" spans="2:12" x14ac:dyDescent="0.2">
      <c r="B3883" s="62" t="s">
        <v>1941</v>
      </c>
      <c r="C3883" s="61" t="s">
        <v>1940</v>
      </c>
      <c r="D3883" s="60">
        <v>2.0830299999999999</v>
      </c>
      <c r="E3883" s="59">
        <v>2.5808300000000002</v>
      </c>
      <c r="F3883" s="59">
        <v>2.8518699999999999</v>
      </c>
      <c r="G3883" s="56">
        <v>0</v>
      </c>
      <c r="H3883" s="56">
        <v>0</v>
      </c>
      <c r="I3883" s="58">
        <v>0.25089499999999998</v>
      </c>
      <c r="J3883" s="57">
        <v>0.16217300000000001</v>
      </c>
      <c r="K3883" s="56"/>
      <c r="L3883" s="56" t="s">
        <v>488</v>
      </c>
    </row>
    <row r="3884" spans="2:12" x14ac:dyDescent="0.2">
      <c r="B3884" s="62" t="s">
        <v>1939</v>
      </c>
      <c r="C3884" s="61" t="s">
        <v>550</v>
      </c>
      <c r="D3884" s="60">
        <v>1.0176400000000001</v>
      </c>
      <c r="E3884" s="59">
        <v>4.2173800000000004</v>
      </c>
      <c r="F3884" s="59">
        <v>5.80403</v>
      </c>
      <c r="G3884" s="56">
        <v>1442.75</v>
      </c>
      <c r="H3884" s="56">
        <v>1417.74</v>
      </c>
      <c r="I3884" s="58">
        <v>0.56565399999999999</v>
      </c>
      <c r="J3884" s="57">
        <v>0.58051399999999997</v>
      </c>
      <c r="K3884" s="56"/>
      <c r="L3884" s="56" t="s">
        <v>488</v>
      </c>
    </row>
    <row r="3885" spans="2:12" x14ac:dyDescent="0.2">
      <c r="B3885" s="62" t="s">
        <v>1938</v>
      </c>
      <c r="C3885" s="61" t="s">
        <v>529</v>
      </c>
      <c r="D3885" s="60">
        <v>1.5081</v>
      </c>
      <c r="E3885" s="59">
        <v>3.5458500000000002</v>
      </c>
      <c r="F3885" s="59">
        <v>4.8538699999999997</v>
      </c>
      <c r="G3885" s="56">
        <v>0</v>
      </c>
      <c r="H3885" s="56">
        <v>0</v>
      </c>
      <c r="I3885" s="58">
        <v>0.299929</v>
      </c>
      <c r="J3885" s="57">
        <v>0.30615100000000001</v>
      </c>
      <c r="K3885" s="56"/>
      <c r="L3885" s="56" t="s">
        <v>488</v>
      </c>
    </row>
    <row r="3886" spans="2:12" x14ac:dyDescent="0.2">
      <c r="B3886" s="62" t="s">
        <v>1937</v>
      </c>
      <c r="C3886" s="61" t="s">
        <v>489</v>
      </c>
      <c r="D3886" s="60">
        <v>1.17469</v>
      </c>
      <c r="E3886" s="59">
        <v>4.1984899999999996</v>
      </c>
      <c r="F3886" s="59">
        <v>4.8848500000000001</v>
      </c>
      <c r="G3886" s="56">
        <v>1105.8</v>
      </c>
      <c r="H3886" s="56">
        <v>941.35500000000002</v>
      </c>
      <c r="I3886" s="58">
        <v>0.41039599999999998</v>
      </c>
      <c r="J3886" s="57">
        <v>0.46941100000000002</v>
      </c>
      <c r="K3886" s="56"/>
      <c r="L3886" s="56" t="s">
        <v>488</v>
      </c>
    </row>
    <row r="3887" spans="2:12" x14ac:dyDescent="0.2">
      <c r="B3887" s="62" t="s">
        <v>1936</v>
      </c>
      <c r="C3887" s="61" t="s">
        <v>1935</v>
      </c>
      <c r="D3887" s="60">
        <v>0.58320499999999997</v>
      </c>
      <c r="E3887" s="59">
        <v>3.4463900000000001</v>
      </c>
      <c r="F3887" s="59">
        <v>4.2228700000000003</v>
      </c>
      <c r="G3887" s="56">
        <v>0</v>
      </c>
      <c r="H3887" s="56">
        <v>0</v>
      </c>
      <c r="I3887" s="58">
        <v>0.512235</v>
      </c>
      <c r="J3887" s="57">
        <v>1.06247</v>
      </c>
      <c r="K3887" s="56"/>
      <c r="L3887" s="56" t="s">
        <v>488</v>
      </c>
    </row>
    <row r="3888" spans="2:12" x14ac:dyDescent="0.2">
      <c r="B3888" s="62" t="s">
        <v>1934</v>
      </c>
      <c r="C3888" s="61" t="s">
        <v>1933</v>
      </c>
      <c r="D3888" s="60">
        <v>0.86340700000000004</v>
      </c>
      <c r="E3888" s="59">
        <v>4.1026199999999999</v>
      </c>
      <c r="F3888" s="59">
        <v>5.4611599999999996</v>
      </c>
      <c r="G3888" s="56">
        <v>1124.74</v>
      </c>
      <c r="H3888" s="56">
        <v>1302.67</v>
      </c>
      <c r="I3888" s="58">
        <v>0.39115499999999997</v>
      </c>
      <c r="J3888" s="57">
        <v>0.68089</v>
      </c>
      <c r="K3888" s="56"/>
      <c r="L3888" s="56" t="s">
        <v>488</v>
      </c>
    </row>
    <row r="3889" spans="2:12" x14ac:dyDescent="0.2">
      <c r="B3889" s="62" t="s">
        <v>1932</v>
      </c>
      <c r="C3889" s="61" t="s">
        <v>569</v>
      </c>
      <c r="D3889" s="60">
        <v>1.42608</v>
      </c>
      <c r="E3889" s="59">
        <v>2.6553200000000001</v>
      </c>
      <c r="F3889" s="59">
        <v>3.2662599999999999</v>
      </c>
      <c r="G3889" s="56">
        <v>0</v>
      </c>
      <c r="H3889" s="56">
        <v>0</v>
      </c>
      <c r="I3889" s="58">
        <v>2.1801399999999999E-2</v>
      </c>
      <c r="J3889" s="57">
        <v>0.20175499999999999</v>
      </c>
      <c r="K3889" s="56"/>
      <c r="L3889" s="56" t="s">
        <v>488</v>
      </c>
    </row>
    <row r="3890" spans="2:12" x14ac:dyDescent="0.2">
      <c r="B3890" s="62" t="s">
        <v>1931</v>
      </c>
      <c r="C3890" s="61" t="s">
        <v>1284</v>
      </c>
      <c r="D3890" s="60">
        <v>1.7439800000000001</v>
      </c>
      <c r="E3890" s="59">
        <v>3.3897300000000001</v>
      </c>
      <c r="F3890" s="59">
        <v>4.8480600000000003</v>
      </c>
      <c r="G3890" s="56">
        <v>0</v>
      </c>
      <c r="H3890" s="56">
        <v>0</v>
      </c>
      <c r="I3890" s="58">
        <v>0.30612</v>
      </c>
      <c r="J3890" s="57">
        <v>0.273281</v>
      </c>
      <c r="K3890" s="56"/>
      <c r="L3890" s="56" t="s">
        <v>488</v>
      </c>
    </row>
    <row r="3891" spans="2:12" x14ac:dyDescent="0.2">
      <c r="B3891" s="62" t="s">
        <v>1930</v>
      </c>
      <c r="C3891" s="61" t="s">
        <v>502</v>
      </c>
      <c r="D3891" s="60">
        <v>0.88199399999999994</v>
      </c>
      <c r="E3891" s="59">
        <v>6.5788200000000003</v>
      </c>
      <c r="F3891" s="59">
        <v>13.17071</v>
      </c>
      <c r="G3891" s="56">
        <v>1908.8</v>
      </c>
      <c r="H3891" s="56">
        <v>2164.19</v>
      </c>
      <c r="I3891" s="58">
        <v>0.76383500000000004</v>
      </c>
      <c r="J3891" s="57">
        <v>0.817411</v>
      </c>
      <c r="K3891" s="56" t="s">
        <v>636</v>
      </c>
      <c r="L3891" s="56" t="s">
        <v>1691</v>
      </c>
    </row>
    <row r="3892" spans="2:12" x14ac:dyDescent="0.2">
      <c r="B3892" s="62" t="s">
        <v>1929</v>
      </c>
      <c r="C3892" s="61" t="s">
        <v>502</v>
      </c>
      <c r="D3892" s="60">
        <v>1.1064000000000001</v>
      </c>
      <c r="E3892" s="59">
        <v>4.0677599999999998</v>
      </c>
      <c r="F3892" s="59">
        <v>5.7943499999999997</v>
      </c>
      <c r="G3892" s="56">
        <v>921.58500000000004</v>
      </c>
      <c r="H3892" s="56">
        <v>832.95399999999995</v>
      </c>
      <c r="I3892" s="58">
        <v>0.460455</v>
      </c>
      <c r="J3892" s="57">
        <v>0.48561399999999999</v>
      </c>
      <c r="K3892" s="56"/>
      <c r="L3892" s="56" t="s">
        <v>488</v>
      </c>
    </row>
    <row r="3893" spans="2:12" x14ac:dyDescent="0.2">
      <c r="B3893" s="62" t="s">
        <v>1928</v>
      </c>
      <c r="C3893" s="61" t="s">
        <v>502</v>
      </c>
      <c r="D3893" s="60">
        <v>1.0903499999999999</v>
      </c>
      <c r="E3893" s="59">
        <v>4.1957399999999998</v>
      </c>
      <c r="F3893" s="59">
        <v>5.9398400000000002</v>
      </c>
      <c r="G3893" s="56">
        <v>979.89800000000002</v>
      </c>
      <c r="H3893" s="56">
        <v>898.69899999999996</v>
      </c>
      <c r="I3893" s="58">
        <v>0.46865600000000002</v>
      </c>
      <c r="J3893" s="57">
        <v>0.49801400000000001</v>
      </c>
      <c r="K3893" s="56"/>
      <c r="L3893" s="56" t="s">
        <v>488</v>
      </c>
    </row>
    <row r="3894" spans="2:12" x14ac:dyDescent="0.2">
      <c r="B3894" s="62" t="s">
        <v>1927</v>
      </c>
      <c r="C3894" s="61" t="s">
        <v>641</v>
      </c>
      <c r="D3894" s="60">
        <v>2.1832199999999999</v>
      </c>
      <c r="E3894" s="59">
        <v>2.62208</v>
      </c>
      <c r="F3894" s="59">
        <v>3.3408500000000001</v>
      </c>
      <c r="G3894" s="56">
        <v>0</v>
      </c>
      <c r="H3894" s="56">
        <v>0</v>
      </c>
      <c r="I3894" s="58">
        <v>0.102018</v>
      </c>
      <c r="J3894" s="57">
        <v>0.167597</v>
      </c>
      <c r="K3894" s="56"/>
      <c r="L3894" s="56" t="s">
        <v>488</v>
      </c>
    </row>
    <row r="3895" spans="2:12" x14ac:dyDescent="0.2">
      <c r="B3895" s="62" t="s">
        <v>1926</v>
      </c>
      <c r="C3895" s="61" t="s">
        <v>502</v>
      </c>
      <c r="D3895" s="60">
        <v>1.2494799999999999</v>
      </c>
      <c r="E3895" s="59">
        <v>6.5980800000000004</v>
      </c>
      <c r="F3895" s="59">
        <v>7.5515499999999998</v>
      </c>
      <c r="G3895" s="56">
        <v>827.55399999999997</v>
      </c>
      <c r="H3895" s="56">
        <v>662.31799999999998</v>
      </c>
      <c r="I3895" s="58">
        <v>0.38120300000000001</v>
      </c>
      <c r="J3895" s="57">
        <v>0.425707</v>
      </c>
      <c r="K3895" s="56"/>
      <c r="L3895" s="56" t="s">
        <v>488</v>
      </c>
    </row>
    <row r="3896" spans="2:12" x14ac:dyDescent="0.2">
      <c r="B3896" s="62" t="s">
        <v>1925</v>
      </c>
      <c r="C3896" s="61" t="s">
        <v>499</v>
      </c>
      <c r="D3896" s="60">
        <v>1.2042299999999999</v>
      </c>
      <c r="E3896" s="59">
        <v>2.8394699999999999</v>
      </c>
      <c r="F3896" s="59">
        <v>4.0484099999999996</v>
      </c>
      <c r="G3896" s="56">
        <v>0</v>
      </c>
      <c r="H3896" s="56">
        <v>0</v>
      </c>
      <c r="I3896" s="58">
        <v>0.28860799999999998</v>
      </c>
      <c r="J3896" s="57">
        <v>0.40373799999999999</v>
      </c>
      <c r="K3896" s="56"/>
      <c r="L3896" s="56" t="s">
        <v>488</v>
      </c>
    </row>
    <row r="3897" spans="2:12" x14ac:dyDescent="0.2">
      <c r="B3897" s="62" t="s">
        <v>1924</v>
      </c>
      <c r="C3897" s="61" t="s">
        <v>499</v>
      </c>
      <c r="D3897" s="60">
        <v>1.22146</v>
      </c>
      <c r="E3897" s="59">
        <v>3.0480800000000001</v>
      </c>
      <c r="F3897" s="59">
        <v>4.0941200000000002</v>
      </c>
      <c r="G3897" s="56">
        <v>0</v>
      </c>
      <c r="H3897" s="56">
        <v>0</v>
      </c>
      <c r="I3897" s="58">
        <v>0.30758799999999997</v>
      </c>
      <c r="J3897" s="57">
        <v>0.40097899999999997</v>
      </c>
      <c r="K3897" s="56"/>
      <c r="L3897" s="56" t="s">
        <v>488</v>
      </c>
    </row>
    <row r="3898" spans="2:12" x14ac:dyDescent="0.2">
      <c r="B3898" s="62" t="s">
        <v>1923</v>
      </c>
      <c r="C3898" s="61" t="s">
        <v>1393</v>
      </c>
      <c r="D3898" s="60">
        <v>0.725109</v>
      </c>
      <c r="E3898" s="59">
        <v>11.40732</v>
      </c>
      <c r="F3898" s="59">
        <v>12.165929999999999</v>
      </c>
      <c r="G3898" s="56">
        <v>1757.03</v>
      </c>
      <c r="H3898" s="56">
        <v>2423.12</v>
      </c>
      <c r="I3898" s="58">
        <v>0.68626399999999999</v>
      </c>
      <c r="J3898" s="57">
        <v>0.96979099999999996</v>
      </c>
      <c r="K3898" s="56"/>
      <c r="L3898" s="56" t="s">
        <v>492</v>
      </c>
    </row>
    <row r="3899" spans="2:12" x14ac:dyDescent="0.2">
      <c r="B3899" s="62" t="s">
        <v>1922</v>
      </c>
      <c r="C3899" s="61" t="s">
        <v>1921</v>
      </c>
      <c r="D3899" s="60">
        <v>0.77534700000000001</v>
      </c>
      <c r="E3899" s="59">
        <v>10.301740000000001</v>
      </c>
      <c r="F3899" s="59">
        <v>11.25061</v>
      </c>
      <c r="G3899" s="56">
        <v>1749.06</v>
      </c>
      <c r="H3899" s="56">
        <v>2255.84</v>
      </c>
      <c r="I3899" s="58">
        <v>0.65350600000000003</v>
      </c>
      <c r="J3899" s="57">
        <v>0.881413</v>
      </c>
      <c r="K3899" s="56"/>
      <c r="L3899" s="56" t="s">
        <v>492</v>
      </c>
    </row>
    <row r="3900" spans="2:12" x14ac:dyDescent="0.2">
      <c r="B3900" s="62" t="s">
        <v>1920</v>
      </c>
      <c r="C3900" s="61" t="s">
        <v>1919</v>
      </c>
      <c r="D3900" s="60">
        <v>0.72462400000000005</v>
      </c>
      <c r="E3900" s="59">
        <v>9.5995299999999997</v>
      </c>
      <c r="F3900" s="59">
        <v>13.148110000000001</v>
      </c>
      <c r="G3900" s="56">
        <v>1787.38</v>
      </c>
      <c r="H3900" s="56">
        <v>2466.63</v>
      </c>
      <c r="I3900" s="58">
        <v>0.66998599999999997</v>
      </c>
      <c r="J3900" s="57">
        <v>0.98954399999999998</v>
      </c>
      <c r="K3900" s="56"/>
      <c r="L3900" s="56" t="s">
        <v>492</v>
      </c>
    </row>
    <row r="3901" spans="2:12" x14ac:dyDescent="0.2">
      <c r="B3901" s="62" t="s">
        <v>1918</v>
      </c>
      <c r="C3901" s="61" t="s">
        <v>502</v>
      </c>
      <c r="D3901" s="60">
        <v>0.59953999999999996</v>
      </c>
      <c r="E3901" s="59">
        <v>7.0933099999999998</v>
      </c>
      <c r="F3901" s="59">
        <v>9.6467700000000001</v>
      </c>
      <c r="G3901" s="56">
        <v>2271.34</v>
      </c>
      <c r="H3901" s="56">
        <v>3788.47</v>
      </c>
      <c r="I3901" s="58">
        <v>0.82478300000000004</v>
      </c>
      <c r="J3901" s="57">
        <v>1.2821899999999999</v>
      </c>
      <c r="K3901" s="56"/>
      <c r="L3901" s="56" t="s">
        <v>488</v>
      </c>
    </row>
    <row r="3902" spans="2:12" x14ac:dyDescent="0.2">
      <c r="B3902" s="62" t="s">
        <v>1917</v>
      </c>
      <c r="C3902" s="61" t="s">
        <v>502</v>
      </c>
      <c r="D3902" s="60">
        <v>0.52651999999999999</v>
      </c>
      <c r="E3902" s="59">
        <v>7.2863899999999999</v>
      </c>
      <c r="F3902" s="59">
        <v>10.797800000000001</v>
      </c>
      <c r="G3902" s="56">
        <v>2700.85</v>
      </c>
      <c r="H3902" s="56">
        <v>5129.63</v>
      </c>
      <c r="I3902" s="58">
        <v>0.84864799999999996</v>
      </c>
      <c r="J3902" s="57">
        <v>1.4657899999999999</v>
      </c>
      <c r="K3902" s="56"/>
      <c r="L3902" s="56" t="s">
        <v>488</v>
      </c>
    </row>
    <row r="3903" spans="2:12" x14ac:dyDescent="0.2">
      <c r="B3903" s="62" t="s">
        <v>1916</v>
      </c>
      <c r="C3903" s="61" t="s">
        <v>499</v>
      </c>
      <c r="D3903" s="60">
        <v>1.26023</v>
      </c>
      <c r="E3903" s="59">
        <v>3.0834600000000001</v>
      </c>
      <c r="F3903" s="59">
        <v>5.1242200000000002</v>
      </c>
      <c r="G3903" s="56">
        <v>0</v>
      </c>
      <c r="H3903" s="56">
        <v>0</v>
      </c>
      <c r="I3903" s="58">
        <v>0.44742199999999999</v>
      </c>
      <c r="J3903" s="57">
        <v>0.41775600000000002</v>
      </c>
      <c r="K3903" s="56"/>
      <c r="L3903" s="56" t="s">
        <v>488</v>
      </c>
    </row>
    <row r="3904" spans="2:12" x14ac:dyDescent="0.2">
      <c r="B3904" s="62" t="s">
        <v>1915</v>
      </c>
      <c r="C3904" s="61" t="s">
        <v>541</v>
      </c>
      <c r="D3904" s="60">
        <v>1.26553</v>
      </c>
      <c r="E3904" s="59">
        <v>4.0899799999999997</v>
      </c>
      <c r="F3904" s="59">
        <v>6.5664600000000002</v>
      </c>
      <c r="G3904" s="56">
        <v>1216.9000000000001</v>
      </c>
      <c r="H3904" s="56">
        <v>961.57399999999996</v>
      </c>
      <c r="I3904" s="58">
        <v>0.51455499999999998</v>
      </c>
      <c r="J3904" s="57">
        <v>0.44889499999999999</v>
      </c>
      <c r="K3904" s="56"/>
      <c r="L3904" s="56" t="s">
        <v>488</v>
      </c>
    </row>
    <row r="3905" spans="2:12" x14ac:dyDescent="0.2">
      <c r="B3905" s="62" t="s">
        <v>1914</v>
      </c>
      <c r="C3905" s="61" t="s">
        <v>1226</v>
      </c>
      <c r="D3905" s="60">
        <v>1.4329799999999999</v>
      </c>
      <c r="E3905" s="59">
        <v>3.79637</v>
      </c>
      <c r="F3905" s="59">
        <v>4.8027199999999999</v>
      </c>
      <c r="G3905" s="56">
        <v>1164.79</v>
      </c>
      <c r="H3905" s="56">
        <v>812.846</v>
      </c>
      <c r="I3905" s="58">
        <v>0.55304900000000001</v>
      </c>
      <c r="J3905" s="57">
        <v>0.40105299999999999</v>
      </c>
      <c r="K3905" s="56"/>
      <c r="L3905" s="56" t="s">
        <v>488</v>
      </c>
    </row>
    <row r="3906" spans="2:12" x14ac:dyDescent="0.2">
      <c r="B3906" s="62" t="s">
        <v>1913</v>
      </c>
      <c r="C3906" s="61" t="s">
        <v>537</v>
      </c>
      <c r="D3906" s="60">
        <v>1.36084</v>
      </c>
      <c r="E3906" s="59">
        <v>3.9013100000000001</v>
      </c>
      <c r="F3906" s="59">
        <v>4.8915499999999996</v>
      </c>
      <c r="G3906" s="56">
        <v>1260.4000000000001</v>
      </c>
      <c r="H3906" s="56">
        <v>926.19799999999998</v>
      </c>
      <c r="I3906" s="58">
        <v>0.53484299999999996</v>
      </c>
      <c r="J3906" s="57">
        <v>0.42878899999999998</v>
      </c>
      <c r="K3906" s="56"/>
      <c r="L3906" s="56" t="s">
        <v>488</v>
      </c>
    </row>
    <row r="3907" spans="2:12" x14ac:dyDescent="0.2">
      <c r="B3907" s="62" t="s">
        <v>1912</v>
      </c>
      <c r="C3907" s="61" t="s">
        <v>558</v>
      </c>
      <c r="D3907" s="60">
        <v>1.3750899999999999</v>
      </c>
      <c r="E3907" s="59">
        <v>3.8976000000000002</v>
      </c>
      <c r="F3907" s="59">
        <v>4.8963400000000004</v>
      </c>
      <c r="G3907" s="56">
        <v>1299.1400000000001</v>
      </c>
      <c r="H3907" s="56">
        <v>945.74800000000005</v>
      </c>
      <c r="I3907" s="58">
        <v>0.53542699999999999</v>
      </c>
      <c r="J3907" s="57">
        <v>0.42370600000000003</v>
      </c>
      <c r="K3907" s="56"/>
      <c r="L3907" s="56" t="s">
        <v>488</v>
      </c>
    </row>
    <row r="3908" spans="2:12" x14ac:dyDescent="0.2">
      <c r="B3908" s="62" t="s">
        <v>1911</v>
      </c>
      <c r="C3908" s="61" t="s">
        <v>558</v>
      </c>
      <c r="D3908" s="60">
        <v>1.3736600000000001</v>
      </c>
      <c r="E3908" s="59">
        <v>3.8962699999999999</v>
      </c>
      <c r="F3908" s="59">
        <v>4.8904800000000002</v>
      </c>
      <c r="G3908" s="56">
        <v>1275.98</v>
      </c>
      <c r="H3908" s="56">
        <v>927.923</v>
      </c>
      <c r="I3908" s="58">
        <v>0.53758799999999995</v>
      </c>
      <c r="J3908" s="57">
        <v>0.424703</v>
      </c>
      <c r="K3908" s="56"/>
      <c r="L3908" s="56" t="s">
        <v>488</v>
      </c>
    </row>
    <row r="3909" spans="2:12" x14ac:dyDescent="0.2">
      <c r="B3909" s="62" t="s">
        <v>1910</v>
      </c>
      <c r="C3909" s="61" t="s">
        <v>502</v>
      </c>
      <c r="D3909" s="60">
        <v>0.62157300000000004</v>
      </c>
      <c r="E3909" s="59">
        <v>10.10535</v>
      </c>
      <c r="F3909" s="59">
        <v>14.875220000000001</v>
      </c>
      <c r="G3909" s="56">
        <v>1516.47</v>
      </c>
      <c r="H3909" s="56">
        <v>2439.7199999999998</v>
      </c>
      <c r="I3909" s="58">
        <v>0.71155000000000002</v>
      </c>
      <c r="J3909" s="57">
        <v>1.18052</v>
      </c>
      <c r="K3909" s="56"/>
      <c r="L3909" s="56" t="s">
        <v>488</v>
      </c>
    </row>
    <row r="3910" spans="2:12" x14ac:dyDescent="0.2">
      <c r="B3910" s="62" t="s">
        <v>1909</v>
      </c>
      <c r="C3910" s="61" t="s">
        <v>499</v>
      </c>
      <c r="D3910" s="60">
        <v>0.800346</v>
      </c>
      <c r="E3910" s="59">
        <v>5.8176399999999999</v>
      </c>
      <c r="F3910" s="59">
        <v>9.8261500000000002</v>
      </c>
      <c r="G3910" s="56">
        <v>1918.96</v>
      </c>
      <c r="H3910" s="56">
        <v>2397.66</v>
      </c>
      <c r="I3910" s="58">
        <v>0.67957599999999996</v>
      </c>
      <c r="J3910" s="57">
        <v>0.84615799999999997</v>
      </c>
      <c r="K3910" s="56"/>
      <c r="L3910" s="56" t="s">
        <v>488</v>
      </c>
    </row>
    <row r="3911" spans="2:12" x14ac:dyDescent="0.2">
      <c r="B3911" s="62" t="s">
        <v>1908</v>
      </c>
      <c r="C3911" s="61" t="s">
        <v>548</v>
      </c>
      <c r="D3911" s="60">
        <v>1.9181600000000001</v>
      </c>
      <c r="E3911" s="59">
        <v>5.3342200000000002</v>
      </c>
      <c r="F3911" s="59">
        <v>6.2853599999999998</v>
      </c>
      <c r="G3911" s="56">
        <v>610.28</v>
      </c>
      <c r="H3911" s="56">
        <v>318.15800000000002</v>
      </c>
      <c r="I3911" s="58">
        <v>0.40726000000000001</v>
      </c>
      <c r="J3911" s="57">
        <v>0.22439400000000001</v>
      </c>
      <c r="K3911" s="56"/>
      <c r="L3911" s="56" t="s">
        <v>488</v>
      </c>
    </row>
    <row r="3912" spans="2:12" x14ac:dyDescent="0.2">
      <c r="B3912" s="62" t="s">
        <v>1907</v>
      </c>
      <c r="C3912" s="61" t="s">
        <v>548</v>
      </c>
      <c r="D3912" s="60">
        <v>1.9186399999999999</v>
      </c>
      <c r="E3912" s="59">
        <v>5.4167800000000002</v>
      </c>
      <c r="F3912" s="59">
        <v>6.3702100000000002</v>
      </c>
      <c r="G3912" s="56">
        <v>632.798</v>
      </c>
      <c r="H3912" s="56">
        <v>329.81599999999997</v>
      </c>
      <c r="I3912" s="58">
        <v>0.40720400000000001</v>
      </c>
      <c r="J3912" s="57">
        <v>0.22428100000000001</v>
      </c>
      <c r="K3912" s="56"/>
      <c r="L3912" s="56" t="s">
        <v>488</v>
      </c>
    </row>
    <row r="3913" spans="2:12" x14ac:dyDescent="0.2">
      <c r="B3913" s="62" t="s">
        <v>1906</v>
      </c>
      <c r="C3913" s="61" t="s">
        <v>708</v>
      </c>
      <c r="D3913" s="60">
        <v>0.85601799999999995</v>
      </c>
      <c r="E3913" s="59">
        <v>7.95784</v>
      </c>
      <c r="F3913" s="59">
        <v>8.3833300000000008</v>
      </c>
      <c r="G3913" s="56">
        <v>1535.38</v>
      </c>
      <c r="H3913" s="56">
        <v>1793.62</v>
      </c>
      <c r="I3913" s="58">
        <v>0.70903700000000003</v>
      </c>
      <c r="J3913" s="57">
        <v>0.76925200000000005</v>
      </c>
      <c r="K3913" s="56"/>
      <c r="L3913" s="56" t="s">
        <v>488</v>
      </c>
    </row>
    <row r="3914" spans="2:12" x14ac:dyDescent="0.2">
      <c r="B3914" s="62" t="s">
        <v>1905</v>
      </c>
      <c r="C3914" s="61" t="s">
        <v>550</v>
      </c>
      <c r="D3914" s="60">
        <v>1.2256400000000001</v>
      </c>
      <c r="E3914" s="59">
        <v>3.1608000000000001</v>
      </c>
      <c r="F3914" s="59">
        <v>4.8328800000000003</v>
      </c>
      <c r="G3914" s="56">
        <v>0</v>
      </c>
      <c r="H3914" s="56">
        <v>0</v>
      </c>
      <c r="I3914" s="58">
        <v>0.38147700000000001</v>
      </c>
      <c r="J3914" s="57">
        <v>0.45165899999999998</v>
      </c>
      <c r="K3914" s="56"/>
      <c r="L3914" s="56" t="s">
        <v>488</v>
      </c>
    </row>
    <row r="3915" spans="2:12" x14ac:dyDescent="0.2">
      <c r="B3915" s="62" t="s">
        <v>1904</v>
      </c>
      <c r="C3915" s="61" t="s">
        <v>499</v>
      </c>
      <c r="D3915" s="60">
        <v>1.7054800000000001</v>
      </c>
      <c r="E3915" s="59">
        <v>6.0631899999999996</v>
      </c>
      <c r="F3915" s="59">
        <v>6.18933</v>
      </c>
      <c r="G3915" s="56">
        <v>522.33399999999995</v>
      </c>
      <c r="H3915" s="56">
        <v>306.26900000000001</v>
      </c>
      <c r="I3915" s="58">
        <v>0.24849399999999999</v>
      </c>
      <c r="J3915" s="57">
        <v>0.25309999999999999</v>
      </c>
      <c r="K3915" s="56"/>
      <c r="L3915" s="56" t="s">
        <v>488</v>
      </c>
    </row>
    <row r="3916" spans="2:12" x14ac:dyDescent="0.2">
      <c r="B3916" s="62" t="s">
        <v>1903</v>
      </c>
      <c r="C3916" s="61" t="s">
        <v>502</v>
      </c>
      <c r="D3916" s="60">
        <v>1.22536</v>
      </c>
      <c r="E3916" s="59">
        <v>2.69611</v>
      </c>
      <c r="F3916" s="59">
        <v>5.0716900000000003</v>
      </c>
      <c r="G3916" s="56">
        <v>0</v>
      </c>
      <c r="H3916" s="56">
        <v>0</v>
      </c>
      <c r="I3916" s="58">
        <v>0.23252600000000001</v>
      </c>
      <c r="J3916" s="57">
        <v>0.40510400000000002</v>
      </c>
      <c r="K3916" s="56"/>
      <c r="L3916" s="56" t="s">
        <v>488</v>
      </c>
    </row>
    <row r="3917" spans="2:12" x14ac:dyDescent="0.2">
      <c r="B3917" s="62" t="s">
        <v>1902</v>
      </c>
      <c r="C3917" s="61" t="s">
        <v>499</v>
      </c>
      <c r="D3917" s="60">
        <v>1.6162700000000001</v>
      </c>
      <c r="E3917" s="59">
        <v>3.0319099999999999</v>
      </c>
      <c r="F3917" s="59">
        <v>4.68506</v>
      </c>
      <c r="G3917" s="56">
        <v>0</v>
      </c>
      <c r="H3917" s="56">
        <v>0</v>
      </c>
      <c r="I3917" s="58">
        <v>0.243923</v>
      </c>
      <c r="J3917" s="57">
        <v>0.28664200000000001</v>
      </c>
      <c r="K3917" s="56"/>
      <c r="L3917" s="56" t="s">
        <v>488</v>
      </c>
    </row>
    <row r="3918" spans="2:12" x14ac:dyDescent="0.2">
      <c r="B3918" s="62" t="s">
        <v>1901</v>
      </c>
      <c r="C3918" s="61" t="s">
        <v>499</v>
      </c>
      <c r="D3918" s="60">
        <v>0.78287600000000002</v>
      </c>
      <c r="E3918" s="59">
        <v>12.22348</v>
      </c>
      <c r="F3918" s="59">
        <v>12.983499999999999</v>
      </c>
      <c r="G3918" s="56">
        <v>1397.39</v>
      </c>
      <c r="H3918" s="56">
        <v>1784.95</v>
      </c>
      <c r="I3918" s="58">
        <v>0.63684099999999999</v>
      </c>
      <c r="J3918" s="57">
        <v>0.84814199999999995</v>
      </c>
      <c r="K3918" s="56" t="s">
        <v>1899</v>
      </c>
      <c r="L3918" s="56" t="s">
        <v>563</v>
      </c>
    </row>
    <row r="3919" spans="2:12" x14ac:dyDescent="0.2">
      <c r="B3919" s="62" t="s">
        <v>1900</v>
      </c>
      <c r="C3919" s="61" t="s">
        <v>499</v>
      </c>
      <c r="D3919" s="60">
        <v>0.78264800000000001</v>
      </c>
      <c r="E3919" s="59">
        <v>12.012930000000001</v>
      </c>
      <c r="F3919" s="59">
        <v>12.20204</v>
      </c>
      <c r="G3919" s="56">
        <v>1553.3</v>
      </c>
      <c r="H3919" s="56">
        <v>1984.68</v>
      </c>
      <c r="I3919" s="58">
        <v>0.68247500000000005</v>
      </c>
      <c r="J3919" s="57">
        <v>0.86134599999999995</v>
      </c>
      <c r="K3919" s="56" t="s">
        <v>1899</v>
      </c>
      <c r="L3919" s="56" t="s">
        <v>563</v>
      </c>
    </row>
    <row r="3920" spans="2:12" x14ac:dyDescent="0.2">
      <c r="B3920" s="62" t="s">
        <v>1898</v>
      </c>
      <c r="C3920" s="61" t="s">
        <v>1658</v>
      </c>
      <c r="D3920" s="60">
        <v>1.06115</v>
      </c>
      <c r="E3920" s="59">
        <v>5.8438499999999998</v>
      </c>
      <c r="F3920" s="59">
        <v>6.4145399999999997</v>
      </c>
      <c r="G3920" s="56">
        <v>1123.5899999999999</v>
      </c>
      <c r="H3920" s="56">
        <v>1058.8399999999999</v>
      </c>
      <c r="I3920" s="58">
        <v>0.43073</v>
      </c>
      <c r="J3920" s="57">
        <v>0.51483900000000005</v>
      </c>
      <c r="K3920" s="56"/>
      <c r="L3920" s="56" t="s">
        <v>488</v>
      </c>
    </row>
    <row r="3921" spans="2:12" x14ac:dyDescent="0.2">
      <c r="B3921" s="62" t="s">
        <v>1897</v>
      </c>
      <c r="C3921" s="61" t="s">
        <v>1896</v>
      </c>
      <c r="D3921" s="60">
        <v>1.11527</v>
      </c>
      <c r="E3921" s="59">
        <v>4.0457299999999998</v>
      </c>
      <c r="F3921" s="59">
        <v>4.9632300000000003</v>
      </c>
      <c r="G3921" s="56">
        <v>1270.56</v>
      </c>
      <c r="H3921" s="56">
        <v>1139.24</v>
      </c>
      <c r="I3921" s="58">
        <v>0.41896499999999998</v>
      </c>
      <c r="J3921" s="57">
        <v>0.497923</v>
      </c>
      <c r="K3921" s="56"/>
      <c r="L3921" s="56" t="s">
        <v>488</v>
      </c>
    </row>
    <row r="3922" spans="2:12" x14ac:dyDescent="0.2">
      <c r="B3922" s="62" t="s">
        <v>1895</v>
      </c>
      <c r="C3922" s="61" t="s">
        <v>550</v>
      </c>
      <c r="D3922" s="60">
        <v>1.6684000000000001</v>
      </c>
      <c r="E3922" s="59">
        <v>3.2269100000000002</v>
      </c>
      <c r="F3922" s="59">
        <v>4.8994799999999996</v>
      </c>
      <c r="G3922" s="56">
        <v>0</v>
      </c>
      <c r="H3922" s="56">
        <v>0</v>
      </c>
      <c r="I3922" s="58">
        <v>0.205153</v>
      </c>
      <c r="J3922" s="57">
        <v>0.248859</v>
      </c>
      <c r="K3922" s="56"/>
      <c r="L3922" s="56" t="s">
        <v>488</v>
      </c>
    </row>
    <row r="3923" spans="2:12" x14ac:dyDescent="0.2">
      <c r="B3923" s="62" t="s">
        <v>1894</v>
      </c>
      <c r="C3923" s="61" t="s">
        <v>510</v>
      </c>
      <c r="D3923" s="60">
        <v>1.5848</v>
      </c>
      <c r="E3923" s="59">
        <v>2.8701400000000001</v>
      </c>
      <c r="F3923" s="59">
        <v>5.0068599999999996</v>
      </c>
      <c r="G3923" s="56">
        <v>0</v>
      </c>
      <c r="H3923" s="56">
        <v>0</v>
      </c>
      <c r="I3923" s="58">
        <v>0.13911799999999999</v>
      </c>
      <c r="J3923" s="57">
        <v>0.24634</v>
      </c>
      <c r="K3923" s="56"/>
      <c r="L3923" s="56" t="s">
        <v>488</v>
      </c>
    </row>
    <row r="3924" spans="2:12" x14ac:dyDescent="0.2">
      <c r="B3924" s="62" t="s">
        <v>1893</v>
      </c>
      <c r="C3924" s="61" t="s">
        <v>625</v>
      </c>
      <c r="D3924" s="60">
        <v>1.2276899999999999</v>
      </c>
      <c r="E3924" s="59">
        <v>3.4114100000000001</v>
      </c>
      <c r="F3924" s="59">
        <v>4.6453300000000004</v>
      </c>
      <c r="G3924" s="56">
        <v>0</v>
      </c>
      <c r="H3924" s="56">
        <v>0</v>
      </c>
      <c r="I3924" s="58">
        <v>0.33938000000000001</v>
      </c>
      <c r="J3924" s="57">
        <v>0.39183099999999998</v>
      </c>
      <c r="K3924" s="56"/>
      <c r="L3924" s="56" t="s">
        <v>488</v>
      </c>
    </row>
    <row r="3925" spans="2:12" x14ac:dyDescent="0.2">
      <c r="B3925" s="62" t="s">
        <v>1892</v>
      </c>
      <c r="C3925" s="61" t="s">
        <v>1891</v>
      </c>
      <c r="D3925" s="60">
        <v>3.8650099999999998</v>
      </c>
      <c r="E3925" s="59">
        <v>2.59796</v>
      </c>
      <c r="F3925" s="59">
        <v>3.3001499999999999</v>
      </c>
      <c r="G3925" s="56">
        <v>0</v>
      </c>
      <c r="H3925" s="56">
        <v>0</v>
      </c>
      <c r="I3925" s="58">
        <v>0.13714299999999999</v>
      </c>
      <c r="J3925" s="57">
        <v>9.0404600000000002E-2</v>
      </c>
      <c r="K3925" s="56"/>
      <c r="L3925" s="56" t="s">
        <v>488</v>
      </c>
    </row>
    <row r="3926" spans="2:12" x14ac:dyDescent="0.2">
      <c r="B3926" s="62" t="s">
        <v>1890</v>
      </c>
      <c r="C3926" s="61" t="s">
        <v>1889</v>
      </c>
      <c r="D3926" s="60">
        <v>1.3278000000000001</v>
      </c>
      <c r="E3926" s="59">
        <v>4.1223700000000001</v>
      </c>
      <c r="F3926" s="59">
        <v>5.6575600000000001</v>
      </c>
      <c r="G3926" s="56">
        <v>774.88599999999997</v>
      </c>
      <c r="H3926" s="56">
        <v>583.58799999999997</v>
      </c>
      <c r="I3926" s="58">
        <v>0.33837800000000001</v>
      </c>
      <c r="J3926" s="57">
        <v>0.37765300000000002</v>
      </c>
      <c r="K3926" s="56"/>
      <c r="L3926" s="56" t="s">
        <v>488</v>
      </c>
    </row>
    <row r="3927" spans="2:12" x14ac:dyDescent="0.2">
      <c r="B3927" s="62" t="s">
        <v>1888</v>
      </c>
      <c r="C3927" s="61" t="s">
        <v>1879</v>
      </c>
      <c r="D3927" s="60">
        <v>1.56884</v>
      </c>
      <c r="E3927" s="59">
        <v>3.1269800000000001</v>
      </c>
      <c r="F3927" s="59">
        <v>7.0803599999999998</v>
      </c>
      <c r="G3927" s="56">
        <v>0</v>
      </c>
      <c r="H3927" s="56">
        <v>0</v>
      </c>
      <c r="I3927" s="58">
        <v>0.30827300000000002</v>
      </c>
      <c r="J3927" s="57">
        <v>0.30723600000000001</v>
      </c>
      <c r="K3927" s="56"/>
      <c r="L3927" s="56" t="s">
        <v>488</v>
      </c>
    </row>
    <row r="3928" spans="2:12" x14ac:dyDescent="0.2">
      <c r="B3928" s="62" t="s">
        <v>1887</v>
      </c>
      <c r="C3928" s="61" t="s">
        <v>794</v>
      </c>
      <c r="D3928" s="60">
        <v>1.61174</v>
      </c>
      <c r="E3928" s="59">
        <v>3.04881</v>
      </c>
      <c r="F3928" s="59">
        <v>7.0702199999999999</v>
      </c>
      <c r="G3928" s="56">
        <v>0</v>
      </c>
      <c r="H3928" s="56">
        <v>0</v>
      </c>
      <c r="I3928" s="58">
        <v>0.31118899999999999</v>
      </c>
      <c r="J3928" s="57">
        <v>0.29758800000000002</v>
      </c>
      <c r="K3928" s="56"/>
      <c r="L3928" s="56" t="s">
        <v>488</v>
      </c>
    </row>
    <row r="3929" spans="2:12" x14ac:dyDescent="0.2">
      <c r="B3929" s="62" t="s">
        <v>1886</v>
      </c>
      <c r="C3929" s="61" t="s">
        <v>502</v>
      </c>
      <c r="D3929" s="60">
        <v>1.28861</v>
      </c>
      <c r="E3929" s="59">
        <v>2.5751900000000001</v>
      </c>
      <c r="F3929" s="59">
        <v>5.8249199999999997</v>
      </c>
      <c r="G3929" s="56">
        <v>0</v>
      </c>
      <c r="H3929" s="56">
        <v>0</v>
      </c>
      <c r="I3929" s="58">
        <v>0.41189700000000001</v>
      </c>
      <c r="J3929" s="57">
        <v>0.40055800000000003</v>
      </c>
      <c r="K3929" s="56"/>
      <c r="L3929" s="56" t="s">
        <v>492</v>
      </c>
    </row>
    <row r="3930" spans="2:12" x14ac:dyDescent="0.2">
      <c r="B3930" s="62" t="s">
        <v>1885</v>
      </c>
      <c r="C3930" s="61" t="s">
        <v>625</v>
      </c>
      <c r="D3930" s="60">
        <v>1.37984</v>
      </c>
      <c r="E3930" s="59">
        <v>6.9485099999999997</v>
      </c>
      <c r="F3930" s="59">
        <v>8.9238099999999996</v>
      </c>
      <c r="G3930" s="56">
        <v>1009.3</v>
      </c>
      <c r="H3930" s="56">
        <v>731.46199999999999</v>
      </c>
      <c r="I3930" s="58">
        <v>0.43079600000000001</v>
      </c>
      <c r="J3930" s="57">
        <v>0.39353300000000002</v>
      </c>
      <c r="K3930" s="56"/>
      <c r="L3930" s="56" t="s">
        <v>492</v>
      </c>
    </row>
    <row r="3931" spans="2:12" x14ac:dyDescent="0.2">
      <c r="B3931" s="62" t="s">
        <v>1884</v>
      </c>
      <c r="C3931" s="61" t="s">
        <v>625</v>
      </c>
      <c r="D3931" s="60">
        <v>1.1675800000000001</v>
      </c>
      <c r="E3931" s="59">
        <v>7.4163199999999998</v>
      </c>
      <c r="F3931" s="59">
        <v>9.3575499999999998</v>
      </c>
      <c r="G3931" s="56">
        <v>1480.9</v>
      </c>
      <c r="H3931" s="56">
        <v>1268.3499999999999</v>
      </c>
      <c r="I3931" s="58">
        <v>0.524594</v>
      </c>
      <c r="J3931" s="57">
        <v>0.52617400000000003</v>
      </c>
      <c r="K3931" s="56"/>
      <c r="L3931" s="56" t="s">
        <v>492</v>
      </c>
    </row>
    <row r="3932" spans="2:12" x14ac:dyDescent="0.2">
      <c r="B3932" s="62" t="s">
        <v>1883</v>
      </c>
      <c r="C3932" s="61" t="s">
        <v>890</v>
      </c>
      <c r="D3932" s="60">
        <v>1.6031599999999999</v>
      </c>
      <c r="E3932" s="59">
        <v>3.89872</v>
      </c>
      <c r="F3932" s="59">
        <v>4.6412300000000002</v>
      </c>
      <c r="G3932" s="56">
        <v>149.304</v>
      </c>
      <c r="H3932" s="56">
        <v>93.131100000000004</v>
      </c>
      <c r="I3932" s="58">
        <v>0.23738300000000001</v>
      </c>
      <c r="J3932" s="57">
        <v>0.28195999999999999</v>
      </c>
      <c r="K3932" s="56"/>
      <c r="L3932" s="56" t="s">
        <v>492</v>
      </c>
    </row>
    <row r="3933" spans="2:12" x14ac:dyDescent="0.2">
      <c r="B3933" s="62" t="s">
        <v>1882</v>
      </c>
      <c r="C3933" s="61" t="s">
        <v>1184</v>
      </c>
      <c r="D3933" s="60">
        <v>1.5341100000000001</v>
      </c>
      <c r="E3933" s="59">
        <v>3.9442699999999999</v>
      </c>
      <c r="F3933" s="59">
        <v>4.6835500000000003</v>
      </c>
      <c r="G3933" s="56">
        <v>164.33500000000001</v>
      </c>
      <c r="H3933" s="56">
        <v>107.121</v>
      </c>
      <c r="I3933" s="58">
        <v>0.239818</v>
      </c>
      <c r="J3933" s="57">
        <v>0.29810199999999998</v>
      </c>
      <c r="K3933" s="56"/>
      <c r="L3933" s="56" t="s">
        <v>492</v>
      </c>
    </row>
    <row r="3934" spans="2:12" x14ac:dyDescent="0.2">
      <c r="B3934" s="62" t="s">
        <v>1881</v>
      </c>
      <c r="C3934" s="61" t="s">
        <v>577</v>
      </c>
      <c r="D3934" s="60">
        <v>1.55724</v>
      </c>
      <c r="E3934" s="59">
        <v>3.9752000000000001</v>
      </c>
      <c r="F3934" s="59">
        <v>4.6962299999999999</v>
      </c>
      <c r="G3934" s="56">
        <v>171.07</v>
      </c>
      <c r="H3934" s="56">
        <v>109.855</v>
      </c>
      <c r="I3934" s="58">
        <v>0.23973</v>
      </c>
      <c r="J3934" s="57">
        <v>0.29420299999999999</v>
      </c>
      <c r="K3934" s="56"/>
      <c r="L3934" s="56" t="s">
        <v>492</v>
      </c>
    </row>
    <row r="3935" spans="2:12" x14ac:dyDescent="0.2">
      <c r="B3935" s="62" t="s">
        <v>1880</v>
      </c>
      <c r="C3935" s="61" t="s">
        <v>1879</v>
      </c>
      <c r="D3935" s="60">
        <v>1.5774300000000001</v>
      </c>
      <c r="E3935" s="59">
        <v>3.93255</v>
      </c>
      <c r="F3935" s="59">
        <v>4.67591</v>
      </c>
      <c r="G3935" s="56">
        <v>161.358</v>
      </c>
      <c r="H3935" s="56">
        <v>102.292</v>
      </c>
      <c r="I3935" s="58">
        <v>0.23946300000000001</v>
      </c>
      <c r="J3935" s="57">
        <v>0.288217</v>
      </c>
      <c r="K3935" s="56"/>
      <c r="L3935" s="56" t="s">
        <v>492</v>
      </c>
    </row>
    <row r="3936" spans="2:12" x14ac:dyDescent="0.2">
      <c r="B3936" s="62" t="s">
        <v>1878</v>
      </c>
      <c r="C3936" s="61" t="s">
        <v>502</v>
      </c>
      <c r="D3936" s="60">
        <v>1.0614300000000001</v>
      </c>
      <c r="E3936" s="59">
        <v>4.2650800000000002</v>
      </c>
      <c r="F3936" s="59">
        <v>6.7671400000000004</v>
      </c>
      <c r="G3936" s="56">
        <v>2370.9</v>
      </c>
      <c r="H3936" s="56">
        <v>2233.69</v>
      </c>
      <c r="I3936" s="58">
        <v>0.54977500000000001</v>
      </c>
      <c r="J3936" s="57">
        <v>0.68067999999999995</v>
      </c>
      <c r="K3936" s="56"/>
      <c r="L3936" s="56" t="s">
        <v>488</v>
      </c>
    </row>
    <row r="3937" spans="2:12" x14ac:dyDescent="0.2">
      <c r="B3937" s="62" t="s">
        <v>1877</v>
      </c>
      <c r="C3937" s="61" t="s">
        <v>535</v>
      </c>
      <c r="D3937" s="60">
        <v>2.18662</v>
      </c>
      <c r="E3937" s="59">
        <v>2.5322</v>
      </c>
      <c r="F3937" s="59">
        <v>3.96455</v>
      </c>
      <c r="G3937" s="56">
        <v>0</v>
      </c>
      <c r="H3937" s="56">
        <v>0</v>
      </c>
      <c r="I3937" s="58">
        <v>9.7716200000000003E-2</v>
      </c>
      <c r="J3937" s="57">
        <v>0.16628100000000001</v>
      </c>
      <c r="K3937" s="56"/>
      <c r="L3937" s="56" t="s">
        <v>492</v>
      </c>
    </row>
    <row r="3938" spans="2:12" x14ac:dyDescent="0.2">
      <c r="B3938" s="62" t="s">
        <v>1876</v>
      </c>
      <c r="C3938" s="61" t="s">
        <v>499</v>
      </c>
      <c r="D3938" s="60">
        <v>1.4327399999999999</v>
      </c>
      <c r="E3938" s="59">
        <v>2.5514399999999999</v>
      </c>
      <c r="F3938" s="59">
        <v>3.9858199999999999</v>
      </c>
      <c r="G3938" s="56">
        <v>0</v>
      </c>
      <c r="H3938" s="56">
        <v>0</v>
      </c>
      <c r="I3938" s="58">
        <v>0.138153</v>
      </c>
      <c r="J3938" s="57">
        <v>0.27395700000000001</v>
      </c>
      <c r="K3938" s="56"/>
      <c r="L3938" s="56" t="s">
        <v>488</v>
      </c>
    </row>
    <row r="3939" spans="2:12" x14ac:dyDescent="0.2">
      <c r="B3939" s="62" t="s">
        <v>1875</v>
      </c>
      <c r="C3939" s="61" t="s">
        <v>502</v>
      </c>
      <c r="D3939" s="60">
        <v>2.00081</v>
      </c>
      <c r="E3939" s="59">
        <v>2.4614799999999999</v>
      </c>
      <c r="F3939" s="59">
        <v>4.3261900000000004</v>
      </c>
      <c r="G3939" s="56">
        <v>0</v>
      </c>
      <c r="H3939" s="56">
        <v>0</v>
      </c>
      <c r="I3939" s="58">
        <v>0.18475</v>
      </c>
      <c r="J3939" s="57">
        <v>0.20449899999999999</v>
      </c>
      <c r="K3939" s="56"/>
      <c r="L3939" s="56" t="s">
        <v>488</v>
      </c>
    </row>
    <row r="3940" spans="2:12" x14ac:dyDescent="0.2">
      <c r="B3940" s="62" t="s">
        <v>1874</v>
      </c>
      <c r="C3940" s="61" t="s">
        <v>1872</v>
      </c>
      <c r="D3940" s="60">
        <v>1.57809</v>
      </c>
      <c r="E3940" s="59">
        <v>5.36843</v>
      </c>
      <c r="F3940" s="59">
        <v>5.6989299999999998</v>
      </c>
      <c r="G3940" s="56">
        <v>413.702</v>
      </c>
      <c r="H3940" s="56">
        <v>262.154</v>
      </c>
      <c r="I3940" s="58">
        <v>0.23057900000000001</v>
      </c>
      <c r="J3940" s="57">
        <v>0.26039600000000002</v>
      </c>
      <c r="K3940" s="56"/>
      <c r="L3940" s="56" t="s">
        <v>488</v>
      </c>
    </row>
    <row r="3941" spans="2:12" x14ac:dyDescent="0.2">
      <c r="B3941" s="62" t="s">
        <v>1873</v>
      </c>
      <c r="C3941" s="61" t="s">
        <v>1872</v>
      </c>
      <c r="D3941" s="60">
        <v>1.57809</v>
      </c>
      <c r="E3941" s="59">
        <v>5.4148300000000003</v>
      </c>
      <c r="F3941" s="59">
        <v>5.7741300000000004</v>
      </c>
      <c r="G3941" s="56">
        <v>412.56799999999998</v>
      </c>
      <c r="H3941" s="56">
        <v>261.435</v>
      </c>
      <c r="I3941" s="58">
        <v>0.22209799999999999</v>
      </c>
      <c r="J3941" s="57">
        <v>0.26146799999999998</v>
      </c>
      <c r="K3941" s="56"/>
      <c r="L3941" s="56" t="s">
        <v>488</v>
      </c>
    </row>
    <row r="3942" spans="2:12" x14ac:dyDescent="0.2">
      <c r="B3942" s="62" t="s">
        <v>1871</v>
      </c>
      <c r="C3942" s="61" t="s">
        <v>1769</v>
      </c>
      <c r="D3942" s="60">
        <v>1.5586800000000001</v>
      </c>
      <c r="E3942" s="59">
        <v>5.1365699999999999</v>
      </c>
      <c r="F3942" s="59">
        <v>5.5044000000000004</v>
      </c>
      <c r="G3942" s="56">
        <v>378.25799999999998</v>
      </c>
      <c r="H3942" s="56">
        <v>242.678</v>
      </c>
      <c r="I3942" s="58">
        <v>0.20189199999999999</v>
      </c>
      <c r="J3942" s="57">
        <v>0.26063399999999998</v>
      </c>
      <c r="K3942" s="56"/>
      <c r="L3942" s="56" t="s">
        <v>488</v>
      </c>
    </row>
    <row r="3943" spans="2:12" x14ac:dyDescent="0.2">
      <c r="B3943" s="62" t="s">
        <v>1870</v>
      </c>
      <c r="C3943" s="61" t="s">
        <v>550</v>
      </c>
      <c r="D3943" s="60">
        <v>0.92721699999999996</v>
      </c>
      <c r="E3943" s="59">
        <v>8.2586300000000001</v>
      </c>
      <c r="F3943" s="59">
        <v>8.3888599999999993</v>
      </c>
      <c r="G3943" s="56">
        <v>1694.3</v>
      </c>
      <c r="H3943" s="56">
        <v>1827.3</v>
      </c>
      <c r="I3943" s="58">
        <v>0.67308900000000005</v>
      </c>
      <c r="J3943" s="57">
        <v>0.76178400000000002</v>
      </c>
      <c r="K3943" s="56"/>
      <c r="L3943" s="56" t="s">
        <v>488</v>
      </c>
    </row>
    <row r="3944" spans="2:12" x14ac:dyDescent="0.2">
      <c r="B3944" s="62" t="s">
        <v>1869</v>
      </c>
      <c r="C3944" s="61" t="s">
        <v>510</v>
      </c>
      <c r="D3944" s="60">
        <v>1.5615600000000001</v>
      </c>
      <c r="E3944" s="59">
        <v>4.3825599999999998</v>
      </c>
      <c r="F3944" s="59">
        <v>4.8224900000000002</v>
      </c>
      <c r="G3944" s="56">
        <v>526.35900000000004</v>
      </c>
      <c r="H3944" s="56">
        <v>337.07299999999998</v>
      </c>
      <c r="I3944" s="58">
        <v>0.27538000000000001</v>
      </c>
      <c r="J3944" s="57">
        <v>0.26415100000000002</v>
      </c>
      <c r="K3944" s="56"/>
      <c r="L3944" s="56" t="s">
        <v>488</v>
      </c>
    </row>
    <row r="3945" spans="2:12" x14ac:dyDescent="0.2">
      <c r="B3945" s="62" t="s">
        <v>1868</v>
      </c>
      <c r="C3945" s="61" t="s">
        <v>708</v>
      </c>
      <c r="D3945" s="60">
        <v>1.5753999999999999</v>
      </c>
      <c r="E3945" s="59">
        <v>5.0571999999999999</v>
      </c>
      <c r="F3945" s="59">
        <v>5.5220099999999999</v>
      </c>
      <c r="G3945" s="56">
        <v>656.50699999999995</v>
      </c>
      <c r="H3945" s="56">
        <v>416.72500000000002</v>
      </c>
      <c r="I3945" s="58">
        <v>0.27958699999999997</v>
      </c>
      <c r="J3945" s="57">
        <v>0.27556399999999998</v>
      </c>
      <c r="K3945" s="56"/>
      <c r="L3945" s="56" t="s">
        <v>488</v>
      </c>
    </row>
    <row r="3946" spans="2:12" x14ac:dyDescent="0.2">
      <c r="B3946" s="62" t="s">
        <v>1867</v>
      </c>
      <c r="C3946" s="61" t="s">
        <v>502</v>
      </c>
      <c r="D3946" s="60">
        <v>1.61442</v>
      </c>
      <c r="E3946" s="59">
        <v>5.1185400000000003</v>
      </c>
      <c r="F3946" s="59">
        <v>5.7222</v>
      </c>
      <c r="G3946" s="56">
        <v>679.85500000000002</v>
      </c>
      <c r="H3946" s="56">
        <v>421.113</v>
      </c>
      <c r="I3946" s="58">
        <v>0.258797</v>
      </c>
      <c r="J3946" s="57">
        <v>0.27043899999999998</v>
      </c>
      <c r="K3946" s="56"/>
      <c r="L3946" s="56" t="s">
        <v>488</v>
      </c>
    </row>
    <row r="3947" spans="2:12" x14ac:dyDescent="0.2">
      <c r="B3947" s="62" t="s">
        <v>1866</v>
      </c>
      <c r="C3947" s="61" t="s">
        <v>550</v>
      </c>
      <c r="D3947" s="60">
        <v>1.7622800000000001</v>
      </c>
      <c r="E3947" s="59">
        <v>5.4179199999999996</v>
      </c>
      <c r="F3947" s="59">
        <v>5.9016200000000003</v>
      </c>
      <c r="G3947" s="56">
        <v>705.98299999999995</v>
      </c>
      <c r="H3947" s="56">
        <v>400.60899999999998</v>
      </c>
      <c r="I3947" s="58">
        <v>0.28921799999999998</v>
      </c>
      <c r="J3947" s="57">
        <v>0.26299600000000001</v>
      </c>
      <c r="K3947" s="56"/>
      <c r="L3947" s="56" t="s">
        <v>488</v>
      </c>
    </row>
    <row r="3948" spans="2:12" x14ac:dyDescent="0.2">
      <c r="B3948" s="62" t="s">
        <v>1865</v>
      </c>
      <c r="C3948" s="61" t="s">
        <v>625</v>
      </c>
      <c r="D3948" s="60">
        <v>1.5115400000000001</v>
      </c>
      <c r="E3948" s="59">
        <v>3.8528199999999999</v>
      </c>
      <c r="F3948" s="59">
        <v>4.2841100000000001</v>
      </c>
      <c r="G3948" s="56">
        <v>316.29500000000002</v>
      </c>
      <c r="H3948" s="56">
        <v>209.25299999999999</v>
      </c>
      <c r="I3948" s="58">
        <v>0.27353100000000002</v>
      </c>
      <c r="J3948" s="57">
        <v>0.29138999999999998</v>
      </c>
      <c r="K3948" s="56"/>
      <c r="L3948" s="56" t="s">
        <v>492</v>
      </c>
    </row>
    <row r="3949" spans="2:12" x14ac:dyDescent="0.2">
      <c r="B3949" s="62" t="s">
        <v>1864</v>
      </c>
      <c r="C3949" s="61" t="s">
        <v>535</v>
      </c>
      <c r="D3949" s="60">
        <v>1.19319</v>
      </c>
      <c r="E3949" s="59">
        <v>6.8440399999999997</v>
      </c>
      <c r="F3949" s="59">
        <v>7.6099500000000004</v>
      </c>
      <c r="G3949" s="56">
        <v>1626.73</v>
      </c>
      <c r="H3949" s="56">
        <v>1363.34</v>
      </c>
      <c r="I3949" s="58">
        <v>0.54513199999999995</v>
      </c>
      <c r="J3949" s="57">
        <v>0.51683900000000005</v>
      </c>
      <c r="K3949" s="56"/>
      <c r="L3949" s="56" t="s">
        <v>488</v>
      </c>
    </row>
    <row r="3950" spans="2:12" x14ac:dyDescent="0.2">
      <c r="B3950" s="62" t="s">
        <v>1863</v>
      </c>
      <c r="C3950" s="61" t="s">
        <v>535</v>
      </c>
      <c r="D3950" s="60">
        <v>1.2678799999999999</v>
      </c>
      <c r="E3950" s="59">
        <v>6.5697700000000001</v>
      </c>
      <c r="F3950" s="59">
        <v>7.2895300000000001</v>
      </c>
      <c r="G3950" s="56">
        <v>1552.78</v>
      </c>
      <c r="H3950" s="56">
        <v>1224.7</v>
      </c>
      <c r="I3950" s="58">
        <v>0.53907899999999997</v>
      </c>
      <c r="J3950" s="57">
        <v>0.474995</v>
      </c>
      <c r="K3950" s="56"/>
      <c r="L3950" s="56" t="s">
        <v>488</v>
      </c>
    </row>
    <row r="3951" spans="2:12" x14ac:dyDescent="0.2">
      <c r="B3951" s="62" t="s">
        <v>1862</v>
      </c>
      <c r="C3951" s="61" t="s">
        <v>499</v>
      </c>
      <c r="D3951" s="60">
        <v>1.10616</v>
      </c>
      <c r="E3951" s="59">
        <v>4.8418999999999999</v>
      </c>
      <c r="F3951" s="59">
        <v>7.3930199999999999</v>
      </c>
      <c r="G3951" s="56">
        <v>1870.94</v>
      </c>
      <c r="H3951" s="56">
        <v>1691.37</v>
      </c>
      <c r="I3951" s="58">
        <v>0.63761100000000004</v>
      </c>
      <c r="J3951" s="57">
        <v>0.55919099999999999</v>
      </c>
      <c r="K3951" s="56"/>
      <c r="L3951" s="56" t="s">
        <v>488</v>
      </c>
    </row>
    <row r="3952" spans="2:12" x14ac:dyDescent="0.2">
      <c r="B3952" s="62" t="s">
        <v>1861</v>
      </c>
      <c r="C3952" s="61" t="s">
        <v>502</v>
      </c>
      <c r="D3952" s="60">
        <v>0.62040099999999998</v>
      </c>
      <c r="E3952" s="59">
        <v>10.73897</v>
      </c>
      <c r="F3952" s="59">
        <v>12.08736</v>
      </c>
      <c r="G3952" s="56">
        <v>1447.82</v>
      </c>
      <c r="H3952" s="56">
        <v>2333.69</v>
      </c>
      <c r="I3952" s="58">
        <v>0.72282400000000002</v>
      </c>
      <c r="J3952" s="57">
        <v>1.18665</v>
      </c>
      <c r="K3952" s="56"/>
      <c r="L3952" s="56" t="s">
        <v>492</v>
      </c>
    </row>
    <row r="3953" spans="2:12" x14ac:dyDescent="0.2">
      <c r="B3953" s="62" t="s">
        <v>1860</v>
      </c>
      <c r="C3953" s="61" t="s">
        <v>499</v>
      </c>
      <c r="D3953" s="60">
        <v>0.60974300000000003</v>
      </c>
      <c r="E3953" s="59">
        <v>11.206720000000001</v>
      </c>
      <c r="F3953" s="59">
        <v>12.48204</v>
      </c>
      <c r="G3953" s="56">
        <v>1367.29</v>
      </c>
      <c r="H3953" s="56">
        <v>2242.4</v>
      </c>
      <c r="I3953" s="58">
        <v>0.70271099999999997</v>
      </c>
      <c r="J3953" s="57">
        <v>1.2135400000000001</v>
      </c>
      <c r="K3953" s="56"/>
      <c r="L3953" s="56" t="s">
        <v>492</v>
      </c>
    </row>
    <row r="3954" spans="2:12" x14ac:dyDescent="0.2">
      <c r="B3954" s="62" t="s">
        <v>1859</v>
      </c>
      <c r="C3954" s="61" t="s">
        <v>1858</v>
      </c>
      <c r="D3954" s="60">
        <v>0.55958200000000002</v>
      </c>
      <c r="E3954" s="59">
        <v>10.924799999999999</v>
      </c>
      <c r="F3954" s="59">
        <v>12.15025</v>
      </c>
      <c r="G3954" s="56">
        <v>1782.57</v>
      </c>
      <c r="H3954" s="56">
        <v>3185.54</v>
      </c>
      <c r="I3954" s="58">
        <v>0.77763300000000002</v>
      </c>
      <c r="J3954" s="57">
        <v>1.3576600000000001</v>
      </c>
      <c r="K3954" s="56"/>
      <c r="L3954" s="56" t="s">
        <v>492</v>
      </c>
    </row>
    <row r="3955" spans="2:12" x14ac:dyDescent="0.2">
      <c r="B3955" s="62" t="s">
        <v>1857</v>
      </c>
      <c r="C3955" s="61" t="s">
        <v>499</v>
      </c>
      <c r="D3955" s="60">
        <v>0.93261899999999998</v>
      </c>
      <c r="E3955" s="59">
        <v>6.3964299999999996</v>
      </c>
      <c r="F3955" s="59">
        <v>8.9450599999999998</v>
      </c>
      <c r="G3955" s="56">
        <v>1806.99</v>
      </c>
      <c r="H3955" s="56">
        <v>1937.55</v>
      </c>
      <c r="I3955" s="58">
        <v>0.71233500000000005</v>
      </c>
      <c r="J3955" s="57">
        <v>0.72532700000000006</v>
      </c>
      <c r="K3955" s="56"/>
      <c r="L3955" s="56" t="s">
        <v>488</v>
      </c>
    </row>
    <row r="3956" spans="2:12" x14ac:dyDescent="0.2">
      <c r="B3956" s="62" t="s">
        <v>1856</v>
      </c>
      <c r="C3956" s="61" t="s">
        <v>510</v>
      </c>
      <c r="D3956" s="60">
        <v>1.48587</v>
      </c>
      <c r="E3956" s="59">
        <v>2.43302</v>
      </c>
      <c r="F3956" s="59">
        <v>4.50814</v>
      </c>
      <c r="G3956" s="56">
        <v>0</v>
      </c>
      <c r="H3956" s="56">
        <v>0</v>
      </c>
      <c r="I3956" s="58">
        <v>0.27819700000000003</v>
      </c>
      <c r="J3956" s="57">
        <v>0.27477400000000002</v>
      </c>
      <c r="K3956" s="56"/>
      <c r="L3956" s="56" t="s">
        <v>488</v>
      </c>
    </row>
    <row r="3957" spans="2:12" x14ac:dyDescent="0.2">
      <c r="B3957" s="62" t="s">
        <v>1855</v>
      </c>
      <c r="C3957" s="61" t="s">
        <v>499</v>
      </c>
      <c r="D3957" s="60">
        <v>1.66232</v>
      </c>
      <c r="E3957" s="59">
        <v>3.0636100000000002</v>
      </c>
      <c r="F3957" s="59">
        <v>3.5140699999999998</v>
      </c>
      <c r="G3957" s="56">
        <v>0</v>
      </c>
      <c r="H3957" s="56">
        <v>0</v>
      </c>
      <c r="I3957" s="58">
        <v>8.3277000000000004E-2</v>
      </c>
      <c r="J3957" s="57">
        <v>0.26514399999999999</v>
      </c>
      <c r="K3957" s="56"/>
      <c r="L3957" s="56" t="s">
        <v>488</v>
      </c>
    </row>
    <row r="3958" spans="2:12" x14ac:dyDescent="0.2">
      <c r="B3958" s="62" t="s">
        <v>1854</v>
      </c>
      <c r="C3958" s="61" t="s">
        <v>550</v>
      </c>
      <c r="D3958" s="60">
        <v>1.3024</v>
      </c>
      <c r="E3958" s="59">
        <v>3.4533200000000002</v>
      </c>
      <c r="F3958" s="59">
        <v>5.3119100000000001</v>
      </c>
      <c r="G3958" s="56">
        <v>0</v>
      </c>
      <c r="H3958" s="56">
        <v>0</v>
      </c>
      <c r="I3958" s="58">
        <v>0.27770699999999998</v>
      </c>
      <c r="J3958" s="57">
        <v>0.368122</v>
      </c>
      <c r="K3958" s="56"/>
      <c r="L3958" s="56" t="s">
        <v>488</v>
      </c>
    </row>
    <row r="3959" spans="2:12" x14ac:dyDescent="0.2">
      <c r="B3959" s="62" t="s">
        <v>1853</v>
      </c>
      <c r="C3959" s="61" t="s">
        <v>1852</v>
      </c>
      <c r="D3959" s="60">
        <v>0.97235700000000003</v>
      </c>
      <c r="E3959" s="59">
        <v>6.7711800000000002</v>
      </c>
      <c r="F3959" s="59">
        <v>11.036619999999999</v>
      </c>
      <c r="G3959" s="56">
        <v>2060.15</v>
      </c>
      <c r="H3959" s="56">
        <v>2118.7199999999998</v>
      </c>
      <c r="I3959" s="58">
        <v>0.75545300000000004</v>
      </c>
      <c r="J3959" s="57">
        <v>0.74992099999999995</v>
      </c>
      <c r="K3959" s="56"/>
      <c r="L3959" s="56" t="s">
        <v>488</v>
      </c>
    </row>
    <row r="3960" spans="2:12" x14ac:dyDescent="0.2">
      <c r="B3960" s="62" t="s">
        <v>1851</v>
      </c>
      <c r="C3960" s="61" t="s">
        <v>546</v>
      </c>
      <c r="D3960" s="60">
        <v>0.97700399999999998</v>
      </c>
      <c r="E3960" s="59">
        <v>6.7691299999999996</v>
      </c>
      <c r="F3960" s="59">
        <v>11.111649999999999</v>
      </c>
      <c r="G3960" s="56">
        <v>2028.59</v>
      </c>
      <c r="H3960" s="56">
        <v>2076.34</v>
      </c>
      <c r="I3960" s="58">
        <v>0.75740300000000005</v>
      </c>
      <c r="J3960" s="57">
        <v>0.74539699999999998</v>
      </c>
      <c r="K3960" s="56"/>
      <c r="L3960" s="56" t="s">
        <v>488</v>
      </c>
    </row>
    <row r="3961" spans="2:12" x14ac:dyDescent="0.2">
      <c r="B3961" s="62" t="s">
        <v>1850</v>
      </c>
      <c r="C3961" s="61" t="s">
        <v>1849</v>
      </c>
      <c r="D3961" s="60">
        <v>0.98348999999999998</v>
      </c>
      <c r="E3961" s="59">
        <v>6.7888999999999999</v>
      </c>
      <c r="F3961" s="59">
        <v>11.12433</v>
      </c>
      <c r="G3961" s="56">
        <v>2032.34</v>
      </c>
      <c r="H3961" s="56">
        <v>2066.46</v>
      </c>
      <c r="I3961" s="58">
        <v>0.758988</v>
      </c>
      <c r="J3961" s="57">
        <v>0.74059900000000001</v>
      </c>
      <c r="K3961" s="56"/>
      <c r="L3961" s="56" t="s">
        <v>488</v>
      </c>
    </row>
    <row r="3962" spans="2:12" x14ac:dyDescent="0.2">
      <c r="B3962" s="62" t="s">
        <v>1848</v>
      </c>
      <c r="C3962" s="61" t="s">
        <v>510</v>
      </c>
      <c r="D3962" s="60">
        <v>1.54308</v>
      </c>
      <c r="E3962" s="59">
        <v>2.86477</v>
      </c>
      <c r="F3962" s="59">
        <v>3.7156400000000001</v>
      </c>
      <c r="G3962" s="56">
        <v>0</v>
      </c>
      <c r="H3962" s="56">
        <v>0</v>
      </c>
      <c r="I3962" s="58">
        <v>9.3435400000000002E-2</v>
      </c>
      <c r="J3962" s="57">
        <v>0.22789999999999999</v>
      </c>
      <c r="K3962" s="56"/>
      <c r="L3962" s="56" t="s">
        <v>488</v>
      </c>
    </row>
    <row r="3963" spans="2:12" x14ac:dyDescent="0.2">
      <c r="B3963" s="62" t="s">
        <v>1847</v>
      </c>
      <c r="C3963" s="61" t="s">
        <v>537</v>
      </c>
      <c r="D3963" s="60">
        <v>2.11286</v>
      </c>
      <c r="E3963" s="59">
        <v>2.67049</v>
      </c>
      <c r="F3963" s="59">
        <v>3.69312</v>
      </c>
      <c r="G3963" s="56">
        <v>0</v>
      </c>
      <c r="H3963" s="56">
        <v>0</v>
      </c>
      <c r="I3963" s="58">
        <v>0.18712799999999999</v>
      </c>
      <c r="J3963" s="57">
        <v>0.194798</v>
      </c>
      <c r="K3963" s="56"/>
      <c r="L3963" s="56" t="s">
        <v>488</v>
      </c>
    </row>
    <row r="3964" spans="2:12" x14ac:dyDescent="0.2">
      <c r="B3964" s="62" t="s">
        <v>1846</v>
      </c>
      <c r="C3964" s="61" t="s">
        <v>499</v>
      </c>
      <c r="D3964" s="60">
        <v>1.2250799999999999</v>
      </c>
      <c r="E3964" s="59">
        <v>3.9441000000000002</v>
      </c>
      <c r="F3964" s="59">
        <v>5.1550000000000002</v>
      </c>
      <c r="G3964" s="56">
        <v>765.07899999999995</v>
      </c>
      <c r="H3964" s="56">
        <v>624.51099999999997</v>
      </c>
      <c r="I3964" s="58">
        <v>0.42054799999999998</v>
      </c>
      <c r="J3964" s="57">
        <v>0.46424500000000002</v>
      </c>
      <c r="K3964" s="56"/>
      <c r="L3964" s="56" t="s">
        <v>488</v>
      </c>
    </row>
    <row r="3965" spans="2:12" x14ac:dyDescent="0.2">
      <c r="B3965" s="62" t="s">
        <v>1845</v>
      </c>
      <c r="C3965" s="61" t="s">
        <v>502</v>
      </c>
      <c r="D3965" s="60">
        <v>0.96601899999999996</v>
      </c>
      <c r="E3965" s="59">
        <v>3.3097699999999999</v>
      </c>
      <c r="F3965" s="59">
        <v>7.57165</v>
      </c>
      <c r="G3965" s="56">
        <v>0</v>
      </c>
      <c r="H3965" s="56">
        <v>0</v>
      </c>
      <c r="I3965" s="58">
        <v>0.403725</v>
      </c>
      <c r="J3965" s="57">
        <v>0.58680600000000005</v>
      </c>
      <c r="K3965" s="56"/>
      <c r="L3965" s="56" t="s">
        <v>488</v>
      </c>
    </row>
    <row r="3966" spans="2:12" x14ac:dyDescent="0.2">
      <c r="B3966" s="62" t="s">
        <v>1844</v>
      </c>
      <c r="C3966" s="61" t="s">
        <v>510</v>
      </c>
      <c r="D3966" s="60">
        <v>1.2630600000000001</v>
      </c>
      <c r="E3966" s="59">
        <v>5.3608500000000001</v>
      </c>
      <c r="F3966" s="59">
        <v>5.5620000000000003</v>
      </c>
      <c r="G3966" s="56">
        <v>906.2</v>
      </c>
      <c r="H3966" s="56">
        <v>717.46699999999998</v>
      </c>
      <c r="I3966" s="58">
        <v>0.386797</v>
      </c>
      <c r="J3966" s="57">
        <v>0.371058</v>
      </c>
      <c r="K3966" s="56"/>
      <c r="L3966" s="56" t="s">
        <v>488</v>
      </c>
    </row>
    <row r="3967" spans="2:12" x14ac:dyDescent="0.2">
      <c r="B3967" s="62" t="s">
        <v>1843</v>
      </c>
      <c r="C3967" s="61" t="s">
        <v>555</v>
      </c>
      <c r="D3967" s="60">
        <v>1.1252899999999999</v>
      </c>
      <c r="E3967" s="59">
        <v>3.6090499999999999</v>
      </c>
      <c r="F3967" s="59">
        <v>5.1699200000000003</v>
      </c>
      <c r="G3967" s="56">
        <v>0</v>
      </c>
      <c r="H3967" s="56">
        <v>0</v>
      </c>
      <c r="I3967" s="58">
        <v>0.48576900000000001</v>
      </c>
      <c r="J3967" s="57">
        <v>0.481381</v>
      </c>
      <c r="K3967" s="56"/>
      <c r="L3967" s="56" t="s">
        <v>488</v>
      </c>
    </row>
    <row r="3968" spans="2:12" x14ac:dyDescent="0.2">
      <c r="B3968" s="62" t="s">
        <v>1842</v>
      </c>
      <c r="C3968" s="61" t="s">
        <v>555</v>
      </c>
      <c r="D3968" s="60">
        <v>1.1671100000000001</v>
      </c>
      <c r="E3968" s="59">
        <v>4.1888699999999996</v>
      </c>
      <c r="F3968" s="59">
        <v>6.2931900000000001</v>
      </c>
      <c r="G3968" s="56">
        <v>887.47</v>
      </c>
      <c r="H3968" s="56">
        <v>760.39800000000002</v>
      </c>
      <c r="I3968" s="58">
        <v>0.43615100000000001</v>
      </c>
      <c r="J3968" s="57">
        <v>0.43610100000000002</v>
      </c>
      <c r="K3968" s="56"/>
      <c r="L3968" s="56" t="s">
        <v>488</v>
      </c>
    </row>
    <row r="3969" spans="2:12" x14ac:dyDescent="0.2">
      <c r="B3969" s="62" t="s">
        <v>1841</v>
      </c>
      <c r="C3969" s="61" t="s">
        <v>499</v>
      </c>
      <c r="D3969" s="60">
        <v>0.69106999999999996</v>
      </c>
      <c r="E3969" s="59">
        <v>7.7807000000000004</v>
      </c>
      <c r="F3969" s="59">
        <v>8.5132600000000007</v>
      </c>
      <c r="G3969" s="56">
        <v>2272.9699999999998</v>
      </c>
      <c r="H3969" s="56">
        <v>3289.06</v>
      </c>
      <c r="I3969" s="58">
        <v>0.77540900000000001</v>
      </c>
      <c r="J3969" s="57">
        <v>1.0935699999999999</v>
      </c>
      <c r="K3969" s="56"/>
      <c r="L3969" s="56" t="s">
        <v>488</v>
      </c>
    </row>
    <row r="3970" spans="2:12" x14ac:dyDescent="0.2">
      <c r="B3970" s="62" t="s">
        <v>1840</v>
      </c>
      <c r="C3970" s="61" t="s">
        <v>499</v>
      </c>
      <c r="D3970" s="60">
        <v>0.78322400000000003</v>
      </c>
      <c r="E3970" s="59">
        <v>5.3848200000000004</v>
      </c>
      <c r="F3970" s="59">
        <v>14.40061</v>
      </c>
      <c r="G3970" s="56">
        <v>1636.95</v>
      </c>
      <c r="H3970" s="56">
        <v>2090.02</v>
      </c>
      <c r="I3970" s="58">
        <v>0.62761999999999996</v>
      </c>
      <c r="J3970" s="57">
        <v>0.88985700000000001</v>
      </c>
      <c r="K3970" s="56"/>
      <c r="L3970" s="56" t="s">
        <v>492</v>
      </c>
    </row>
    <row r="3971" spans="2:12" x14ac:dyDescent="0.2">
      <c r="B3971" s="62" t="s">
        <v>1839</v>
      </c>
      <c r="C3971" s="61" t="s">
        <v>499</v>
      </c>
      <c r="D3971" s="60">
        <v>0.89920900000000004</v>
      </c>
      <c r="E3971" s="59">
        <v>9.5356699999999996</v>
      </c>
      <c r="F3971" s="59">
        <v>10.079219999999999</v>
      </c>
      <c r="G3971" s="56">
        <v>1876.13</v>
      </c>
      <c r="H3971" s="56">
        <v>2086.42</v>
      </c>
      <c r="I3971" s="58">
        <v>0.65128299999999995</v>
      </c>
      <c r="J3971" s="57">
        <v>0.79779699999999998</v>
      </c>
      <c r="K3971" s="56"/>
      <c r="L3971" s="56" t="s">
        <v>488</v>
      </c>
    </row>
    <row r="3972" spans="2:12" x14ac:dyDescent="0.2">
      <c r="B3972" s="62" t="s">
        <v>1838</v>
      </c>
      <c r="C3972" s="61" t="s">
        <v>499</v>
      </c>
      <c r="D3972" s="60">
        <v>1.3262499999999999</v>
      </c>
      <c r="E3972" s="59">
        <v>4.6318000000000001</v>
      </c>
      <c r="F3972" s="59">
        <v>5.5288899999999996</v>
      </c>
      <c r="G3972" s="56">
        <v>461.41699999999997</v>
      </c>
      <c r="H3972" s="56">
        <v>347.91199999999998</v>
      </c>
      <c r="I3972" s="58">
        <v>0.29283700000000001</v>
      </c>
      <c r="J3972" s="57">
        <v>0.34361000000000003</v>
      </c>
      <c r="K3972" s="56"/>
      <c r="L3972" s="56" t="s">
        <v>488</v>
      </c>
    </row>
    <row r="3973" spans="2:12" x14ac:dyDescent="0.2">
      <c r="B3973" s="62" t="s">
        <v>1837</v>
      </c>
      <c r="C3973" s="61" t="s">
        <v>499</v>
      </c>
      <c r="D3973" s="60">
        <v>1.1531400000000001</v>
      </c>
      <c r="E3973" s="59">
        <v>3.3568799999999999</v>
      </c>
      <c r="F3973" s="59">
        <v>5.4575800000000001</v>
      </c>
      <c r="G3973" s="56">
        <v>0</v>
      </c>
      <c r="H3973" s="56">
        <v>0</v>
      </c>
      <c r="I3973" s="58">
        <v>0.408665</v>
      </c>
      <c r="J3973" s="57">
        <v>0.45736399999999999</v>
      </c>
      <c r="K3973" s="56"/>
      <c r="L3973" s="56" t="s">
        <v>488</v>
      </c>
    </row>
    <row r="3974" spans="2:12" x14ac:dyDescent="0.2">
      <c r="B3974" s="62" t="s">
        <v>1836</v>
      </c>
      <c r="C3974" s="61" t="s">
        <v>526</v>
      </c>
      <c r="D3974" s="60">
        <v>1.1222000000000001</v>
      </c>
      <c r="E3974" s="59">
        <v>5.7117800000000001</v>
      </c>
      <c r="F3974" s="59">
        <v>18.12978</v>
      </c>
      <c r="G3974" s="56">
        <v>1402.47</v>
      </c>
      <c r="H3974" s="56">
        <v>1249.74</v>
      </c>
      <c r="I3974" s="58">
        <v>0.58167999999999997</v>
      </c>
      <c r="J3974" s="57">
        <v>0.57162800000000002</v>
      </c>
      <c r="K3974" s="56"/>
      <c r="L3974" s="56" t="s">
        <v>488</v>
      </c>
    </row>
    <row r="3975" spans="2:12" x14ac:dyDescent="0.2">
      <c r="B3975" s="62" t="s">
        <v>1835</v>
      </c>
      <c r="C3975" s="61" t="s">
        <v>526</v>
      </c>
      <c r="D3975" s="60">
        <v>1.43313</v>
      </c>
      <c r="E3975" s="59">
        <v>4.6171899999999999</v>
      </c>
      <c r="F3975" s="59">
        <v>8.0911299999999997</v>
      </c>
      <c r="G3975" s="56">
        <v>1048.33</v>
      </c>
      <c r="H3975" s="56">
        <v>731.49800000000005</v>
      </c>
      <c r="I3975" s="58">
        <v>0.46816099999999999</v>
      </c>
      <c r="J3975" s="57">
        <v>0.37746299999999999</v>
      </c>
      <c r="K3975" s="56"/>
      <c r="L3975" s="56" t="s">
        <v>488</v>
      </c>
    </row>
    <row r="3976" spans="2:12" x14ac:dyDescent="0.2">
      <c r="B3976" s="62" t="s">
        <v>1834</v>
      </c>
      <c r="C3976" s="61" t="s">
        <v>1833</v>
      </c>
      <c r="D3976" s="60">
        <v>1.5531200000000001</v>
      </c>
      <c r="E3976" s="59">
        <v>3.6522100000000002</v>
      </c>
      <c r="F3976" s="59">
        <v>4.7804500000000001</v>
      </c>
      <c r="G3976" s="56">
        <v>0</v>
      </c>
      <c r="H3976" s="56">
        <v>0</v>
      </c>
      <c r="I3976" s="58">
        <v>0.38453999999999999</v>
      </c>
      <c r="J3976" s="57">
        <v>0.35734500000000002</v>
      </c>
      <c r="K3976" s="56"/>
      <c r="L3976" s="56" t="s">
        <v>488</v>
      </c>
    </row>
    <row r="3977" spans="2:12" x14ac:dyDescent="0.2">
      <c r="B3977" s="62" t="s">
        <v>1832</v>
      </c>
      <c r="C3977" s="61" t="s">
        <v>531</v>
      </c>
      <c r="D3977" s="60">
        <v>1.9108099999999999</v>
      </c>
      <c r="E3977" s="59">
        <v>3.7775699999999999</v>
      </c>
      <c r="F3977" s="59">
        <v>4.74057</v>
      </c>
      <c r="G3977" s="56">
        <v>501.31900000000002</v>
      </c>
      <c r="H3977" s="56">
        <v>262.36</v>
      </c>
      <c r="I3977" s="58">
        <v>0.31637199999999999</v>
      </c>
      <c r="J3977" s="57">
        <v>0.24415899999999999</v>
      </c>
      <c r="K3977" s="56"/>
      <c r="L3977" s="56" t="s">
        <v>488</v>
      </c>
    </row>
    <row r="3978" spans="2:12" x14ac:dyDescent="0.2">
      <c r="B3978" s="62" t="s">
        <v>1831</v>
      </c>
      <c r="C3978" s="61" t="s">
        <v>533</v>
      </c>
      <c r="D3978" s="60">
        <v>1.9215500000000001</v>
      </c>
      <c r="E3978" s="59">
        <v>3.8007300000000002</v>
      </c>
      <c r="F3978" s="59">
        <v>4.6595199999999997</v>
      </c>
      <c r="G3978" s="56">
        <v>520.87900000000002</v>
      </c>
      <c r="H3978" s="56">
        <v>271.072</v>
      </c>
      <c r="I3978" s="58">
        <v>0.31263099999999999</v>
      </c>
      <c r="J3978" s="57">
        <v>0.24371000000000001</v>
      </c>
      <c r="K3978" s="56"/>
      <c r="L3978" s="56" t="s">
        <v>488</v>
      </c>
    </row>
    <row r="3979" spans="2:12" x14ac:dyDescent="0.2">
      <c r="B3979" s="62" t="s">
        <v>1830</v>
      </c>
      <c r="C3979" s="61" t="s">
        <v>582</v>
      </c>
      <c r="D3979" s="60">
        <v>1.8800300000000001</v>
      </c>
      <c r="E3979" s="59">
        <v>3.8476400000000002</v>
      </c>
      <c r="F3979" s="59">
        <v>4.6454399999999998</v>
      </c>
      <c r="G3979" s="56">
        <v>531.16600000000005</v>
      </c>
      <c r="H3979" s="56">
        <v>282.04899999999998</v>
      </c>
      <c r="I3979" s="58">
        <v>0.30983500000000003</v>
      </c>
      <c r="J3979" s="57">
        <v>0.25002000000000002</v>
      </c>
      <c r="K3979" s="56"/>
      <c r="L3979" s="56" t="s">
        <v>488</v>
      </c>
    </row>
    <row r="3980" spans="2:12" x14ac:dyDescent="0.2">
      <c r="B3980" s="62" t="s">
        <v>1829</v>
      </c>
      <c r="C3980" s="61" t="s">
        <v>582</v>
      </c>
      <c r="D3980" s="60">
        <v>1.88324</v>
      </c>
      <c r="E3980" s="59">
        <v>3.8635700000000002</v>
      </c>
      <c r="F3980" s="59">
        <v>4.6415499999999996</v>
      </c>
      <c r="G3980" s="56">
        <v>550.14400000000001</v>
      </c>
      <c r="H3980" s="56">
        <v>292.62599999999998</v>
      </c>
      <c r="I3980" s="58">
        <v>0.31020399999999998</v>
      </c>
      <c r="J3980" s="57">
        <v>0.249193</v>
      </c>
      <c r="K3980" s="56"/>
      <c r="L3980" s="56" t="s">
        <v>488</v>
      </c>
    </row>
    <row r="3981" spans="2:12" x14ac:dyDescent="0.2">
      <c r="B3981" s="62" t="s">
        <v>1828</v>
      </c>
      <c r="C3981" s="61" t="s">
        <v>550</v>
      </c>
      <c r="D3981" s="60">
        <v>1.2589900000000001</v>
      </c>
      <c r="E3981" s="59">
        <v>4.9708399999999999</v>
      </c>
      <c r="F3981" s="59">
        <v>6.3523100000000001</v>
      </c>
      <c r="G3981" s="56">
        <v>1520.06</v>
      </c>
      <c r="H3981" s="56">
        <v>1207.3599999999999</v>
      </c>
      <c r="I3981" s="58">
        <v>0.548674</v>
      </c>
      <c r="J3981" s="57">
        <v>0.48826599999999998</v>
      </c>
      <c r="K3981" s="56"/>
      <c r="L3981" s="56" t="s">
        <v>488</v>
      </c>
    </row>
    <row r="3982" spans="2:12" x14ac:dyDescent="0.2">
      <c r="B3982" s="62" t="s">
        <v>1827</v>
      </c>
      <c r="C3982" s="61" t="s">
        <v>502</v>
      </c>
      <c r="D3982" s="60">
        <v>1.5300800000000001</v>
      </c>
      <c r="E3982" s="59">
        <v>3.1943899999999998</v>
      </c>
      <c r="F3982" s="59">
        <v>3.7614399999999999</v>
      </c>
      <c r="G3982" s="56">
        <v>0</v>
      </c>
      <c r="H3982" s="56">
        <v>0</v>
      </c>
      <c r="I3982" s="58">
        <v>5.4239200000000001E-2</v>
      </c>
      <c r="J3982" s="57">
        <v>0.241864</v>
      </c>
      <c r="K3982" s="56"/>
      <c r="L3982" s="56" t="s">
        <v>488</v>
      </c>
    </row>
    <row r="3983" spans="2:12" x14ac:dyDescent="0.2">
      <c r="B3983" s="62" t="s">
        <v>1826</v>
      </c>
      <c r="C3983" s="61" t="s">
        <v>499</v>
      </c>
      <c r="D3983" s="60">
        <v>0.80752900000000005</v>
      </c>
      <c r="E3983" s="59">
        <v>4.3237800000000002</v>
      </c>
      <c r="F3983" s="59">
        <v>9.7464200000000005</v>
      </c>
      <c r="G3983" s="56">
        <v>1879.9</v>
      </c>
      <c r="H3983" s="56">
        <v>2327.9699999999998</v>
      </c>
      <c r="I3983" s="58">
        <v>0.62579700000000005</v>
      </c>
      <c r="J3983" s="57">
        <v>0.83557499999999996</v>
      </c>
      <c r="K3983" s="56"/>
      <c r="L3983" s="56" t="s">
        <v>488</v>
      </c>
    </row>
    <row r="3984" spans="2:12" x14ac:dyDescent="0.2">
      <c r="B3984" s="62" t="s">
        <v>1825</v>
      </c>
      <c r="C3984" s="61" t="s">
        <v>502</v>
      </c>
      <c r="D3984" s="60">
        <v>0.59246699999999997</v>
      </c>
      <c r="E3984" s="59">
        <v>10.865790000000001</v>
      </c>
      <c r="F3984" s="59">
        <v>15.71457</v>
      </c>
      <c r="G3984" s="56">
        <v>1722.15</v>
      </c>
      <c r="H3984" s="56">
        <v>2906.75</v>
      </c>
      <c r="I3984" s="58">
        <v>0.72500500000000001</v>
      </c>
      <c r="J3984" s="57">
        <v>1.2627200000000001</v>
      </c>
      <c r="K3984" s="56"/>
      <c r="L3984" s="56" t="s">
        <v>488</v>
      </c>
    </row>
    <row r="3985" spans="2:12" x14ac:dyDescent="0.2">
      <c r="B3985" s="62" t="s">
        <v>1824</v>
      </c>
      <c r="C3985" s="61" t="s">
        <v>499</v>
      </c>
      <c r="D3985" s="60">
        <v>1.14422</v>
      </c>
      <c r="E3985" s="59">
        <v>4.4197300000000004</v>
      </c>
      <c r="F3985" s="59">
        <v>5.3755699999999997</v>
      </c>
      <c r="G3985" s="56">
        <v>974.51300000000003</v>
      </c>
      <c r="H3985" s="56">
        <v>851.68399999999997</v>
      </c>
      <c r="I3985" s="58">
        <v>0.46912599999999999</v>
      </c>
      <c r="J3985" s="57">
        <v>0.48996600000000001</v>
      </c>
      <c r="K3985" s="56"/>
      <c r="L3985" s="56" t="s">
        <v>488</v>
      </c>
    </row>
    <row r="3986" spans="2:12" x14ac:dyDescent="0.2">
      <c r="B3986" s="62" t="s">
        <v>1823</v>
      </c>
      <c r="C3986" s="61" t="s">
        <v>499</v>
      </c>
      <c r="D3986" s="60">
        <v>1.29312</v>
      </c>
      <c r="E3986" s="59">
        <v>3.8584900000000002</v>
      </c>
      <c r="F3986" s="59">
        <v>4.9383999999999997</v>
      </c>
      <c r="G3986" s="56">
        <v>594.37300000000005</v>
      </c>
      <c r="H3986" s="56">
        <v>459.64299999999997</v>
      </c>
      <c r="I3986" s="58">
        <v>0.38960499999999998</v>
      </c>
      <c r="J3986" s="57">
        <v>0.39441500000000002</v>
      </c>
      <c r="K3986" s="56"/>
      <c r="L3986" s="56" t="s">
        <v>488</v>
      </c>
    </row>
    <row r="3987" spans="2:12" x14ac:dyDescent="0.2">
      <c r="B3987" s="62" t="s">
        <v>1822</v>
      </c>
      <c r="C3987" s="61" t="s">
        <v>499</v>
      </c>
      <c r="D3987" s="60">
        <v>1.1906699999999999</v>
      </c>
      <c r="E3987" s="59">
        <v>3.7038600000000002</v>
      </c>
      <c r="F3987" s="59">
        <v>6.0073400000000001</v>
      </c>
      <c r="G3987" s="56">
        <v>0</v>
      </c>
      <c r="H3987" s="56">
        <v>0</v>
      </c>
      <c r="I3987" s="58">
        <v>0.53275600000000001</v>
      </c>
      <c r="J3987" s="57">
        <v>0.50052799999999997</v>
      </c>
      <c r="K3987" s="56"/>
      <c r="L3987" s="56" t="s">
        <v>488</v>
      </c>
    </row>
    <row r="3988" spans="2:12" x14ac:dyDescent="0.2">
      <c r="B3988" s="62" t="s">
        <v>1821</v>
      </c>
      <c r="C3988" s="61" t="s">
        <v>499</v>
      </c>
      <c r="D3988" s="60">
        <v>0.57291099999999995</v>
      </c>
      <c r="E3988" s="59">
        <v>9.1578199999999992</v>
      </c>
      <c r="F3988" s="59">
        <v>17.243449999999999</v>
      </c>
      <c r="G3988" s="56">
        <v>1980.12</v>
      </c>
      <c r="H3988" s="56">
        <v>3456.24</v>
      </c>
      <c r="I3988" s="58">
        <v>0.856769</v>
      </c>
      <c r="J3988" s="57">
        <v>1.44767</v>
      </c>
      <c r="K3988" s="56"/>
      <c r="L3988" s="56" t="s">
        <v>488</v>
      </c>
    </row>
    <row r="3989" spans="2:12" x14ac:dyDescent="0.2">
      <c r="B3989" s="62" t="s">
        <v>1820</v>
      </c>
      <c r="C3989" s="61" t="s">
        <v>550</v>
      </c>
      <c r="D3989" s="60">
        <v>1.2635700000000001</v>
      </c>
      <c r="E3989" s="59">
        <v>5.8334000000000001</v>
      </c>
      <c r="F3989" s="59">
        <v>6.9771000000000001</v>
      </c>
      <c r="G3989" s="56">
        <v>1027.67</v>
      </c>
      <c r="H3989" s="56">
        <v>813.31100000000004</v>
      </c>
      <c r="I3989" s="58">
        <v>0.44678400000000001</v>
      </c>
      <c r="J3989" s="57">
        <v>0.412767</v>
      </c>
      <c r="K3989" s="56"/>
      <c r="L3989" s="56" t="s">
        <v>488</v>
      </c>
    </row>
    <row r="3990" spans="2:12" x14ac:dyDescent="0.2">
      <c r="B3990" s="62" t="s">
        <v>1819</v>
      </c>
      <c r="C3990" s="61" t="s">
        <v>495</v>
      </c>
      <c r="D3990" s="60">
        <v>1.15116</v>
      </c>
      <c r="E3990" s="59">
        <v>5.8197400000000004</v>
      </c>
      <c r="F3990" s="59">
        <v>6.7122299999999999</v>
      </c>
      <c r="G3990" s="56">
        <v>1031.3800000000001</v>
      </c>
      <c r="H3990" s="56">
        <v>895.947</v>
      </c>
      <c r="I3990" s="58">
        <v>0.44576199999999999</v>
      </c>
      <c r="J3990" s="57">
        <v>0.44648700000000002</v>
      </c>
      <c r="K3990" s="56"/>
      <c r="L3990" s="56" t="s">
        <v>488</v>
      </c>
    </row>
    <row r="3991" spans="2:12" x14ac:dyDescent="0.2">
      <c r="B3991" s="62" t="s">
        <v>1818</v>
      </c>
      <c r="C3991" s="61" t="s">
        <v>1817</v>
      </c>
      <c r="D3991" s="60">
        <v>1.1979500000000001</v>
      </c>
      <c r="E3991" s="59">
        <v>3.5295100000000001</v>
      </c>
      <c r="F3991" s="59">
        <v>4.7054400000000003</v>
      </c>
      <c r="G3991" s="56">
        <v>0</v>
      </c>
      <c r="H3991" s="56">
        <v>0</v>
      </c>
      <c r="I3991" s="58">
        <v>0.30013800000000002</v>
      </c>
      <c r="J3991" s="57">
        <v>0.42662</v>
      </c>
      <c r="K3991" s="56" t="s">
        <v>1816</v>
      </c>
      <c r="L3991" s="56" t="s">
        <v>563</v>
      </c>
    </row>
    <row r="3992" spans="2:12" x14ac:dyDescent="0.2">
      <c r="B3992" s="62" t="s">
        <v>1815</v>
      </c>
      <c r="C3992" s="61" t="s">
        <v>1814</v>
      </c>
      <c r="D3992" s="60">
        <v>1.49315</v>
      </c>
      <c r="E3992" s="59">
        <v>3.99776</v>
      </c>
      <c r="F3992" s="59">
        <v>5.3883799999999997</v>
      </c>
      <c r="G3992" s="56">
        <v>392.99400000000003</v>
      </c>
      <c r="H3992" s="56">
        <v>263.19799999999998</v>
      </c>
      <c r="I3992" s="58">
        <v>0.206512</v>
      </c>
      <c r="J3992" s="57">
        <v>0.303954</v>
      </c>
      <c r="K3992" s="56"/>
      <c r="L3992" s="56" t="s">
        <v>488</v>
      </c>
    </row>
    <row r="3993" spans="2:12" x14ac:dyDescent="0.2">
      <c r="B3993" s="62" t="s">
        <v>1813</v>
      </c>
      <c r="C3993" s="61" t="s">
        <v>1812</v>
      </c>
      <c r="D3993" s="60">
        <v>1.20336</v>
      </c>
      <c r="E3993" s="59">
        <v>6.1853699999999998</v>
      </c>
      <c r="F3993" s="59">
        <v>8.6739300000000004</v>
      </c>
      <c r="G3993" s="56">
        <v>1627.69</v>
      </c>
      <c r="H3993" s="56">
        <v>1352.62</v>
      </c>
      <c r="I3993" s="58">
        <v>0.68049099999999996</v>
      </c>
      <c r="J3993" s="57">
        <v>0.54397799999999996</v>
      </c>
      <c r="K3993" s="56"/>
      <c r="L3993" s="56" t="s">
        <v>488</v>
      </c>
    </row>
    <row r="3994" spans="2:12" x14ac:dyDescent="0.2">
      <c r="B3994" s="62" t="s">
        <v>1811</v>
      </c>
      <c r="C3994" s="61" t="s">
        <v>1810</v>
      </c>
      <c r="D3994" s="60">
        <v>0.90036099999999997</v>
      </c>
      <c r="E3994" s="59">
        <v>6.5890500000000003</v>
      </c>
      <c r="F3994" s="59">
        <v>8.5404099999999996</v>
      </c>
      <c r="G3994" s="56">
        <v>1740.44</v>
      </c>
      <c r="H3994" s="56">
        <v>1933.05</v>
      </c>
      <c r="I3994" s="58">
        <v>0.69720000000000004</v>
      </c>
      <c r="J3994" s="57">
        <v>0.74012500000000003</v>
      </c>
      <c r="K3994" s="56"/>
      <c r="L3994" s="56" t="s">
        <v>488</v>
      </c>
    </row>
    <row r="3995" spans="2:12" x14ac:dyDescent="0.2">
      <c r="B3995" s="62" t="s">
        <v>1809</v>
      </c>
      <c r="C3995" s="61" t="s">
        <v>531</v>
      </c>
      <c r="D3995" s="60">
        <v>1.4429399999999999</v>
      </c>
      <c r="E3995" s="59">
        <v>4.7300399999999998</v>
      </c>
      <c r="F3995" s="59">
        <v>7.0184699999999998</v>
      </c>
      <c r="G3995" s="56">
        <v>1160.6099999999999</v>
      </c>
      <c r="H3995" s="56">
        <v>804.33399999999995</v>
      </c>
      <c r="I3995" s="58">
        <v>0.54451300000000002</v>
      </c>
      <c r="J3995" s="57">
        <v>0.38475300000000001</v>
      </c>
      <c r="K3995" s="56"/>
      <c r="L3995" s="56" t="s">
        <v>488</v>
      </c>
    </row>
    <row r="3996" spans="2:12" x14ac:dyDescent="0.2">
      <c r="B3996" s="62" t="s">
        <v>1808</v>
      </c>
      <c r="C3996" s="61" t="s">
        <v>499</v>
      </c>
      <c r="D3996" s="60">
        <v>1.92126</v>
      </c>
      <c r="E3996" s="59">
        <v>3.6292200000000001</v>
      </c>
      <c r="F3996" s="59">
        <v>4.7639100000000001</v>
      </c>
      <c r="G3996" s="56">
        <v>0</v>
      </c>
      <c r="H3996" s="56">
        <v>0</v>
      </c>
      <c r="I3996" s="58">
        <v>0.26309100000000002</v>
      </c>
      <c r="J3996" s="57">
        <v>0.237292</v>
      </c>
      <c r="K3996" s="56"/>
      <c r="L3996" s="56" t="s">
        <v>488</v>
      </c>
    </row>
    <row r="3997" spans="2:12" x14ac:dyDescent="0.2">
      <c r="B3997" s="62" t="s">
        <v>1807</v>
      </c>
      <c r="C3997" s="61" t="s">
        <v>499</v>
      </c>
      <c r="D3997" s="60">
        <v>1.9211100000000001</v>
      </c>
      <c r="E3997" s="59">
        <v>3.5826799999999999</v>
      </c>
      <c r="F3997" s="59">
        <v>4.8243600000000004</v>
      </c>
      <c r="G3997" s="56">
        <v>0</v>
      </c>
      <c r="H3997" s="56">
        <v>0</v>
      </c>
      <c r="I3997" s="58">
        <v>0.262239</v>
      </c>
      <c r="J3997" s="57">
        <v>0.237597</v>
      </c>
      <c r="K3997" s="56"/>
      <c r="L3997" s="56" t="s">
        <v>488</v>
      </c>
    </row>
    <row r="3998" spans="2:12" x14ac:dyDescent="0.2">
      <c r="B3998" s="62" t="s">
        <v>1806</v>
      </c>
      <c r="C3998" s="61" t="s">
        <v>499</v>
      </c>
      <c r="D3998" s="60">
        <v>1.8144</v>
      </c>
      <c r="E3998" s="59">
        <v>3.8494700000000002</v>
      </c>
      <c r="F3998" s="59">
        <v>5.24315</v>
      </c>
      <c r="G3998" s="56">
        <v>581.08799999999997</v>
      </c>
      <c r="H3998" s="56">
        <v>320.26400000000001</v>
      </c>
      <c r="I3998" s="58">
        <v>0.30496299999999998</v>
      </c>
      <c r="J3998" s="57">
        <v>0.26784999999999998</v>
      </c>
      <c r="K3998" s="56"/>
      <c r="L3998" s="56" t="s">
        <v>488</v>
      </c>
    </row>
    <row r="3999" spans="2:12" x14ac:dyDescent="0.2">
      <c r="B3999" s="62" t="s">
        <v>1805</v>
      </c>
      <c r="C3999" s="61" t="s">
        <v>510</v>
      </c>
      <c r="D3999" s="60">
        <v>1.56701</v>
      </c>
      <c r="E3999" s="59">
        <v>3.0741700000000001</v>
      </c>
      <c r="F3999" s="59">
        <v>3.7645499999999998</v>
      </c>
      <c r="G3999" s="56">
        <v>0</v>
      </c>
      <c r="H3999" s="56">
        <v>0</v>
      </c>
      <c r="I3999" s="58">
        <v>0.22006899999999999</v>
      </c>
      <c r="J3999" s="57">
        <v>0.26565100000000003</v>
      </c>
      <c r="K3999" s="56"/>
      <c r="L3999" s="56" t="s">
        <v>488</v>
      </c>
    </row>
    <row r="4000" spans="2:12" x14ac:dyDescent="0.2">
      <c r="B4000" s="62" t="s">
        <v>1804</v>
      </c>
      <c r="C4000" s="61" t="s">
        <v>550</v>
      </c>
      <c r="D4000" s="60">
        <v>1.7057800000000001</v>
      </c>
      <c r="E4000" s="59">
        <v>2.8186900000000001</v>
      </c>
      <c r="F4000" s="59">
        <v>4.9292499999999997</v>
      </c>
      <c r="G4000" s="56">
        <v>0</v>
      </c>
      <c r="H4000" s="56">
        <v>0</v>
      </c>
      <c r="I4000" s="58">
        <v>0.16527600000000001</v>
      </c>
      <c r="J4000" s="57">
        <v>0.25492100000000001</v>
      </c>
      <c r="K4000" s="56"/>
      <c r="L4000" s="56" t="s">
        <v>488</v>
      </c>
    </row>
    <row r="4001" spans="2:12" x14ac:dyDescent="0.2">
      <c r="B4001" s="62" t="s">
        <v>1803</v>
      </c>
      <c r="C4001" s="61" t="s">
        <v>499</v>
      </c>
      <c r="D4001" s="60">
        <v>0.73602500000000004</v>
      </c>
      <c r="E4001" s="59">
        <v>6.7305700000000002</v>
      </c>
      <c r="F4001" s="59">
        <v>10.62365</v>
      </c>
      <c r="G4001" s="56">
        <v>1796.82</v>
      </c>
      <c r="H4001" s="56">
        <v>2441.2600000000002</v>
      </c>
      <c r="I4001" s="58">
        <v>0.69042000000000003</v>
      </c>
      <c r="J4001" s="57">
        <v>0.93885799999999997</v>
      </c>
      <c r="K4001" s="56"/>
      <c r="L4001" s="56" t="s">
        <v>488</v>
      </c>
    </row>
    <row r="4002" spans="2:12" x14ac:dyDescent="0.2">
      <c r="B4002" s="62" t="s">
        <v>1802</v>
      </c>
      <c r="C4002" s="61" t="s">
        <v>550</v>
      </c>
      <c r="D4002" s="60">
        <v>1.3464</v>
      </c>
      <c r="E4002" s="59">
        <v>3.8043999999999998</v>
      </c>
      <c r="F4002" s="59">
        <v>5.13889</v>
      </c>
      <c r="G4002" s="56">
        <v>583.77300000000002</v>
      </c>
      <c r="H4002" s="56">
        <v>433.58199999999999</v>
      </c>
      <c r="I4002" s="58">
        <v>0.33635599999999999</v>
      </c>
      <c r="J4002" s="57">
        <v>0.35559800000000003</v>
      </c>
      <c r="K4002" s="56"/>
      <c r="L4002" s="56" t="s">
        <v>488</v>
      </c>
    </row>
    <row r="4003" spans="2:12" x14ac:dyDescent="0.2">
      <c r="B4003" s="62" t="s">
        <v>1801</v>
      </c>
      <c r="C4003" s="61" t="s">
        <v>499</v>
      </c>
      <c r="D4003" s="60">
        <v>1.9704299999999999</v>
      </c>
      <c r="E4003" s="59">
        <v>3.5229699999999999</v>
      </c>
      <c r="F4003" s="59">
        <v>4.5932899999999997</v>
      </c>
      <c r="G4003" s="56">
        <v>0</v>
      </c>
      <c r="H4003" s="56">
        <v>0</v>
      </c>
      <c r="I4003" s="58">
        <v>0.24251900000000001</v>
      </c>
      <c r="J4003" s="57">
        <v>0.22478799999999999</v>
      </c>
      <c r="K4003" s="56"/>
      <c r="L4003" s="56" t="s">
        <v>488</v>
      </c>
    </row>
    <row r="4004" spans="2:12" x14ac:dyDescent="0.2">
      <c r="B4004" s="62" t="s">
        <v>1800</v>
      </c>
      <c r="C4004" s="61" t="s">
        <v>499</v>
      </c>
      <c r="D4004" s="60">
        <v>1.88802</v>
      </c>
      <c r="E4004" s="59">
        <v>3.64059</v>
      </c>
      <c r="F4004" s="59">
        <v>4.8977199999999996</v>
      </c>
      <c r="G4004" s="56">
        <v>0</v>
      </c>
      <c r="H4004" s="56">
        <v>0</v>
      </c>
      <c r="I4004" s="58">
        <v>0.27831</v>
      </c>
      <c r="J4004" s="57">
        <v>0.24679100000000001</v>
      </c>
      <c r="K4004" s="56"/>
      <c r="L4004" s="56" t="s">
        <v>488</v>
      </c>
    </row>
    <row r="4005" spans="2:12" x14ac:dyDescent="0.2">
      <c r="B4005" s="62" t="s">
        <v>1799</v>
      </c>
      <c r="C4005" s="61" t="s">
        <v>499</v>
      </c>
      <c r="D4005" s="60">
        <v>1.9790300000000001</v>
      </c>
      <c r="E4005" s="59">
        <v>3.5447099999999998</v>
      </c>
      <c r="F4005" s="59">
        <v>4.5689700000000002</v>
      </c>
      <c r="G4005" s="56">
        <v>0</v>
      </c>
      <c r="H4005" s="56">
        <v>0</v>
      </c>
      <c r="I4005" s="58">
        <v>0.242419</v>
      </c>
      <c r="J4005" s="57">
        <v>0.22248399999999999</v>
      </c>
      <c r="K4005" s="56"/>
      <c r="L4005" s="56" t="s">
        <v>488</v>
      </c>
    </row>
    <row r="4006" spans="2:12" x14ac:dyDescent="0.2">
      <c r="B4006" s="62" t="s">
        <v>1798</v>
      </c>
      <c r="C4006" s="61" t="s">
        <v>499</v>
      </c>
      <c r="D4006" s="60">
        <v>1.8947799999999999</v>
      </c>
      <c r="E4006" s="59">
        <v>3.6520999999999999</v>
      </c>
      <c r="F4006" s="59">
        <v>4.8468099999999996</v>
      </c>
      <c r="G4006" s="56">
        <v>0</v>
      </c>
      <c r="H4006" s="56">
        <v>0</v>
      </c>
      <c r="I4006" s="58">
        <v>0.27397899999999997</v>
      </c>
      <c r="J4006" s="57">
        <v>0.24490000000000001</v>
      </c>
      <c r="K4006" s="56"/>
      <c r="L4006" s="56" t="s">
        <v>488</v>
      </c>
    </row>
    <row r="4007" spans="2:12" x14ac:dyDescent="0.2">
      <c r="B4007" s="62" t="s">
        <v>1797</v>
      </c>
      <c r="C4007" s="61" t="s">
        <v>502</v>
      </c>
      <c r="D4007" s="60">
        <v>1.2025600000000001</v>
      </c>
      <c r="E4007" s="59">
        <v>3.82985</v>
      </c>
      <c r="F4007" s="59">
        <v>5.1888399999999999</v>
      </c>
      <c r="G4007" s="56">
        <v>512.971</v>
      </c>
      <c r="H4007" s="56">
        <v>426.29199999999997</v>
      </c>
      <c r="I4007" s="58">
        <v>0.38517800000000002</v>
      </c>
      <c r="J4007" s="57">
        <v>0.405582</v>
      </c>
      <c r="K4007" s="56"/>
      <c r="L4007" s="56" t="s">
        <v>488</v>
      </c>
    </row>
    <row r="4008" spans="2:12" x14ac:dyDescent="0.2">
      <c r="B4008" s="62" t="s">
        <v>1796</v>
      </c>
      <c r="C4008" s="61" t="s">
        <v>502</v>
      </c>
      <c r="D4008" s="60">
        <v>1.20333</v>
      </c>
      <c r="E4008" s="59">
        <v>3.7685300000000002</v>
      </c>
      <c r="F4008" s="59">
        <v>5.1240199999999998</v>
      </c>
      <c r="G4008" s="56">
        <v>527.00599999999997</v>
      </c>
      <c r="H4008" s="56">
        <v>438.23599999999999</v>
      </c>
      <c r="I4008" s="58">
        <v>0.37827899999999998</v>
      </c>
      <c r="J4008" s="57">
        <v>0.40504099999999998</v>
      </c>
      <c r="K4008" s="56"/>
      <c r="L4008" s="56" t="s">
        <v>488</v>
      </c>
    </row>
    <row r="4009" spans="2:12" x14ac:dyDescent="0.2">
      <c r="B4009" s="62" t="s">
        <v>1795</v>
      </c>
      <c r="C4009" s="61" t="s">
        <v>502</v>
      </c>
      <c r="D4009" s="60">
        <v>1.1805000000000001</v>
      </c>
      <c r="E4009" s="59">
        <v>3.2235299999999998</v>
      </c>
      <c r="F4009" s="59">
        <v>4.1271699999999996</v>
      </c>
      <c r="G4009" s="56">
        <v>0</v>
      </c>
      <c r="H4009" s="56">
        <v>0</v>
      </c>
      <c r="I4009" s="58">
        <v>0.39472200000000002</v>
      </c>
      <c r="J4009" s="57">
        <v>0.41982700000000001</v>
      </c>
      <c r="K4009" s="56"/>
      <c r="L4009" s="56" t="s">
        <v>488</v>
      </c>
    </row>
    <row r="4010" spans="2:12" x14ac:dyDescent="0.2">
      <c r="B4010" s="62" t="s">
        <v>1794</v>
      </c>
      <c r="C4010" s="61" t="s">
        <v>502</v>
      </c>
      <c r="D4010" s="60">
        <v>1.3058000000000001</v>
      </c>
      <c r="E4010" s="59">
        <v>3.89364</v>
      </c>
      <c r="F4010" s="59">
        <v>5.1191899999999997</v>
      </c>
      <c r="G4010" s="56">
        <v>601.30899999999997</v>
      </c>
      <c r="H4010" s="56">
        <v>509.37</v>
      </c>
      <c r="I4010" s="58">
        <v>0.21776000000000001</v>
      </c>
      <c r="J4010" s="57">
        <v>0.32381399999999999</v>
      </c>
      <c r="K4010" s="56"/>
      <c r="L4010" s="56" t="s">
        <v>488</v>
      </c>
    </row>
    <row r="4011" spans="2:12" x14ac:dyDescent="0.2">
      <c r="B4011" s="62" t="s">
        <v>1793</v>
      </c>
      <c r="C4011" s="61" t="s">
        <v>531</v>
      </c>
      <c r="D4011" s="60">
        <v>1.1467099999999999</v>
      </c>
      <c r="E4011" s="59">
        <v>6.7387199999999998</v>
      </c>
      <c r="F4011" s="59">
        <v>7.36714</v>
      </c>
      <c r="G4011" s="56">
        <v>876.00300000000004</v>
      </c>
      <c r="H4011" s="56">
        <v>763.92700000000002</v>
      </c>
      <c r="I4011" s="58">
        <v>0.42602200000000001</v>
      </c>
      <c r="J4011" s="57">
        <v>0.46045799999999998</v>
      </c>
      <c r="K4011" s="56"/>
      <c r="L4011" s="56" t="s">
        <v>488</v>
      </c>
    </row>
    <row r="4012" spans="2:12" x14ac:dyDescent="0.2">
      <c r="B4012" s="62" t="s">
        <v>1792</v>
      </c>
      <c r="C4012" s="61" t="s">
        <v>550</v>
      </c>
      <c r="D4012" s="60">
        <v>0.86621499999999996</v>
      </c>
      <c r="E4012" s="59">
        <v>6.1226900000000004</v>
      </c>
      <c r="F4012" s="59">
        <v>7.1820399999999998</v>
      </c>
      <c r="G4012" s="56">
        <v>1710.73</v>
      </c>
      <c r="H4012" s="56">
        <v>1974.95</v>
      </c>
      <c r="I4012" s="58">
        <v>0.637069</v>
      </c>
      <c r="J4012" s="57">
        <v>0.72492299999999998</v>
      </c>
      <c r="K4012" s="56"/>
      <c r="L4012" s="56" t="s">
        <v>492</v>
      </c>
    </row>
    <row r="4013" spans="2:12" x14ac:dyDescent="0.2">
      <c r="B4013" s="62" t="s">
        <v>1791</v>
      </c>
      <c r="C4013" s="61" t="s">
        <v>1790</v>
      </c>
      <c r="D4013" s="60">
        <v>1.9625900000000001</v>
      </c>
      <c r="E4013" s="59">
        <v>2.98813</v>
      </c>
      <c r="F4013" s="59">
        <v>3.92448</v>
      </c>
      <c r="G4013" s="56">
        <v>0</v>
      </c>
      <c r="H4013" s="56">
        <v>0</v>
      </c>
      <c r="I4013" s="58">
        <v>0.15449299999999999</v>
      </c>
      <c r="J4013" s="57">
        <v>0.19264100000000001</v>
      </c>
      <c r="K4013" s="56"/>
      <c r="L4013" s="56" t="s">
        <v>488</v>
      </c>
    </row>
    <row r="4014" spans="2:12" x14ac:dyDescent="0.2">
      <c r="B4014" s="62" t="s">
        <v>1789</v>
      </c>
      <c r="C4014" s="61" t="s">
        <v>510</v>
      </c>
      <c r="D4014" s="60">
        <v>1.3707199999999999</v>
      </c>
      <c r="E4014" s="59">
        <v>2.8455699999999999</v>
      </c>
      <c r="F4014" s="59">
        <v>4.3214699999999997</v>
      </c>
      <c r="G4014" s="56">
        <v>0</v>
      </c>
      <c r="H4014" s="56">
        <v>0</v>
      </c>
      <c r="I4014" s="58">
        <v>0.19353100000000001</v>
      </c>
      <c r="J4014" s="57">
        <v>0.34848800000000002</v>
      </c>
      <c r="K4014" s="56"/>
      <c r="L4014" s="56" t="s">
        <v>492</v>
      </c>
    </row>
    <row r="4015" spans="2:12" x14ac:dyDescent="0.2">
      <c r="B4015" s="62" t="s">
        <v>1788</v>
      </c>
      <c r="C4015" s="61" t="s">
        <v>579</v>
      </c>
      <c r="D4015" s="60">
        <v>1.7470000000000001</v>
      </c>
      <c r="E4015" s="59">
        <v>4.95275</v>
      </c>
      <c r="F4015" s="59">
        <v>6.0501100000000001</v>
      </c>
      <c r="G4015" s="56">
        <v>1244.81</v>
      </c>
      <c r="H4015" s="56">
        <v>712.54200000000003</v>
      </c>
      <c r="I4015" s="58">
        <v>0.42175499999999999</v>
      </c>
      <c r="J4015" s="57">
        <v>0.30993399999999999</v>
      </c>
      <c r="K4015" s="56"/>
      <c r="L4015" s="56" t="s">
        <v>488</v>
      </c>
    </row>
    <row r="4016" spans="2:12" x14ac:dyDescent="0.2">
      <c r="B4016" s="62" t="s">
        <v>1787</v>
      </c>
      <c r="C4016" s="61" t="s">
        <v>1786</v>
      </c>
      <c r="D4016" s="60">
        <v>1.37462</v>
      </c>
      <c r="E4016" s="59">
        <v>3.5323899999999999</v>
      </c>
      <c r="F4016" s="59">
        <v>4.6739800000000002</v>
      </c>
      <c r="G4016" s="56">
        <v>0</v>
      </c>
      <c r="H4016" s="56">
        <v>0</v>
      </c>
      <c r="I4016" s="58">
        <v>0.29400599999999999</v>
      </c>
      <c r="J4016" s="57">
        <v>0.36122500000000002</v>
      </c>
      <c r="K4016" s="56"/>
      <c r="L4016" s="56" t="s">
        <v>488</v>
      </c>
    </row>
    <row r="4017" spans="2:12" x14ac:dyDescent="0.2">
      <c r="B4017" s="62" t="s">
        <v>1785</v>
      </c>
      <c r="C4017" s="61" t="s">
        <v>495</v>
      </c>
      <c r="D4017" s="60">
        <v>1.19963</v>
      </c>
      <c r="E4017" s="59">
        <v>2.6933699999999998</v>
      </c>
      <c r="F4017" s="59">
        <v>5.9291999999999998</v>
      </c>
      <c r="G4017" s="56">
        <v>0</v>
      </c>
      <c r="H4017" s="56">
        <v>0</v>
      </c>
      <c r="I4017" s="58">
        <v>0.30090299999999998</v>
      </c>
      <c r="J4017" s="57">
        <v>0.41816599999999998</v>
      </c>
      <c r="K4017" s="56"/>
      <c r="L4017" s="56" t="s">
        <v>488</v>
      </c>
    </row>
    <row r="4018" spans="2:12" x14ac:dyDescent="0.2">
      <c r="B4018" s="62" t="s">
        <v>1784</v>
      </c>
      <c r="C4018" s="61" t="s">
        <v>541</v>
      </c>
      <c r="D4018" s="60">
        <v>0.90458700000000003</v>
      </c>
      <c r="E4018" s="59">
        <v>5.3132299999999999</v>
      </c>
      <c r="F4018" s="59">
        <v>8.7826199999999996</v>
      </c>
      <c r="G4018" s="56">
        <v>1585.3</v>
      </c>
      <c r="H4018" s="56">
        <v>1752.51</v>
      </c>
      <c r="I4018" s="58">
        <v>0.58823899999999996</v>
      </c>
      <c r="J4018" s="57">
        <v>0.72960999999999998</v>
      </c>
      <c r="K4018" s="56"/>
      <c r="L4018" s="56" t="s">
        <v>492</v>
      </c>
    </row>
    <row r="4019" spans="2:12" x14ac:dyDescent="0.2">
      <c r="B4019" s="62" t="s">
        <v>1783</v>
      </c>
      <c r="C4019" s="61" t="s">
        <v>582</v>
      </c>
      <c r="D4019" s="60">
        <v>0.92277799999999999</v>
      </c>
      <c r="E4019" s="59">
        <v>5.2457500000000001</v>
      </c>
      <c r="F4019" s="59">
        <v>8.6985799999999998</v>
      </c>
      <c r="G4019" s="56">
        <v>1560.43</v>
      </c>
      <c r="H4019" s="56">
        <v>1691.01</v>
      </c>
      <c r="I4019" s="58">
        <v>0.58932899999999999</v>
      </c>
      <c r="J4019" s="57">
        <v>0.71296700000000002</v>
      </c>
      <c r="K4019" s="56"/>
      <c r="L4019" s="56" t="s">
        <v>492</v>
      </c>
    </row>
    <row r="4020" spans="2:12" x14ac:dyDescent="0.2">
      <c r="B4020" s="62" t="s">
        <v>1782</v>
      </c>
      <c r="C4020" s="61" t="s">
        <v>499</v>
      </c>
      <c r="D4020" s="60">
        <v>0.941106</v>
      </c>
      <c r="E4020" s="59">
        <v>4.6352700000000002</v>
      </c>
      <c r="F4020" s="59">
        <v>6.0885699999999998</v>
      </c>
      <c r="G4020" s="56">
        <v>1415.28</v>
      </c>
      <c r="H4020" s="56">
        <v>1503.85</v>
      </c>
      <c r="I4020" s="58">
        <v>0.58102699999999996</v>
      </c>
      <c r="J4020" s="57">
        <v>0.64370400000000005</v>
      </c>
      <c r="K4020" s="56"/>
      <c r="L4020" s="56" t="s">
        <v>488</v>
      </c>
    </row>
    <row r="4021" spans="2:12" x14ac:dyDescent="0.2">
      <c r="B4021" s="62" t="s">
        <v>1781</v>
      </c>
      <c r="C4021" s="61" t="s">
        <v>579</v>
      </c>
      <c r="D4021" s="60">
        <v>1.5666500000000001</v>
      </c>
      <c r="E4021" s="59">
        <v>3.1316999999999999</v>
      </c>
      <c r="F4021" s="59">
        <v>4.9775600000000004</v>
      </c>
      <c r="G4021" s="56">
        <v>0</v>
      </c>
      <c r="H4021" s="56">
        <v>0</v>
      </c>
      <c r="I4021" s="58">
        <v>0.322571</v>
      </c>
      <c r="J4021" s="57">
        <v>0.30696299999999999</v>
      </c>
      <c r="K4021" s="56"/>
      <c r="L4021" s="56" t="s">
        <v>488</v>
      </c>
    </row>
    <row r="4022" spans="2:12" x14ac:dyDescent="0.2">
      <c r="B4022" s="62" t="s">
        <v>1780</v>
      </c>
      <c r="C4022" s="61" t="s">
        <v>1096</v>
      </c>
      <c r="D4022" s="60">
        <v>2.2628400000000002</v>
      </c>
      <c r="E4022" s="59">
        <v>2.5537100000000001</v>
      </c>
      <c r="F4022" s="59">
        <v>3.0934900000000001</v>
      </c>
      <c r="G4022" s="56">
        <v>0</v>
      </c>
      <c r="H4022" s="56">
        <v>0</v>
      </c>
      <c r="I4022" s="58">
        <v>4.0316400000000002E-2</v>
      </c>
      <c r="J4022" s="57">
        <v>0.14271300000000001</v>
      </c>
      <c r="K4022" s="56"/>
      <c r="L4022" s="56" t="s">
        <v>488</v>
      </c>
    </row>
    <row r="4023" spans="2:12" x14ac:dyDescent="0.2">
      <c r="B4023" s="62" t="s">
        <v>1779</v>
      </c>
      <c r="C4023" s="61" t="s">
        <v>535</v>
      </c>
      <c r="D4023" s="60">
        <v>2.0230199999999998</v>
      </c>
      <c r="E4023" s="59">
        <v>3.2783600000000002</v>
      </c>
      <c r="F4023" s="59">
        <v>4.1702199999999996</v>
      </c>
      <c r="G4023" s="56">
        <v>0</v>
      </c>
      <c r="H4023" s="56">
        <v>0</v>
      </c>
      <c r="I4023" s="58">
        <v>0.21992600000000001</v>
      </c>
      <c r="J4023" s="57">
        <v>0.20669699999999999</v>
      </c>
      <c r="K4023" s="56"/>
      <c r="L4023" s="56" t="s">
        <v>488</v>
      </c>
    </row>
    <row r="4024" spans="2:12" x14ac:dyDescent="0.2">
      <c r="B4024" s="62" t="s">
        <v>1778</v>
      </c>
      <c r="C4024" s="61" t="s">
        <v>625</v>
      </c>
      <c r="D4024" s="60">
        <v>1.4581</v>
      </c>
      <c r="E4024" s="59">
        <v>2.8304800000000001</v>
      </c>
      <c r="F4024" s="59">
        <v>4.7833399999999999</v>
      </c>
      <c r="G4024" s="56">
        <v>0</v>
      </c>
      <c r="H4024" s="56">
        <v>0</v>
      </c>
      <c r="I4024" s="58">
        <v>0.20405999999999999</v>
      </c>
      <c r="J4024" s="57">
        <v>0.307114</v>
      </c>
      <c r="K4024" s="56"/>
      <c r="L4024" s="56" t="s">
        <v>492</v>
      </c>
    </row>
    <row r="4025" spans="2:12" x14ac:dyDescent="0.2">
      <c r="B4025" s="62" t="s">
        <v>1777</v>
      </c>
      <c r="C4025" s="61" t="s">
        <v>502</v>
      </c>
      <c r="D4025" s="60">
        <v>2.1719400000000002</v>
      </c>
      <c r="E4025" s="59">
        <v>3.07037</v>
      </c>
      <c r="F4025" s="59">
        <v>3.9802399999999998</v>
      </c>
      <c r="G4025" s="56">
        <v>0</v>
      </c>
      <c r="H4025" s="56">
        <v>0</v>
      </c>
      <c r="I4025" s="58">
        <v>0.22117100000000001</v>
      </c>
      <c r="J4025" s="57">
        <v>0.202427</v>
      </c>
      <c r="K4025" s="56"/>
      <c r="L4025" s="56" t="s">
        <v>488</v>
      </c>
    </row>
    <row r="4026" spans="2:12" x14ac:dyDescent="0.2">
      <c r="B4026" s="62" t="s">
        <v>1776</v>
      </c>
      <c r="C4026" s="61" t="s">
        <v>502</v>
      </c>
      <c r="D4026" s="60">
        <v>2.1861799999999998</v>
      </c>
      <c r="E4026" s="59">
        <v>3.0540600000000002</v>
      </c>
      <c r="F4026" s="59">
        <v>3.99152</v>
      </c>
      <c r="G4026" s="56">
        <v>0</v>
      </c>
      <c r="H4026" s="56">
        <v>0</v>
      </c>
      <c r="I4026" s="58">
        <v>0.22250200000000001</v>
      </c>
      <c r="J4026" s="57">
        <v>0.20047200000000001</v>
      </c>
      <c r="K4026" s="56"/>
      <c r="L4026" s="56" t="s">
        <v>488</v>
      </c>
    </row>
    <row r="4027" spans="2:12" x14ac:dyDescent="0.2">
      <c r="B4027" s="62" t="s">
        <v>1775</v>
      </c>
      <c r="C4027" s="61" t="s">
        <v>502</v>
      </c>
      <c r="D4027" s="60">
        <v>2.4463499999999998</v>
      </c>
      <c r="E4027" s="59">
        <v>2.5647700000000002</v>
      </c>
      <c r="F4027" s="59">
        <v>3.1096200000000001</v>
      </c>
      <c r="G4027" s="56">
        <v>0</v>
      </c>
      <c r="H4027" s="56">
        <v>0</v>
      </c>
      <c r="I4027" s="58">
        <v>5.4021300000000001E-2</v>
      </c>
      <c r="J4027" s="57">
        <v>0.14529400000000001</v>
      </c>
      <c r="K4027" s="56"/>
      <c r="L4027" s="56" t="s">
        <v>488</v>
      </c>
    </row>
    <row r="4028" spans="2:12" x14ac:dyDescent="0.2">
      <c r="B4028" s="62" t="s">
        <v>1774</v>
      </c>
      <c r="C4028" s="61" t="s">
        <v>1773</v>
      </c>
      <c r="D4028" s="60">
        <v>1.57704</v>
      </c>
      <c r="E4028" s="59">
        <v>3.4377900000000001</v>
      </c>
      <c r="F4028" s="59">
        <v>4.9697800000000001</v>
      </c>
      <c r="G4028" s="56">
        <v>0</v>
      </c>
      <c r="H4028" s="56">
        <v>0</v>
      </c>
      <c r="I4028" s="58">
        <v>0.21612799999999999</v>
      </c>
      <c r="J4028" s="57">
        <v>0.246639</v>
      </c>
      <c r="K4028" s="56"/>
      <c r="L4028" s="56" t="s">
        <v>488</v>
      </c>
    </row>
    <row r="4029" spans="2:12" x14ac:dyDescent="0.2">
      <c r="B4029" s="62" t="s">
        <v>1772</v>
      </c>
      <c r="C4029" s="61" t="s">
        <v>1771</v>
      </c>
      <c r="D4029" s="60">
        <v>1.5959399999999999</v>
      </c>
      <c r="E4029" s="59">
        <v>3.4190499999999999</v>
      </c>
      <c r="F4029" s="59">
        <v>4.9414100000000003</v>
      </c>
      <c r="G4029" s="56">
        <v>0</v>
      </c>
      <c r="H4029" s="56">
        <v>0</v>
      </c>
      <c r="I4029" s="58">
        <v>0.210336</v>
      </c>
      <c r="J4029" s="57">
        <v>0.24158399999999999</v>
      </c>
      <c r="K4029" s="56"/>
      <c r="L4029" s="56" t="s">
        <v>488</v>
      </c>
    </row>
    <row r="4030" spans="2:12" x14ac:dyDescent="0.2">
      <c r="B4030" s="62" t="s">
        <v>1770</v>
      </c>
      <c r="C4030" s="61" t="s">
        <v>1769</v>
      </c>
      <c r="D4030" s="60">
        <v>1.5902000000000001</v>
      </c>
      <c r="E4030" s="59">
        <v>3.4422199999999998</v>
      </c>
      <c r="F4030" s="59">
        <v>4.9310200000000002</v>
      </c>
      <c r="G4030" s="56">
        <v>0</v>
      </c>
      <c r="H4030" s="56">
        <v>0</v>
      </c>
      <c r="I4030" s="58">
        <v>0.214673</v>
      </c>
      <c r="J4030" s="57">
        <v>0.24354700000000001</v>
      </c>
      <c r="K4030" s="56"/>
      <c r="L4030" s="56" t="s">
        <v>488</v>
      </c>
    </row>
    <row r="4031" spans="2:12" x14ac:dyDescent="0.2">
      <c r="B4031" s="62" t="s">
        <v>1768</v>
      </c>
      <c r="C4031" s="61" t="s">
        <v>1767</v>
      </c>
      <c r="D4031" s="60">
        <v>1.6097999999999999</v>
      </c>
      <c r="E4031" s="59">
        <v>3.4171200000000002</v>
      </c>
      <c r="F4031" s="59">
        <v>4.9536600000000002</v>
      </c>
      <c r="G4031" s="56">
        <v>0</v>
      </c>
      <c r="H4031" s="56">
        <v>0</v>
      </c>
      <c r="I4031" s="58">
        <v>0.21283199999999999</v>
      </c>
      <c r="J4031" s="57">
        <v>0.23849400000000001</v>
      </c>
      <c r="K4031" s="56"/>
      <c r="L4031" s="56" t="s">
        <v>488</v>
      </c>
    </row>
    <row r="4032" spans="2:12" x14ac:dyDescent="0.2">
      <c r="B4032" s="62" t="s">
        <v>1766</v>
      </c>
      <c r="C4032" s="61" t="s">
        <v>499</v>
      </c>
      <c r="D4032" s="60">
        <v>1.34501</v>
      </c>
      <c r="E4032" s="59">
        <v>4.0243799999999998</v>
      </c>
      <c r="F4032" s="59">
        <v>5.1670800000000003</v>
      </c>
      <c r="G4032" s="56">
        <v>557.68700000000001</v>
      </c>
      <c r="H4032" s="56">
        <v>414.63299999999998</v>
      </c>
      <c r="I4032" s="58">
        <v>0.31387199999999998</v>
      </c>
      <c r="J4032" s="57">
        <v>0.364207</v>
      </c>
      <c r="K4032" s="56"/>
      <c r="L4032" s="56" t="s">
        <v>488</v>
      </c>
    </row>
    <row r="4033" spans="2:12" x14ac:dyDescent="0.2">
      <c r="B4033" s="62" t="s">
        <v>1765</v>
      </c>
      <c r="C4033" s="61" t="s">
        <v>499</v>
      </c>
      <c r="D4033" s="60">
        <v>1.1916</v>
      </c>
      <c r="E4033" s="59">
        <v>5.1124999999999998</v>
      </c>
      <c r="F4033" s="59">
        <v>6.9378000000000002</v>
      </c>
      <c r="G4033" s="56">
        <v>1282.97</v>
      </c>
      <c r="H4033" s="56">
        <v>1076.68</v>
      </c>
      <c r="I4033" s="58">
        <v>0.557369</v>
      </c>
      <c r="J4033" s="57">
        <v>0.46766600000000003</v>
      </c>
      <c r="K4033" s="56"/>
      <c r="L4033" s="56" t="s">
        <v>488</v>
      </c>
    </row>
    <row r="4034" spans="2:12" x14ac:dyDescent="0.2">
      <c r="B4034" s="62" t="s">
        <v>1764</v>
      </c>
      <c r="C4034" s="61" t="s">
        <v>510</v>
      </c>
      <c r="D4034" s="60">
        <v>1.0709599999999999</v>
      </c>
      <c r="E4034" s="59">
        <v>5.0244400000000002</v>
      </c>
      <c r="F4034" s="59">
        <v>6.0961400000000001</v>
      </c>
      <c r="G4034" s="56">
        <v>1172.3800000000001</v>
      </c>
      <c r="H4034" s="56">
        <v>1094.7</v>
      </c>
      <c r="I4034" s="58">
        <v>0.54551300000000003</v>
      </c>
      <c r="J4034" s="57">
        <v>0.52127900000000005</v>
      </c>
      <c r="K4034" s="56"/>
      <c r="L4034" s="56" t="s">
        <v>488</v>
      </c>
    </row>
    <row r="4035" spans="2:12" x14ac:dyDescent="0.2">
      <c r="B4035" s="62" t="s">
        <v>1763</v>
      </c>
      <c r="C4035" s="61" t="s">
        <v>708</v>
      </c>
      <c r="D4035" s="60">
        <v>1.25359</v>
      </c>
      <c r="E4035" s="59">
        <v>3.50712</v>
      </c>
      <c r="F4035" s="59">
        <v>5.9333499999999999</v>
      </c>
      <c r="G4035" s="56">
        <v>0</v>
      </c>
      <c r="H4035" s="56">
        <v>0</v>
      </c>
      <c r="I4035" s="58">
        <v>0.22970699999999999</v>
      </c>
      <c r="J4035" s="57">
        <v>0.36910900000000002</v>
      </c>
      <c r="K4035" s="56"/>
      <c r="L4035" s="56" t="s">
        <v>488</v>
      </c>
    </row>
    <row r="4036" spans="2:12" x14ac:dyDescent="0.2">
      <c r="B4036" s="62" t="s">
        <v>1762</v>
      </c>
      <c r="C4036" s="61" t="s">
        <v>612</v>
      </c>
      <c r="D4036" s="60">
        <v>0.80255500000000002</v>
      </c>
      <c r="E4036" s="59">
        <v>4.4152100000000001</v>
      </c>
      <c r="F4036" s="59">
        <v>10.632400000000001</v>
      </c>
      <c r="G4036" s="56">
        <v>1792.77</v>
      </c>
      <c r="H4036" s="56">
        <v>2233.83</v>
      </c>
      <c r="I4036" s="58">
        <v>0.70537000000000005</v>
      </c>
      <c r="J4036" s="57">
        <v>0.82437199999999999</v>
      </c>
      <c r="K4036" s="56"/>
      <c r="L4036" s="56" t="s">
        <v>488</v>
      </c>
    </row>
    <row r="4037" spans="2:12" x14ac:dyDescent="0.2">
      <c r="B4037" s="62" t="s">
        <v>1761</v>
      </c>
      <c r="C4037" s="61" t="s">
        <v>499</v>
      </c>
      <c r="D4037" s="60">
        <v>1.5582100000000001</v>
      </c>
      <c r="E4037" s="59">
        <v>2.9557099999999998</v>
      </c>
      <c r="F4037" s="59">
        <v>6.2037500000000003</v>
      </c>
      <c r="G4037" s="56">
        <v>0</v>
      </c>
      <c r="H4037" s="56">
        <v>0</v>
      </c>
      <c r="I4037" s="58">
        <v>0.33286199999999999</v>
      </c>
      <c r="J4037" s="57">
        <v>0.32724999999999999</v>
      </c>
      <c r="K4037" s="56"/>
      <c r="L4037" s="56" t="s">
        <v>488</v>
      </c>
    </row>
    <row r="4038" spans="2:12" x14ac:dyDescent="0.2">
      <c r="B4038" s="62" t="s">
        <v>1760</v>
      </c>
      <c r="C4038" s="61" t="s">
        <v>550</v>
      </c>
      <c r="D4038" s="60">
        <v>2.0614499999999998</v>
      </c>
      <c r="E4038" s="59">
        <v>3.3598499999999998</v>
      </c>
      <c r="F4038" s="59">
        <v>3.8709799999999999</v>
      </c>
      <c r="G4038" s="56">
        <v>0</v>
      </c>
      <c r="H4038" s="56">
        <v>0</v>
      </c>
      <c r="I4038" s="58">
        <v>0.16011600000000001</v>
      </c>
      <c r="J4038" s="57">
        <v>0.21960499999999999</v>
      </c>
      <c r="K4038" s="56"/>
      <c r="L4038" s="56" t="s">
        <v>488</v>
      </c>
    </row>
    <row r="4039" spans="2:12" x14ac:dyDescent="0.2">
      <c r="B4039" s="62" t="s">
        <v>1759</v>
      </c>
      <c r="C4039" s="61" t="s">
        <v>502</v>
      </c>
      <c r="D4039" s="60">
        <v>2.41228</v>
      </c>
      <c r="E4039" s="59">
        <v>2.65429</v>
      </c>
      <c r="F4039" s="59">
        <v>3.1618900000000001</v>
      </c>
      <c r="G4039" s="56">
        <v>0</v>
      </c>
      <c r="H4039" s="56">
        <v>0</v>
      </c>
      <c r="I4039" s="58">
        <v>6.4425800000000005E-2</v>
      </c>
      <c r="J4039" s="57">
        <v>0.14957100000000001</v>
      </c>
      <c r="K4039" s="56"/>
      <c r="L4039" s="56" t="s">
        <v>488</v>
      </c>
    </row>
    <row r="4040" spans="2:12" x14ac:dyDescent="0.2">
      <c r="B4040" s="62" t="s">
        <v>1758</v>
      </c>
      <c r="C4040" s="61" t="s">
        <v>502</v>
      </c>
      <c r="D4040" s="60">
        <v>2.4349400000000001</v>
      </c>
      <c r="E4040" s="59">
        <v>2.61456</v>
      </c>
      <c r="F4040" s="59">
        <v>3.1673800000000001</v>
      </c>
      <c r="G4040" s="56">
        <v>0</v>
      </c>
      <c r="H4040" s="56">
        <v>0</v>
      </c>
      <c r="I4040" s="58">
        <v>6.0610200000000003E-2</v>
      </c>
      <c r="J4040" s="57">
        <v>0.14743000000000001</v>
      </c>
      <c r="K4040" s="56"/>
      <c r="L4040" s="56" t="s">
        <v>488</v>
      </c>
    </row>
    <row r="4041" spans="2:12" x14ac:dyDescent="0.2">
      <c r="B4041" s="62" t="s">
        <v>1757</v>
      </c>
      <c r="C4041" s="61" t="s">
        <v>502</v>
      </c>
      <c r="D4041" s="60">
        <v>2.46082</v>
      </c>
      <c r="E4041" s="59">
        <v>2.53539</v>
      </c>
      <c r="F4041" s="59">
        <v>3.1027200000000001</v>
      </c>
      <c r="G4041" s="56">
        <v>0</v>
      </c>
      <c r="H4041" s="56">
        <v>0</v>
      </c>
      <c r="I4041" s="58">
        <v>5.0401500000000002E-2</v>
      </c>
      <c r="J4041" s="57">
        <v>0.143237</v>
      </c>
      <c r="K4041" s="56"/>
      <c r="L4041" s="56" t="s">
        <v>488</v>
      </c>
    </row>
    <row r="4042" spans="2:12" x14ac:dyDescent="0.2">
      <c r="B4042" s="62" t="s">
        <v>1756</v>
      </c>
      <c r="C4042" s="61" t="s">
        <v>625</v>
      </c>
      <c r="D4042" s="60">
        <v>1.6775500000000001</v>
      </c>
      <c r="E4042" s="59">
        <v>4.2015099999999999</v>
      </c>
      <c r="F4042" s="59">
        <v>5.7895899999999996</v>
      </c>
      <c r="G4042" s="56">
        <v>322.79700000000003</v>
      </c>
      <c r="H4042" s="56">
        <v>192.422</v>
      </c>
      <c r="I4042" s="58">
        <v>0.150394</v>
      </c>
      <c r="J4042" s="57">
        <v>0.25382199999999999</v>
      </c>
      <c r="K4042" s="56"/>
      <c r="L4042" s="56" t="s">
        <v>492</v>
      </c>
    </row>
    <row r="4043" spans="2:12" x14ac:dyDescent="0.2">
      <c r="B4043" s="62" t="s">
        <v>1755</v>
      </c>
      <c r="C4043" s="61" t="s">
        <v>510</v>
      </c>
      <c r="D4043" s="60">
        <v>0.77854000000000001</v>
      </c>
      <c r="E4043" s="59">
        <v>6.9196299999999997</v>
      </c>
      <c r="F4043" s="59">
        <v>8.9527999999999999</v>
      </c>
      <c r="G4043" s="56">
        <v>2028.63</v>
      </c>
      <c r="H4043" s="56">
        <v>2605.6799999999998</v>
      </c>
      <c r="I4043" s="58">
        <v>0.744614</v>
      </c>
      <c r="J4043" s="57">
        <v>0.92522499999999996</v>
      </c>
      <c r="K4043" s="56"/>
      <c r="L4043" s="56" t="s">
        <v>488</v>
      </c>
    </row>
    <row r="4044" spans="2:12" x14ac:dyDescent="0.2">
      <c r="B4044" s="62" t="s">
        <v>1754</v>
      </c>
      <c r="C4044" s="61" t="s">
        <v>502</v>
      </c>
      <c r="D4044" s="60">
        <v>0.91038200000000002</v>
      </c>
      <c r="E4044" s="59">
        <v>3.7048899999999998</v>
      </c>
      <c r="F4044" s="59">
        <v>4.7152599999999998</v>
      </c>
      <c r="G4044" s="56">
        <v>0</v>
      </c>
      <c r="H4044" s="56">
        <v>0</v>
      </c>
      <c r="I4044" s="58">
        <v>0.51080599999999998</v>
      </c>
      <c r="J4044" s="57">
        <v>0.66228799999999999</v>
      </c>
      <c r="K4044" s="56"/>
      <c r="L4044" s="56" t="s">
        <v>492</v>
      </c>
    </row>
    <row r="4045" spans="2:12" x14ac:dyDescent="0.2">
      <c r="B4045" s="62" t="s">
        <v>1753</v>
      </c>
      <c r="C4045" s="61" t="s">
        <v>502</v>
      </c>
      <c r="D4045" s="60">
        <v>0.91038200000000002</v>
      </c>
      <c r="E4045" s="59">
        <v>3.7052499999999999</v>
      </c>
      <c r="F4045" s="59">
        <v>4.7176400000000003</v>
      </c>
      <c r="G4045" s="56">
        <v>0</v>
      </c>
      <c r="H4045" s="56">
        <v>0</v>
      </c>
      <c r="I4045" s="58">
        <v>0.51040399999999997</v>
      </c>
      <c r="J4045" s="57">
        <v>0.662269</v>
      </c>
      <c r="K4045" s="56"/>
      <c r="L4045" s="56" t="s">
        <v>492</v>
      </c>
    </row>
    <row r="4046" spans="2:12" x14ac:dyDescent="0.2">
      <c r="B4046" s="62" t="s">
        <v>1752</v>
      </c>
      <c r="C4046" s="61" t="s">
        <v>502</v>
      </c>
      <c r="D4046" s="60">
        <v>0.92985399999999996</v>
      </c>
      <c r="E4046" s="59">
        <v>3.6654599999999999</v>
      </c>
      <c r="F4046" s="59">
        <v>4.5912800000000002</v>
      </c>
      <c r="G4046" s="56">
        <v>0</v>
      </c>
      <c r="H4046" s="56">
        <v>0</v>
      </c>
      <c r="I4046" s="58">
        <v>0.47497200000000001</v>
      </c>
      <c r="J4046" s="57">
        <v>0.64800400000000002</v>
      </c>
      <c r="K4046" s="56"/>
      <c r="L4046" s="56" t="s">
        <v>492</v>
      </c>
    </row>
    <row r="4047" spans="2:12" x14ac:dyDescent="0.2">
      <c r="B4047" s="62" t="s">
        <v>1751</v>
      </c>
      <c r="C4047" s="61" t="s">
        <v>502</v>
      </c>
      <c r="D4047" s="60">
        <v>0.92985399999999996</v>
      </c>
      <c r="E4047" s="59">
        <v>3.6654599999999999</v>
      </c>
      <c r="F4047" s="59">
        <v>4.5912199999999999</v>
      </c>
      <c r="G4047" s="56">
        <v>0</v>
      </c>
      <c r="H4047" s="56">
        <v>0</v>
      </c>
      <c r="I4047" s="58">
        <v>0.47300799999999998</v>
      </c>
      <c r="J4047" s="57">
        <v>0.64807300000000001</v>
      </c>
      <c r="K4047" s="56"/>
      <c r="L4047" s="56" t="s">
        <v>492</v>
      </c>
    </row>
    <row r="4048" spans="2:12" x14ac:dyDescent="0.2">
      <c r="B4048" s="62" t="s">
        <v>1750</v>
      </c>
      <c r="C4048" s="61" t="s">
        <v>871</v>
      </c>
      <c r="D4048" s="60">
        <v>1.53752</v>
      </c>
      <c r="E4048" s="59">
        <v>2.5117799999999999</v>
      </c>
      <c r="F4048" s="59">
        <v>4.09389</v>
      </c>
      <c r="G4048" s="56">
        <v>0</v>
      </c>
      <c r="H4048" s="56">
        <v>0</v>
      </c>
      <c r="I4048" s="58">
        <v>0.209291</v>
      </c>
      <c r="J4048" s="57">
        <v>0.277335</v>
      </c>
      <c r="K4048" s="56"/>
      <c r="L4048" s="56" t="s">
        <v>488</v>
      </c>
    </row>
    <row r="4049" spans="2:12" x14ac:dyDescent="0.2">
      <c r="B4049" s="62" t="s">
        <v>1749</v>
      </c>
      <c r="C4049" s="61" t="s">
        <v>502</v>
      </c>
      <c r="D4049" s="60">
        <v>0.57620700000000002</v>
      </c>
      <c r="E4049" s="59">
        <v>6.17903</v>
      </c>
      <c r="F4049" s="59">
        <v>9.7906899999999997</v>
      </c>
      <c r="G4049" s="56">
        <v>2484.64</v>
      </c>
      <c r="H4049" s="56">
        <v>4312.05</v>
      </c>
      <c r="I4049" s="58">
        <v>0.80007499999999998</v>
      </c>
      <c r="J4049" s="57">
        <v>1.30359</v>
      </c>
      <c r="K4049" s="56"/>
      <c r="L4049" s="56" t="s">
        <v>488</v>
      </c>
    </row>
    <row r="4050" spans="2:12" x14ac:dyDescent="0.2">
      <c r="B4050" s="62" t="s">
        <v>1748</v>
      </c>
      <c r="C4050" s="61" t="s">
        <v>550</v>
      </c>
      <c r="D4050" s="60">
        <v>1.3398399999999999</v>
      </c>
      <c r="E4050" s="59">
        <v>6.3345500000000001</v>
      </c>
      <c r="F4050" s="59">
        <v>7.1482400000000004</v>
      </c>
      <c r="G4050" s="56">
        <v>1377.61</v>
      </c>
      <c r="H4050" s="56">
        <v>1028.19</v>
      </c>
      <c r="I4050" s="58">
        <v>0.514428</v>
      </c>
      <c r="J4050" s="57">
        <v>0.43223899999999998</v>
      </c>
      <c r="K4050" s="56"/>
      <c r="L4050" s="56" t="s">
        <v>488</v>
      </c>
    </row>
    <row r="4051" spans="2:12" x14ac:dyDescent="0.2">
      <c r="B4051" s="62" t="s">
        <v>1747</v>
      </c>
      <c r="C4051" s="61" t="s">
        <v>550</v>
      </c>
      <c r="D4051" s="60">
        <v>1.2118</v>
      </c>
      <c r="E4051" s="59">
        <v>3.8782299999999998</v>
      </c>
      <c r="F4051" s="59">
        <v>5.4124999999999996</v>
      </c>
      <c r="G4051" s="56">
        <v>1491.01</v>
      </c>
      <c r="H4051" s="56">
        <v>1230.4100000000001</v>
      </c>
      <c r="I4051" s="58">
        <v>0.56884000000000001</v>
      </c>
      <c r="J4051" s="57">
        <v>0.51208399999999998</v>
      </c>
      <c r="K4051" s="56"/>
      <c r="L4051" s="56" t="s">
        <v>488</v>
      </c>
    </row>
    <row r="4052" spans="2:12" x14ac:dyDescent="0.2">
      <c r="B4052" s="62" t="s">
        <v>1746</v>
      </c>
      <c r="C4052" s="61" t="s">
        <v>550</v>
      </c>
      <c r="D4052" s="60">
        <v>1.1924999999999999</v>
      </c>
      <c r="E4052" s="59">
        <v>4.05077</v>
      </c>
      <c r="F4052" s="59">
        <v>5.68269</v>
      </c>
      <c r="G4052" s="56">
        <v>1834.32</v>
      </c>
      <c r="H4052" s="56">
        <v>1538.21</v>
      </c>
      <c r="I4052" s="58">
        <v>0.65169200000000005</v>
      </c>
      <c r="J4052" s="57">
        <v>0.52987799999999996</v>
      </c>
      <c r="K4052" s="56"/>
      <c r="L4052" s="56" t="s">
        <v>488</v>
      </c>
    </row>
    <row r="4053" spans="2:12" x14ac:dyDescent="0.2">
      <c r="B4053" s="62" t="s">
        <v>1745</v>
      </c>
      <c r="C4053" s="61" t="s">
        <v>550</v>
      </c>
      <c r="D4053" s="60">
        <v>1.1783600000000001</v>
      </c>
      <c r="E4053" s="59">
        <v>4.0071899999999996</v>
      </c>
      <c r="F4053" s="59">
        <v>5.9869399999999997</v>
      </c>
      <c r="G4053" s="56">
        <v>1118.17</v>
      </c>
      <c r="H4053" s="56">
        <v>948.91399999999999</v>
      </c>
      <c r="I4053" s="58">
        <v>0.456901</v>
      </c>
      <c r="J4053" s="57">
        <v>0.46399099999999999</v>
      </c>
      <c r="K4053" s="56"/>
      <c r="L4053" s="56" t="s">
        <v>488</v>
      </c>
    </row>
    <row r="4054" spans="2:12" x14ac:dyDescent="0.2">
      <c r="B4054" s="62" t="s">
        <v>1744</v>
      </c>
      <c r="C4054" s="61" t="s">
        <v>612</v>
      </c>
      <c r="D4054" s="60">
        <v>1.60548</v>
      </c>
      <c r="E4054" s="59">
        <v>4.60684</v>
      </c>
      <c r="F4054" s="59">
        <v>4.8775300000000001</v>
      </c>
      <c r="G4054" s="56">
        <v>407.30500000000001</v>
      </c>
      <c r="H4054" s="56">
        <v>253.697</v>
      </c>
      <c r="I4054" s="58">
        <v>0.24946199999999999</v>
      </c>
      <c r="J4054" s="57">
        <v>0.23253099999999999</v>
      </c>
      <c r="K4054" s="56"/>
      <c r="L4054" s="56" t="s">
        <v>488</v>
      </c>
    </row>
    <row r="4055" spans="2:12" x14ac:dyDescent="0.2">
      <c r="B4055" s="62" t="s">
        <v>1743</v>
      </c>
      <c r="C4055" s="61" t="s">
        <v>510</v>
      </c>
      <c r="D4055" s="60">
        <v>1.3369800000000001</v>
      </c>
      <c r="E4055" s="59">
        <v>3.9010400000000001</v>
      </c>
      <c r="F4055" s="59">
        <v>4.6942199999999996</v>
      </c>
      <c r="G4055" s="56">
        <v>366.80700000000002</v>
      </c>
      <c r="H4055" s="56">
        <v>274.35500000000002</v>
      </c>
      <c r="I4055" s="58">
        <v>0.28957500000000003</v>
      </c>
      <c r="J4055" s="57">
        <v>0.33028200000000002</v>
      </c>
      <c r="K4055" s="56"/>
      <c r="L4055" s="56" t="s">
        <v>488</v>
      </c>
    </row>
    <row r="4056" spans="2:12" x14ac:dyDescent="0.2">
      <c r="B4056" s="62" t="s">
        <v>1742</v>
      </c>
      <c r="C4056" s="61" t="s">
        <v>708</v>
      </c>
      <c r="D4056" s="60">
        <v>1.25434</v>
      </c>
      <c r="E4056" s="59">
        <v>3.4682499999999998</v>
      </c>
      <c r="F4056" s="59">
        <v>5.4609899999999998</v>
      </c>
      <c r="G4056" s="56">
        <v>0</v>
      </c>
      <c r="H4056" s="56">
        <v>0</v>
      </c>
      <c r="I4056" s="58">
        <v>0.38242799999999999</v>
      </c>
      <c r="J4056" s="57">
        <v>0.40500900000000001</v>
      </c>
      <c r="K4056" s="56"/>
      <c r="L4056" s="56" t="s">
        <v>492</v>
      </c>
    </row>
    <row r="4057" spans="2:12" x14ac:dyDescent="0.2">
      <c r="B4057" s="62" t="s">
        <v>1741</v>
      </c>
      <c r="C4057" s="61" t="s">
        <v>550</v>
      </c>
      <c r="D4057" s="60">
        <v>1.50963</v>
      </c>
      <c r="E4057" s="59">
        <v>6.9257999999999997</v>
      </c>
      <c r="F4057" s="59">
        <v>7.4209399999999999</v>
      </c>
      <c r="G4057" s="56">
        <v>708.90300000000002</v>
      </c>
      <c r="H4057" s="56">
        <v>469.58699999999999</v>
      </c>
      <c r="I4057" s="58">
        <v>0.28687600000000002</v>
      </c>
      <c r="J4057" s="57">
        <v>0.31114700000000001</v>
      </c>
      <c r="K4057" s="56"/>
      <c r="L4057" s="56" t="s">
        <v>488</v>
      </c>
    </row>
    <row r="4058" spans="2:12" x14ac:dyDescent="0.2">
      <c r="B4058" s="62" t="s">
        <v>1740</v>
      </c>
      <c r="C4058" s="61" t="s">
        <v>499</v>
      </c>
      <c r="D4058" s="60">
        <v>0.73187400000000002</v>
      </c>
      <c r="E4058" s="59">
        <v>5.4093400000000003</v>
      </c>
      <c r="F4058" s="59">
        <v>8.4437899999999999</v>
      </c>
      <c r="G4058" s="56">
        <v>2219.16</v>
      </c>
      <c r="H4058" s="56">
        <v>3032.17</v>
      </c>
      <c r="I4058" s="58">
        <v>0.76864200000000005</v>
      </c>
      <c r="J4058" s="57">
        <v>0.96771700000000005</v>
      </c>
      <c r="K4058" s="56"/>
      <c r="L4058" s="56" t="s">
        <v>488</v>
      </c>
    </row>
    <row r="4059" spans="2:12" x14ac:dyDescent="0.2">
      <c r="B4059" s="62" t="s">
        <v>1739</v>
      </c>
      <c r="C4059" s="61" t="s">
        <v>1738</v>
      </c>
      <c r="D4059" s="60">
        <v>1.9525699999999999</v>
      </c>
      <c r="E4059" s="59">
        <v>3.46305</v>
      </c>
      <c r="F4059" s="59">
        <v>4.47668</v>
      </c>
      <c r="G4059" s="56">
        <v>0</v>
      </c>
      <c r="H4059" s="56">
        <v>0</v>
      </c>
      <c r="I4059" s="58">
        <v>0.20727699999999999</v>
      </c>
      <c r="J4059" s="57">
        <v>0.205372</v>
      </c>
      <c r="K4059" s="56"/>
      <c r="L4059" s="56" t="s">
        <v>492</v>
      </c>
    </row>
    <row r="4060" spans="2:12" x14ac:dyDescent="0.2">
      <c r="B4060" s="62" t="s">
        <v>1737</v>
      </c>
      <c r="C4060" s="61" t="s">
        <v>625</v>
      </c>
      <c r="D4060" s="60">
        <v>1.3549800000000001</v>
      </c>
      <c r="E4060" s="59">
        <v>3.8109700000000002</v>
      </c>
      <c r="F4060" s="59">
        <v>4.7159500000000003</v>
      </c>
      <c r="G4060" s="56">
        <v>793.35</v>
      </c>
      <c r="H4060" s="56">
        <v>585.50699999999995</v>
      </c>
      <c r="I4060" s="58">
        <v>0.52037100000000003</v>
      </c>
      <c r="J4060" s="57">
        <v>0.47682000000000002</v>
      </c>
      <c r="K4060" s="56"/>
      <c r="L4060" s="56" t="s">
        <v>488</v>
      </c>
    </row>
    <row r="4061" spans="2:12" x14ac:dyDescent="0.2">
      <c r="B4061" s="62" t="s">
        <v>1736</v>
      </c>
      <c r="C4061" s="61" t="s">
        <v>495</v>
      </c>
      <c r="D4061" s="60">
        <v>1.2206699999999999</v>
      </c>
      <c r="E4061" s="59">
        <v>4.2744200000000001</v>
      </c>
      <c r="F4061" s="59">
        <v>5.7636900000000004</v>
      </c>
      <c r="G4061" s="56">
        <v>1081.44</v>
      </c>
      <c r="H4061" s="56">
        <v>885.94200000000001</v>
      </c>
      <c r="I4061" s="58">
        <v>0.49386000000000002</v>
      </c>
      <c r="J4061" s="57">
        <v>0.45933499999999999</v>
      </c>
      <c r="K4061" s="56"/>
      <c r="L4061" s="56" t="s">
        <v>488</v>
      </c>
    </row>
    <row r="4062" spans="2:12" x14ac:dyDescent="0.2">
      <c r="B4062" s="62" t="s">
        <v>1735</v>
      </c>
      <c r="C4062" s="61" t="s">
        <v>499</v>
      </c>
      <c r="D4062" s="60">
        <v>0.92539300000000002</v>
      </c>
      <c r="E4062" s="59">
        <v>3.4273600000000002</v>
      </c>
      <c r="F4062" s="59">
        <v>11.4017</v>
      </c>
      <c r="G4062" s="56">
        <v>0</v>
      </c>
      <c r="H4062" s="56">
        <v>0</v>
      </c>
      <c r="I4062" s="58">
        <v>0.54656499999999997</v>
      </c>
      <c r="J4062" s="57">
        <v>0.69285600000000003</v>
      </c>
      <c r="K4062" s="56"/>
      <c r="L4062" s="56" t="s">
        <v>488</v>
      </c>
    </row>
    <row r="4063" spans="2:12" x14ac:dyDescent="0.2">
      <c r="B4063" s="62" t="s">
        <v>1734</v>
      </c>
      <c r="C4063" s="61" t="s">
        <v>499</v>
      </c>
      <c r="D4063" s="60">
        <v>0.90706799999999999</v>
      </c>
      <c r="E4063" s="59">
        <v>3.55375</v>
      </c>
      <c r="F4063" s="59">
        <v>11.479469999999999</v>
      </c>
      <c r="G4063" s="56">
        <v>0</v>
      </c>
      <c r="H4063" s="56">
        <v>0</v>
      </c>
      <c r="I4063" s="58">
        <v>0.56155900000000003</v>
      </c>
      <c r="J4063" s="57">
        <v>0.71487299999999998</v>
      </c>
      <c r="K4063" s="56"/>
      <c r="L4063" s="56" t="s">
        <v>488</v>
      </c>
    </row>
    <row r="4064" spans="2:12" x14ac:dyDescent="0.2">
      <c r="B4064" s="62" t="s">
        <v>1733</v>
      </c>
      <c r="C4064" s="61" t="s">
        <v>499</v>
      </c>
      <c r="D4064" s="60">
        <v>0.91286199999999995</v>
      </c>
      <c r="E4064" s="59">
        <v>3.5209700000000002</v>
      </c>
      <c r="F4064" s="59">
        <v>11.457649999999999</v>
      </c>
      <c r="G4064" s="56">
        <v>0</v>
      </c>
      <c r="H4064" s="56">
        <v>0</v>
      </c>
      <c r="I4064" s="58">
        <v>0.55972999999999995</v>
      </c>
      <c r="J4064" s="57">
        <v>0.70808800000000005</v>
      </c>
      <c r="K4064" s="56"/>
      <c r="L4064" s="56" t="s">
        <v>488</v>
      </c>
    </row>
    <row r="4065" spans="2:12" x14ac:dyDescent="0.2">
      <c r="B4065" s="62" t="s">
        <v>1732</v>
      </c>
      <c r="C4065" s="61" t="s">
        <v>499</v>
      </c>
      <c r="D4065" s="60">
        <v>0.92673399999999995</v>
      </c>
      <c r="E4065" s="59">
        <v>3.4413499999999999</v>
      </c>
      <c r="F4065" s="59">
        <v>11.39757</v>
      </c>
      <c r="G4065" s="56">
        <v>0</v>
      </c>
      <c r="H4065" s="56">
        <v>0</v>
      </c>
      <c r="I4065" s="58">
        <v>0.55629799999999996</v>
      </c>
      <c r="J4065" s="57">
        <v>0.69195799999999996</v>
      </c>
      <c r="K4065" s="56"/>
      <c r="L4065" s="56" t="s">
        <v>488</v>
      </c>
    </row>
    <row r="4066" spans="2:12" x14ac:dyDescent="0.2">
      <c r="B4066" s="62" t="s">
        <v>1731</v>
      </c>
      <c r="C4066" s="61" t="s">
        <v>499</v>
      </c>
      <c r="D4066" s="60">
        <v>0.91158499999999998</v>
      </c>
      <c r="E4066" s="59">
        <v>3.97011</v>
      </c>
      <c r="F4066" s="59">
        <v>11.48826</v>
      </c>
      <c r="G4066" s="56">
        <v>1312.45</v>
      </c>
      <c r="H4066" s="56">
        <v>1439.74</v>
      </c>
      <c r="I4066" s="58">
        <v>0.53949199999999997</v>
      </c>
      <c r="J4066" s="57">
        <v>0.708785</v>
      </c>
      <c r="K4066" s="56"/>
      <c r="L4066" s="56" t="s">
        <v>488</v>
      </c>
    </row>
    <row r="4067" spans="2:12" x14ac:dyDescent="0.2">
      <c r="B4067" s="62" t="s">
        <v>1730</v>
      </c>
      <c r="C4067" s="61" t="s">
        <v>499</v>
      </c>
      <c r="D4067" s="60">
        <v>0.91624399999999995</v>
      </c>
      <c r="E4067" s="59">
        <v>3.5087600000000001</v>
      </c>
      <c r="F4067" s="59">
        <v>11.456849999999999</v>
      </c>
      <c r="G4067" s="56">
        <v>0</v>
      </c>
      <c r="H4067" s="56">
        <v>0</v>
      </c>
      <c r="I4067" s="58">
        <v>0.56011599999999995</v>
      </c>
      <c r="J4067" s="57">
        <v>0.70498400000000006</v>
      </c>
      <c r="K4067" s="56"/>
      <c r="L4067" s="56" t="s">
        <v>488</v>
      </c>
    </row>
    <row r="4068" spans="2:12" x14ac:dyDescent="0.2">
      <c r="B4068" s="62" t="s">
        <v>1729</v>
      </c>
      <c r="C4068" s="61" t="s">
        <v>499</v>
      </c>
      <c r="D4068" s="60">
        <v>0.90806100000000001</v>
      </c>
      <c r="E4068" s="59">
        <v>3.53756</v>
      </c>
      <c r="F4068" s="59">
        <v>11.492039999999999</v>
      </c>
      <c r="G4068" s="56">
        <v>0</v>
      </c>
      <c r="H4068" s="56">
        <v>0</v>
      </c>
      <c r="I4068" s="58">
        <v>0.55657299999999998</v>
      </c>
      <c r="J4068" s="57">
        <v>0.71362599999999998</v>
      </c>
      <c r="K4068" s="56"/>
      <c r="L4068" s="56" t="s">
        <v>488</v>
      </c>
    </row>
    <row r="4069" spans="2:12" x14ac:dyDescent="0.2">
      <c r="B4069" s="62" t="s">
        <v>1728</v>
      </c>
      <c r="C4069" s="61" t="s">
        <v>499</v>
      </c>
      <c r="D4069" s="60">
        <v>0.92435599999999996</v>
      </c>
      <c r="E4069" s="59">
        <v>3.4559500000000001</v>
      </c>
      <c r="F4069" s="59">
        <v>11.415559999999999</v>
      </c>
      <c r="G4069" s="56">
        <v>0</v>
      </c>
      <c r="H4069" s="56">
        <v>0</v>
      </c>
      <c r="I4069" s="58">
        <v>0.54675200000000002</v>
      </c>
      <c r="J4069" s="57">
        <v>0.69511400000000001</v>
      </c>
      <c r="K4069" s="56"/>
      <c r="L4069" s="56" t="s">
        <v>488</v>
      </c>
    </row>
    <row r="4070" spans="2:12" x14ac:dyDescent="0.2">
      <c r="B4070" s="62" t="s">
        <v>1727</v>
      </c>
      <c r="C4070" s="61" t="s">
        <v>708</v>
      </c>
      <c r="D4070" s="60">
        <v>0.81188099999999996</v>
      </c>
      <c r="E4070" s="59">
        <v>4.4531799999999997</v>
      </c>
      <c r="F4070" s="59">
        <v>6.6255100000000002</v>
      </c>
      <c r="G4070" s="56">
        <v>1878.24</v>
      </c>
      <c r="H4070" s="56">
        <v>2313.4499999999998</v>
      </c>
      <c r="I4070" s="58">
        <v>0.66118900000000003</v>
      </c>
      <c r="J4070" s="57">
        <v>0.79196699999999998</v>
      </c>
      <c r="K4070" s="56"/>
      <c r="L4070" s="56" t="s">
        <v>488</v>
      </c>
    </row>
    <row r="4071" spans="2:12" x14ac:dyDescent="0.2">
      <c r="B4071" s="62" t="s">
        <v>1726</v>
      </c>
      <c r="C4071" s="61" t="s">
        <v>708</v>
      </c>
      <c r="D4071" s="60">
        <v>1.06856</v>
      </c>
      <c r="E4071" s="59">
        <v>2.6053199999999999</v>
      </c>
      <c r="F4071" s="59">
        <v>5.7422899999999997</v>
      </c>
      <c r="G4071" s="56">
        <v>0</v>
      </c>
      <c r="H4071" s="56">
        <v>0</v>
      </c>
      <c r="I4071" s="58">
        <v>0.37151499999999998</v>
      </c>
      <c r="J4071" s="57">
        <v>0.48965500000000001</v>
      </c>
      <c r="K4071" s="56"/>
      <c r="L4071" s="56" t="s">
        <v>488</v>
      </c>
    </row>
    <row r="4072" spans="2:12" x14ac:dyDescent="0.2">
      <c r="B4072" s="62" t="s">
        <v>1725</v>
      </c>
      <c r="C4072" s="61" t="s">
        <v>550</v>
      </c>
      <c r="D4072" s="60">
        <v>1.57647</v>
      </c>
      <c r="E4072" s="59">
        <v>3.8187600000000002</v>
      </c>
      <c r="F4072" s="59">
        <v>4.7672100000000004</v>
      </c>
      <c r="G4072" s="56">
        <v>193.053</v>
      </c>
      <c r="H4072" s="56">
        <v>122.459</v>
      </c>
      <c r="I4072" s="58">
        <v>0.24846499999999999</v>
      </c>
      <c r="J4072" s="57">
        <v>0.26095200000000002</v>
      </c>
      <c r="K4072" s="56"/>
      <c r="L4072" s="56" t="s">
        <v>488</v>
      </c>
    </row>
    <row r="4073" spans="2:12" x14ac:dyDescent="0.2">
      <c r="B4073" s="62" t="s">
        <v>1724</v>
      </c>
      <c r="C4073" s="61" t="s">
        <v>550</v>
      </c>
      <c r="D4073" s="60">
        <v>1.38669</v>
      </c>
      <c r="E4073" s="59">
        <v>3.0846100000000001</v>
      </c>
      <c r="F4073" s="59">
        <v>4.48088</v>
      </c>
      <c r="G4073" s="56">
        <v>0</v>
      </c>
      <c r="H4073" s="56">
        <v>0</v>
      </c>
      <c r="I4073" s="58">
        <v>0.179674</v>
      </c>
      <c r="J4073" s="57">
        <v>0.31349399999999999</v>
      </c>
      <c r="K4073" s="56"/>
      <c r="L4073" s="56" t="s">
        <v>492</v>
      </c>
    </row>
    <row r="4074" spans="2:12" x14ac:dyDescent="0.2">
      <c r="B4074" s="62" t="s">
        <v>1723</v>
      </c>
      <c r="C4074" s="61" t="s">
        <v>502</v>
      </c>
      <c r="D4074" s="60">
        <v>1.11558</v>
      </c>
      <c r="E4074" s="59">
        <v>3.2061299999999999</v>
      </c>
      <c r="F4074" s="59">
        <v>8.5318500000000004</v>
      </c>
      <c r="G4074" s="56">
        <v>0</v>
      </c>
      <c r="H4074" s="56">
        <v>0</v>
      </c>
      <c r="I4074" s="58">
        <v>0.40960600000000003</v>
      </c>
      <c r="J4074" s="57">
        <v>0.49322700000000003</v>
      </c>
      <c r="K4074" s="56"/>
      <c r="L4074" s="56" t="s">
        <v>624</v>
      </c>
    </row>
    <row r="4075" spans="2:12" x14ac:dyDescent="0.2">
      <c r="B4075" s="62" t="s">
        <v>1722</v>
      </c>
      <c r="C4075" s="61" t="s">
        <v>550</v>
      </c>
      <c r="D4075" s="60">
        <v>2.34076</v>
      </c>
      <c r="E4075" s="59">
        <v>2.6078899999999998</v>
      </c>
      <c r="F4075" s="59">
        <v>3.3369599999999999</v>
      </c>
      <c r="G4075" s="56">
        <v>0</v>
      </c>
      <c r="H4075" s="56">
        <v>0</v>
      </c>
      <c r="I4075" s="58">
        <v>0.12651100000000001</v>
      </c>
      <c r="J4075" s="57">
        <v>0.16122600000000001</v>
      </c>
      <c r="K4075" s="56"/>
      <c r="L4075" s="56" t="s">
        <v>488</v>
      </c>
    </row>
    <row r="4076" spans="2:12" x14ac:dyDescent="0.2">
      <c r="B4076" s="62" t="s">
        <v>1721</v>
      </c>
      <c r="C4076" s="61" t="s">
        <v>507</v>
      </c>
      <c r="D4076" s="60">
        <v>1.87019</v>
      </c>
      <c r="E4076" s="59">
        <v>2.6122100000000001</v>
      </c>
      <c r="F4076" s="59">
        <v>3.4731000000000001</v>
      </c>
      <c r="G4076" s="56">
        <v>0</v>
      </c>
      <c r="H4076" s="56">
        <v>0</v>
      </c>
      <c r="I4076" s="58">
        <v>0.26830599999999999</v>
      </c>
      <c r="J4076" s="57">
        <v>0.265542</v>
      </c>
      <c r="K4076" s="56"/>
      <c r="L4076" s="56" t="s">
        <v>488</v>
      </c>
    </row>
    <row r="4077" spans="2:12" x14ac:dyDescent="0.2">
      <c r="B4077" s="62" t="s">
        <v>1720</v>
      </c>
      <c r="C4077" s="61" t="s">
        <v>531</v>
      </c>
      <c r="D4077" s="60">
        <v>2.0006499999999998</v>
      </c>
      <c r="E4077" s="59">
        <v>2.5991900000000001</v>
      </c>
      <c r="F4077" s="59">
        <v>3.4306700000000001</v>
      </c>
      <c r="G4077" s="56">
        <v>0</v>
      </c>
      <c r="H4077" s="56">
        <v>0</v>
      </c>
      <c r="I4077" s="58">
        <v>0.265233</v>
      </c>
      <c r="J4077" s="57">
        <v>0.24309700000000001</v>
      </c>
      <c r="K4077" s="56"/>
      <c r="L4077" s="56" t="s">
        <v>488</v>
      </c>
    </row>
    <row r="4078" spans="2:12" x14ac:dyDescent="0.2">
      <c r="B4078" s="62" t="s">
        <v>1719</v>
      </c>
      <c r="C4078" s="61" t="s">
        <v>1718</v>
      </c>
      <c r="D4078" s="60">
        <v>0.88369299999999995</v>
      </c>
      <c r="E4078" s="59">
        <v>4.89656</v>
      </c>
      <c r="F4078" s="59">
        <v>11.780239999999999</v>
      </c>
      <c r="G4078" s="56">
        <v>1525.28</v>
      </c>
      <c r="H4078" s="56">
        <v>1726.02</v>
      </c>
      <c r="I4078" s="58">
        <v>0.64123699999999995</v>
      </c>
      <c r="J4078" s="57">
        <v>0.73984000000000005</v>
      </c>
      <c r="K4078" s="56"/>
      <c r="L4078" s="56" t="s">
        <v>492</v>
      </c>
    </row>
    <row r="4079" spans="2:12" x14ac:dyDescent="0.2">
      <c r="B4079" s="62" t="s">
        <v>1717</v>
      </c>
      <c r="C4079" s="61" t="s">
        <v>495</v>
      </c>
      <c r="D4079" s="60">
        <v>1.03555</v>
      </c>
      <c r="E4079" s="59">
        <v>5.9433400000000001</v>
      </c>
      <c r="F4079" s="59">
        <v>7.5853900000000003</v>
      </c>
      <c r="G4079" s="56">
        <v>1295.43</v>
      </c>
      <c r="H4079" s="56">
        <v>1250.96</v>
      </c>
      <c r="I4079" s="58">
        <v>0.59359300000000004</v>
      </c>
      <c r="J4079" s="57">
        <v>0.54532599999999998</v>
      </c>
      <c r="K4079" s="56"/>
      <c r="L4079" s="56" t="s">
        <v>488</v>
      </c>
    </row>
    <row r="4080" spans="2:12" x14ac:dyDescent="0.2">
      <c r="B4080" s="62" t="s">
        <v>1716</v>
      </c>
      <c r="C4080" s="61" t="s">
        <v>495</v>
      </c>
      <c r="D4080" s="60">
        <v>1.05742</v>
      </c>
      <c r="E4080" s="59">
        <v>5.0915400000000002</v>
      </c>
      <c r="F4080" s="59">
        <v>6.5531300000000003</v>
      </c>
      <c r="G4080" s="56">
        <v>1319.9</v>
      </c>
      <c r="H4080" s="56">
        <v>1248.24</v>
      </c>
      <c r="I4080" s="58">
        <v>0.57398400000000005</v>
      </c>
      <c r="J4080" s="57">
        <v>0.52409899999999998</v>
      </c>
      <c r="K4080" s="56"/>
      <c r="L4080" s="56" t="s">
        <v>488</v>
      </c>
    </row>
    <row r="4081" spans="2:12" x14ac:dyDescent="0.2">
      <c r="B4081" s="62" t="s">
        <v>1715</v>
      </c>
      <c r="C4081" s="61" t="s">
        <v>641</v>
      </c>
      <c r="D4081" s="60">
        <v>1.7597100000000001</v>
      </c>
      <c r="E4081" s="59">
        <v>3.0177999999999998</v>
      </c>
      <c r="F4081" s="59">
        <v>3.66364</v>
      </c>
      <c r="G4081" s="56">
        <v>0</v>
      </c>
      <c r="H4081" s="56">
        <v>0</v>
      </c>
      <c r="I4081" s="58">
        <v>0.117938</v>
      </c>
      <c r="J4081" s="57">
        <v>0.218246</v>
      </c>
      <c r="K4081" s="56"/>
      <c r="L4081" s="56" t="s">
        <v>488</v>
      </c>
    </row>
    <row r="4082" spans="2:12" x14ac:dyDescent="0.2">
      <c r="B4082" s="62" t="s">
        <v>1714</v>
      </c>
      <c r="C4082" s="61" t="s">
        <v>859</v>
      </c>
      <c r="D4082" s="60">
        <v>1.9991399999999999</v>
      </c>
      <c r="E4082" s="59">
        <v>2.96577</v>
      </c>
      <c r="F4082" s="59">
        <v>3.7638099999999999</v>
      </c>
      <c r="G4082" s="56">
        <v>0</v>
      </c>
      <c r="H4082" s="56">
        <v>0</v>
      </c>
      <c r="I4082" s="58">
        <v>0.110927</v>
      </c>
      <c r="J4082" s="57">
        <v>0.18001200000000001</v>
      </c>
      <c r="K4082" s="56"/>
      <c r="L4082" s="56" t="s">
        <v>488</v>
      </c>
    </row>
    <row r="4083" spans="2:12" x14ac:dyDescent="0.2">
      <c r="B4083" s="62" t="s">
        <v>1713</v>
      </c>
      <c r="C4083" s="61" t="s">
        <v>1712</v>
      </c>
      <c r="D4083" s="60">
        <v>1.4641</v>
      </c>
      <c r="E4083" s="59">
        <v>3.2123200000000001</v>
      </c>
      <c r="F4083" s="59">
        <v>7.2689700000000004</v>
      </c>
      <c r="G4083" s="56">
        <v>0</v>
      </c>
      <c r="H4083" s="56">
        <v>0</v>
      </c>
      <c r="I4083" s="58">
        <v>0.325679</v>
      </c>
      <c r="J4083" s="57">
        <v>0.34067399999999998</v>
      </c>
      <c r="K4083" s="56"/>
      <c r="L4083" s="56" t="s">
        <v>488</v>
      </c>
    </row>
    <row r="4084" spans="2:12" x14ac:dyDescent="0.2">
      <c r="B4084" s="62" t="s">
        <v>1711</v>
      </c>
      <c r="C4084" s="61" t="s">
        <v>1710</v>
      </c>
      <c r="D4084" s="60">
        <v>1.53287</v>
      </c>
      <c r="E4084" s="59">
        <v>3.1490100000000001</v>
      </c>
      <c r="F4084" s="59">
        <v>7.2436999999999996</v>
      </c>
      <c r="G4084" s="56">
        <v>0</v>
      </c>
      <c r="H4084" s="56">
        <v>0</v>
      </c>
      <c r="I4084" s="58">
        <v>0.32726499999999997</v>
      </c>
      <c r="J4084" s="57">
        <v>0.321876</v>
      </c>
      <c r="K4084" s="56"/>
      <c r="L4084" s="56" t="s">
        <v>488</v>
      </c>
    </row>
    <row r="4085" spans="2:12" x14ac:dyDescent="0.2">
      <c r="B4085" s="62" t="s">
        <v>1709</v>
      </c>
      <c r="C4085" s="61" t="s">
        <v>1708</v>
      </c>
      <c r="D4085" s="60">
        <v>1.55416</v>
      </c>
      <c r="E4085" s="59">
        <v>3.1535099999999998</v>
      </c>
      <c r="F4085" s="59">
        <v>7.3054500000000004</v>
      </c>
      <c r="G4085" s="56">
        <v>0</v>
      </c>
      <c r="H4085" s="56">
        <v>0</v>
      </c>
      <c r="I4085" s="58">
        <v>0.330955</v>
      </c>
      <c r="J4085" s="57">
        <v>0.31886399999999998</v>
      </c>
      <c r="K4085" s="56"/>
      <c r="L4085" s="56" t="s">
        <v>488</v>
      </c>
    </row>
    <row r="4086" spans="2:12" x14ac:dyDescent="0.2">
      <c r="B4086" s="62" t="s">
        <v>1707</v>
      </c>
      <c r="C4086" s="61" t="s">
        <v>550</v>
      </c>
      <c r="D4086" s="60">
        <v>1.27827</v>
      </c>
      <c r="E4086" s="59">
        <v>3.3401000000000001</v>
      </c>
      <c r="F4086" s="59">
        <v>4.5189899999999996</v>
      </c>
      <c r="G4086" s="56">
        <v>0</v>
      </c>
      <c r="H4086" s="56">
        <v>0</v>
      </c>
      <c r="I4086" s="58">
        <v>0.32042799999999999</v>
      </c>
      <c r="J4086" s="57">
        <v>0.38841500000000001</v>
      </c>
      <c r="K4086" s="56"/>
      <c r="L4086" s="56" t="s">
        <v>488</v>
      </c>
    </row>
    <row r="4087" spans="2:12" x14ac:dyDescent="0.2">
      <c r="B4087" s="62" t="s">
        <v>1706</v>
      </c>
      <c r="C4087" s="61" t="s">
        <v>499</v>
      </c>
      <c r="D4087" s="60">
        <v>1.3484799999999999</v>
      </c>
      <c r="E4087" s="59">
        <v>3.33609</v>
      </c>
      <c r="F4087" s="59">
        <v>5.7805999999999997</v>
      </c>
      <c r="G4087" s="56">
        <v>0</v>
      </c>
      <c r="H4087" s="56">
        <v>0</v>
      </c>
      <c r="I4087" s="58">
        <v>0.37425599999999998</v>
      </c>
      <c r="J4087" s="57">
        <v>0.36113299999999998</v>
      </c>
      <c r="K4087" s="56"/>
      <c r="L4087" s="56" t="s">
        <v>488</v>
      </c>
    </row>
    <row r="4088" spans="2:12" x14ac:dyDescent="0.2">
      <c r="B4088" s="62" t="s">
        <v>1705</v>
      </c>
      <c r="C4088" s="61" t="s">
        <v>499</v>
      </c>
      <c r="D4088" s="60">
        <v>1.19506</v>
      </c>
      <c r="E4088" s="59">
        <v>3.4026800000000001</v>
      </c>
      <c r="F4088" s="59">
        <v>7.27569</v>
      </c>
      <c r="G4088" s="56">
        <v>0</v>
      </c>
      <c r="H4088" s="56">
        <v>0</v>
      </c>
      <c r="I4088" s="58">
        <v>0.452434</v>
      </c>
      <c r="J4088" s="57">
        <v>0.45589000000000002</v>
      </c>
      <c r="K4088" s="56"/>
      <c r="L4088" s="56" t="s">
        <v>488</v>
      </c>
    </row>
    <row r="4089" spans="2:12" x14ac:dyDescent="0.2">
      <c r="B4089" s="62" t="s">
        <v>1704</v>
      </c>
      <c r="C4089" s="61" t="s">
        <v>495</v>
      </c>
      <c r="D4089" s="60">
        <v>1.21218</v>
      </c>
      <c r="E4089" s="59">
        <v>3.9605999999999999</v>
      </c>
      <c r="F4089" s="59">
        <v>4.38835</v>
      </c>
      <c r="G4089" s="56">
        <v>749.52099999999996</v>
      </c>
      <c r="H4089" s="56">
        <v>618.32299999999998</v>
      </c>
      <c r="I4089" s="58">
        <v>0.39341700000000002</v>
      </c>
      <c r="J4089" s="57">
        <v>0.40724500000000002</v>
      </c>
      <c r="K4089" s="56"/>
      <c r="L4089" s="56" t="s">
        <v>488</v>
      </c>
    </row>
    <row r="4090" spans="2:12" x14ac:dyDescent="0.2">
      <c r="B4090" s="62" t="s">
        <v>1703</v>
      </c>
      <c r="C4090" s="61" t="s">
        <v>1702</v>
      </c>
      <c r="D4090" s="60">
        <v>2.2889300000000001</v>
      </c>
      <c r="E4090" s="59">
        <v>3.0903700000000001</v>
      </c>
      <c r="F4090" s="59">
        <v>5.0752300000000004</v>
      </c>
      <c r="G4090" s="56">
        <v>0</v>
      </c>
      <c r="H4090" s="56">
        <v>0</v>
      </c>
      <c r="I4090" s="58">
        <v>0.40705599999999997</v>
      </c>
      <c r="J4090" s="57">
        <v>0.207513</v>
      </c>
      <c r="K4090" s="56"/>
      <c r="L4090" s="56" t="s">
        <v>488</v>
      </c>
    </row>
    <row r="4091" spans="2:12" x14ac:dyDescent="0.2">
      <c r="B4091" s="62" t="s">
        <v>1701</v>
      </c>
      <c r="C4091" s="61" t="s">
        <v>499</v>
      </c>
      <c r="D4091" s="60">
        <v>0.43768299999999999</v>
      </c>
      <c r="E4091" s="59">
        <v>22.888300000000001</v>
      </c>
      <c r="F4091" s="59">
        <v>24.24812</v>
      </c>
      <c r="G4091" s="56">
        <v>1791.88</v>
      </c>
      <c r="H4091" s="56">
        <v>4094</v>
      </c>
      <c r="I4091" s="58">
        <v>0.85471900000000001</v>
      </c>
      <c r="J4091" s="57">
        <v>1.90229</v>
      </c>
      <c r="K4091" s="56"/>
      <c r="L4091" s="56" t="s">
        <v>488</v>
      </c>
    </row>
    <row r="4092" spans="2:12" x14ac:dyDescent="0.2">
      <c r="B4092" s="62" t="s">
        <v>1700</v>
      </c>
      <c r="C4092" s="61" t="s">
        <v>499</v>
      </c>
      <c r="D4092" s="60">
        <v>1.22262</v>
      </c>
      <c r="E4092" s="59">
        <v>7.55924</v>
      </c>
      <c r="F4092" s="59">
        <v>8.2586099999999991</v>
      </c>
      <c r="G4092" s="56">
        <v>1628.87</v>
      </c>
      <c r="H4092" s="56">
        <v>1332.28</v>
      </c>
      <c r="I4092" s="58">
        <v>0.63480800000000004</v>
      </c>
      <c r="J4092" s="57">
        <v>0.54474500000000003</v>
      </c>
      <c r="K4092" s="56"/>
      <c r="L4092" s="56" t="s">
        <v>488</v>
      </c>
    </row>
    <row r="4093" spans="2:12" x14ac:dyDescent="0.2">
      <c r="B4093" s="62" t="s">
        <v>1699</v>
      </c>
      <c r="C4093" s="61" t="s">
        <v>499</v>
      </c>
      <c r="D4093" s="60">
        <v>0.84593099999999999</v>
      </c>
      <c r="E4093" s="59">
        <v>6.4108200000000002</v>
      </c>
      <c r="F4093" s="59">
        <v>7.0933599999999997</v>
      </c>
      <c r="G4093" s="56">
        <v>2405.41</v>
      </c>
      <c r="H4093" s="56">
        <v>2843.5</v>
      </c>
      <c r="I4093" s="58">
        <v>0.73424900000000004</v>
      </c>
      <c r="J4093" s="57">
        <v>0.83349799999999996</v>
      </c>
      <c r="K4093" s="56"/>
      <c r="L4093" s="56" t="s">
        <v>488</v>
      </c>
    </row>
    <row r="4094" spans="2:12" x14ac:dyDescent="0.2">
      <c r="B4094" s="62" t="s">
        <v>1698</v>
      </c>
      <c r="C4094" s="61" t="s">
        <v>1697</v>
      </c>
      <c r="D4094" s="60">
        <v>1.0810599999999999</v>
      </c>
      <c r="E4094" s="59">
        <v>5.3887</v>
      </c>
      <c r="F4094" s="59">
        <v>6.6650999999999998</v>
      </c>
      <c r="G4094" s="56">
        <v>2287.1799999999998</v>
      </c>
      <c r="H4094" s="56">
        <v>2115.69</v>
      </c>
      <c r="I4094" s="58">
        <v>0.57338299999999998</v>
      </c>
      <c r="J4094" s="57">
        <v>0.68653200000000003</v>
      </c>
      <c r="K4094" s="56"/>
      <c r="L4094" s="56" t="s">
        <v>488</v>
      </c>
    </row>
    <row r="4095" spans="2:12" x14ac:dyDescent="0.2">
      <c r="B4095" s="62" t="s">
        <v>1696</v>
      </c>
      <c r="C4095" s="61" t="s">
        <v>535</v>
      </c>
      <c r="D4095" s="60">
        <v>1.4352</v>
      </c>
      <c r="E4095" s="59">
        <v>4.8515800000000002</v>
      </c>
      <c r="F4095" s="59">
        <v>6.3202299999999996</v>
      </c>
      <c r="G4095" s="56">
        <v>1136.27</v>
      </c>
      <c r="H4095" s="56">
        <v>791.72</v>
      </c>
      <c r="I4095" s="58">
        <v>0.51678100000000005</v>
      </c>
      <c r="J4095" s="57">
        <v>0.39297100000000001</v>
      </c>
      <c r="K4095" s="56"/>
      <c r="L4095" s="56" t="s">
        <v>488</v>
      </c>
    </row>
    <row r="4096" spans="2:12" x14ac:dyDescent="0.2">
      <c r="B4096" s="62" t="s">
        <v>1695</v>
      </c>
      <c r="C4096" s="61" t="s">
        <v>537</v>
      </c>
      <c r="D4096" s="60">
        <v>1.45624</v>
      </c>
      <c r="E4096" s="59">
        <v>4.8361200000000002</v>
      </c>
      <c r="F4096" s="59">
        <v>6.3160800000000004</v>
      </c>
      <c r="G4096" s="56">
        <v>1166.3399999999999</v>
      </c>
      <c r="H4096" s="56">
        <v>800.92100000000005</v>
      </c>
      <c r="I4096" s="58">
        <v>0.51779799999999998</v>
      </c>
      <c r="J4096" s="57">
        <v>0.38648399999999999</v>
      </c>
      <c r="K4096" s="56"/>
      <c r="L4096" s="56" t="s">
        <v>488</v>
      </c>
    </row>
    <row r="4097" spans="2:12" x14ac:dyDescent="0.2">
      <c r="B4097" s="62" t="s">
        <v>1694</v>
      </c>
      <c r="C4097" s="61" t="s">
        <v>558</v>
      </c>
      <c r="D4097" s="60">
        <v>1.4615899999999999</v>
      </c>
      <c r="E4097" s="59">
        <v>4.8543700000000003</v>
      </c>
      <c r="F4097" s="59">
        <v>6.3306699999999996</v>
      </c>
      <c r="G4097" s="56">
        <v>1167.3499999999999</v>
      </c>
      <c r="H4097" s="56">
        <v>798.68799999999999</v>
      </c>
      <c r="I4097" s="58">
        <v>0.51954999999999996</v>
      </c>
      <c r="J4097" s="57">
        <v>0.38503999999999999</v>
      </c>
      <c r="K4097" s="56"/>
      <c r="L4097" s="56" t="s">
        <v>488</v>
      </c>
    </row>
    <row r="4098" spans="2:12" x14ac:dyDescent="0.2">
      <c r="B4098" s="62" t="s">
        <v>1693</v>
      </c>
      <c r="C4098" s="61" t="s">
        <v>859</v>
      </c>
      <c r="D4098" s="60">
        <v>1.48289</v>
      </c>
      <c r="E4098" s="59">
        <v>4.8264399999999998</v>
      </c>
      <c r="F4098" s="59">
        <v>6.3232100000000004</v>
      </c>
      <c r="G4098" s="56">
        <v>1127.24</v>
      </c>
      <c r="H4098" s="56">
        <v>760.16399999999999</v>
      </c>
      <c r="I4098" s="58">
        <v>0.51725100000000002</v>
      </c>
      <c r="J4098" s="57">
        <v>0.377523</v>
      </c>
      <c r="K4098" s="56"/>
      <c r="L4098" s="56" t="s">
        <v>488</v>
      </c>
    </row>
    <row r="4099" spans="2:12" x14ac:dyDescent="0.2">
      <c r="B4099" s="62" t="s">
        <v>1692</v>
      </c>
      <c r="C4099" s="61" t="s">
        <v>502</v>
      </c>
      <c r="D4099" s="60">
        <v>0.88270499999999996</v>
      </c>
      <c r="E4099" s="59">
        <v>6.5687100000000003</v>
      </c>
      <c r="F4099" s="59">
        <v>13.17014</v>
      </c>
      <c r="G4099" s="56">
        <v>1905.18</v>
      </c>
      <c r="H4099" s="56">
        <v>2158.34</v>
      </c>
      <c r="I4099" s="58">
        <v>0.75882499999999997</v>
      </c>
      <c r="J4099" s="57">
        <v>0.81482699999999997</v>
      </c>
      <c r="K4099" s="56" t="s">
        <v>636</v>
      </c>
      <c r="L4099" s="56" t="s">
        <v>1691</v>
      </c>
    </row>
    <row r="4100" spans="2:12" x14ac:dyDescent="0.2">
      <c r="B4100" s="62" t="s">
        <v>1690</v>
      </c>
      <c r="C4100" s="61" t="s">
        <v>499</v>
      </c>
      <c r="D4100" s="60">
        <v>1.2469399999999999</v>
      </c>
      <c r="E4100" s="59">
        <v>7.3520599999999998</v>
      </c>
      <c r="F4100" s="59">
        <v>8.0947200000000006</v>
      </c>
      <c r="G4100" s="56">
        <v>1552.8</v>
      </c>
      <c r="H4100" s="56">
        <v>1245.29</v>
      </c>
      <c r="I4100" s="58">
        <v>0.62084899999999998</v>
      </c>
      <c r="J4100" s="57">
        <v>0.52860799999999997</v>
      </c>
      <c r="K4100" s="56"/>
      <c r="L4100" s="56" t="s">
        <v>488</v>
      </c>
    </row>
    <row r="4101" spans="2:12" x14ac:dyDescent="0.2">
      <c r="B4101" s="62" t="s">
        <v>1689</v>
      </c>
      <c r="C4101" s="61" t="s">
        <v>499</v>
      </c>
      <c r="D4101" s="60">
        <v>1.2276800000000001</v>
      </c>
      <c r="E4101" s="59">
        <v>7.4934500000000002</v>
      </c>
      <c r="F4101" s="59">
        <v>7.9980200000000004</v>
      </c>
      <c r="G4101" s="56">
        <v>1571.16</v>
      </c>
      <c r="H4101" s="56">
        <v>1279.78</v>
      </c>
      <c r="I4101" s="58">
        <v>0.61691300000000004</v>
      </c>
      <c r="J4101" s="57">
        <v>0.54108699999999998</v>
      </c>
      <c r="K4101" s="56"/>
      <c r="L4101" s="56" t="s">
        <v>488</v>
      </c>
    </row>
    <row r="4102" spans="2:12" x14ac:dyDescent="0.2">
      <c r="B4102" s="62" t="s">
        <v>1688</v>
      </c>
      <c r="C4102" s="61" t="s">
        <v>502</v>
      </c>
      <c r="D4102" s="60">
        <v>1.0243899999999999</v>
      </c>
      <c r="E4102" s="59">
        <v>6.10487</v>
      </c>
      <c r="F4102" s="59">
        <v>6.7470699999999999</v>
      </c>
      <c r="G4102" s="56">
        <v>1169.42</v>
      </c>
      <c r="H4102" s="56">
        <v>1141.58</v>
      </c>
      <c r="I4102" s="58">
        <v>0.492037</v>
      </c>
      <c r="J4102" s="57">
        <v>0.56295099999999998</v>
      </c>
      <c r="K4102" s="56"/>
      <c r="L4102" s="56" t="s">
        <v>488</v>
      </c>
    </row>
    <row r="4103" spans="2:12" x14ac:dyDescent="0.2">
      <c r="B4103" s="62" t="s">
        <v>1687</v>
      </c>
      <c r="C4103" s="61" t="s">
        <v>499</v>
      </c>
      <c r="D4103" s="60">
        <v>1.07942</v>
      </c>
      <c r="E4103" s="59">
        <v>5.1215000000000002</v>
      </c>
      <c r="F4103" s="59">
        <v>6.3448399999999996</v>
      </c>
      <c r="G4103" s="56">
        <v>1156.49</v>
      </c>
      <c r="H4103" s="56">
        <v>1071.4000000000001</v>
      </c>
      <c r="I4103" s="58">
        <v>0.55698400000000003</v>
      </c>
      <c r="J4103" s="57">
        <v>0.51941499999999996</v>
      </c>
      <c r="K4103" s="56"/>
      <c r="L4103" s="56" t="s">
        <v>488</v>
      </c>
    </row>
    <row r="4104" spans="2:12" x14ac:dyDescent="0.2">
      <c r="B4104" s="62" t="s">
        <v>1686</v>
      </c>
      <c r="C4104" s="61" t="s">
        <v>523</v>
      </c>
      <c r="D4104" s="60">
        <v>0.68120099999999995</v>
      </c>
      <c r="E4104" s="59">
        <v>11.694990000000001</v>
      </c>
      <c r="F4104" s="59">
        <v>28.24269</v>
      </c>
      <c r="G4104" s="56">
        <v>1318.73</v>
      </c>
      <c r="H4104" s="56">
        <v>1935.89</v>
      </c>
      <c r="I4104" s="58">
        <v>0.774177</v>
      </c>
      <c r="J4104" s="57">
        <v>1.1188800000000001</v>
      </c>
      <c r="K4104" s="56" t="s">
        <v>1685</v>
      </c>
      <c r="L4104" s="56" t="s">
        <v>563</v>
      </c>
    </row>
    <row r="4105" spans="2:12" x14ac:dyDescent="0.2">
      <c r="B4105" s="62" t="s">
        <v>1684</v>
      </c>
      <c r="C4105" s="61" t="s">
        <v>687</v>
      </c>
      <c r="D4105" s="60">
        <v>1.77613</v>
      </c>
      <c r="E4105" s="59">
        <v>3.0002499999999999</v>
      </c>
      <c r="F4105" s="59">
        <v>6.4755200000000004</v>
      </c>
      <c r="G4105" s="56">
        <v>0</v>
      </c>
      <c r="H4105" s="56">
        <v>0</v>
      </c>
      <c r="I4105" s="58">
        <v>0.47080499999999997</v>
      </c>
      <c r="J4105" s="57">
        <v>0.29955199999999998</v>
      </c>
      <c r="K4105" s="56"/>
      <c r="L4105" s="56" t="s">
        <v>488</v>
      </c>
    </row>
    <row r="4106" spans="2:12" x14ac:dyDescent="0.2">
      <c r="B4106" s="62" t="s">
        <v>1683</v>
      </c>
      <c r="C4106" s="61" t="s">
        <v>1681</v>
      </c>
      <c r="D4106" s="60">
        <v>3.5956899999999998</v>
      </c>
      <c r="E4106" s="59">
        <v>3.9306399999999999</v>
      </c>
      <c r="F4106" s="59">
        <v>4.5842099999999997</v>
      </c>
      <c r="G4106" s="56">
        <v>386.84399999999999</v>
      </c>
      <c r="H4106" s="56">
        <v>107.586</v>
      </c>
      <c r="I4106" s="58">
        <v>0.359518</v>
      </c>
      <c r="J4106" s="57">
        <v>0.11243400000000001</v>
      </c>
      <c r="K4106" s="56"/>
      <c r="L4106" s="56" t="s">
        <v>488</v>
      </c>
    </row>
    <row r="4107" spans="2:12" x14ac:dyDescent="0.2">
      <c r="B4107" s="62" t="s">
        <v>1682</v>
      </c>
      <c r="C4107" s="61" t="s">
        <v>1681</v>
      </c>
      <c r="D4107" s="60">
        <v>2.4170500000000001</v>
      </c>
      <c r="E4107" s="59">
        <v>2.6608200000000002</v>
      </c>
      <c r="F4107" s="59">
        <v>3.7675700000000001</v>
      </c>
      <c r="G4107" s="56">
        <v>0</v>
      </c>
      <c r="H4107" s="56">
        <v>0</v>
      </c>
      <c r="I4107" s="58">
        <v>0.25581799999999999</v>
      </c>
      <c r="J4107" s="57">
        <v>0.16725400000000001</v>
      </c>
      <c r="K4107" s="56"/>
      <c r="L4107" s="56" t="s">
        <v>488</v>
      </c>
    </row>
    <row r="4108" spans="2:12" x14ac:dyDescent="0.2">
      <c r="B4108" s="62" t="s">
        <v>1680</v>
      </c>
      <c r="C4108" s="61" t="s">
        <v>510</v>
      </c>
      <c r="D4108" s="60">
        <v>1.7417800000000001</v>
      </c>
      <c r="E4108" s="59">
        <v>3.1771400000000001</v>
      </c>
      <c r="F4108" s="59">
        <v>4.3370800000000003</v>
      </c>
      <c r="G4108" s="56">
        <v>0</v>
      </c>
      <c r="H4108" s="56">
        <v>0</v>
      </c>
      <c r="I4108" s="58">
        <v>0.26278000000000001</v>
      </c>
      <c r="J4108" s="57">
        <v>0.24551999999999999</v>
      </c>
      <c r="K4108" s="56"/>
      <c r="L4108" s="56" t="s">
        <v>488</v>
      </c>
    </row>
    <row r="4109" spans="2:12" x14ac:dyDescent="0.2">
      <c r="B4109" s="62" t="s">
        <v>1679</v>
      </c>
      <c r="C4109" s="61" t="s">
        <v>541</v>
      </c>
      <c r="D4109" s="60">
        <v>2.09897</v>
      </c>
      <c r="E4109" s="59">
        <v>2.5594899999999998</v>
      </c>
      <c r="F4109" s="59">
        <v>3.7898200000000002</v>
      </c>
      <c r="G4109" s="56">
        <v>0</v>
      </c>
      <c r="H4109" s="56">
        <v>0</v>
      </c>
      <c r="I4109" s="58">
        <v>9.2977500000000005E-2</v>
      </c>
      <c r="J4109" s="57">
        <v>0.182697</v>
      </c>
      <c r="K4109" s="56"/>
      <c r="L4109" s="56" t="s">
        <v>492</v>
      </c>
    </row>
    <row r="4110" spans="2:12" x14ac:dyDescent="0.2">
      <c r="B4110" s="62" t="s">
        <v>1678</v>
      </c>
      <c r="C4110" s="61" t="s">
        <v>708</v>
      </c>
      <c r="D4110" s="60">
        <v>0.83025400000000005</v>
      </c>
      <c r="E4110" s="59">
        <v>8.2661899999999999</v>
      </c>
      <c r="F4110" s="59">
        <v>9.3265200000000004</v>
      </c>
      <c r="G4110" s="56">
        <v>1709.85</v>
      </c>
      <c r="H4110" s="56">
        <v>2059.4299999999998</v>
      </c>
      <c r="I4110" s="58">
        <v>0.63849699999999998</v>
      </c>
      <c r="J4110" s="57">
        <v>0.80233699999999997</v>
      </c>
      <c r="K4110" s="56"/>
      <c r="L4110" s="56" t="s">
        <v>492</v>
      </c>
    </row>
    <row r="4111" spans="2:12" x14ac:dyDescent="0.2">
      <c r="B4111" s="62" t="s">
        <v>1677</v>
      </c>
      <c r="C4111" s="61" t="s">
        <v>499</v>
      </c>
      <c r="D4111" s="60">
        <v>1.16526</v>
      </c>
      <c r="E4111" s="59">
        <v>6.2400799999999998</v>
      </c>
      <c r="F4111" s="59">
        <v>6.8546399999999998</v>
      </c>
      <c r="G4111" s="56">
        <v>1539.91</v>
      </c>
      <c r="H4111" s="56">
        <v>1321.52</v>
      </c>
      <c r="I4111" s="58">
        <v>0.57162199999999996</v>
      </c>
      <c r="J4111" s="57">
        <v>0.52892799999999995</v>
      </c>
      <c r="K4111" s="56"/>
      <c r="L4111" s="56" t="s">
        <v>492</v>
      </c>
    </row>
    <row r="4112" spans="2:12" x14ac:dyDescent="0.2">
      <c r="B4112" s="62" t="s">
        <v>1676</v>
      </c>
      <c r="C4112" s="61" t="s">
        <v>625</v>
      </c>
      <c r="D4112" s="60">
        <v>1.3462400000000001</v>
      </c>
      <c r="E4112" s="59">
        <v>5.4096099999999998</v>
      </c>
      <c r="F4112" s="59">
        <v>6.1812399999999998</v>
      </c>
      <c r="G4112" s="56">
        <v>1283.18</v>
      </c>
      <c r="H4112" s="56">
        <v>953.154</v>
      </c>
      <c r="I4112" s="58">
        <v>0.44256400000000001</v>
      </c>
      <c r="J4112" s="57">
        <v>0.404835</v>
      </c>
      <c r="K4112" s="56"/>
      <c r="L4112" s="56" t="s">
        <v>492</v>
      </c>
    </row>
    <row r="4113" spans="2:12" x14ac:dyDescent="0.2">
      <c r="B4113" s="62" t="s">
        <v>1675</v>
      </c>
      <c r="C4113" s="61" t="s">
        <v>550</v>
      </c>
      <c r="D4113" s="60">
        <v>1.9872300000000001</v>
      </c>
      <c r="E4113" s="59">
        <v>2.41797</v>
      </c>
      <c r="F4113" s="59">
        <v>3.97593</v>
      </c>
      <c r="G4113" s="56">
        <v>0</v>
      </c>
      <c r="H4113" s="56">
        <v>0</v>
      </c>
      <c r="I4113" s="58">
        <v>0.11634700000000001</v>
      </c>
      <c r="J4113" s="57">
        <v>0.20477600000000001</v>
      </c>
      <c r="K4113" s="56"/>
      <c r="L4113" s="56" t="s">
        <v>492</v>
      </c>
    </row>
    <row r="4114" spans="2:12" x14ac:dyDescent="0.2">
      <c r="B4114" s="62" t="s">
        <v>1674</v>
      </c>
      <c r="C4114" s="61" t="s">
        <v>550</v>
      </c>
      <c r="D4114" s="60">
        <v>1.8463400000000001</v>
      </c>
      <c r="E4114" s="59">
        <v>3.4897200000000002</v>
      </c>
      <c r="F4114" s="59">
        <v>3.8786999999999998</v>
      </c>
      <c r="G4114" s="56">
        <v>0</v>
      </c>
      <c r="H4114" s="56">
        <v>0</v>
      </c>
      <c r="I4114" s="58">
        <v>0.28524899999999997</v>
      </c>
      <c r="J4114" s="57">
        <v>0.238117</v>
      </c>
      <c r="K4114" s="56"/>
      <c r="L4114" s="56" t="s">
        <v>624</v>
      </c>
    </row>
    <row r="4115" spans="2:12" x14ac:dyDescent="0.2">
      <c r="B4115" s="62" t="s">
        <v>1673</v>
      </c>
      <c r="C4115" s="61" t="s">
        <v>708</v>
      </c>
      <c r="D4115" s="60">
        <v>1.2203200000000001</v>
      </c>
      <c r="E4115" s="59">
        <v>4.1024700000000003</v>
      </c>
      <c r="F4115" s="59">
        <v>5.3700700000000001</v>
      </c>
      <c r="G4115" s="56">
        <v>662.197</v>
      </c>
      <c r="H4115" s="56">
        <v>542.64200000000005</v>
      </c>
      <c r="I4115" s="58">
        <v>0.46965800000000002</v>
      </c>
      <c r="J4115" s="57">
        <v>0.42239300000000002</v>
      </c>
      <c r="K4115" s="56"/>
      <c r="L4115" s="56" t="s">
        <v>488</v>
      </c>
    </row>
    <row r="4116" spans="2:12" x14ac:dyDescent="0.2">
      <c r="B4116" s="62" t="s">
        <v>1672</v>
      </c>
      <c r="C4116" s="61" t="s">
        <v>499</v>
      </c>
      <c r="D4116" s="60">
        <v>0.75499499999999997</v>
      </c>
      <c r="E4116" s="59">
        <v>5.3687899999999997</v>
      </c>
      <c r="F4116" s="59">
        <v>7.3025000000000002</v>
      </c>
      <c r="G4116" s="56">
        <v>2796.35</v>
      </c>
      <c r="H4116" s="56">
        <v>3703.8</v>
      </c>
      <c r="I4116" s="58">
        <v>0.72635799999999995</v>
      </c>
      <c r="J4116" s="57">
        <v>0.97662199999999999</v>
      </c>
      <c r="K4116" s="56"/>
      <c r="L4116" s="56" t="s">
        <v>488</v>
      </c>
    </row>
    <row r="4117" spans="2:12" x14ac:dyDescent="0.2">
      <c r="B4117" s="62" t="s">
        <v>1671</v>
      </c>
      <c r="C4117" s="61" t="s">
        <v>550</v>
      </c>
      <c r="D4117" s="60">
        <v>1.0537700000000001</v>
      </c>
      <c r="E4117" s="59">
        <v>4.0478300000000003</v>
      </c>
      <c r="F4117" s="59">
        <v>6.7577299999999996</v>
      </c>
      <c r="G4117" s="56">
        <v>996.67600000000004</v>
      </c>
      <c r="H4117" s="56">
        <v>945.81799999999998</v>
      </c>
      <c r="I4117" s="58">
        <v>0.48065400000000003</v>
      </c>
      <c r="J4117" s="57">
        <v>0.55472299999999997</v>
      </c>
      <c r="K4117" s="56"/>
      <c r="L4117" s="56" t="s">
        <v>488</v>
      </c>
    </row>
    <row r="4118" spans="2:12" x14ac:dyDescent="0.2">
      <c r="B4118" s="62" t="s">
        <v>1670</v>
      </c>
      <c r="C4118" s="61" t="s">
        <v>1518</v>
      </c>
      <c r="D4118" s="60">
        <v>2.3365200000000002</v>
      </c>
      <c r="E4118" s="59">
        <v>5.1410099999999996</v>
      </c>
      <c r="F4118" s="59">
        <v>5.3073100000000002</v>
      </c>
      <c r="G4118" s="56">
        <v>948.57500000000005</v>
      </c>
      <c r="H4118" s="56">
        <v>405.98</v>
      </c>
      <c r="I4118" s="58">
        <v>0.40035599999999999</v>
      </c>
      <c r="J4118" s="57">
        <v>0.20291300000000001</v>
      </c>
      <c r="K4118" s="56"/>
      <c r="L4118" s="56" t="s">
        <v>488</v>
      </c>
    </row>
    <row r="4119" spans="2:12" x14ac:dyDescent="0.2">
      <c r="B4119" s="62" t="s">
        <v>1669</v>
      </c>
      <c r="C4119" s="61" t="s">
        <v>1668</v>
      </c>
      <c r="D4119" s="60">
        <v>2.36937</v>
      </c>
      <c r="E4119" s="59">
        <v>5.11212</v>
      </c>
      <c r="F4119" s="59">
        <v>5.2808000000000002</v>
      </c>
      <c r="G4119" s="56">
        <v>936.00800000000004</v>
      </c>
      <c r="H4119" s="56">
        <v>395.04700000000003</v>
      </c>
      <c r="I4119" s="58">
        <v>0.39682800000000001</v>
      </c>
      <c r="J4119" s="57">
        <v>0.199161</v>
      </c>
      <c r="K4119" s="56"/>
      <c r="L4119" s="56" t="s">
        <v>488</v>
      </c>
    </row>
    <row r="4120" spans="2:12" x14ac:dyDescent="0.2">
      <c r="B4120" s="62" t="s">
        <v>1667</v>
      </c>
      <c r="C4120" s="61" t="s">
        <v>499</v>
      </c>
      <c r="D4120" s="60">
        <v>0.93299299999999996</v>
      </c>
      <c r="E4120" s="59">
        <v>4.0612199999999996</v>
      </c>
      <c r="F4120" s="59">
        <v>10.66086</v>
      </c>
      <c r="G4120" s="56">
        <v>1504.35</v>
      </c>
      <c r="H4120" s="56">
        <v>1612.39</v>
      </c>
      <c r="I4120" s="58">
        <v>0.63814000000000004</v>
      </c>
      <c r="J4120" s="57">
        <v>0.67141899999999999</v>
      </c>
      <c r="K4120" s="56"/>
      <c r="L4120" s="56" t="s">
        <v>488</v>
      </c>
    </row>
    <row r="4121" spans="2:12" x14ac:dyDescent="0.2">
      <c r="B4121" s="62" t="s">
        <v>1666</v>
      </c>
      <c r="C4121" s="61" t="s">
        <v>1572</v>
      </c>
      <c r="D4121" s="60">
        <v>1.31843</v>
      </c>
      <c r="E4121" s="59">
        <v>3.6453000000000002</v>
      </c>
      <c r="F4121" s="59">
        <v>4.7930400000000004</v>
      </c>
      <c r="G4121" s="56">
        <v>0</v>
      </c>
      <c r="H4121" s="56">
        <v>0</v>
      </c>
      <c r="I4121" s="58">
        <v>0.294603</v>
      </c>
      <c r="J4121" s="57">
        <v>0.38278600000000002</v>
      </c>
      <c r="K4121" s="56"/>
      <c r="L4121" s="56" t="s">
        <v>488</v>
      </c>
    </row>
    <row r="4122" spans="2:12" x14ac:dyDescent="0.2">
      <c r="B4122" s="62" t="s">
        <v>1665</v>
      </c>
      <c r="C4122" s="61" t="s">
        <v>502</v>
      </c>
      <c r="D4122" s="60">
        <v>1.5061800000000001</v>
      </c>
      <c r="E4122" s="59">
        <v>3.1369600000000002</v>
      </c>
      <c r="F4122" s="59">
        <v>4.2171000000000003</v>
      </c>
      <c r="G4122" s="56">
        <v>0</v>
      </c>
      <c r="H4122" s="56">
        <v>0</v>
      </c>
      <c r="I4122" s="58">
        <v>0.27396700000000002</v>
      </c>
      <c r="J4122" s="57">
        <v>0.27509</v>
      </c>
      <c r="K4122" s="56"/>
      <c r="L4122" s="56" t="s">
        <v>488</v>
      </c>
    </row>
    <row r="4123" spans="2:12" x14ac:dyDescent="0.2">
      <c r="B4123" s="62" t="s">
        <v>1664</v>
      </c>
      <c r="C4123" s="61" t="s">
        <v>502</v>
      </c>
      <c r="D4123" s="60">
        <v>1.5151399999999999</v>
      </c>
      <c r="E4123" s="59">
        <v>3.1883300000000001</v>
      </c>
      <c r="F4123" s="59">
        <v>4.2289899999999996</v>
      </c>
      <c r="G4123" s="56">
        <v>0</v>
      </c>
      <c r="H4123" s="56">
        <v>0</v>
      </c>
      <c r="I4123" s="58">
        <v>0.25530999999999998</v>
      </c>
      <c r="J4123" s="57">
        <v>0.27188000000000001</v>
      </c>
      <c r="K4123" s="56"/>
      <c r="L4123" s="56" t="s">
        <v>488</v>
      </c>
    </row>
    <row r="4124" spans="2:12" x14ac:dyDescent="0.2">
      <c r="B4124" s="62" t="s">
        <v>1663</v>
      </c>
      <c r="C4124" s="61" t="s">
        <v>502</v>
      </c>
      <c r="D4124" s="60">
        <v>1.50817</v>
      </c>
      <c r="E4124" s="59">
        <v>3.2653699999999999</v>
      </c>
      <c r="F4124" s="59">
        <v>4.2182300000000001</v>
      </c>
      <c r="G4124" s="56">
        <v>0</v>
      </c>
      <c r="H4124" s="56">
        <v>0</v>
      </c>
      <c r="I4124" s="58">
        <v>0.25908399999999998</v>
      </c>
      <c r="J4124" s="57">
        <v>0.27554099999999998</v>
      </c>
      <c r="K4124" s="56"/>
      <c r="L4124" s="56" t="s">
        <v>488</v>
      </c>
    </row>
    <row r="4125" spans="2:12" x14ac:dyDescent="0.2">
      <c r="B4125" s="62" t="s">
        <v>1662</v>
      </c>
      <c r="C4125" s="61" t="s">
        <v>502</v>
      </c>
      <c r="D4125" s="60">
        <v>1.5407500000000001</v>
      </c>
      <c r="E4125" s="59">
        <v>2.8933599999999999</v>
      </c>
      <c r="F4125" s="59">
        <v>4.1490299999999998</v>
      </c>
      <c r="G4125" s="56">
        <v>0</v>
      </c>
      <c r="H4125" s="56">
        <v>0</v>
      </c>
      <c r="I4125" s="58">
        <v>0.221806</v>
      </c>
      <c r="J4125" s="57">
        <v>0.25986399999999998</v>
      </c>
      <c r="K4125" s="56"/>
      <c r="L4125" s="56" t="s">
        <v>488</v>
      </c>
    </row>
    <row r="4126" spans="2:12" x14ac:dyDescent="0.2">
      <c r="B4126" s="62" t="s">
        <v>1661</v>
      </c>
      <c r="C4126" s="61" t="s">
        <v>502</v>
      </c>
      <c r="D4126" s="60">
        <v>0.67567699999999997</v>
      </c>
      <c r="E4126" s="59">
        <v>5.8173300000000001</v>
      </c>
      <c r="F4126" s="59">
        <v>7.3815600000000003</v>
      </c>
      <c r="G4126" s="56">
        <v>1968.43</v>
      </c>
      <c r="H4126" s="56">
        <v>2913.27</v>
      </c>
      <c r="I4126" s="58">
        <v>0.69901199999999997</v>
      </c>
      <c r="J4126" s="57">
        <v>1.0447900000000001</v>
      </c>
      <c r="K4126" s="56"/>
      <c r="L4126" s="56" t="s">
        <v>488</v>
      </c>
    </row>
    <row r="4127" spans="2:12" x14ac:dyDescent="0.2">
      <c r="B4127" s="62" t="s">
        <v>1660</v>
      </c>
      <c r="C4127" s="61" t="s">
        <v>1604</v>
      </c>
      <c r="D4127" s="60">
        <v>2.36957</v>
      </c>
      <c r="E4127" s="59">
        <v>2.9536099999999998</v>
      </c>
      <c r="F4127" s="59">
        <v>3.9178600000000001</v>
      </c>
      <c r="G4127" s="56">
        <v>0</v>
      </c>
      <c r="H4127" s="56">
        <v>0</v>
      </c>
      <c r="I4127" s="58">
        <v>0.181064</v>
      </c>
      <c r="J4127" s="57">
        <v>0.177094</v>
      </c>
      <c r="K4127" s="56"/>
      <c r="L4127" s="56" t="s">
        <v>488</v>
      </c>
    </row>
    <row r="4128" spans="2:12" x14ac:dyDescent="0.2">
      <c r="B4128" s="62" t="s">
        <v>1659</v>
      </c>
      <c r="C4128" s="61" t="s">
        <v>1658</v>
      </c>
      <c r="D4128" s="60">
        <v>1.2941400000000001</v>
      </c>
      <c r="E4128" s="59">
        <v>4.0386100000000003</v>
      </c>
      <c r="F4128" s="59">
        <v>4.8957499999999996</v>
      </c>
      <c r="G4128" s="56">
        <v>769.14099999999996</v>
      </c>
      <c r="H4128" s="56">
        <v>594.32600000000002</v>
      </c>
      <c r="I4128" s="58">
        <v>0.43905699999999998</v>
      </c>
      <c r="J4128" s="57">
        <v>0.38577699999999998</v>
      </c>
      <c r="K4128" s="56"/>
      <c r="L4128" s="56" t="s">
        <v>488</v>
      </c>
    </row>
    <row r="4129" spans="2:12" x14ac:dyDescent="0.2">
      <c r="B4129" s="62" t="s">
        <v>1657</v>
      </c>
      <c r="C4129" s="61" t="s">
        <v>502</v>
      </c>
      <c r="D4129" s="60">
        <v>1.8709</v>
      </c>
      <c r="E4129" s="59">
        <v>2.96848</v>
      </c>
      <c r="F4129" s="59">
        <v>3.6728100000000001</v>
      </c>
      <c r="G4129" s="56">
        <v>0</v>
      </c>
      <c r="H4129" s="56">
        <v>0</v>
      </c>
      <c r="I4129" s="58">
        <v>0.154501</v>
      </c>
      <c r="J4129" s="57">
        <v>0.189859</v>
      </c>
      <c r="K4129" s="56"/>
      <c r="L4129" s="56" t="s">
        <v>488</v>
      </c>
    </row>
    <row r="4130" spans="2:12" x14ac:dyDescent="0.2">
      <c r="B4130" s="62" t="s">
        <v>1656</v>
      </c>
      <c r="C4130" s="61" t="s">
        <v>502</v>
      </c>
      <c r="D4130" s="60">
        <v>1.84538</v>
      </c>
      <c r="E4130" s="59">
        <v>2.9864600000000001</v>
      </c>
      <c r="F4130" s="59">
        <v>3.5849500000000001</v>
      </c>
      <c r="G4130" s="56">
        <v>0</v>
      </c>
      <c r="H4130" s="56">
        <v>0</v>
      </c>
      <c r="I4130" s="58">
        <v>0.161522</v>
      </c>
      <c r="J4130" s="57">
        <v>0.198269</v>
      </c>
      <c r="K4130" s="56"/>
      <c r="L4130" s="56" t="s">
        <v>488</v>
      </c>
    </row>
    <row r="4131" spans="2:12" x14ac:dyDescent="0.2">
      <c r="B4131" s="62" t="s">
        <v>1655</v>
      </c>
      <c r="C4131" s="61" t="s">
        <v>502</v>
      </c>
      <c r="D4131" s="60">
        <v>0.96867199999999998</v>
      </c>
      <c r="E4131" s="59">
        <v>4.8353000000000002</v>
      </c>
      <c r="F4131" s="59">
        <v>6.3027300000000004</v>
      </c>
      <c r="G4131" s="56">
        <v>1180.44</v>
      </c>
      <c r="H4131" s="56">
        <v>1218.6199999999999</v>
      </c>
      <c r="I4131" s="58">
        <v>0.518509</v>
      </c>
      <c r="J4131" s="57">
        <v>0.62993200000000005</v>
      </c>
      <c r="K4131" s="56"/>
      <c r="L4131" s="56" t="s">
        <v>492</v>
      </c>
    </row>
    <row r="4132" spans="2:12" x14ac:dyDescent="0.2">
      <c r="B4132" s="62" t="s">
        <v>1654</v>
      </c>
      <c r="C4132" s="61" t="s">
        <v>1226</v>
      </c>
      <c r="D4132" s="60">
        <v>1.79667</v>
      </c>
      <c r="E4132" s="59">
        <v>4.0780700000000003</v>
      </c>
      <c r="F4132" s="59">
        <v>4.7732299999999999</v>
      </c>
      <c r="G4132" s="56">
        <v>433.81400000000002</v>
      </c>
      <c r="H4132" s="56">
        <v>241.45400000000001</v>
      </c>
      <c r="I4132" s="58">
        <v>0.43186400000000003</v>
      </c>
      <c r="J4132" s="57">
        <v>0.31277899999999997</v>
      </c>
      <c r="K4132" s="56"/>
      <c r="L4132" s="56" t="s">
        <v>488</v>
      </c>
    </row>
    <row r="4133" spans="2:12" x14ac:dyDescent="0.2">
      <c r="B4133" s="62" t="s">
        <v>1653</v>
      </c>
      <c r="C4133" s="61" t="s">
        <v>1652</v>
      </c>
      <c r="D4133" s="60">
        <v>1.73201</v>
      </c>
      <c r="E4133" s="59">
        <v>4.3659100000000004</v>
      </c>
      <c r="F4133" s="59">
        <v>4.8471700000000002</v>
      </c>
      <c r="G4133" s="56">
        <v>444.89</v>
      </c>
      <c r="H4133" s="56">
        <v>256.86399999999998</v>
      </c>
      <c r="I4133" s="58">
        <v>0.44734499999999999</v>
      </c>
      <c r="J4133" s="57">
        <v>0.33327800000000002</v>
      </c>
      <c r="K4133" s="56"/>
      <c r="L4133" s="56" t="s">
        <v>488</v>
      </c>
    </row>
    <row r="4134" spans="2:12" x14ac:dyDescent="0.2">
      <c r="B4134" s="62" t="s">
        <v>1651</v>
      </c>
      <c r="C4134" s="61" t="s">
        <v>859</v>
      </c>
      <c r="D4134" s="60">
        <v>1.75746</v>
      </c>
      <c r="E4134" s="59">
        <v>4.1102699999999999</v>
      </c>
      <c r="F4134" s="59">
        <v>4.7759400000000003</v>
      </c>
      <c r="G4134" s="56">
        <v>446.54500000000002</v>
      </c>
      <c r="H4134" s="56">
        <v>254.08600000000001</v>
      </c>
      <c r="I4134" s="58">
        <v>0.420989</v>
      </c>
      <c r="J4134" s="57">
        <v>0.32091799999999998</v>
      </c>
      <c r="K4134" s="56"/>
      <c r="L4134" s="56" t="s">
        <v>488</v>
      </c>
    </row>
    <row r="4135" spans="2:12" x14ac:dyDescent="0.2">
      <c r="B4135" s="62" t="s">
        <v>1650</v>
      </c>
      <c r="C4135" s="61" t="s">
        <v>499</v>
      </c>
      <c r="D4135" s="60">
        <v>1.19373</v>
      </c>
      <c r="E4135" s="59">
        <v>3.9817100000000001</v>
      </c>
      <c r="F4135" s="59">
        <v>5.4415899999999997</v>
      </c>
      <c r="G4135" s="56">
        <v>973.52099999999996</v>
      </c>
      <c r="H4135" s="56">
        <v>815.529</v>
      </c>
      <c r="I4135" s="58">
        <v>0.42144799999999999</v>
      </c>
      <c r="J4135" s="57">
        <v>0.456451</v>
      </c>
      <c r="K4135" s="56"/>
      <c r="L4135" s="56" t="s">
        <v>492</v>
      </c>
    </row>
    <row r="4136" spans="2:12" x14ac:dyDescent="0.2">
      <c r="B4136" s="62" t="s">
        <v>1649</v>
      </c>
      <c r="C4136" s="61" t="s">
        <v>550</v>
      </c>
      <c r="D4136" s="60">
        <v>1.6201099999999999</v>
      </c>
      <c r="E4136" s="59">
        <v>2.8874</v>
      </c>
      <c r="F4136" s="59">
        <v>4.3748300000000002</v>
      </c>
      <c r="G4136" s="56">
        <v>0</v>
      </c>
      <c r="H4136" s="56">
        <v>0</v>
      </c>
      <c r="I4136" s="58">
        <v>0.26875199999999999</v>
      </c>
      <c r="J4136" s="57">
        <v>0.32134400000000002</v>
      </c>
      <c r="K4136" s="56"/>
      <c r="L4136" s="56" t="s">
        <v>488</v>
      </c>
    </row>
    <row r="4137" spans="2:12" x14ac:dyDescent="0.2">
      <c r="B4137" s="62" t="s">
        <v>1648</v>
      </c>
      <c r="C4137" s="61" t="s">
        <v>550</v>
      </c>
      <c r="D4137" s="60">
        <v>1.5176099999999999</v>
      </c>
      <c r="E4137" s="59">
        <v>3.5701100000000001</v>
      </c>
      <c r="F4137" s="59">
        <v>5.0926200000000001</v>
      </c>
      <c r="G4137" s="56">
        <v>0</v>
      </c>
      <c r="H4137" s="56">
        <v>0</v>
      </c>
      <c r="I4137" s="58">
        <v>0.27204400000000001</v>
      </c>
      <c r="J4137" s="57">
        <v>0.29205399999999998</v>
      </c>
      <c r="K4137" s="56"/>
      <c r="L4137" s="56" t="s">
        <v>488</v>
      </c>
    </row>
    <row r="4138" spans="2:12" x14ac:dyDescent="0.2">
      <c r="B4138" s="62" t="s">
        <v>1647</v>
      </c>
      <c r="C4138" s="61" t="s">
        <v>798</v>
      </c>
      <c r="D4138" s="60">
        <v>1.2329699999999999</v>
      </c>
      <c r="E4138" s="59">
        <v>3.2580499999999999</v>
      </c>
      <c r="F4138" s="59">
        <v>4.5089899999999998</v>
      </c>
      <c r="G4138" s="56">
        <v>0</v>
      </c>
      <c r="H4138" s="56">
        <v>0</v>
      </c>
      <c r="I4138" s="58">
        <v>0.45132899999999998</v>
      </c>
      <c r="J4138" s="57">
        <v>0.412018</v>
      </c>
      <c r="K4138" s="56"/>
      <c r="L4138" s="56" t="s">
        <v>488</v>
      </c>
    </row>
    <row r="4139" spans="2:12" x14ac:dyDescent="0.2">
      <c r="B4139" s="62" t="s">
        <v>1646</v>
      </c>
      <c r="C4139" s="61" t="s">
        <v>495</v>
      </c>
      <c r="D4139" s="60">
        <v>1.4132400000000001</v>
      </c>
      <c r="E4139" s="59">
        <v>2.8138299999999998</v>
      </c>
      <c r="F4139" s="59">
        <v>3.85934</v>
      </c>
      <c r="G4139" s="56">
        <v>0</v>
      </c>
      <c r="H4139" s="56">
        <v>0</v>
      </c>
      <c r="I4139" s="58">
        <v>0.28725200000000001</v>
      </c>
      <c r="J4139" s="57">
        <v>0.30264799999999997</v>
      </c>
      <c r="K4139" s="56"/>
      <c r="L4139" s="56" t="s">
        <v>488</v>
      </c>
    </row>
    <row r="4140" spans="2:12" x14ac:dyDescent="0.2">
      <c r="B4140" s="62" t="s">
        <v>1645</v>
      </c>
      <c r="C4140" s="61" t="s">
        <v>510</v>
      </c>
      <c r="D4140" s="60">
        <v>1.2148399999999999</v>
      </c>
      <c r="E4140" s="59">
        <v>3.5413999999999999</v>
      </c>
      <c r="F4140" s="59">
        <v>4.4694900000000004</v>
      </c>
      <c r="G4140" s="56">
        <v>0</v>
      </c>
      <c r="H4140" s="56">
        <v>0</v>
      </c>
      <c r="I4140" s="58">
        <v>0.53657900000000003</v>
      </c>
      <c r="J4140" s="57">
        <v>0.45601199999999997</v>
      </c>
      <c r="K4140" s="56"/>
      <c r="L4140" s="56" t="s">
        <v>488</v>
      </c>
    </row>
    <row r="4141" spans="2:12" x14ac:dyDescent="0.2">
      <c r="B4141" s="62" t="s">
        <v>1644</v>
      </c>
      <c r="C4141" s="61" t="s">
        <v>499</v>
      </c>
      <c r="D4141" s="60">
        <v>0.989707</v>
      </c>
      <c r="E4141" s="59">
        <v>6.1011800000000003</v>
      </c>
      <c r="F4141" s="59">
        <v>7.1593900000000001</v>
      </c>
      <c r="G4141" s="56">
        <v>1693.04</v>
      </c>
      <c r="H4141" s="56">
        <v>1710.65</v>
      </c>
      <c r="I4141" s="58">
        <v>0.65946700000000003</v>
      </c>
      <c r="J4141" s="57">
        <v>0.65731399999999995</v>
      </c>
      <c r="K4141" s="56"/>
      <c r="L4141" s="56" t="s">
        <v>488</v>
      </c>
    </row>
    <row r="4142" spans="2:12" x14ac:dyDescent="0.2">
      <c r="B4142" s="62" t="s">
        <v>1643</v>
      </c>
      <c r="C4142" s="61" t="s">
        <v>708</v>
      </c>
      <c r="D4142" s="60">
        <v>1.1527799999999999</v>
      </c>
      <c r="E4142" s="59">
        <v>4.7388500000000002</v>
      </c>
      <c r="F4142" s="59">
        <v>6.1102999999999996</v>
      </c>
      <c r="G4142" s="56">
        <v>1149.17</v>
      </c>
      <c r="H4142" s="56">
        <v>996.86800000000005</v>
      </c>
      <c r="I4142" s="58">
        <v>0.56478200000000001</v>
      </c>
      <c r="J4142" s="57">
        <v>0.49949500000000002</v>
      </c>
      <c r="K4142" s="56"/>
      <c r="L4142" s="56" t="s">
        <v>488</v>
      </c>
    </row>
    <row r="4143" spans="2:12" x14ac:dyDescent="0.2">
      <c r="B4143" s="62" t="s">
        <v>1642</v>
      </c>
      <c r="C4143" s="61" t="s">
        <v>792</v>
      </c>
      <c r="D4143" s="60">
        <v>1.4488799999999999</v>
      </c>
      <c r="E4143" s="59">
        <v>3.4331</v>
      </c>
      <c r="F4143" s="59">
        <v>4.8693900000000001</v>
      </c>
      <c r="G4143" s="56">
        <v>0</v>
      </c>
      <c r="H4143" s="56">
        <v>0</v>
      </c>
      <c r="I4143" s="58">
        <v>0.37503300000000001</v>
      </c>
      <c r="J4143" s="57">
        <v>0.37010599999999999</v>
      </c>
      <c r="K4143" s="56"/>
      <c r="L4143" s="56" t="s">
        <v>488</v>
      </c>
    </row>
    <row r="4144" spans="2:12" x14ac:dyDescent="0.2">
      <c r="B4144" s="62" t="s">
        <v>1641</v>
      </c>
      <c r="C4144" s="61" t="s">
        <v>1226</v>
      </c>
      <c r="D4144" s="60">
        <v>1.9700299999999999</v>
      </c>
      <c r="E4144" s="59">
        <v>2.5283199999999999</v>
      </c>
      <c r="F4144" s="59">
        <v>3.8307600000000002</v>
      </c>
      <c r="G4144" s="56">
        <v>0</v>
      </c>
      <c r="H4144" s="56">
        <v>0</v>
      </c>
      <c r="I4144" s="58">
        <v>0.12986600000000001</v>
      </c>
      <c r="J4144" s="57">
        <v>0.186332</v>
      </c>
      <c r="K4144" s="56"/>
      <c r="L4144" s="56" t="s">
        <v>488</v>
      </c>
    </row>
    <row r="4145" spans="2:12" x14ac:dyDescent="0.2">
      <c r="B4145" s="62" t="s">
        <v>1640</v>
      </c>
      <c r="C4145" s="61" t="s">
        <v>1226</v>
      </c>
      <c r="D4145" s="60">
        <v>1.9552</v>
      </c>
      <c r="E4145" s="59">
        <v>2.4068499999999999</v>
      </c>
      <c r="F4145" s="59">
        <v>3.73889</v>
      </c>
      <c r="G4145" s="56">
        <v>0</v>
      </c>
      <c r="H4145" s="56">
        <v>0</v>
      </c>
      <c r="I4145" s="58">
        <v>0.143876</v>
      </c>
      <c r="J4145" s="57">
        <v>0.19254399999999999</v>
      </c>
      <c r="K4145" s="56"/>
      <c r="L4145" s="56" t="s">
        <v>488</v>
      </c>
    </row>
    <row r="4146" spans="2:12" x14ac:dyDescent="0.2">
      <c r="B4146" s="62" t="s">
        <v>1639</v>
      </c>
      <c r="C4146" s="61" t="s">
        <v>541</v>
      </c>
      <c r="D4146" s="60">
        <v>1.15967</v>
      </c>
      <c r="E4146" s="59">
        <v>5.5309600000000003</v>
      </c>
      <c r="F4146" s="59">
        <v>7.0924300000000002</v>
      </c>
      <c r="G4146" s="56">
        <v>1697.56</v>
      </c>
      <c r="H4146" s="56">
        <v>1463.83</v>
      </c>
      <c r="I4146" s="58">
        <v>0.61562099999999997</v>
      </c>
      <c r="J4146" s="57">
        <v>0.55099299999999996</v>
      </c>
      <c r="K4146" s="56"/>
      <c r="L4146" s="56" t="s">
        <v>488</v>
      </c>
    </row>
    <row r="4147" spans="2:12" x14ac:dyDescent="0.2">
      <c r="B4147" s="62" t="s">
        <v>1638</v>
      </c>
      <c r="C4147" s="61" t="s">
        <v>1637</v>
      </c>
      <c r="D4147" s="60">
        <v>1.1198300000000001</v>
      </c>
      <c r="E4147" s="59">
        <v>4.1870799999999999</v>
      </c>
      <c r="F4147" s="59">
        <v>5.75366</v>
      </c>
      <c r="G4147" s="56">
        <v>1515.63</v>
      </c>
      <c r="H4147" s="56">
        <v>1353.44</v>
      </c>
      <c r="I4147" s="58">
        <v>0.47845799999999999</v>
      </c>
      <c r="J4147" s="57">
        <v>0.537277</v>
      </c>
      <c r="K4147" s="56"/>
      <c r="L4147" s="56" t="s">
        <v>488</v>
      </c>
    </row>
    <row r="4148" spans="2:12" x14ac:dyDescent="0.2">
      <c r="B4148" s="62" t="s">
        <v>1636</v>
      </c>
      <c r="C4148" s="61" t="s">
        <v>1463</v>
      </c>
      <c r="D4148" s="60">
        <v>1.41822</v>
      </c>
      <c r="E4148" s="59">
        <v>2.4473099999999999</v>
      </c>
      <c r="F4148" s="59">
        <v>3.5329999999999999</v>
      </c>
      <c r="G4148" s="56">
        <v>0</v>
      </c>
      <c r="H4148" s="56">
        <v>0</v>
      </c>
      <c r="I4148" s="58">
        <v>5.5279000000000002E-2</v>
      </c>
      <c r="J4148" s="57">
        <v>0.29202</v>
      </c>
      <c r="K4148" s="56"/>
      <c r="L4148" s="56" t="s">
        <v>492</v>
      </c>
    </row>
    <row r="4149" spans="2:12" x14ac:dyDescent="0.2">
      <c r="B4149" s="62" t="s">
        <v>1635</v>
      </c>
      <c r="C4149" s="61" t="s">
        <v>541</v>
      </c>
      <c r="D4149" s="60">
        <v>1.1370499999999999</v>
      </c>
      <c r="E4149" s="59">
        <v>4.8444599999999998</v>
      </c>
      <c r="F4149" s="59">
        <v>6.9899399999999998</v>
      </c>
      <c r="G4149" s="56">
        <v>1429.58</v>
      </c>
      <c r="H4149" s="56">
        <v>1257.27</v>
      </c>
      <c r="I4149" s="58">
        <v>0.59034500000000001</v>
      </c>
      <c r="J4149" s="57">
        <v>0.51942100000000002</v>
      </c>
      <c r="K4149" s="56"/>
      <c r="L4149" s="56" t="s">
        <v>488</v>
      </c>
    </row>
    <row r="4150" spans="2:12" x14ac:dyDescent="0.2">
      <c r="B4150" s="62" t="s">
        <v>1634</v>
      </c>
      <c r="C4150" s="61" t="s">
        <v>582</v>
      </c>
      <c r="D4150" s="60">
        <v>1.1541999999999999</v>
      </c>
      <c r="E4150" s="59">
        <v>4.8144400000000003</v>
      </c>
      <c r="F4150" s="59">
        <v>7.0365799999999998</v>
      </c>
      <c r="G4150" s="56">
        <v>1429.05</v>
      </c>
      <c r="H4150" s="56">
        <v>1238.1300000000001</v>
      </c>
      <c r="I4150" s="58">
        <v>0.59512699999999996</v>
      </c>
      <c r="J4150" s="57">
        <v>0.511988</v>
      </c>
      <c r="K4150" s="56"/>
      <c r="L4150" s="56" t="s">
        <v>488</v>
      </c>
    </row>
    <row r="4151" spans="2:12" x14ac:dyDescent="0.2">
      <c r="B4151" s="62" t="s">
        <v>1633</v>
      </c>
      <c r="C4151" s="61" t="s">
        <v>531</v>
      </c>
      <c r="D4151" s="60">
        <v>1.1665300000000001</v>
      </c>
      <c r="E4151" s="59">
        <v>4.7970800000000002</v>
      </c>
      <c r="F4151" s="59">
        <v>6.9613399999999999</v>
      </c>
      <c r="G4151" s="56">
        <v>1421.7</v>
      </c>
      <c r="H4151" s="56">
        <v>1218.75</v>
      </c>
      <c r="I4151" s="58">
        <v>0.59413800000000005</v>
      </c>
      <c r="J4151" s="57">
        <v>0.50450499999999998</v>
      </c>
      <c r="K4151" s="56"/>
      <c r="L4151" s="56" t="s">
        <v>488</v>
      </c>
    </row>
    <row r="4152" spans="2:12" x14ac:dyDescent="0.2">
      <c r="B4152" s="62" t="s">
        <v>1632</v>
      </c>
      <c r="C4152" s="61" t="s">
        <v>533</v>
      </c>
      <c r="D4152" s="60">
        <v>1.1684399999999999</v>
      </c>
      <c r="E4152" s="59">
        <v>4.7873799999999997</v>
      </c>
      <c r="F4152" s="59">
        <v>7.0082000000000004</v>
      </c>
      <c r="G4152" s="56">
        <v>1442.34</v>
      </c>
      <c r="H4152" s="56">
        <v>1234.4100000000001</v>
      </c>
      <c r="I4152" s="58">
        <v>0.59724699999999997</v>
      </c>
      <c r="J4152" s="57">
        <v>0.506216</v>
      </c>
      <c r="K4152" s="56"/>
      <c r="L4152" s="56" t="s">
        <v>488</v>
      </c>
    </row>
    <row r="4153" spans="2:12" x14ac:dyDescent="0.2">
      <c r="B4153" s="62" t="s">
        <v>1631</v>
      </c>
      <c r="C4153" s="61" t="s">
        <v>495</v>
      </c>
      <c r="D4153" s="60">
        <v>0.82317899999999999</v>
      </c>
      <c r="E4153" s="59">
        <v>7.5257399999999999</v>
      </c>
      <c r="F4153" s="59">
        <v>10.57455</v>
      </c>
      <c r="G4153" s="56">
        <v>1950.72</v>
      </c>
      <c r="H4153" s="56">
        <v>2369.75</v>
      </c>
      <c r="I4153" s="58">
        <v>0.69154099999999996</v>
      </c>
      <c r="J4153" s="57">
        <v>0.81972599999999995</v>
      </c>
      <c r="K4153" s="56"/>
      <c r="L4153" s="56" t="s">
        <v>488</v>
      </c>
    </row>
    <row r="4154" spans="2:12" x14ac:dyDescent="0.2">
      <c r="B4154" s="62" t="s">
        <v>1630</v>
      </c>
      <c r="C4154" s="61" t="s">
        <v>1629</v>
      </c>
      <c r="D4154" s="60">
        <v>0.62890199999999996</v>
      </c>
      <c r="E4154" s="59">
        <v>9.6381300000000003</v>
      </c>
      <c r="F4154" s="59">
        <v>13.667109999999999</v>
      </c>
      <c r="G4154" s="56">
        <v>2031.06</v>
      </c>
      <c r="H4154" s="56">
        <v>3229.53</v>
      </c>
      <c r="I4154" s="58">
        <v>0.84062499999999996</v>
      </c>
      <c r="J4154" s="57">
        <v>1.23488</v>
      </c>
      <c r="K4154" s="56"/>
      <c r="L4154" s="56" t="s">
        <v>488</v>
      </c>
    </row>
    <row r="4155" spans="2:12" x14ac:dyDescent="0.2">
      <c r="B4155" s="62" t="s">
        <v>1628</v>
      </c>
      <c r="C4155" s="61" t="s">
        <v>550</v>
      </c>
      <c r="D4155" s="60">
        <v>1.0930599999999999</v>
      </c>
      <c r="E4155" s="59">
        <v>4.5788099999999998</v>
      </c>
      <c r="F4155" s="59">
        <v>7.2465700000000002</v>
      </c>
      <c r="G4155" s="56">
        <v>1084.68</v>
      </c>
      <c r="H4155" s="56">
        <v>992.33299999999997</v>
      </c>
      <c r="I4155" s="58">
        <v>0.51789700000000005</v>
      </c>
      <c r="J4155" s="57">
        <v>0.50696200000000002</v>
      </c>
      <c r="K4155" s="56"/>
      <c r="L4155" s="56" t="s">
        <v>488</v>
      </c>
    </row>
    <row r="4156" spans="2:12" x14ac:dyDescent="0.2">
      <c r="B4156" s="62" t="s">
        <v>1627</v>
      </c>
      <c r="C4156" s="61" t="s">
        <v>495</v>
      </c>
      <c r="D4156" s="60">
        <v>1.0168200000000001</v>
      </c>
      <c r="E4156" s="59">
        <v>4.5173100000000002</v>
      </c>
      <c r="F4156" s="59">
        <v>7.2050900000000002</v>
      </c>
      <c r="G4156" s="56">
        <v>1071.9100000000001</v>
      </c>
      <c r="H4156" s="56">
        <v>1054.17</v>
      </c>
      <c r="I4156" s="58">
        <v>0.518459</v>
      </c>
      <c r="J4156" s="57">
        <v>0.53406299999999995</v>
      </c>
      <c r="K4156" s="56"/>
      <c r="L4156" s="56" t="s">
        <v>488</v>
      </c>
    </row>
    <row r="4157" spans="2:12" x14ac:dyDescent="0.2">
      <c r="B4157" s="62" t="s">
        <v>1626</v>
      </c>
      <c r="C4157" s="61" t="s">
        <v>612</v>
      </c>
      <c r="D4157" s="60">
        <v>1.0306</v>
      </c>
      <c r="E4157" s="59">
        <v>4.4854500000000002</v>
      </c>
      <c r="F4157" s="59">
        <v>7.2487700000000004</v>
      </c>
      <c r="G4157" s="56">
        <v>1062.44</v>
      </c>
      <c r="H4157" s="56">
        <v>1030.9000000000001</v>
      </c>
      <c r="I4157" s="58">
        <v>0.52389600000000003</v>
      </c>
      <c r="J4157" s="57">
        <v>0.521644</v>
      </c>
      <c r="K4157" s="56"/>
      <c r="L4157" s="56" t="s">
        <v>488</v>
      </c>
    </row>
    <row r="4158" spans="2:12" x14ac:dyDescent="0.2">
      <c r="B4158" s="62" t="s">
        <v>1625</v>
      </c>
      <c r="C4158" s="61" t="s">
        <v>510</v>
      </c>
      <c r="D4158" s="60">
        <v>1.05667</v>
      </c>
      <c r="E4158" s="59">
        <v>4.4286000000000003</v>
      </c>
      <c r="F4158" s="59">
        <v>7.2141000000000002</v>
      </c>
      <c r="G4158" s="56">
        <v>1040.3699999999999</v>
      </c>
      <c r="H4158" s="56">
        <v>984.57399999999996</v>
      </c>
      <c r="I4158" s="58">
        <v>0.521814</v>
      </c>
      <c r="J4158" s="57">
        <v>0.50319199999999997</v>
      </c>
      <c r="K4158" s="56"/>
      <c r="L4158" s="56" t="s">
        <v>488</v>
      </c>
    </row>
    <row r="4159" spans="2:12" x14ac:dyDescent="0.2">
      <c r="B4159" s="62" t="s">
        <v>1624</v>
      </c>
      <c r="C4159" s="61" t="s">
        <v>1622</v>
      </c>
      <c r="D4159" s="60">
        <v>2.1720899999999999</v>
      </c>
      <c r="E4159" s="59">
        <v>3.2107299999999999</v>
      </c>
      <c r="F4159" s="59">
        <v>3.8000600000000002</v>
      </c>
      <c r="G4159" s="56">
        <v>0</v>
      </c>
      <c r="H4159" s="56">
        <v>0</v>
      </c>
      <c r="I4159" s="58">
        <v>0.10902299999999999</v>
      </c>
      <c r="J4159" s="57">
        <v>0.18377399999999999</v>
      </c>
      <c r="K4159" s="56"/>
      <c r="L4159" s="56" t="s">
        <v>488</v>
      </c>
    </row>
    <row r="4160" spans="2:12" x14ac:dyDescent="0.2">
      <c r="B4160" s="62" t="s">
        <v>1623</v>
      </c>
      <c r="C4160" s="61" t="s">
        <v>1622</v>
      </c>
      <c r="D4160" s="60">
        <v>2.09728</v>
      </c>
      <c r="E4160" s="59">
        <v>3.2197</v>
      </c>
      <c r="F4160" s="59">
        <v>3.82761</v>
      </c>
      <c r="G4160" s="56">
        <v>0</v>
      </c>
      <c r="H4160" s="56">
        <v>0</v>
      </c>
      <c r="I4160" s="58">
        <v>0.104765</v>
      </c>
      <c r="J4160" s="57">
        <v>0.19522</v>
      </c>
      <c r="K4160" s="56"/>
      <c r="L4160" s="56" t="s">
        <v>488</v>
      </c>
    </row>
    <row r="4161" spans="2:12" x14ac:dyDescent="0.2">
      <c r="B4161" s="62" t="s">
        <v>1621</v>
      </c>
      <c r="C4161" s="61" t="s">
        <v>1325</v>
      </c>
      <c r="D4161" s="60">
        <v>3.0684100000000001</v>
      </c>
      <c r="E4161" s="59">
        <v>3.2094999999999998</v>
      </c>
      <c r="F4161" s="59">
        <v>3.7151800000000001</v>
      </c>
      <c r="G4161" s="56">
        <v>0</v>
      </c>
      <c r="H4161" s="56">
        <v>0</v>
      </c>
      <c r="I4161" s="58">
        <v>0.105125</v>
      </c>
      <c r="J4161" s="57">
        <v>0.131298</v>
      </c>
      <c r="K4161" s="56"/>
      <c r="L4161" s="56" t="s">
        <v>488</v>
      </c>
    </row>
    <row r="4162" spans="2:12" x14ac:dyDescent="0.2">
      <c r="B4162" s="62" t="s">
        <v>1620</v>
      </c>
      <c r="C4162" s="61" t="s">
        <v>1325</v>
      </c>
      <c r="D4162" s="60">
        <v>2.9959199999999999</v>
      </c>
      <c r="E4162" s="59">
        <v>3.2305600000000001</v>
      </c>
      <c r="F4162" s="59">
        <v>3.7685200000000001</v>
      </c>
      <c r="G4162" s="56">
        <v>0</v>
      </c>
      <c r="H4162" s="56">
        <v>0</v>
      </c>
      <c r="I4162" s="58">
        <v>9.6673899999999993E-2</v>
      </c>
      <c r="J4162" s="57">
        <v>0.13437499999999999</v>
      </c>
      <c r="K4162" s="56"/>
      <c r="L4162" s="56" t="s">
        <v>488</v>
      </c>
    </row>
    <row r="4163" spans="2:12" x14ac:dyDescent="0.2">
      <c r="B4163" s="62" t="s">
        <v>1619</v>
      </c>
      <c r="C4163" s="61" t="s">
        <v>1618</v>
      </c>
      <c r="D4163" s="60">
        <v>1.4337899999999999</v>
      </c>
      <c r="E4163" s="59">
        <v>5.2805</v>
      </c>
      <c r="F4163" s="59">
        <v>6.9071699999999998</v>
      </c>
      <c r="G4163" s="56">
        <v>1263.75</v>
      </c>
      <c r="H4163" s="56">
        <v>881.40700000000004</v>
      </c>
      <c r="I4163" s="58">
        <v>0.55503800000000003</v>
      </c>
      <c r="J4163" s="57">
        <v>0.36355599999999999</v>
      </c>
      <c r="K4163" s="56"/>
      <c r="L4163" s="56" t="s">
        <v>488</v>
      </c>
    </row>
    <row r="4164" spans="2:12" x14ac:dyDescent="0.2">
      <c r="B4164" s="62" t="s">
        <v>1617</v>
      </c>
      <c r="C4164" s="61" t="s">
        <v>550</v>
      </c>
      <c r="D4164" s="60">
        <v>1.9341600000000001</v>
      </c>
      <c r="E4164" s="59">
        <v>3.1020599999999998</v>
      </c>
      <c r="F4164" s="59">
        <v>4.1603500000000002</v>
      </c>
      <c r="G4164" s="56">
        <v>0</v>
      </c>
      <c r="H4164" s="56">
        <v>0</v>
      </c>
      <c r="I4164" s="58">
        <v>0.27535999999999999</v>
      </c>
      <c r="J4164" s="57">
        <v>0.24379300000000001</v>
      </c>
      <c r="K4164" s="56"/>
      <c r="L4164" s="56" t="s">
        <v>488</v>
      </c>
    </row>
    <row r="4165" spans="2:12" x14ac:dyDescent="0.2">
      <c r="B4165" s="62" t="s">
        <v>1616</v>
      </c>
      <c r="C4165" s="61" t="s">
        <v>510</v>
      </c>
      <c r="D4165" s="60">
        <v>1.70967</v>
      </c>
      <c r="E4165" s="59">
        <v>2.7304499999999998</v>
      </c>
      <c r="F4165" s="59">
        <v>3.4545300000000001</v>
      </c>
      <c r="G4165" s="56">
        <v>0</v>
      </c>
      <c r="H4165" s="56">
        <v>0</v>
      </c>
      <c r="I4165" s="58">
        <v>0.171958</v>
      </c>
      <c r="J4165" s="57">
        <v>0.241117</v>
      </c>
      <c r="K4165" s="56"/>
      <c r="L4165" s="56" t="s">
        <v>488</v>
      </c>
    </row>
    <row r="4166" spans="2:12" x14ac:dyDescent="0.2">
      <c r="B4166" s="62" t="s">
        <v>1615</v>
      </c>
      <c r="C4166" s="61" t="s">
        <v>499</v>
      </c>
      <c r="D4166" s="60">
        <v>1.1492100000000001</v>
      </c>
      <c r="E4166" s="59">
        <v>4.7594500000000002</v>
      </c>
      <c r="F4166" s="59">
        <v>5.14269</v>
      </c>
      <c r="G4166" s="56">
        <v>1385.28</v>
      </c>
      <c r="H4166" s="56">
        <v>1205.42</v>
      </c>
      <c r="I4166" s="58">
        <v>0.52068199999999998</v>
      </c>
      <c r="J4166" s="57">
        <v>0.55069999999999997</v>
      </c>
      <c r="K4166" s="56"/>
      <c r="L4166" s="56" t="s">
        <v>488</v>
      </c>
    </row>
    <row r="4167" spans="2:12" x14ac:dyDescent="0.2">
      <c r="B4167" s="62" t="s">
        <v>1614</v>
      </c>
      <c r="C4167" s="61" t="s">
        <v>1613</v>
      </c>
      <c r="D4167" s="60">
        <v>1.1879</v>
      </c>
      <c r="E4167" s="59">
        <v>4.0499599999999996</v>
      </c>
      <c r="F4167" s="59">
        <v>7.6396699999999997</v>
      </c>
      <c r="G4167" s="56">
        <v>1478.03</v>
      </c>
      <c r="H4167" s="56">
        <v>1244.24</v>
      </c>
      <c r="I4167" s="58">
        <v>0.50397099999999995</v>
      </c>
      <c r="J4167" s="57">
        <v>0.52329300000000001</v>
      </c>
      <c r="K4167" s="56"/>
      <c r="L4167" s="56" t="s">
        <v>492</v>
      </c>
    </row>
    <row r="4168" spans="2:12" x14ac:dyDescent="0.2">
      <c r="B4168" s="62" t="s">
        <v>1612</v>
      </c>
      <c r="C4168" s="61" t="s">
        <v>550</v>
      </c>
      <c r="D4168" s="60">
        <v>2.4028800000000001</v>
      </c>
      <c r="E4168" s="59">
        <v>2.55721</v>
      </c>
      <c r="F4168" s="59">
        <v>3.3254100000000002</v>
      </c>
      <c r="G4168" s="56">
        <v>0</v>
      </c>
      <c r="H4168" s="56">
        <v>0</v>
      </c>
      <c r="I4168" s="58">
        <v>0.15954199999999999</v>
      </c>
      <c r="J4168" s="57">
        <v>0.18313199999999999</v>
      </c>
      <c r="K4168" s="56"/>
      <c r="L4168" s="56" t="s">
        <v>488</v>
      </c>
    </row>
    <row r="4169" spans="2:12" x14ac:dyDescent="0.2">
      <c r="B4169" s="62" t="s">
        <v>1611</v>
      </c>
      <c r="C4169" s="61" t="s">
        <v>550</v>
      </c>
      <c r="D4169" s="60">
        <v>2.54393</v>
      </c>
      <c r="E4169" s="59">
        <v>2.50943</v>
      </c>
      <c r="F4169" s="59">
        <v>2.9679799999999998</v>
      </c>
      <c r="G4169" s="56">
        <v>0</v>
      </c>
      <c r="H4169" s="56">
        <v>0</v>
      </c>
      <c r="I4169" s="58">
        <v>8.5524500000000003E-2</v>
      </c>
      <c r="J4169" s="57">
        <v>0.15956799999999999</v>
      </c>
      <c r="K4169" s="56"/>
      <c r="L4169" s="56" t="s">
        <v>488</v>
      </c>
    </row>
    <row r="4170" spans="2:12" x14ac:dyDescent="0.2">
      <c r="B4170" s="62" t="s">
        <v>1610</v>
      </c>
      <c r="C4170" s="61" t="s">
        <v>499</v>
      </c>
      <c r="D4170" s="60">
        <v>1.62337</v>
      </c>
      <c r="E4170" s="59">
        <v>4.4653799999999997</v>
      </c>
      <c r="F4170" s="59">
        <v>5.96732</v>
      </c>
      <c r="G4170" s="56">
        <v>1365.53</v>
      </c>
      <c r="H4170" s="56">
        <v>841.17200000000003</v>
      </c>
      <c r="I4170" s="58">
        <v>0.53672600000000004</v>
      </c>
      <c r="J4170" s="57">
        <v>0.33019300000000001</v>
      </c>
      <c r="K4170" s="56"/>
      <c r="L4170" s="56" t="s">
        <v>488</v>
      </c>
    </row>
    <row r="4171" spans="2:12" x14ac:dyDescent="0.2">
      <c r="B4171" s="62" t="s">
        <v>1609</v>
      </c>
      <c r="C4171" s="61" t="s">
        <v>550</v>
      </c>
      <c r="D4171" s="60">
        <v>2.44096</v>
      </c>
      <c r="E4171" s="59">
        <v>2.5135000000000001</v>
      </c>
      <c r="F4171" s="59">
        <v>3.1589999999999998</v>
      </c>
      <c r="G4171" s="56">
        <v>0</v>
      </c>
      <c r="H4171" s="56">
        <v>0</v>
      </c>
      <c r="I4171" s="58">
        <v>0.13472600000000001</v>
      </c>
      <c r="J4171" s="57">
        <v>0.17662600000000001</v>
      </c>
      <c r="K4171" s="56"/>
      <c r="L4171" s="56" t="s">
        <v>488</v>
      </c>
    </row>
    <row r="4172" spans="2:12" x14ac:dyDescent="0.2">
      <c r="B4172" s="62" t="s">
        <v>1608</v>
      </c>
      <c r="C4172" s="61" t="s">
        <v>531</v>
      </c>
      <c r="D4172" s="60">
        <v>2.1594799999999998</v>
      </c>
      <c r="E4172" s="59">
        <v>3.3126699999999998</v>
      </c>
      <c r="F4172" s="59">
        <v>4.2320700000000002</v>
      </c>
      <c r="G4172" s="56">
        <v>0</v>
      </c>
      <c r="H4172" s="56">
        <v>0</v>
      </c>
      <c r="I4172" s="58">
        <v>0.24021000000000001</v>
      </c>
      <c r="J4172" s="57">
        <v>0.18964700000000001</v>
      </c>
      <c r="K4172" s="56"/>
      <c r="L4172" s="56" t="s">
        <v>488</v>
      </c>
    </row>
    <row r="4173" spans="2:12" x14ac:dyDescent="0.2">
      <c r="B4173" s="62" t="s">
        <v>1607</v>
      </c>
      <c r="C4173" s="61" t="s">
        <v>531</v>
      </c>
      <c r="D4173" s="60">
        <v>1.91364</v>
      </c>
      <c r="E4173" s="59">
        <v>3.20383</v>
      </c>
      <c r="F4173" s="59">
        <v>4.6588000000000003</v>
      </c>
      <c r="G4173" s="56">
        <v>0</v>
      </c>
      <c r="H4173" s="56">
        <v>0</v>
      </c>
      <c r="I4173" s="58">
        <v>0.37234800000000001</v>
      </c>
      <c r="J4173" s="57">
        <v>0.26886300000000002</v>
      </c>
      <c r="K4173" s="56"/>
      <c r="L4173" s="56" t="s">
        <v>488</v>
      </c>
    </row>
    <row r="4174" spans="2:12" x14ac:dyDescent="0.2">
      <c r="B4174" s="62" t="s">
        <v>1606</v>
      </c>
      <c r="C4174" s="61" t="s">
        <v>502</v>
      </c>
      <c r="D4174" s="60">
        <v>2.7523599999999999</v>
      </c>
      <c r="E4174" s="59">
        <v>4.0830799999999998</v>
      </c>
      <c r="F4174" s="59">
        <v>6.2556099999999999</v>
      </c>
      <c r="G4174" s="56">
        <v>282.76299999999998</v>
      </c>
      <c r="H4174" s="56">
        <v>102.735</v>
      </c>
      <c r="I4174" s="58">
        <v>0.14724400000000001</v>
      </c>
      <c r="J4174" s="57">
        <v>0.15625900000000001</v>
      </c>
      <c r="K4174" s="56"/>
      <c r="L4174" s="56" t="s">
        <v>488</v>
      </c>
    </row>
    <row r="4175" spans="2:12" x14ac:dyDescent="0.2">
      <c r="B4175" s="62" t="s">
        <v>1605</v>
      </c>
      <c r="C4175" s="61" t="s">
        <v>1604</v>
      </c>
      <c r="D4175" s="60">
        <v>1.5336700000000001</v>
      </c>
      <c r="E4175" s="59">
        <v>3.8191999999999999</v>
      </c>
      <c r="F4175" s="59">
        <v>5.0845799999999999</v>
      </c>
      <c r="G4175" s="56">
        <v>626.10599999999999</v>
      </c>
      <c r="H4175" s="56">
        <v>408.24099999999999</v>
      </c>
      <c r="I4175" s="58">
        <v>0.32959899999999998</v>
      </c>
      <c r="J4175" s="57">
        <v>0.31544</v>
      </c>
      <c r="K4175" s="56"/>
      <c r="L4175" s="56" t="s">
        <v>492</v>
      </c>
    </row>
    <row r="4176" spans="2:12" x14ac:dyDescent="0.2">
      <c r="B4176" s="62" t="s">
        <v>1603</v>
      </c>
      <c r="C4176" s="61" t="s">
        <v>502</v>
      </c>
      <c r="D4176" s="60">
        <v>1.5489299999999999</v>
      </c>
      <c r="E4176" s="59">
        <v>3.3393199999999998</v>
      </c>
      <c r="F4176" s="59">
        <v>4.0512199999999998</v>
      </c>
      <c r="G4176" s="56">
        <v>0</v>
      </c>
      <c r="H4176" s="56">
        <v>0</v>
      </c>
      <c r="I4176" s="58">
        <v>0.25029200000000001</v>
      </c>
      <c r="J4176" s="57">
        <v>0.25981900000000002</v>
      </c>
      <c r="K4176" s="56"/>
      <c r="L4176" s="56" t="s">
        <v>488</v>
      </c>
    </row>
    <row r="4177" spans="2:12" x14ac:dyDescent="0.2">
      <c r="B4177" s="62" t="s">
        <v>1602</v>
      </c>
      <c r="C4177" s="61" t="s">
        <v>502</v>
      </c>
      <c r="D4177" s="60">
        <v>1.5596699999999999</v>
      </c>
      <c r="E4177" s="59">
        <v>3.3389199999999999</v>
      </c>
      <c r="F4177" s="59">
        <v>4.0552299999999999</v>
      </c>
      <c r="G4177" s="56">
        <v>0</v>
      </c>
      <c r="H4177" s="56">
        <v>0</v>
      </c>
      <c r="I4177" s="58">
        <v>0.254222</v>
      </c>
      <c r="J4177" s="57">
        <v>0.25675599999999998</v>
      </c>
      <c r="K4177" s="56"/>
      <c r="L4177" s="56" t="s">
        <v>488</v>
      </c>
    </row>
    <row r="4178" spans="2:12" x14ac:dyDescent="0.2">
      <c r="B4178" s="62" t="s">
        <v>1601</v>
      </c>
      <c r="C4178" s="61" t="s">
        <v>502</v>
      </c>
      <c r="D4178" s="60">
        <v>1.5374399999999999</v>
      </c>
      <c r="E4178" s="59">
        <v>3.35181</v>
      </c>
      <c r="F4178" s="59">
        <v>4.09605</v>
      </c>
      <c r="G4178" s="56">
        <v>0</v>
      </c>
      <c r="H4178" s="56">
        <v>0</v>
      </c>
      <c r="I4178" s="58">
        <v>0.24946699999999999</v>
      </c>
      <c r="J4178" s="57">
        <v>0.26444099999999998</v>
      </c>
      <c r="K4178" s="56"/>
      <c r="L4178" s="56" t="s">
        <v>488</v>
      </c>
    </row>
    <row r="4179" spans="2:12" x14ac:dyDescent="0.2">
      <c r="B4179" s="62" t="s">
        <v>1600</v>
      </c>
      <c r="C4179" s="61" t="s">
        <v>502</v>
      </c>
      <c r="D4179" s="60">
        <v>1.54877</v>
      </c>
      <c r="E4179" s="59">
        <v>3.3423099999999999</v>
      </c>
      <c r="F4179" s="59">
        <v>4.07158</v>
      </c>
      <c r="G4179" s="56">
        <v>0</v>
      </c>
      <c r="H4179" s="56">
        <v>0</v>
      </c>
      <c r="I4179" s="58">
        <v>0.25445000000000001</v>
      </c>
      <c r="J4179" s="57">
        <v>0.26066899999999998</v>
      </c>
      <c r="K4179" s="56"/>
      <c r="L4179" s="56" t="s">
        <v>488</v>
      </c>
    </row>
    <row r="4180" spans="2:12" x14ac:dyDescent="0.2">
      <c r="B4180" s="62" t="s">
        <v>1599</v>
      </c>
      <c r="C4180" s="61" t="s">
        <v>550</v>
      </c>
      <c r="D4180" s="60">
        <v>0.88075499999999995</v>
      </c>
      <c r="E4180" s="59">
        <v>5.3489699999999996</v>
      </c>
      <c r="F4180" s="59">
        <v>8.1950000000000003</v>
      </c>
      <c r="G4180" s="56">
        <v>1804.99</v>
      </c>
      <c r="H4180" s="56">
        <v>2049.37</v>
      </c>
      <c r="I4180" s="58">
        <v>0.625865</v>
      </c>
      <c r="J4180" s="57">
        <v>0.72470199999999996</v>
      </c>
      <c r="K4180" s="56"/>
      <c r="L4180" s="56" t="s">
        <v>488</v>
      </c>
    </row>
    <row r="4181" spans="2:12" x14ac:dyDescent="0.2">
      <c r="B4181" s="62" t="s">
        <v>1598</v>
      </c>
      <c r="C4181" s="61" t="s">
        <v>495</v>
      </c>
      <c r="D4181" s="60">
        <v>1.17174</v>
      </c>
      <c r="E4181" s="59">
        <v>2.9950299999999999</v>
      </c>
      <c r="F4181" s="59">
        <v>5.6021700000000001</v>
      </c>
      <c r="G4181" s="56">
        <v>0</v>
      </c>
      <c r="H4181" s="56">
        <v>0</v>
      </c>
      <c r="I4181" s="58">
        <v>0.293568</v>
      </c>
      <c r="J4181" s="57">
        <v>0.40232600000000002</v>
      </c>
      <c r="K4181" s="56"/>
      <c r="L4181" s="56" t="s">
        <v>488</v>
      </c>
    </row>
    <row r="4182" spans="2:12" x14ac:dyDescent="0.2">
      <c r="B4182" s="62" t="s">
        <v>1597</v>
      </c>
      <c r="C4182" s="61" t="s">
        <v>499</v>
      </c>
      <c r="D4182" s="60">
        <v>0.60554699999999995</v>
      </c>
      <c r="E4182" s="59">
        <v>7.8268700000000004</v>
      </c>
      <c r="F4182" s="59">
        <v>14.93052</v>
      </c>
      <c r="G4182" s="56">
        <v>2165.5500000000002</v>
      </c>
      <c r="H4182" s="56">
        <v>3576.19</v>
      </c>
      <c r="I4182" s="58">
        <v>0.82974099999999995</v>
      </c>
      <c r="J4182" s="57">
        <v>1.3289500000000001</v>
      </c>
      <c r="K4182" s="56"/>
      <c r="L4182" s="56" t="s">
        <v>488</v>
      </c>
    </row>
    <row r="4183" spans="2:12" x14ac:dyDescent="0.2">
      <c r="B4183" s="62" t="s">
        <v>1596</v>
      </c>
      <c r="C4183" s="61" t="s">
        <v>550</v>
      </c>
      <c r="D4183" s="60">
        <v>1.3894299999999999</v>
      </c>
      <c r="E4183" s="59">
        <v>2.6155200000000001</v>
      </c>
      <c r="F4183" s="59">
        <v>4.4332500000000001</v>
      </c>
      <c r="G4183" s="56">
        <v>0</v>
      </c>
      <c r="H4183" s="56">
        <v>0</v>
      </c>
      <c r="I4183" s="58">
        <v>0.267044</v>
      </c>
      <c r="J4183" s="57">
        <v>0.33019199999999999</v>
      </c>
      <c r="K4183" s="56"/>
      <c r="L4183" s="56" t="s">
        <v>488</v>
      </c>
    </row>
    <row r="4184" spans="2:12" x14ac:dyDescent="0.2">
      <c r="B4184" s="62" t="s">
        <v>1595</v>
      </c>
      <c r="C4184" s="61" t="s">
        <v>859</v>
      </c>
      <c r="D4184" s="60">
        <v>1.5136499999999999</v>
      </c>
      <c r="E4184" s="59">
        <v>2.47505</v>
      </c>
      <c r="F4184" s="59">
        <v>4.4639100000000003</v>
      </c>
      <c r="G4184" s="56">
        <v>0</v>
      </c>
      <c r="H4184" s="56">
        <v>0</v>
      </c>
      <c r="I4184" s="58">
        <v>0.41852400000000001</v>
      </c>
      <c r="J4184" s="57">
        <v>0.349277</v>
      </c>
      <c r="K4184" s="56"/>
      <c r="L4184" s="56" t="s">
        <v>488</v>
      </c>
    </row>
    <row r="4185" spans="2:12" x14ac:dyDescent="0.2">
      <c r="B4185" s="62" t="s">
        <v>1594</v>
      </c>
      <c r="C4185" s="61" t="s">
        <v>499</v>
      </c>
      <c r="D4185" s="60">
        <v>0.55938600000000005</v>
      </c>
      <c r="E4185" s="59">
        <v>9.1701099999999993</v>
      </c>
      <c r="F4185" s="59">
        <v>18.72701</v>
      </c>
      <c r="G4185" s="56">
        <v>1825.21</v>
      </c>
      <c r="H4185" s="56">
        <v>3262.89</v>
      </c>
      <c r="I4185" s="58">
        <v>0.85477400000000003</v>
      </c>
      <c r="J4185" s="57">
        <v>1.4615199999999999</v>
      </c>
      <c r="K4185" s="56"/>
      <c r="L4185" s="56" t="s">
        <v>488</v>
      </c>
    </row>
    <row r="4186" spans="2:12" x14ac:dyDescent="0.2">
      <c r="B4186" s="62" t="s">
        <v>1593</v>
      </c>
      <c r="C4186" s="61" t="s">
        <v>708</v>
      </c>
      <c r="D4186" s="60">
        <v>1.4409099999999999</v>
      </c>
      <c r="E4186" s="59">
        <v>3.28233</v>
      </c>
      <c r="F4186" s="59">
        <v>4.1036700000000002</v>
      </c>
      <c r="G4186" s="56">
        <v>0</v>
      </c>
      <c r="H4186" s="56">
        <v>0</v>
      </c>
      <c r="I4186" s="58">
        <v>0.28958</v>
      </c>
      <c r="J4186" s="57">
        <v>0.32977800000000002</v>
      </c>
      <c r="K4186" s="56"/>
      <c r="L4186" s="56" t="s">
        <v>488</v>
      </c>
    </row>
    <row r="4187" spans="2:12" x14ac:dyDescent="0.2">
      <c r="B4187" s="62" t="s">
        <v>1592</v>
      </c>
      <c r="C4187" s="61" t="s">
        <v>510</v>
      </c>
      <c r="D4187" s="60">
        <v>0.86333300000000002</v>
      </c>
      <c r="E4187" s="59">
        <v>3.5900799999999999</v>
      </c>
      <c r="F4187" s="59">
        <v>7.2826000000000004</v>
      </c>
      <c r="G4187" s="56">
        <v>0</v>
      </c>
      <c r="H4187" s="56">
        <v>0</v>
      </c>
      <c r="I4187" s="58">
        <v>0.53396699999999997</v>
      </c>
      <c r="J4187" s="57">
        <v>0.70955400000000002</v>
      </c>
      <c r="K4187" s="56"/>
      <c r="L4187" s="56" t="s">
        <v>488</v>
      </c>
    </row>
    <row r="4188" spans="2:12" x14ac:dyDescent="0.2">
      <c r="B4188" s="62" t="s">
        <v>1591</v>
      </c>
      <c r="C4188" s="61" t="s">
        <v>499</v>
      </c>
      <c r="D4188" s="60">
        <v>1.1373</v>
      </c>
      <c r="E4188" s="59">
        <v>5.0496600000000003</v>
      </c>
      <c r="F4188" s="59">
        <v>5.38089</v>
      </c>
      <c r="G4188" s="56">
        <v>1533.52</v>
      </c>
      <c r="H4188" s="56">
        <v>1348.39</v>
      </c>
      <c r="I4188" s="58">
        <v>0.54246000000000005</v>
      </c>
      <c r="J4188" s="57">
        <v>0.56062400000000001</v>
      </c>
      <c r="K4188" s="56"/>
      <c r="L4188" s="56" t="s">
        <v>488</v>
      </c>
    </row>
    <row r="4189" spans="2:12" x14ac:dyDescent="0.2">
      <c r="B4189" s="62" t="s">
        <v>1590</v>
      </c>
      <c r="C4189" s="61" t="s">
        <v>708</v>
      </c>
      <c r="D4189" s="60">
        <v>0.75208600000000003</v>
      </c>
      <c r="E4189" s="59">
        <v>9.5526900000000001</v>
      </c>
      <c r="F4189" s="59">
        <v>14.596830000000001</v>
      </c>
      <c r="G4189" s="56">
        <v>1280.3399999999999</v>
      </c>
      <c r="H4189" s="56">
        <v>1702.39</v>
      </c>
      <c r="I4189" s="58">
        <v>0.80665799999999999</v>
      </c>
      <c r="J4189" s="57">
        <v>0.95148200000000005</v>
      </c>
      <c r="K4189" s="56"/>
      <c r="L4189" s="56" t="s">
        <v>488</v>
      </c>
    </row>
    <row r="4190" spans="2:12" x14ac:dyDescent="0.2">
      <c r="B4190" s="62" t="s">
        <v>1589</v>
      </c>
      <c r="C4190" s="61" t="s">
        <v>502</v>
      </c>
      <c r="D4190" s="60">
        <v>0.73609400000000003</v>
      </c>
      <c r="E4190" s="59">
        <v>9.8981100000000009</v>
      </c>
      <c r="F4190" s="59">
        <v>14.993209999999999</v>
      </c>
      <c r="G4190" s="56">
        <v>1289.52</v>
      </c>
      <c r="H4190" s="56">
        <v>1751.85</v>
      </c>
      <c r="I4190" s="58">
        <v>0.80808100000000005</v>
      </c>
      <c r="J4190" s="57">
        <v>0.99032600000000004</v>
      </c>
      <c r="K4190" s="56"/>
      <c r="L4190" s="56" t="s">
        <v>488</v>
      </c>
    </row>
    <row r="4191" spans="2:12" x14ac:dyDescent="0.2">
      <c r="B4191" s="62" t="s">
        <v>1588</v>
      </c>
      <c r="C4191" s="61" t="s">
        <v>499</v>
      </c>
      <c r="D4191" s="60">
        <v>1.0179100000000001</v>
      </c>
      <c r="E4191" s="59">
        <v>4.0076999999999998</v>
      </c>
      <c r="F4191" s="59">
        <v>6.2714499999999997</v>
      </c>
      <c r="G4191" s="56">
        <v>1087.95</v>
      </c>
      <c r="H4191" s="56">
        <v>1068.81</v>
      </c>
      <c r="I4191" s="58">
        <v>0.56907399999999997</v>
      </c>
      <c r="J4191" s="57">
        <v>0.61428700000000003</v>
      </c>
      <c r="K4191" s="56"/>
      <c r="L4191" s="56" t="s">
        <v>488</v>
      </c>
    </row>
    <row r="4192" spans="2:12" x14ac:dyDescent="0.2">
      <c r="B4192" s="62" t="s">
        <v>1587</v>
      </c>
      <c r="C4192" s="61" t="s">
        <v>510</v>
      </c>
      <c r="D4192" s="60">
        <v>1.00241</v>
      </c>
      <c r="E4192" s="59">
        <v>3.9649200000000002</v>
      </c>
      <c r="F4192" s="59">
        <v>6.2970100000000002</v>
      </c>
      <c r="G4192" s="56">
        <v>1085.24</v>
      </c>
      <c r="H4192" s="56">
        <v>1082.6400000000001</v>
      </c>
      <c r="I4192" s="58">
        <v>0.56642199999999998</v>
      </c>
      <c r="J4192" s="57">
        <v>0.60121199999999997</v>
      </c>
      <c r="K4192" s="56"/>
      <c r="L4192" s="56" t="s">
        <v>488</v>
      </c>
    </row>
    <row r="4193" spans="2:12" x14ac:dyDescent="0.2">
      <c r="B4193" s="62" t="s">
        <v>1586</v>
      </c>
      <c r="C4193" s="61" t="s">
        <v>641</v>
      </c>
      <c r="D4193" s="60">
        <v>1.2644899999999999</v>
      </c>
      <c r="E4193" s="59">
        <v>3.1175899999999999</v>
      </c>
      <c r="F4193" s="59">
        <v>4.3207700000000004</v>
      </c>
      <c r="G4193" s="56">
        <v>0</v>
      </c>
      <c r="H4193" s="56">
        <v>0</v>
      </c>
      <c r="I4193" s="58">
        <v>0.22021499999999999</v>
      </c>
      <c r="J4193" s="57">
        <v>0.374334</v>
      </c>
      <c r="K4193" s="56"/>
      <c r="L4193" s="56" t="s">
        <v>488</v>
      </c>
    </row>
    <row r="4194" spans="2:12" x14ac:dyDescent="0.2">
      <c r="B4194" s="62" t="s">
        <v>1585</v>
      </c>
      <c r="C4194" s="61" t="s">
        <v>502</v>
      </c>
      <c r="D4194" s="60">
        <v>1.89411</v>
      </c>
      <c r="E4194" s="59">
        <v>2.6322999999999999</v>
      </c>
      <c r="F4194" s="59">
        <v>3.7501199999999999</v>
      </c>
      <c r="G4194" s="56">
        <v>0</v>
      </c>
      <c r="H4194" s="56">
        <v>0</v>
      </c>
      <c r="I4194" s="58">
        <v>0.14094000000000001</v>
      </c>
      <c r="J4194" s="57">
        <v>0.206041</v>
      </c>
      <c r="K4194" s="56"/>
      <c r="L4194" s="56" t="s">
        <v>488</v>
      </c>
    </row>
    <row r="4195" spans="2:12" x14ac:dyDescent="0.2">
      <c r="B4195" s="62" t="s">
        <v>1584</v>
      </c>
      <c r="C4195" s="61" t="s">
        <v>502</v>
      </c>
      <c r="D4195" s="60">
        <v>1.91235</v>
      </c>
      <c r="E4195" s="59">
        <v>2.73664</v>
      </c>
      <c r="F4195" s="59">
        <v>3.8271299999999999</v>
      </c>
      <c r="G4195" s="56">
        <v>0</v>
      </c>
      <c r="H4195" s="56">
        <v>0</v>
      </c>
      <c r="I4195" s="58">
        <v>0.133768</v>
      </c>
      <c r="J4195" s="57">
        <v>0.201071</v>
      </c>
      <c r="K4195" s="56"/>
      <c r="L4195" s="56" t="s">
        <v>488</v>
      </c>
    </row>
    <row r="4196" spans="2:12" x14ac:dyDescent="0.2">
      <c r="B4196" s="62" t="s">
        <v>1583</v>
      </c>
      <c r="C4196" s="61" t="s">
        <v>526</v>
      </c>
      <c r="D4196" s="60">
        <v>1.7116899999999999</v>
      </c>
      <c r="E4196" s="59">
        <v>6.2641299999999998</v>
      </c>
      <c r="F4196" s="59">
        <v>7.6539999999999999</v>
      </c>
      <c r="G4196" s="56">
        <v>713.428</v>
      </c>
      <c r="H4196" s="56">
        <v>416.79700000000003</v>
      </c>
      <c r="I4196" s="58">
        <v>0.54947299999999999</v>
      </c>
      <c r="J4196" s="57">
        <v>0.30114999999999997</v>
      </c>
      <c r="K4196" s="56"/>
      <c r="L4196" s="56" t="s">
        <v>488</v>
      </c>
    </row>
    <row r="4197" spans="2:12" x14ac:dyDescent="0.2">
      <c r="B4197" s="62" t="s">
        <v>1582</v>
      </c>
      <c r="C4197" s="61" t="s">
        <v>499</v>
      </c>
      <c r="D4197" s="60">
        <v>1.23359</v>
      </c>
      <c r="E4197" s="59">
        <v>3.0678299999999998</v>
      </c>
      <c r="F4197" s="59">
        <v>4.4824099999999998</v>
      </c>
      <c r="G4197" s="56">
        <v>0</v>
      </c>
      <c r="H4197" s="56">
        <v>0</v>
      </c>
      <c r="I4197" s="58">
        <v>0.321214</v>
      </c>
      <c r="J4197" s="57">
        <v>0.40183799999999997</v>
      </c>
      <c r="K4197" s="56"/>
      <c r="L4197" s="56" t="s">
        <v>488</v>
      </c>
    </row>
    <row r="4198" spans="2:12" x14ac:dyDescent="0.2">
      <c r="B4198" s="62" t="s">
        <v>1581</v>
      </c>
      <c r="C4198" s="61" t="s">
        <v>499</v>
      </c>
      <c r="D4198" s="60">
        <v>1.2265999999999999</v>
      </c>
      <c r="E4198" s="59">
        <v>3.1740300000000001</v>
      </c>
      <c r="F4198" s="59">
        <v>4.7644299999999999</v>
      </c>
      <c r="G4198" s="56">
        <v>0</v>
      </c>
      <c r="H4198" s="56">
        <v>0</v>
      </c>
      <c r="I4198" s="58">
        <v>0.27057599999999998</v>
      </c>
      <c r="J4198" s="57">
        <v>0.36609799999999998</v>
      </c>
      <c r="K4198" s="56"/>
      <c r="L4198" s="56" t="s">
        <v>488</v>
      </c>
    </row>
    <row r="4199" spans="2:12" x14ac:dyDescent="0.2">
      <c r="B4199" s="62" t="s">
        <v>1580</v>
      </c>
      <c r="C4199" s="61" t="s">
        <v>499</v>
      </c>
      <c r="D4199" s="60">
        <v>1.2298500000000001</v>
      </c>
      <c r="E4199" s="59">
        <v>3.34321</v>
      </c>
      <c r="F4199" s="59">
        <v>4.7970600000000001</v>
      </c>
      <c r="G4199" s="56">
        <v>0</v>
      </c>
      <c r="H4199" s="56">
        <v>0</v>
      </c>
      <c r="I4199" s="58">
        <v>0.27134200000000003</v>
      </c>
      <c r="J4199" s="57">
        <v>0.36369299999999999</v>
      </c>
      <c r="K4199" s="56"/>
      <c r="L4199" s="56" t="s">
        <v>488</v>
      </c>
    </row>
    <row r="4200" spans="2:12" x14ac:dyDescent="0.2">
      <c r="B4200" s="62" t="s">
        <v>1579</v>
      </c>
      <c r="C4200" s="61" t="s">
        <v>499</v>
      </c>
      <c r="D4200" s="60">
        <v>1.2488900000000001</v>
      </c>
      <c r="E4200" s="59">
        <v>3.3618600000000001</v>
      </c>
      <c r="F4200" s="59">
        <v>4.7269899999999998</v>
      </c>
      <c r="G4200" s="56">
        <v>0</v>
      </c>
      <c r="H4200" s="56">
        <v>0</v>
      </c>
      <c r="I4200" s="58">
        <v>0.27383800000000003</v>
      </c>
      <c r="J4200" s="57">
        <v>0.35645900000000003</v>
      </c>
      <c r="K4200" s="56"/>
      <c r="L4200" s="56" t="s">
        <v>488</v>
      </c>
    </row>
    <row r="4201" spans="2:12" x14ac:dyDescent="0.2">
      <c r="B4201" s="62" t="s">
        <v>1578</v>
      </c>
      <c r="C4201" s="61" t="s">
        <v>499</v>
      </c>
      <c r="D4201" s="60">
        <v>1.2249099999999999</v>
      </c>
      <c r="E4201" s="59">
        <v>3.1538499999999998</v>
      </c>
      <c r="F4201" s="59">
        <v>4.75617</v>
      </c>
      <c r="G4201" s="56">
        <v>0</v>
      </c>
      <c r="H4201" s="56">
        <v>0</v>
      </c>
      <c r="I4201" s="58">
        <v>0.27035999999999999</v>
      </c>
      <c r="J4201" s="57">
        <v>0.36754199999999998</v>
      </c>
      <c r="K4201" s="56"/>
      <c r="L4201" s="56" t="s">
        <v>488</v>
      </c>
    </row>
    <row r="4202" spans="2:12" x14ac:dyDescent="0.2">
      <c r="B4202" s="62" t="s">
        <v>1577</v>
      </c>
      <c r="C4202" s="61" t="s">
        <v>495</v>
      </c>
      <c r="D4202" s="60">
        <v>0.99044200000000004</v>
      </c>
      <c r="E4202" s="59">
        <v>3.8642699999999999</v>
      </c>
      <c r="F4202" s="59">
        <v>5.0601200000000004</v>
      </c>
      <c r="G4202" s="56">
        <v>1288.4000000000001</v>
      </c>
      <c r="H4202" s="56">
        <v>1300.83</v>
      </c>
      <c r="I4202" s="58">
        <v>0.60369899999999999</v>
      </c>
      <c r="J4202" s="57">
        <v>0.62463999999999997</v>
      </c>
      <c r="K4202" s="56"/>
      <c r="L4202" s="56" t="s">
        <v>488</v>
      </c>
    </row>
    <row r="4203" spans="2:12" x14ac:dyDescent="0.2">
      <c r="B4203" s="62" t="s">
        <v>1576</v>
      </c>
      <c r="C4203" s="61" t="s">
        <v>495</v>
      </c>
      <c r="D4203" s="60">
        <v>0.99266600000000005</v>
      </c>
      <c r="E4203" s="59">
        <v>3.7145800000000002</v>
      </c>
      <c r="F4203" s="59">
        <v>5.1212400000000002</v>
      </c>
      <c r="G4203" s="56">
        <v>0</v>
      </c>
      <c r="H4203" s="56">
        <v>0</v>
      </c>
      <c r="I4203" s="58">
        <v>0.60814999999999997</v>
      </c>
      <c r="J4203" s="57">
        <v>0.62163800000000002</v>
      </c>
      <c r="K4203" s="56"/>
      <c r="L4203" s="56" t="s">
        <v>488</v>
      </c>
    </row>
    <row r="4204" spans="2:12" x14ac:dyDescent="0.2">
      <c r="B4204" s="62" t="s">
        <v>1575</v>
      </c>
      <c r="C4204" s="61" t="s">
        <v>502</v>
      </c>
      <c r="D4204" s="60">
        <v>0.76599099999999998</v>
      </c>
      <c r="E4204" s="59">
        <v>6.5343299999999997</v>
      </c>
      <c r="F4204" s="59">
        <v>13.08634</v>
      </c>
      <c r="G4204" s="56">
        <v>1961.12</v>
      </c>
      <c r="H4204" s="56">
        <v>2560.2399999999998</v>
      </c>
      <c r="I4204" s="58">
        <v>0.77187899999999998</v>
      </c>
      <c r="J4204" s="57">
        <v>0.93275699999999995</v>
      </c>
      <c r="K4204" s="56"/>
      <c r="L4204" s="56" t="s">
        <v>488</v>
      </c>
    </row>
    <row r="4205" spans="2:12" x14ac:dyDescent="0.2">
      <c r="B4205" s="62" t="s">
        <v>1574</v>
      </c>
      <c r="C4205" s="61" t="s">
        <v>1572</v>
      </c>
      <c r="D4205" s="60">
        <v>1.0993200000000001</v>
      </c>
      <c r="E4205" s="59">
        <v>2.9992100000000002</v>
      </c>
      <c r="F4205" s="59">
        <v>4.9241799999999998</v>
      </c>
      <c r="G4205" s="56">
        <v>0</v>
      </c>
      <c r="H4205" s="56">
        <v>0</v>
      </c>
      <c r="I4205" s="58">
        <v>0.42856699999999998</v>
      </c>
      <c r="J4205" s="57">
        <v>0.55069299999999999</v>
      </c>
      <c r="K4205" s="56"/>
      <c r="L4205" s="56" t="s">
        <v>488</v>
      </c>
    </row>
    <row r="4206" spans="2:12" x14ac:dyDescent="0.2">
      <c r="B4206" s="62" t="s">
        <v>1573</v>
      </c>
      <c r="C4206" s="61" t="s">
        <v>1572</v>
      </c>
      <c r="D4206" s="60">
        <v>1.0991</v>
      </c>
      <c r="E4206" s="59">
        <v>3.2270699999999999</v>
      </c>
      <c r="F4206" s="59">
        <v>4.9422600000000001</v>
      </c>
      <c r="G4206" s="56">
        <v>0</v>
      </c>
      <c r="H4206" s="56">
        <v>0</v>
      </c>
      <c r="I4206" s="58">
        <v>0.42689700000000003</v>
      </c>
      <c r="J4206" s="57">
        <v>0.54984299999999997</v>
      </c>
      <c r="K4206" s="56"/>
      <c r="L4206" s="56" t="s">
        <v>488</v>
      </c>
    </row>
    <row r="4207" spans="2:12" x14ac:dyDescent="0.2">
      <c r="B4207" s="62" t="s">
        <v>1571</v>
      </c>
      <c r="C4207" s="61" t="s">
        <v>632</v>
      </c>
      <c r="D4207" s="60">
        <v>1.99529</v>
      </c>
      <c r="E4207" s="59">
        <v>3.9823400000000002</v>
      </c>
      <c r="F4207" s="59">
        <v>4.6679000000000004</v>
      </c>
      <c r="G4207" s="56">
        <v>730.23199999999997</v>
      </c>
      <c r="H4207" s="56">
        <v>365.97899999999998</v>
      </c>
      <c r="I4207" s="58">
        <v>0.55093700000000001</v>
      </c>
      <c r="J4207" s="57">
        <v>0.22491700000000001</v>
      </c>
      <c r="K4207" s="56"/>
      <c r="L4207" s="56" t="s">
        <v>488</v>
      </c>
    </row>
    <row r="4208" spans="2:12" x14ac:dyDescent="0.2">
      <c r="B4208" s="62" t="s">
        <v>1570</v>
      </c>
      <c r="C4208" s="61" t="s">
        <v>510</v>
      </c>
      <c r="D4208" s="60">
        <v>1.23597</v>
      </c>
      <c r="E4208" s="59">
        <v>3.8623599999999998</v>
      </c>
      <c r="F4208" s="59">
        <v>4.3327900000000001</v>
      </c>
      <c r="G4208" s="56">
        <v>243.47499999999999</v>
      </c>
      <c r="H4208" s="56">
        <v>196.99</v>
      </c>
      <c r="I4208" s="58">
        <v>0.19283600000000001</v>
      </c>
      <c r="J4208" s="57">
        <v>0.36084699999999997</v>
      </c>
      <c r="K4208" s="56"/>
      <c r="L4208" s="56" t="s">
        <v>488</v>
      </c>
    </row>
    <row r="4209" spans="2:12" x14ac:dyDescent="0.2">
      <c r="B4209" s="62" t="s">
        <v>1569</v>
      </c>
      <c r="C4209" s="61" t="s">
        <v>499</v>
      </c>
      <c r="D4209" s="60">
        <v>1.01248</v>
      </c>
      <c r="E4209" s="59">
        <v>3.54467</v>
      </c>
      <c r="F4209" s="59">
        <v>5.4509999999999996</v>
      </c>
      <c r="G4209" s="56">
        <v>0</v>
      </c>
      <c r="H4209" s="56">
        <v>0</v>
      </c>
      <c r="I4209" s="58">
        <v>0.59910699999999995</v>
      </c>
      <c r="J4209" s="57">
        <v>0.57893600000000001</v>
      </c>
      <c r="K4209" s="56"/>
      <c r="L4209" s="56" t="s">
        <v>488</v>
      </c>
    </row>
    <row r="4210" spans="2:12" x14ac:dyDescent="0.2">
      <c r="B4210" s="62" t="s">
        <v>1568</v>
      </c>
      <c r="C4210" s="61" t="s">
        <v>499</v>
      </c>
      <c r="D4210" s="60">
        <v>1.0251600000000001</v>
      </c>
      <c r="E4210" s="59">
        <v>4.9820099999999998</v>
      </c>
      <c r="F4210" s="59">
        <v>6.8763699999999996</v>
      </c>
      <c r="G4210" s="56">
        <v>1098.29</v>
      </c>
      <c r="H4210" s="56">
        <v>1071.3399999999999</v>
      </c>
      <c r="I4210" s="58">
        <v>0.56212700000000004</v>
      </c>
      <c r="J4210" s="57">
        <v>0.565168</v>
      </c>
      <c r="K4210" s="56"/>
      <c r="L4210" s="56" t="s">
        <v>488</v>
      </c>
    </row>
    <row r="4211" spans="2:12" x14ac:dyDescent="0.2">
      <c r="B4211" s="62" t="s">
        <v>1567</v>
      </c>
      <c r="C4211" s="61" t="s">
        <v>499</v>
      </c>
      <c r="D4211" s="60">
        <v>1.1922600000000001</v>
      </c>
      <c r="E4211" s="59">
        <v>3.83005</v>
      </c>
      <c r="F4211" s="59">
        <v>4.8907299999999996</v>
      </c>
      <c r="G4211" s="56">
        <v>408.50299999999999</v>
      </c>
      <c r="H4211" s="56">
        <v>342.62900000000002</v>
      </c>
      <c r="I4211" s="58">
        <v>0.390573</v>
      </c>
      <c r="J4211" s="57">
        <v>0.429809</v>
      </c>
      <c r="K4211" s="56"/>
      <c r="L4211" s="56" t="s">
        <v>488</v>
      </c>
    </row>
    <row r="4212" spans="2:12" x14ac:dyDescent="0.2">
      <c r="B4212" s="62" t="s">
        <v>1566</v>
      </c>
      <c r="C4212" s="61" t="s">
        <v>499</v>
      </c>
      <c r="D4212" s="60">
        <v>1.14377</v>
      </c>
      <c r="E4212" s="59">
        <v>4.7039600000000004</v>
      </c>
      <c r="F4212" s="59">
        <v>5.8976100000000002</v>
      </c>
      <c r="G4212" s="56">
        <v>1146.1099999999999</v>
      </c>
      <c r="H4212" s="56">
        <v>1002.05</v>
      </c>
      <c r="I4212" s="58">
        <v>0.50356199999999995</v>
      </c>
      <c r="J4212" s="57">
        <v>0.47468300000000002</v>
      </c>
      <c r="K4212" s="56"/>
      <c r="L4212" s="56" t="s">
        <v>488</v>
      </c>
    </row>
    <row r="4213" spans="2:12" x14ac:dyDescent="0.2">
      <c r="B4213" s="62" t="s">
        <v>1565</v>
      </c>
      <c r="C4213" s="61" t="s">
        <v>499</v>
      </c>
      <c r="D4213" s="60">
        <v>0.56557900000000005</v>
      </c>
      <c r="E4213" s="59">
        <v>8.9273100000000003</v>
      </c>
      <c r="F4213" s="59">
        <v>10.284230000000001</v>
      </c>
      <c r="G4213" s="56">
        <v>1899.31</v>
      </c>
      <c r="H4213" s="56">
        <v>3358.17</v>
      </c>
      <c r="I4213" s="58">
        <v>0.79258099999999998</v>
      </c>
      <c r="J4213" s="57">
        <v>1.3566</v>
      </c>
      <c r="K4213" s="56"/>
      <c r="L4213" s="56" t="s">
        <v>488</v>
      </c>
    </row>
    <row r="4214" spans="2:12" x14ac:dyDescent="0.2">
      <c r="B4214" s="62" t="s">
        <v>1564</v>
      </c>
      <c r="C4214" s="61" t="s">
        <v>499</v>
      </c>
      <c r="D4214" s="60">
        <v>0.56893899999999997</v>
      </c>
      <c r="E4214" s="59">
        <v>8.891</v>
      </c>
      <c r="F4214" s="59">
        <v>10.66841</v>
      </c>
      <c r="G4214" s="56">
        <v>1890.83</v>
      </c>
      <c r="H4214" s="56">
        <v>3323.44</v>
      </c>
      <c r="I4214" s="58">
        <v>0.79385600000000001</v>
      </c>
      <c r="J4214" s="57">
        <v>1.3479300000000001</v>
      </c>
      <c r="K4214" s="56"/>
      <c r="L4214" s="56" t="s">
        <v>488</v>
      </c>
    </row>
    <row r="4215" spans="2:12" x14ac:dyDescent="0.2">
      <c r="B4215" s="62" t="s">
        <v>1563</v>
      </c>
      <c r="C4215" s="61" t="s">
        <v>499</v>
      </c>
      <c r="D4215" s="60">
        <v>0.57877000000000001</v>
      </c>
      <c r="E4215" s="59">
        <v>9.0166699999999995</v>
      </c>
      <c r="F4215" s="59">
        <v>10.809749999999999</v>
      </c>
      <c r="G4215" s="56">
        <v>1803.66</v>
      </c>
      <c r="H4215" s="56">
        <v>3116.37</v>
      </c>
      <c r="I4215" s="58">
        <v>0.77351000000000003</v>
      </c>
      <c r="J4215" s="57">
        <v>1.31867</v>
      </c>
      <c r="K4215" s="56"/>
      <c r="L4215" s="56" t="s">
        <v>488</v>
      </c>
    </row>
    <row r="4216" spans="2:12" x14ac:dyDescent="0.2">
      <c r="B4216" s="62" t="s">
        <v>1562</v>
      </c>
      <c r="C4216" s="61" t="s">
        <v>499</v>
      </c>
      <c r="D4216" s="60">
        <v>0.57886099999999996</v>
      </c>
      <c r="E4216" s="59">
        <v>9.0057799999999997</v>
      </c>
      <c r="F4216" s="59">
        <v>11.079599999999999</v>
      </c>
      <c r="G4216" s="56">
        <v>1794.97</v>
      </c>
      <c r="H4216" s="56">
        <v>3100.87</v>
      </c>
      <c r="I4216" s="58">
        <v>0.77602499999999996</v>
      </c>
      <c r="J4216" s="57">
        <v>1.3193900000000001</v>
      </c>
      <c r="K4216" s="56"/>
      <c r="L4216" s="56" t="s">
        <v>488</v>
      </c>
    </row>
    <row r="4217" spans="2:12" x14ac:dyDescent="0.2">
      <c r="B4217" s="62" t="s">
        <v>1561</v>
      </c>
      <c r="C4217" s="61" t="s">
        <v>499</v>
      </c>
      <c r="D4217" s="60">
        <v>0.57684500000000005</v>
      </c>
      <c r="E4217" s="59">
        <v>8.5568299999999997</v>
      </c>
      <c r="F4217" s="59">
        <v>11.64217</v>
      </c>
      <c r="G4217" s="56">
        <v>1881.65</v>
      </c>
      <c r="H4217" s="56">
        <v>3261.97</v>
      </c>
      <c r="I4217" s="58">
        <v>0.78371299999999999</v>
      </c>
      <c r="J4217" s="57">
        <v>1.3211200000000001</v>
      </c>
      <c r="K4217" s="56"/>
      <c r="L4217" s="56" t="s">
        <v>488</v>
      </c>
    </row>
    <row r="4218" spans="2:12" x14ac:dyDescent="0.2">
      <c r="B4218" s="62" t="s">
        <v>1560</v>
      </c>
      <c r="C4218" s="61" t="s">
        <v>499</v>
      </c>
      <c r="D4218" s="60">
        <v>0.579843</v>
      </c>
      <c r="E4218" s="59">
        <v>9.0056100000000008</v>
      </c>
      <c r="F4218" s="59">
        <v>11.08419</v>
      </c>
      <c r="G4218" s="56">
        <v>1791.63</v>
      </c>
      <c r="H4218" s="56">
        <v>3089.85</v>
      </c>
      <c r="I4218" s="58">
        <v>0.77472700000000005</v>
      </c>
      <c r="J4218" s="57">
        <v>1.3141</v>
      </c>
      <c r="K4218" s="56"/>
      <c r="L4218" s="56" t="s">
        <v>488</v>
      </c>
    </row>
    <row r="4219" spans="2:12" x14ac:dyDescent="0.2">
      <c r="B4219" s="62" t="s">
        <v>1559</v>
      </c>
      <c r="C4219" s="61" t="s">
        <v>499</v>
      </c>
      <c r="D4219" s="60">
        <v>0.95209200000000005</v>
      </c>
      <c r="E4219" s="59">
        <v>4.5754700000000001</v>
      </c>
      <c r="F4219" s="59">
        <v>5.9937100000000001</v>
      </c>
      <c r="G4219" s="56">
        <v>1664.68</v>
      </c>
      <c r="H4219" s="56">
        <v>1748.44</v>
      </c>
      <c r="I4219" s="58">
        <v>0.67386900000000005</v>
      </c>
      <c r="J4219" s="57">
        <v>0.66618699999999997</v>
      </c>
      <c r="K4219" s="56"/>
      <c r="L4219" s="56" t="s">
        <v>488</v>
      </c>
    </row>
    <row r="4220" spans="2:12" x14ac:dyDescent="0.2">
      <c r="B4220" s="62" t="s">
        <v>1558</v>
      </c>
      <c r="C4220" s="61" t="s">
        <v>495</v>
      </c>
      <c r="D4220" s="60">
        <v>1.1630799999999999</v>
      </c>
      <c r="E4220" s="59">
        <v>4.14635</v>
      </c>
      <c r="F4220" s="59">
        <v>5.4451999999999998</v>
      </c>
      <c r="G4220" s="56">
        <v>893.79100000000005</v>
      </c>
      <c r="H4220" s="56">
        <v>768.46699999999998</v>
      </c>
      <c r="I4220" s="58">
        <v>0.497479</v>
      </c>
      <c r="J4220" s="57">
        <v>0.478045</v>
      </c>
      <c r="K4220" s="56"/>
      <c r="L4220" s="56" t="s">
        <v>488</v>
      </c>
    </row>
    <row r="4221" spans="2:12" x14ac:dyDescent="0.2">
      <c r="B4221" s="62" t="s">
        <v>1557</v>
      </c>
      <c r="C4221" s="61" t="s">
        <v>499</v>
      </c>
      <c r="D4221" s="60">
        <v>1.0094000000000001</v>
      </c>
      <c r="E4221" s="59">
        <v>4.6662299999999997</v>
      </c>
      <c r="F4221" s="59">
        <v>6.1258999999999997</v>
      </c>
      <c r="G4221" s="56">
        <v>1463.32</v>
      </c>
      <c r="H4221" s="56">
        <v>1449.69</v>
      </c>
      <c r="I4221" s="58">
        <v>0.60421100000000005</v>
      </c>
      <c r="J4221" s="57">
        <v>0.58926199999999995</v>
      </c>
      <c r="K4221" s="56"/>
      <c r="L4221" s="56" t="s">
        <v>488</v>
      </c>
    </row>
    <row r="4222" spans="2:12" x14ac:dyDescent="0.2">
      <c r="B4222" s="62" t="s">
        <v>1556</v>
      </c>
      <c r="C4222" s="61" t="s">
        <v>859</v>
      </c>
      <c r="D4222" s="60">
        <v>1.74291</v>
      </c>
      <c r="E4222" s="59">
        <v>5.0434900000000003</v>
      </c>
      <c r="F4222" s="59">
        <v>5.3893000000000004</v>
      </c>
      <c r="G4222" s="56">
        <v>627.47500000000002</v>
      </c>
      <c r="H4222" s="56">
        <v>360.01499999999999</v>
      </c>
      <c r="I4222" s="58">
        <v>0.26101799999999997</v>
      </c>
      <c r="J4222" s="57">
        <v>0.28040300000000001</v>
      </c>
      <c r="K4222" s="56"/>
      <c r="L4222" s="56" t="s">
        <v>488</v>
      </c>
    </row>
    <row r="4223" spans="2:12" x14ac:dyDescent="0.2">
      <c r="B4223" s="62" t="s">
        <v>1555</v>
      </c>
      <c r="C4223" s="61" t="s">
        <v>561</v>
      </c>
      <c r="D4223" s="60">
        <v>1.46007</v>
      </c>
      <c r="E4223" s="59">
        <v>5.0170700000000004</v>
      </c>
      <c r="F4223" s="59">
        <v>5.2506300000000001</v>
      </c>
      <c r="G4223" s="56">
        <v>301.25200000000001</v>
      </c>
      <c r="H4223" s="56">
        <v>206.327</v>
      </c>
      <c r="I4223" s="58">
        <v>0.122195</v>
      </c>
      <c r="J4223" s="57">
        <v>0.309027</v>
      </c>
      <c r="K4223" s="56"/>
      <c r="L4223" s="56" t="s">
        <v>488</v>
      </c>
    </row>
    <row r="4224" spans="2:12" x14ac:dyDescent="0.2">
      <c r="B4224" s="62" t="s">
        <v>1554</v>
      </c>
      <c r="C4224" s="61" t="s">
        <v>499</v>
      </c>
      <c r="D4224" s="60">
        <v>0.94328000000000001</v>
      </c>
      <c r="E4224" s="59">
        <v>4.8197700000000001</v>
      </c>
      <c r="F4224" s="59">
        <v>6.1005000000000003</v>
      </c>
      <c r="G4224" s="56">
        <v>1259.27</v>
      </c>
      <c r="H4224" s="56">
        <v>1335</v>
      </c>
      <c r="I4224" s="58">
        <v>0.55037599999999998</v>
      </c>
      <c r="J4224" s="57">
        <v>0.61870400000000003</v>
      </c>
      <c r="K4224" s="56"/>
      <c r="L4224" s="56" t="s">
        <v>488</v>
      </c>
    </row>
    <row r="4225" spans="2:12" x14ac:dyDescent="0.2">
      <c r="B4225" s="62" t="s">
        <v>1553</v>
      </c>
      <c r="C4225" s="61" t="s">
        <v>550</v>
      </c>
      <c r="D4225" s="60">
        <v>2.1846899999999998</v>
      </c>
      <c r="E4225" s="59">
        <v>3.3838200000000001</v>
      </c>
      <c r="F4225" s="59">
        <v>4.7264699999999999</v>
      </c>
      <c r="G4225" s="56">
        <v>0</v>
      </c>
      <c r="H4225" s="56">
        <v>0</v>
      </c>
      <c r="I4225" s="58">
        <v>0.37001299999999998</v>
      </c>
      <c r="J4225" s="57">
        <v>0.21232300000000001</v>
      </c>
      <c r="K4225" s="56"/>
      <c r="L4225" s="56" t="s">
        <v>488</v>
      </c>
    </row>
    <row r="4226" spans="2:12" x14ac:dyDescent="0.2">
      <c r="B4226" s="62" t="s">
        <v>1552</v>
      </c>
      <c r="C4226" s="61" t="s">
        <v>502</v>
      </c>
      <c r="D4226" s="60">
        <v>0.67851799999999995</v>
      </c>
      <c r="E4226" s="59">
        <v>5.7931600000000003</v>
      </c>
      <c r="F4226" s="59">
        <v>7.3651299999999997</v>
      </c>
      <c r="G4226" s="56">
        <v>1976.56</v>
      </c>
      <c r="H4226" s="56">
        <v>2913.05</v>
      </c>
      <c r="I4226" s="58">
        <v>0.69196000000000002</v>
      </c>
      <c r="J4226" s="57">
        <v>1.0369200000000001</v>
      </c>
      <c r="K4226" s="56"/>
      <c r="L4226" s="56" t="s">
        <v>488</v>
      </c>
    </row>
    <row r="4227" spans="2:12" x14ac:dyDescent="0.2">
      <c r="B4227" s="62" t="s">
        <v>1551</v>
      </c>
      <c r="C4227" s="61" t="s">
        <v>502</v>
      </c>
      <c r="D4227" s="60">
        <v>0.67564100000000005</v>
      </c>
      <c r="E4227" s="59">
        <v>5.7824099999999996</v>
      </c>
      <c r="F4227" s="59">
        <v>7.3381800000000004</v>
      </c>
      <c r="G4227" s="56">
        <v>1988.82</v>
      </c>
      <c r="H4227" s="56">
        <v>2943.6</v>
      </c>
      <c r="I4227" s="58">
        <v>0.69940800000000003</v>
      </c>
      <c r="J4227" s="57">
        <v>1.04352</v>
      </c>
      <c r="K4227" s="56"/>
      <c r="L4227" s="56" t="s">
        <v>488</v>
      </c>
    </row>
    <row r="4228" spans="2:12" x14ac:dyDescent="0.2">
      <c r="B4228" s="62" t="s">
        <v>1550</v>
      </c>
      <c r="C4228" s="61" t="s">
        <v>502</v>
      </c>
      <c r="D4228" s="60">
        <v>0.66993400000000003</v>
      </c>
      <c r="E4228" s="59">
        <v>5.7224599999999999</v>
      </c>
      <c r="F4228" s="59">
        <v>7.3373999999999997</v>
      </c>
      <c r="G4228" s="56">
        <v>2045.47</v>
      </c>
      <c r="H4228" s="56">
        <v>3053.24</v>
      </c>
      <c r="I4228" s="58">
        <v>0.70881400000000006</v>
      </c>
      <c r="J4228" s="57">
        <v>1.05586</v>
      </c>
      <c r="K4228" s="56"/>
      <c r="L4228" s="56" t="s">
        <v>488</v>
      </c>
    </row>
    <row r="4229" spans="2:12" x14ac:dyDescent="0.2">
      <c r="B4229" s="62" t="s">
        <v>1549</v>
      </c>
      <c r="C4229" s="61" t="s">
        <v>569</v>
      </c>
      <c r="D4229" s="60">
        <v>1.0108900000000001</v>
      </c>
      <c r="E4229" s="59">
        <v>3.2044700000000002</v>
      </c>
      <c r="F4229" s="59">
        <v>4.1468999999999996</v>
      </c>
      <c r="G4229" s="56">
        <v>0</v>
      </c>
      <c r="H4229" s="56">
        <v>0</v>
      </c>
      <c r="I4229" s="58">
        <v>0.217226</v>
      </c>
      <c r="J4229" s="57">
        <v>0.48140300000000003</v>
      </c>
      <c r="K4229" s="56"/>
      <c r="L4229" s="56" t="s">
        <v>488</v>
      </c>
    </row>
    <row r="4230" spans="2:12" x14ac:dyDescent="0.2">
      <c r="B4230" s="62" t="s">
        <v>1548</v>
      </c>
      <c r="C4230" s="61" t="s">
        <v>499</v>
      </c>
      <c r="D4230" s="60">
        <v>1.2411799999999999</v>
      </c>
      <c r="E4230" s="59">
        <v>3.6075200000000001</v>
      </c>
      <c r="F4230" s="59">
        <v>4.8410099999999998</v>
      </c>
      <c r="G4230" s="56">
        <v>0</v>
      </c>
      <c r="H4230" s="56">
        <v>0</v>
      </c>
      <c r="I4230" s="58">
        <v>0.41103200000000001</v>
      </c>
      <c r="J4230" s="57">
        <v>0.427701</v>
      </c>
      <c r="K4230" s="56"/>
      <c r="L4230" s="56" t="s">
        <v>488</v>
      </c>
    </row>
    <row r="4231" spans="2:12" x14ac:dyDescent="0.2">
      <c r="B4231" s="62" t="s">
        <v>1547</v>
      </c>
      <c r="C4231" s="61" t="s">
        <v>499</v>
      </c>
      <c r="D4231" s="60">
        <v>0.88820900000000003</v>
      </c>
      <c r="E4231" s="59">
        <v>4.2420799999999996</v>
      </c>
      <c r="F4231" s="59">
        <v>11.10158</v>
      </c>
      <c r="G4231" s="56">
        <v>1609.52</v>
      </c>
      <c r="H4231" s="56">
        <v>1812.09</v>
      </c>
      <c r="I4231" s="58">
        <v>0.68380600000000002</v>
      </c>
      <c r="J4231" s="57">
        <v>0.72943599999999997</v>
      </c>
      <c r="K4231" s="56"/>
      <c r="L4231" s="56" t="s">
        <v>488</v>
      </c>
    </row>
    <row r="4232" spans="2:12" x14ac:dyDescent="0.2">
      <c r="B4232" s="62" t="s">
        <v>1546</v>
      </c>
      <c r="C4232" s="61" t="s">
        <v>798</v>
      </c>
      <c r="D4232" s="60">
        <v>1.13147</v>
      </c>
      <c r="E4232" s="59">
        <v>5.3715999999999999</v>
      </c>
      <c r="F4232" s="59">
        <v>7.1901799999999998</v>
      </c>
      <c r="G4232" s="56">
        <v>637.37</v>
      </c>
      <c r="H4232" s="56">
        <v>563.30999999999995</v>
      </c>
      <c r="I4232" s="58">
        <v>0.262845</v>
      </c>
      <c r="J4232" s="57">
        <v>0.40836499999999998</v>
      </c>
      <c r="K4232" s="56"/>
      <c r="L4232" s="56" t="s">
        <v>488</v>
      </c>
    </row>
    <row r="4233" spans="2:12" x14ac:dyDescent="0.2">
      <c r="B4233" s="62" t="s">
        <v>1545</v>
      </c>
      <c r="C4233" s="61" t="s">
        <v>499</v>
      </c>
      <c r="D4233" s="60">
        <v>1.2280800000000001</v>
      </c>
      <c r="E4233" s="59">
        <v>5.63767</v>
      </c>
      <c r="F4233" s="59">
        <v>7.1379400000000004</v>
      </c>
      <c r="G4233" s="56">
        <v>661.33799999999997</v>
      </c>
      <c r="H4233" s="56">
        <v>538.51400000000001</v>
      </c>
      <c r="I4233" s="58">
        <v>0.28006300000000001</v>
      </c>
      <c r="J4233" s="57">
        <v>0.37839800000000001</v>
      </c>
      <c r="K4233" s="56"/>
      <c r="L4233" s="56" t="s">
        <v>488</v>
      </c>
    </row>
    <row r="4234" spans="2:12" x14ac:dyDescent="0.2">
      <c r="B4234" s="62" t="s">
        <v>1544</v>
      </c>
      <c r="C4234" s="61" t="s">
        <v>535</v>
      </c>
      <c r="D4234" s="60">
        <v>1.84541</v>
      </c>
      <c r="E4234" s="59">
        <v>3.7406299999999999</v>
      </c>
      <c r="F4234" s="59">
        <v>4.5415799999999997</v>
      </c>
      <c r="G4234" s="56">
        <v>632.58600000000001</v>
      </c>
      <c r="H4234" s="56">
        <v>342.79</v>
      </c>
      <c r="I4234" s="58">
        <v>0.44897999999999999</v>
      </c>
      <c r="J4234" s="57">
        <v>0.269901</v>
      </c>
      <c r="K4234" s="56"/>
      <c r="L4234" s="56" t="s">
        <v>488</v>
      </c>
    </row>
    <row r="4235" spans="2:12" x14ac:dyDescent="0.2">
      <c r="B4235" s="62" t="s">
        <v>1543</v>
      </c>
      <c r="C4235" s="61" t="s">
        <v>550</v>
      </c>
      <c r="D4235" s="60">
        <v>0.87784600000000002</v>
      </c>
      <c r="E4235" s="59">
        <v>4.4681899999999999</v>
      </c>
      <c r="F4235" s="59">
        <v>6.5101399999999998</v>
      </c>
      <c r="G4235" s="56">
        <v>2182.6799999999998</v>
      </c>
      <c r="H4235" s="56">
        <v>2486.4</v>
      </c>
      <c r="I4235" s="58">
        <v>0.73285</v>
      </c>
      <c r="J4235" s="57">
        <v>0.78459900000000005</v>
      </c>
      <c r="K4235" s="56"/>
      <c r="L4235" s="56" t="s">
        <v>492</v>
      </c>
    </row>
    <row r="4236" spans="2:12" x14ac:dyDescent="0.2">
      <c r="B4236" s="62" t="s">
        <v>1542</v>
      </c>
      <c r="C4236" s="61" t="s">
        <v>708</v>
      </c>
      <c r="D4236" s="60">
        <v>1.3186100000000001</v>
      </c>
      <c r="E4236" s="59">
        <v>2.5348199999999999</v>
      </c>
      <c r="F4236" s="59">
        <v>4.2641200000000001</v>
      </c>
      <c r="G4236" s="56">
        <v>0</v>
      </c>
      <c r="H4236" s="56">
        <v>0</v>
      </c>
      <c r="I4236" s="58">
        <v>0.206901</v>
      </c>
      <c r="J4236" s="57">
        <v>0.33994999999999997</v>
      </c>
      <c r="K4236" s="56"/>
      <c r="L4236" s="56" t="s">
        <v>488</v>
      </c>
    </row>
    <row r="4237" spans="2:12" x14ac:dyDescent="0.2">
      <c r="B4237" s="62" t="s">
        <v>1541</v>
      </c>
      <c r="C4237" s="61" t="s">
        <v>938</v>
      </c>
      <c r="D4237" s="60">
        <v>1.8585700000000001</v>
      </c>
      <c r="E4237" s="59">
        <v>3.0912899999999999</v>
      </c>
      <c r="F4237" s="59">
        <v>4.6207000000000003</v>
      </c>
      <c r="G4237" s="56">
        <v>0</v>
      </c>
      <c r="H4237" s="56">
        <v>0</v>
      </c>
      <c r="I4237" s="58">
        <v>0.31260500000000002</v>
      </c>
      <c r="J4237" s="57">
        <v>0.25026199999999998</v>
      </c>
      <c r="K4237" s="56"/>
      <c r="L4237" s="56" t="s">
        <v>488</v>
      </c>
    </row>
    <row r="4238" spans="2:12" x14ac:dyDescent="0.2">
      <c r="B4238" s="62" t="s">
        <v>1540</v>
      </c>
      <c r="C4238" s="61" t="s">
        <v>1539</v>
      </c>
      <c r="D4238" s="60">
        <v>1.8858299999999999</v>
      </c>
      <c r="E4238" s="59">
        <v>3.0846399999999998</v>
      </c>
      <c r="F4238" s="59">
        <v>4.6162099999999997</v>
      </c>
      <c r="G4238" s="56">
        <v>0</v>
      </c>
      <c r="H4238" s="56">
        <v>0</v>
      </c>
      <c r="I4238" s="58">
        <v>0.31349500000000002</v>
      </c>
      <c r="J4238" s="57">
        <v>0.245834</v>
      </c>
      <c r="K4238" s="56"/>
      <c r="L4238" s="56" t="s">
        <v>488</v>
      </c>
    </row>
    <row r="4239" spans="2:12" x14ac:dyDescent="0.2">
      <c r="B4239" s="62" t="s">
        <v>1538</v>
      </c>
      <c r="C4239" s="61" t="s">
        <v>1537</v>
      </c>
      <c r="D4239" s="60">
        <v>1.81199</v>
      </c>
      <c r="E4239" s="59">
        <v>3.0945999999999998</v>
      </c>
      <c r="F4239" s="59">
        <v>4.6214000000000004</v>
      </c>
      <c r="G4239" s="56">
        <v>0</v>
      </c>
      <c r="H4239" s="56">
        <v>0</v>
      </c>
      <c r="I4239" s="58">
        <v>0.31044500000000003</v>
      </c>
      <c r="J4239" s="57">
        <v>0.25817899999999999</v>
      </c>
      <c r="K4239" s="56"/>
      <c r="L4239" s="56" t="s">
        <v>488</v>
      </c>
    </row>
    <row r="4240" spans="2:12" x14ac:dyDescent="0.2">
      <c r="B4240" s="62" t="s">
        <v>1536</v>
      </c>
      <c r="C4240" s="61" t="s">
        <v>859</v>
      </c>
      <c r="D4240" s="60">
        <v>2.20784</v>
      </c>
      <c r="E4240" s="59">
        <v>3.77441</v>
      </c>
      <c r="F4240" s="59">
        <v>4.7036600000000002</v>
      </c>
      <c r="G4240" s="56">
        <v>493.40300000000002</v>
      </c>
      <c r="H4240" s="56">
        <v>223.47800000000001</v>
      </c>
      <c r="I4240" s="58">
        <v>0.342609</v>
      </c>
      <c r="J4240" s="57">
        <v>0.20164899999999999</v>
      </c>
      <c r="K4240" s="56"/>
      <c r="L4240" s="56" t="s">
        <v>488</v>
      </c>
    </row>
    <row r="4241" spans="2:12" x14ac:dyDescent="0.2">
      <c r="B4241" s="62" t="s">
        <v>1535</v>
      </c>
      <c r="C4241" s="61" t="s">
        <v>507</v>
      </c>
      <c r="D4241" s="60">
        <v>1.0197499999999999</v>
      </c>
      <c r="E4241" s="59">
        <v>5.8583999999999996</v>
      </c>
      <c r="F4241" s="59">
        <v>6.6453800000000003</v>
      </c>
      <c r="G4241" s="56">
        <v>1634.19</v>
      </c>
      <c r="H4241" s="56">
        <v>1602.54</v>
      </c>
      <c r="I4241" s="58">
        <v>0.61001399999999995</v>
      </c>
      <c r="J4241" s="57">
        <v>0.59347000000000005</v>
      </c>
      <c r="K4241" s="56"/>
      <c r="L4241" s="56" t="s">
        <v>488</v>
      </c>
    </row>
    <row r="4242" spans="2:12" x14ac:dyDescent="0.2">
      <c r="B4242" s="62" t="s">
        <v>1534</v>
      </c>
      <c r="C4242" s="61" t="s">
        <v>502</v>
      </c>
      <c r="D4242" s="60">
        <v>1.26614</v>
      </c>
      <c r="E4242" s="59">
        <v>6.5377700000000001</v>
      </c>
      <c r="F4242" s="59">
        <v>7.2830300000000001</v>
      </c>
      <c r="G4242" s="56">
        <v>941.82600000000002</v>
      </c>
      <c r="H4242" s="56">
        <v>741.84500000000003</v>
      </c>
      <c r="I4242" s="58">
        <v>0.369475</v>
      </c>
      <c r="J4242" s="57">
        <v>0.39644099999999999</v>
      </c>
      <c r="K4242" s="56"/>
      <c r="L4242" s="56" t="s">
        <v>488</v>
      </c>
    </row>
    <row r="4243" spans="2:12" x14ac:dyDescent="0.2">
      <c r="B4243" s="62" t="s">
        <v>1533</v>
      </c>
      <c r="C4243" s="61" t="s">
        <v>502</v>
      </c>
      <c r="D4243" s="60">
        <v>1.2695700000000001</v>
      </c>
      <c r="E4243" s="59">
        <v>6.5808</v>
      </c>
      <c r="F4243" s="59">
        <v>7.3042499999999997</v>
      </c>
      <c r="G4243" s="56">
        <v>938.61400000000003</v>
      </c>
      <c r="H4243" s="56">
        <v>741.32</v>
      </c>
      <c r="I4243" s="58">
        <v>0.36947099999999999</v>
      </c>
      <c r="J4243" s="57">
        <v>0.39472000000000002</v>
      </c>
      <c r="K4243" s="56"/>
      <c r="L4243" s="56" t="s">
        <v>488</v>
      </c>
    </row>
    <row r="4244" spans="2:12" x14ac:dyDescent="0.2">
      <c r="B4244" s="62" t="s">
        <v>1532</v>
      </c>
      <c r="C4244" s="61" t="s">
        <v>502</v>
      </c>
      <c r="D4244" s="60">
        <v>1.2649699999999999</v>
      </c>
      <c r="E4244" s="59">
        <v>6.5926499999999999</v>
      </c>
      <c r="F4244" s="59">
        <v>7.2967000000000004</v>
      </c>
      <c r="G4244" s="56">
        <v>907.899</v>
      </c>
      <c r="H4244" s="56">
        <v>717.72299999999996</v>
      </c>
      <c r="I4244" s="58">
        <v>0.37025799999999998</v>
      </c>
      <c r="J4244" s="57">
        <v>0.39693299999999998</v>
      </c>
      <c r="K4244" s="56"/>
      <c r="L4244" s="56" t="s">
        <v>488</v>
      </c>
    </row>
    <row r="4245" spans="2:12" x14ac:dyDescent="0.2">
      <c r="B4245" s="62" t="s">
        <v>1531</v>
      </c>
      <c r="C4245" s="61" t="s">
        <v>526</v>
      </c>
      <c r="D4245" s="60">
        <v>0.93056899999999998</v>
      </c>
      <c r="E4245" s="59">
        <v>6.7546400000000002</v>
      </c>
      <c r="F4245" s="59">
        <v>6.9686000000000003</v>
      </c>
      <c r="G4245" s="56">
        <v>1788.43</v>
      </c>
      <c r="H4245" s="56">
        <v>1842.15</v>
      </c>
      <c r="I4245" s="58">
        <v>0.70397600000000005</v>
      </c>
      <c r="J4245" s="57">
        <v>0.71105499999999999</v>
      </c>
      <c r="K4245" s="56"/>
      <c r="L4245" s="56" t="s">
        <v>730</v>
      </c>
    </row>
    <row r="4246" spans="2:12" x14ac:dyDescent="0.2">
      <c r="B4246" s="62" t="s">
        <v>1530</v>
      </c>
      <c r="C4246" s="61" t="s">
        <v>526</v>
      </c>
      <c r="D4246" s="60">
        <v>0.97083600000000003</v>
      </c>
      <c r="E4246" s="59">
        <v>6.8037700000000001</v>
      </c>
      <c r="F4246" s="59">
        <v>7.0401600000000002</v>
      </c>
      <c r="G4246" s="56">
        <v>1983.37</v>
      </c>
      <c r="H4246" s="56">
        <v>2131.35</v>
      </c>
      <c r="I4246" s="58">
        <v>0.717418</v>
      </c>
      <c r="J4246" s="57">
        <v>0.67590700000000004</v>
      </c>
      <c r="K4246" s="56"/>
      <c r="L4246" s="56" t="s">
        <v>488</v>
      </c>
    </row>
    <row r="4247" spans="2:12" x14ac:dyDescent="0.2">
      <c r="B4247" s="62" t="s">
        <v>1529</v>
      </c>
      <c r="C4247" s="61" t="s">
        <v>499</v>
      </c>
      <c r="D4247" s="60">
        <v>1.1805399999999999</v>
      </c>
      <c r="E4247" s="59">
        <v>8.3704000000000001</v>
      </c>
      <c r="F4247" s="59">
        <v>8.5312400000000004</v>
      </c>
      <c r="G4247" s="56">
        <v>985.34100000000001</v>
      </c>
      <c r="H4247" s="56">
        <v>833.68200000000002</v>
      </c>
      <c r="I4247" s="58">
        <v>0.423786</v>
      </c>
      <c r="J4247" s="57">
        <v>0.445442</v>
      </c>
      <c r="K4247" s="56"/>
      <c r="L4247" s="56" t="s">
        <v>730</v>
      </c>
    </row>
    <row r="4248" spans="2:12" x14ac:dyDescent="0.2">
      <c r="B4248" s="62" t="s">
        <v>1528</v>
      </c>
      <c r="C4248" s="61" t="s">
        <v>499</v>
      </c>
      <c r="D4248" s="60">
        <v>1.1819200000000001</v>
      </c>
      <c r="E4248" s="59">
        <v>8.3410700000000002</v>
      </c>
      <c r="F4248" s="59">
        <v>8.5071499999999993</v>
      </c>
      <c r="G4248" s="56">
        <v>977.68499999999995</v>
      </c>
      <c r="H4248" s="56">
        <v>828.16899999999998</v>
      </c>
      <c r="I4248" s="58">
        <v>0.43651800000000002</v>
      </c>
      <c r="J4248" s="57">
        <v>0.45865099999999998</v>
      </c>
      <c r="K4248" s="56"/>
      <c r="L4248" s="56" t="s">
        <v>488</v>
      </c>
    </row>
    <row r="4249" spans="2:12" x14ac:dyDescent="0.2">
      <c r="B4249" s="62" t="s">
        <v>1527</v>
      </c>
      <c r="C4249" s="61" t="s">
        <v>555</v>
      </c>
      <c r="D4249" s="60">
        <v>1.4486000000000001</v>
      </c>
      <c r="E4249" s="59">
        <v>2.6200199999999998</v>
      </c>
      <c r="F4249" s="59">
        <v>5.1696299999999997</v>
      </c>
      <c r="G4249" s="56">
        <v>0</v>
      </c>
      <c r="H4249" s="56">
        <v>0</v>
      </c>
      <c r="I4249" s="58">
        <v>0.10470500000000001</v>
      </c>
      <c r="J4249" s="57">
        <v>0.27522000000000002</v>
      </c>
      <c r="K4249" s="56"/>
      <c r="L4249" s="56" t="s">
        <v>488</v>
      </c>
    </row>
    <row r="4250" spans="2:12" x14ac:dyDescent="0.2">
      <c r="B4250" s="62" t="s">
        <v>1526</v>
      </c>
      <c r="C4250" s="61" t="s">
        <v>499</v>
      </c>
      <c r="D4250" s="60">
        <v>0.364732</v>
      </c>
      <c r="E4250" s="59">
        <v>13.26277</v>
      </c>
      <c r="F4250" s="59">
        <v>14.920909999999999</v>
      </c>
      <c r="G4250" s="56">
        <v>1897.6</v>
      </c>
      <c r="H4250" s="56">
        <v>5202.74</v>
      </c>
      <c r="I4250" s="58">
        <v>0.89367200000000002</v>
      </c>
      <c r="J4250" s="57">
        <v>2.3332000000000002</v>
      </c>
      <c r="K4250" s="56"/>
      <c r="L4250" s="56" t="s">
        <v>488</v>
      </c>
    </row>
    <row r="4251" spans="2:12" x14ac:dyDescent="0.2">
      <c r="B4251" s="62" t="s">
        <v>1525</v>
      </c>
      <c r="C4251" s="61" t="s">
        <v>499</v>
      </c>
      <c r="D4251" s="60">
        <v>0.35221799999999998</v>
      </c>
      <c r="E4251" s="59">
        <v>14.488630000000001</v>
      </c>
      <c r="F4251" s="59">
        <v>15.28058</v>
      </c>
      <c r="G4251" s="56">
        <v>1814.61</v>
      </c>
      <c r="H4251" s="56">
        <v>5151.95</v>
      </c>
      <c r="I4251" s="58">
        <v>0.89897400000000005</v>
      </c>
      <c r="J4251" s="57">
        <v>2.4320200000000001</v>
      </c>
      <c r="K4251" s="56"/>
      <c r="L4251" s="56" t="s">
        <v>488</v>
      </c>
    </row>
    <row r="4252" spans="2:12" x14ac:dyDescent="0.2">
      <c r="B4252" s="62" t="s">
        <v>1524</v>
      </c>
      <c r="C4252" s="61" t="s">
        <v>499</v>
      </c>
      <c r="D4252" s="60">
        <v>0.45909699999999998</v>
      </c>
      <c r="E4252" s="59">
        <v>9.8336199999999998</v>
      </c>
      <c r="F4252" s="59">
        <v>10.719580000000001</v>
      </c>
      <c r="G4252" s="56">
        <v>2170.5700000000002</v>
      </c>
      <c r="H4252" s="56">
        <v>4684.21</v>
      </c>
      <c r="I4252" s="58">
        <v>0.85762499999999997</v>
      </c>
      <c r="J4252" s="57">
        <v>1.75682</v>
      </c>
      <c r="K4252" s="56"/>
      <c r="L4252" s="56" t="s">
        <v>488</v>
      </c>
    </row>
    <row r="4253" spans="2:12" x14ac:dyDescent="0.2">
      <c r="B4253" s="62" t="s">
        <v>1523</v>
      </c>
      <c r="C4253" s="61" t="s">
        <v>499</v>
      </c>
      <c r="D4253" s="60">
        <v>0.46337899999999999</v>
      </c>
      <c r="E4253" s="59">
        <v>10.13618</v>
      </c>
      <c r="F4253" s="59">
        <v>11.07108</v>
      </c>
      <c r="G4253" s="56">
        <v>2172.6799999999998</v>
      </c>
      <c r="H4253" s="56">
        <v>4732.5200000000004</v>
      </c>
      <c r="I4253" s="58">
        <v>0.86069600000000002</v>
      </c>
      <c r="J4253" s="57">
        <v>1.7402</v>
      </c>
      <c r="K4253" s="56"/>
      <c r="L4253" s="56" t="s">
        <v>488</v>
      </c>
    </row>
    <row r="4254" spans="2:12" x14ac:dyDescent="0.2">
      <c r="B4254" s="62" t="s">
        <v>1522</v>
      </c>
      <c r="C4254" s="61" t="s">
        <v>499</v>
      </c>
      <c r="D4254" s="60">
        <v>0.49460999999999999</v>
      </c>
      <c r="E4254" s="59">
        <v>7.68344</v>
      </c>
      <c r="F4254" s="59">
        <v>9.5589899999999997</v>
      </c>
      <c r="G4254" s="56">
        <v>2308.1999999999998</v>
      </c>
      <c r="H4254" s="56">
        <v>4666.7</v>
      </c>
      <c r="I4254" s="58">
        <v>0.84435099999999996</v>
      </c>
      <c r="J4254" s="57">
        <v>1.6023499999999999</v>
      </c>
      <c r="K4254" s="56"/>
      <c r="L4254" s="56" t="s">
        <v>488</v>
      </c>
    </row>
    <row r="4255" spans="2:12" x14ac:dyDescent="0.2">
      <c r="B4255" s="62" t="s">
        <v>1521</v>
      </c>
      <c r="C4255" s="61" t="s">
        <v>798</v>
      </c>
      <c r="D4255" s="60">
        <v>0.87225299999999995</v>
      </c>
      <c r="E4255" s="59">
        <v>4.4037199999999999</v>
      </c>
      <c r="F4255" s="59">
        <v>5.6911899999999997</v>
      </c>
      <c r="G4255" s="56">
        <v>1482.06</v>
      </c>
      <c r="H4255" s="56">
        <v>1699.12</v>
      </c>
      <c r="I4255" s="58">
        <v>0.59766600000000003</v>
      </c>
      <c r="J4255" s="57">
        <v>0.73240099999999997</v>
      </c>
      <c r="K4255" s="56"/>
      <c r="L4255" s="56" t="s">
        <v>488</v>
      </c>
    </row>
    <row r="4256" spans="2:12" x14ac:dyDescent="0.2">
      <c r="B4256" s="62" t="s">
        <v>1520</v>
      </c>
      <c r="C4256" s="61" t="s">
        <v>499</v>
      </c>
      <c r="D4256" s="60">
        <v>1.19065</v>
      </c>
      <c r="E4256" s="59">
        <v>3.89316</v>
      </c>
      <c r="F4256" s="59">
        <v>6.4104999999999999</v>
      </c>
      <c r="G4256" s="56">
        <v>659.85400000000004</v>
      </c>
      <c r="H4256" s="56">
        <v>554.19899999999996</v>
      </c>
      <c r="I4256" s="58">
        <v>0.53395599999999999</v>
      </c>
      <c r="J4256" s="57">
        <v>0.48655700000000002</v>
      </c>
      <c r="K4256" s="56"/>
      <c r="L4256" s="56" t="s">
        <v>488</v>
      </c>
    </row>
    <row r="4257" spans="2:12" x14ac:dyDescent="0.2">
      <c r="B4257" s="62" t="s">
        <v>1519</v>
      </c>
      <c r="C4257" s="61" t="s">
        <v>1518</v>
      </c>
      <c r="D4257" s="60">
        <v>1.2993699999999999</v>
      </c>
      <c r="E4257" s="59">
        <v>4.4158999999999997</v>
      </c>
      <c r="F4257" s="59">
        <v>5.8166799999999999</v>
      </c>
      <c r="G4257" s="56">
        <v>732.31600000000003</v>
      </c>
      <c r="H4257" s="56">
        <v>563.59400000000005</v>
      </c>
      <c r="I4257" s="58">
        <v>0.338312</v>
      </c>
      <c r="J4257" s="57">
        <v>0.37301899999999999</v>
      </c>
      <c r="K4257" s="56"/>
      <c r="L4257" s="56" t="s">
        <v>488</v>
      </c>
    </row>
    <row r="4258" spans="2:12" x14ac:dyDescent="0.2">
      <c r="B4258" s="62" t="s">
        <v>1517</v>
      </c>
      <c r="C4258" s="61" t="s">
        <v>1516</v>
      </c>
      <c r="D4258" s="60">
        <v>1.31802</v>
      </c>
      <c r="E4258" s="59">
        <v>4.4065399999999997</v>
      </c>
      <c r="F4258" s="59">
        <v>5.7571099999999999</v>
      </c>
      <c r="G4258" s="56">
        <v>729.74</v>
      </c>
      <c r="H4258" s="56">
        <v>553.66499999999996</v>
      </c>
      <c r="I4258" s="58">
        <v>0.336455</v>
      </c>
      <c r="J4258" s="57">
        <v>0.36549399999999999</v>
      </c>
      <c r="K4258" s="56"/>
      <c r="L4258" s="56" t="s">
        <v>488</v>
      </c>
    </row>
    <row r="4259" spans="2:12" x14ac:dyDescent="0.2">
      <c r="B4259" s="62" t="s">
        <v>1515</v>
      </c>
      <c r="C4259" s="61" t="s">
        <v>548</v>
      </c>
      <c r="D4259" s="60">
        <v>1.6295900000000001</v>
      </c>
      <c r="E4259" s="59">
        <v>3.2345000000000002</v>
      </c>
      <c r="F4259" s="59">
        <v>5.7794800000000004</v>
      </c>
      <c r="G4259" s="56">
        <v>0</v>
      </c>
      <c r="H4259" s="56">
        <v>0</v>
      </c>
      <c r="I4259" s="58">
        <v>0.66556499999999996</v>
      </c>
      <c r="J4259" s="57">
        <v>0.31043799999999999</v>
      </c>
      <c r="K4259" s="56"/>
      <c r="L4259" s="56" t="s">
        <v>488</v>
      </c>
    </row>
    <row r="4260" spans="2:12" x14ac:dyDescent="0.2">
      <c r="B4260" s="62" t="s">
        <v>1514</v>
      </c>
      <c r="C4260" s="61" t="s">
        <v>537</v>
      </c>
      <c r="D4260" s="60">
        <v>1.1451100000000001</v>
      </c>
      <c r="E4260" s="59">
        <v>4.82003</v>
      </c>
      <c r="F4260" s="59">
        <v>6.3985900000000004</v>
      </c>
      <c r="G4260" s="56">
        <v>2042.85</v>
      </c>
      <c r="H4260" s="56">
        <v>1783.99</v>
      </c>
      <c r="I4260" s="58">
        <v>0.66339599999999999</v>
      </c>
      <c r="J4260" s="57">
        <v>0.55466199999999999</v>
      </c>
      <c r="K4260" s="56"/>
      <c r="L4260" s="56" t="s">
        <v>488</v>
      </c>
    </row>
    <row r="4261" spans="2:12" x14ac:dyDescent="0.2">
      <c r="B4261" s="62" t="s">
        <v>1513</v>
      </c>
      <c r="C4261" s="61" t="s">
        <v>502</v>
      </c>
      <c r="D4261" s="60">
        <v>1.4518899999999999</v>
      </c>
      <c r="E4261" s="59">
        <v>2.91526</v>
      </c>
      <c r="F4261" s="59">
        <v>4.4654299999999996</v>
      </c>
      <c r="G4261" s="56">
        <v>0</v>
      </c>
      <c r="H4261" s="56">
        <v>0</v>
      </c>
      <c r="I4261" s="58">
        <v>0.28462100000000001</v>
      </c>
      <c r="J4261" s="57">
        <v>0.31916499999999998</v>
      </c>
      <c r="K4261" s="56"/>
      <c r="L4261" s="56" t="s">
        <v>488</v>
      </c>
    </row>
    <row r="4262" spans="2:12" x14ac:dyDescent="0.2">
      <c r="B4262" s="62" t="s">
        <v>1512</v>
      </c>
      <c r="C4262" s="61" t="s">
        <v>495</v>
      </c>
      <c r="D4262" s="60">
        <v>1.0331699999999999</v>
      </c>
      <c r="E4262" s="59">
        <v>3.8115299999999999</v>
      </c>
      <c r="F4262" s="59">
        <v>5.7664200000000001</v>
      </c>
      <c r="G4262" s="56">
        <v>542.39099999999996</v>
      </c>
      <c r="H4262" s="56">
        <v>524.97699999999998</v>
      </c>
      <c r="I4262" s="58">
        <v>0.45415299999999997</v>
      </c>
      <c r="J4262" s="57">
        <v>0.53932100000000005</v>
      </c>
      <c r="K4262" s="56"/>
      <c r="L4262" s="56" t="s">
        <v>488</v>
      </c>
    </row>
    <row r="4263" spans="2:12" x14ac:dyDescent="0.2">
      <c r="B4263" s="62" t="s">
        <v>1511</v>
      </c>
      <c r="C4263" s="61" t="s">
        <v>510</v>
      </c>
      <c r="D4263" s="60">
        <v>1.07324</v>
      </c>
      <c r="E4263" s="59">
        <v>3.21523</v>
      </c>
      <c r="F4263" s="59">
        <v>5.2086100000000002</v>
      </c>
      <c r="G4263" s="56">
        <v>0</v>
      </c>
      <c r="H4263" s="56">
        <v>0</v>
      </c>
      <c r="I4263" s="58">
        <v>0.44678099999999998</v>
      </c>
      <c r="J4263" s="57">
        <v>0.52386299999999997</v>
      </c>
      <c r="K4263" s="56"/>
      <c r="L4263" s="56" t="s">
        <v>492</v>
      </c>
    </row>
    <row r="4264" spans="2:12" x14ac:dyDescent="0.2">
      <c r="B4264" s="62" t="s">
        <v>1510</v>
      </c>
      <c r="C4264" s="61" t="s">
        <v>510</v>
      </c>
      <c r="D4264" s="60">
        <v>1.00169</v>
      </c>
      <c r="E4264" s="59">
        <v>3.3986000000000001</v>
      </c>
      <c r="F4264" s="59">
        <v>5.5264800000000003</v>
      </c>
      <c r="G4264" s="56">
        <v>0</v>
      </c>
      <c r="H4264" s="56">
        <v>0</v>
      </c>
      <c r="I4264" s="58">
        <v>0.49637100000000001</v>
      </c>
      <c r="J4264" s="57">
        <v>0.59973799999999999</v>
      </c>
      <c r="K4264" s="56"/>
      <c r="L4264" s="56" t="s">
        <v>624</v>
      </c>
    </row>
    <row r="4265" spans="2:12" x14ac:dyDescent="0.2">
      <c r="B4265" s="62" t="s">
        <v>1509</v>
      </c>
      <c r="C4265" s="61" t="s">
        <v>531</v>
      </c>
      <c r="D4265" s="60">
        <v>1.1572199999999999</v>
      </c>
      <c r="E4265" s="59">
        <v>2.41926</v>
      </c>
      <c r="F4265" s="59">
        <v>6.3746600000000004</v>
      </c>
      <c r="G4265" s="56">
        <v>0</v>
      </c>
      <c r="H4265" s="56">
        <v>0</v>
      </c>
      <c r="I4265" s="58">
        <v>0.360767</v>
      </c>
      <c r="J4265" s="57">
        <v>0.43326599999999998</v>
      </c>
      <c r="K4265" s="56"/>
      <c r="L4265" s="56" t="s">
        <v>492</v>
      </c>
    </row>
    <row r="4266" spans="2:12" x14ac:dyDescent="0.2">
      <c r="B4266" s="62" t="s">
        <v>1508</v>
      </c>
      <c r="C4266" s="61" t="s">
        <v>1507</v>
      </c>
      <c r="D4266" s="60">
        <v>2.12798</v>
      </c>
      <c r="E4266" s="59">
        <v>3.0438100000000001</v>
      </c>
      <c r="F4266" s="59">
        <v>3.9272</v>
      </c>
      <c r="G4266" s="56">
        <v>0</v>
      </c>
      <c r="H4266" s="56">
        <v>0</v>
      </c>
      <c r="I4266" s="58">
        <v>0.24540400000000001</v>
      </c>
      <c r="J4266" s="57">
        <v>0.20836199999999999</v>
      </c>
      <c r="K4266" s="56"/>
      <c r="L4266" s="56" t="s">
        <v>488</v>
      </c>
    </row>
    <row r="4267" spans="2:12" x14ac:dyDescent="0.2">
      <c r="B4267" s="62" t="s">
        <v>1506</v>
      </c>
      <c r="C4267" s="61" t="s">
        <v>1505</v>
      </c>
      <c r="D4267" s="60">
        <v>2.0754999999999999</v>
      </c>
      <c r="E4267" s="59">
        <v>3.5683199999999999</v>
      </c>
      <c r="F4267" s="59">
        <v>5.1565099999999999</v>
      </c>
      <c r="G4267" s="56">
        <v>0</v>
      </c>
      <c r="H4267" s="56">
        <v>0</v>
      </c>
      <c r="I4267" s="58">
        <v>0.23480500000000001</v>
      </c>
      <c r="J4267" s="57">
        <v>0.20266200000000001</v>
      </c>
      <c r="K4267" s="56"/>
      <c r="L4267" s="56" t="s">
        <v>488</v>
      </c>
    </row>
    <row r="4268" spans="2:12" x14ac:dyDescent="0.2">
      <c r="B4268" s="62" t="s">
        <v>1504</v>
      </c>
      <c r="C4268" s="61" t="s">
        <v>550</v>
      </c>
      <c r="D4268" s="60">
        <v>1.6805600000000001</v>
      </c>
      <c r="E4268" s="59">
        <v>2.7854399999999999</v>
      </c>
      <c r="F4268" s="59">
        <v>3.8097799999999999</v>
      </c>
      <c r="G4268" s="56">
        <v>0</v>
      </c>
      <c r="H4268" s="56">
        <v>0</v>
      </c>
      <c r="I4268" s="58">
        <v>0.12586900000000001</v>
      </c>
      <c r="J4268" s="57">
        <v>0.25439699999999998</v>
      </c>
      <c r="K4268" s="56"/>
      <c r="L4268" s="56" t="s">
        <v>488</v>
      </c>
    </row>
    <row r="4269" spans="2:12" x14ac:dyDescent="0.2">
      <c r="B4269" s="62" t="s">
        <v>1503</v>
      </c>
      <c r="C4269" s="61" t="s">
        <v>550</v>
      </c>
      <c r="D4269" s="60">
        <v>1.46506</v>
      </c>
      <c r="E4269" s="59">
        <v>2.5985900000000002</v>
      </c>
      <c r="F4269" s="59">
        <v>6.18628</v>
      </c>
      <c r="G4269" s="56">
        <v>0</v>
      </c>
      <c r="H4269" s="56">
        <v>0</v>
      </c>
      <c r="I4269" s="58">
        <v>0.32611400000000001</v>
      </c>
      <c r="J4269" s="57">
        <v>0.34467500000000001</v>
      </c>
      <c r="K4269" s="56"/>
      <c r="L4269" s="56" t="s">
        <v>488</v>
      </c>
    </row>
    <row r="4270" spans="2:12" x14ac:dyDescent="0.2">
      <c r="B4270" s="62" t="s">
        <v>1502</v>
      </c>
      <c r="C4270" s="61" t="s">
        <v>612</v>
      </c>
      <c r="D4270" s="60">
        <v>0.80757599999999996</v>
      </c>
      <c r="E4270" s="59">
        <v>4.2684300000000004</v>
      </c>
      <c r="F4270" s="59">
        <v>7.5087400000000004</v>
      </c>
      <c r="G4270" s="56">
        <v>1708.09</v>
      </c>
      <c r="H4270" s="56">
        <v>2115.08</v>
      </c>
      <c r="I4270" s="58">
        <v>0.66514899999999999</v>
      </c>
      <c r="J4270" s="57">
        <v>0.78249000000000002</v>
      </c>
      <c r="K4270" s="56"/>
      <c r="L4270" s="56" t="s">
        <v>488</v>
      </c>
    </row>
    <row r="4271" spans="2:12" x14ac:dyDescent="0.2">
      <c r="B4271" s="62" t="s">
        <v>1501</v>
      </c>
      <c r="C4271" s="61" t="s">
        <v>1500</v>
      </c>
      <c r="D4271" s="60">
        <v>1.7433099999999999</v>
      </c>
      <c r="E4271" s="59">
        <v>3.2555999999999998</v>
      </c>
      <c r="F4271" s="59">
        <v>6.1706599999999998</v>
      </c>
      <c r="G4271" s="56">
        <v>0</v>
      </c>
      <c r="H4271" s="56">
        <v>0</v>
      </c>
      <c r="I4271" s="58">
        <v>0.35394300000000001</v>
      </c>
      <c r="J4271" s="57">
        <v>0.29426200000000002</v>
      </c>
      <c r="K4271" s="56"/>
      <c r="L4271" s="56" t="s">
        <v>488</v>
      </c>
    </row>
    <row r="4272" spans="2:12" x14ac:dyDescent="0.2">
      <c r="B4272" s="62" t="s">
        <v>1499</v>
      </c>
      <c r="C4272" s="61" t="s">
        <v>1498</v>
      </c>
      <c r="D4272" s="60">
        <v>1.59276</v>
      </c>
      <c r="E4272" s="59">
        <v>3.2656000000000001</v>
      </c>
      <c r="F4272" s="59">
        <v>6.0750000000000002</v>
      </c>
      <c r="G4272" s="56">
        <v>0</v>
      </c>
      <c r="H4272" s="56">
        <v>0</v>
      </c>
      <c r="I4272" s="58">
        <v>0.355437</v>
      </c>
      <c r="J4272" s="57">
        <v>0.31906400000000001</v>
      </c>
      <c r="K4272" s="56"/>
      <c r="L4272" s="56" t="s">
        <v>488</v>
      </c>
    </row>
    <row r="4273" spans="2:12" x14ac:dyDescent="0.2">
      <c r="B4273" s="62" t="s">
        <v>1497</v>
      </c>
      <c r="C4273" s="61" t="s">
        <v>541</v>
      </c>
      <c r="D4273" s="60">
        <v>1.95852</v>
      </c>
      <c r="E4273" s="59">
        <v>2.4144199999999998</v>
      </c>
      <c r="F4273" s="59">
        <v>4.6501400000000004</v>
      </c>
      <c r="G4273" s="56">
        <v>0</v>
      </c>
      <c r="H4273" s="56">
        <v>0</v>
      </c>
      <c r="I4273" s="58">
        <v>0.117419</v>
      </c>
      <c r="J4273" s="57">
        <v>0.22050500000000001</v>
      </c>
      <c r="K4273" s="56"/>
      <c r="L4273" s="56" t="s">
        <v>492</v>
      </c>
    </row>
    <row r="4274" spans="2:12" x14ac:dyDescent="0.2">
      <c r="B4274" s="62" t="s">
        <v>1496</v>
      </c>
      <c r="C4274" s="61" t="s">
        <v>582</v>
      </c>
      <c r="D4274" s="60">
        <v>2.0068299999999999</v>
      </c>
      <c r="E4274" s="59">
        <v>2.4342000000000001</v>
      </c>
      <c r="F4274" s="59">
        <v>4.6504599999999998</v>
      </c>
      <c r="G4274" s="56">
        <v>0</v>
      </c>
      <c r="H4274" s="56">
        <v>0</v>
      </c>
      <c r="I4274" s="58">
        <v>0.12536700000000001</v>
      </c>
      <c r="J4274" s="57">
        <v>0.21323400000000001</v>
      </c>
      <c r="K4274" s="56"/>
      <c r="L4274" s="56" t="s">
        <v>492</v>
      </c>
    </row>
    <row r="4275" spans="2:12" x14ac:dyDescent="0.2">
      <c r="B4275" s="62" t="s">
        <v>1495</v>
      </c>
      <c r="C4275" s="61" t="s">
        <v>1494</v>
      </c>
      <c r="D4275" s="60">
        <v>1.1581699999999999</v>
      </c>
      <c r="E4275" s="59">
        <v>4.1594899999999999</v>
      </c>
      <c r="F4275" s="59">
        <v>4.4172500000000001</v>
      </c>
      <c r="G4275" s="56">
        <v>894.84199999999998</v>
      </c>
      <c r="H4275" s="56">
        <v>772.63699999999994</v>
      </c>
      <c r="I4275" s="58">
        <v>0.38036700000000001</v>
      </c>
      <c r="J4275" s="57">
        <v>0.46613100000000002</v>
      </c>
      <c r="K4275" s="56"/>
      <c r="L4275" s="56" t="s">
        <v>488</v>
      </c>
    </row>
    <row r="4276" spans="2:12" x14ac:dyDescent="0.2">
      <c r="B4276" s="62" t="s">
        <v>1493</v>
      </c>
      <c r="C4276" s="61" t="s">
        <v>616</v>
      </c>
      <c r="D4276" s="60">
        <v>2.2517200000000002</v>
      </c>
      <c r="E4276" s="59">
        <v>5.9580099999999998</v>
      </c>
      <c r="F4276" s="59">
        <v>7.38612</v>
      </c>
      <c r="G4276" s="56">
        <v>1114.26</v>
      </c>
      <c r="H4276" s="56">
        <v>494.84699999999998</v>
      </c>
      <c r="I4276" s="58">
        <v>0.42565900000000001</v>
      </c>
      <c r="J4276" s="57">
        <v>0.23600699999999999</v>
      </c>
      <c r="K4276" s="56"/>
      <c r="L4276" s="56" t="s">
        <v>488</v>
      </c>
    </row>
    <row r="4277" spans="2:12" x14ac:dyDescent="0.2">
      <c r="B4277" s="62" t="s">
        <v>1492</v>
      </c>
      <c r="C4277" s="61" t="s">
        <v>541</v>
      </c>
      <c r="D4277" s="60">
        <v>1.4789000000000001</v>
      </c>
      <c r="E4277" s="59">
        <v>4.85588</v>
      </c>
      <c r="F4277" s="59">
        <v>5.8425000000000002</v>
      </c>
      <c r="G4277" s="56">
        <v>1654.47</v>
      </c>
      <c r="H4277" s="56">
        <v>1118.72</v>
      </c>
      <c r="I4277" s="58">
        <v>0.52750699999999995</v>
      </c>
      <c r="J4277" s="57">
        <v>0.42023700000000003</v>
      </c>
      <c r="K4277" s="56"/>
      <c r="L4277" s="56" t="s">
        <v>488</v>
      </c>
    </row>
    <row r="4278" spans="2:12" x14ac:dyDescent="0.2">
      <c r="B4278" s="62" t="s">
        <v>1491</v>
      </c>
      <c r="C4278" s="61" t="s">
        <v>533</v>
      </c>
      <c r="D4278" s="60">
        <v>1.6009599999999999</v>
      </c>
      <c r="E4278" s="59">
        <v>4.6728500000000004</v>
      </c>
      <c r="F4278" s="59">
        <v>5.6972300000000002</v>
      </c>
      <c r="G4278" s="56">
        <v>1629.37</v>
      </c>
      <c r="H4278" s="56">
        <v>1017.75</v>
      </c>
      <c r="I4278" s="58">
        <v>0.52376500000000004</v>
      </c>
      <c r="J4278" s="57">
        <v>0.38181100000000001</v>
      </c>
      <c r="K4278" s="56"/>
      <c r="L4278" s="56" t="s">
        <v>488</v>
      </c>
    </row>
    <row r="4279" spans="2:12" x14ac:dyDescent="0.2">
      <c r="B4279" s="62" t="s">
        <v>1490</v>
      </c>
      <c r="C4279" s="61" t="s">
        <v>550</v>
      </c>
      <c r="D4279" s="60">
        <v>1.3693599999999999</v>
      </c>
      <c r="E4279" s="59">
        <v>3.1924299999999999</v>
      </c>
      <c r="F4279" s="59">
        <v>4.4549200000000004</v>
      </c>
      <c r="G4279" s="56">
        <v>0</v>
      </c>
      <c r="H4279" s="56">
        <v>0</v>
      </c>
      <c r="I4279" s="58">
        <v>0.15057300000000001</v>
      </c>
      <c r="J4279" s="57">
        <v>0.30362099999999997</v>
      </c>
      <c r="K4279" s="56"/>
      <c r="L4279" s="56" t="s">
        <v>492</v>
      </c>
    </row>
    <row r="4280" spans="2:12" x14ac:dyDescent="0.2">
      <c r="B4280" s="62" t="s">
        <v>1489</v>
      </c>
      <c r="C4280" s="61" t="s">
        <v>569</v>
      </c>
      <c r="D4280" s="60">
        <v>1.3766400000000001</v>
      </c>
      <c r="E4280" s="59">
        <v>2.5421299999999998</v>
      </c>
      <c r="F4280" s="59">
        <v>4.1148699999999998</v>
      </c>
      <c r="G4280" s="56">
        <v>0</v>
      </c>
      <c r="H4280" s="56">
        <v>0</v>
      </c>
      <c r="I4280" s="58">
        <v>0.28517599999999999</v>
      </c>
      <c r="J4280" s="57">
        <v>0.295348</v>
      </c>
      <c r="K4280" s="56"/>
      <c r="L4280" s="56" t="s">
        <v>488</v>
      </c>
    </row>
    <row r="4281" spans="2:12" x14ac:dyDescent="0.2">
      <c r="B4281" s="62" t="s">
        <v>1488</v>
      </c>
      <c r="C4281" s="61" t="s">
        <v>579</v>
      </c>
      <c r="D4281" s="60">
        <v>2.0827499999999999</v>
      </c>
      <c r="E4281" s="59">
        <v>2.55402</v>
      </c>
      <c r="F4281" s="59">
        <v>3.47316</v>
      </c>
      <c r="G4281" s="56">
        <v>0</v>
      </c>
      <c r="H4281" s="56">
        <v>0</v>
      </c>
      <c r="I4281" s="58">
        <v>0.152393</v>
      </c>
      <c r="J4281" s="57">
        <v>0.19614899999999999</v>
      </c>
      <c r="K4281" s="56"/>
      <c r="L4281" s="56" t="s">
        <v>488</v>
      </c>
    </row>
    <row r="4282" spans="2:12" x14ac:dyDescent="0.2">
      <c r="B4282" s="62" t="s">
        <v>1487</v>
      </c>
      <c r="C4282" s="61" t="s">
        <v>541</v>
      </c>
      <c r="D4282" s="60">
        <v>2.1481499999999998</v>
      </c>
      <c r="E4282" s="59">
        <v>2.5063499999999999</v>
      </c>
      <c r="F4282" s="59">
        <v>3.4399899999999999</v>
      </c>
      <c r="G4282" s="56">
        <v>0</v>
      </c>
      <c r="H4282" s="56">
        <v>0</v>
      </c>
      <c r="I4282" s="58">
        <v>0.14847199999999999</v>
      </c>
      <c r="J4282" s="57">
        <v>0.18654799999999999</v>
      </c>
      <c r="K4282" s="56"/>
      <c r="L4282" s="56" t="s">
        <v>488</v>
      </c>
    </row>
    <row r="4283" spans="2:12" x14ac:dyDescent="0.2">
      <c r="B4283" s="62" t="s">
        <v>1486</v>
      </c>
      <c r="C4283" s="61" t="s">
        <v>531</v>
      </c>
      <c r="D4283" s="60">
        <v>2.2327699999999999</v>
      </c>
      <c r="E4283" s="59">
        <v>2.4563899999999999</v>
      </c>
      <c r="F4283" s="59">
        <v>3.4334799999999999</v>
      </c>
      <c r="G4283" s="56">
        <v>0</v>
      </c>
      <c r="H4283" s="56">
        <v>0</v>
      </c>
      <c r="I4283" s="58">
        <v>0.14441999999999999</v>
      </c>
      <c r="J4283" s="57">
        <v>0.17668500000000001</v>
      </c>
      <c r="K4283" s="56"/>
      <c r="L4283" s="56" t="s">
        <v>488</v>
      </c>
    </row>
    <row r="4284" spans="2:12" x14ac:dyDescent="0.2">
      <c r="B4284" s="62" t="s">
        <v>1485</v>
      </c>
      <c r="C4284" s="61" t="s">
        <v>533</v>
      </c>
      <c r="D4284" s="60">
        <v>2.2918599999999998</v>
      </c>
      <c r="E4284" s="59">
        <v>2.4254899999999999</v>
      </c>
      <c r="F4284" s="59">
        <v>3.4113099999999998</v>
      </c>
      <c r="G4284" s="56">
        <v>0</v>
      </c>
      <c r="H4284" s="56">
        <v>0</v>
      </c>
      <c r="I4284" s="58">
        <v>0.14189499999999999</v>
      </c>
      <c r="J4284" s="57">
        <v>0.170377</v>
      </c>
      <c r="K4284" s="56"/>
      <c r="L4284" s="56" t="s">
        <v>488</v>
      </c>
    </row>
    <row r="4285" spans="2:12" x14ac:dyDescent="0.2">
      <c r="B4285" s="62" t="s">
        <v>1484</v>
      </c>
      <c r="C4285" s="61" t="s">
        <v>535</v>
      </c>
      <c r="D4285" s="60">
        <v>2.3031299999999999</v>
      </c>
      <c r="E4285" s="59">
        <v>2.41106</v>
      </c>
      <c r="F4285" s="59">
        <v>3.4255800000000001</v>
      </c>
      <c r="G4285" s="56">
        <v>0</v>
      </c>
      <c r="H4285" s="56">
        <v>0</v>
      </c>
      <c r="I4285" s="58">
        <v>0.141398</v>
      </c>
      <c r="J4285" s="57">
        <v>0.16936999999999999</v>
      </c>
      <c r="K4285" s="56"/>
      <c r="L4285" s="56" t="s">
        <v>488</v>
      </c>
    </row>
    <row r="4286" spans="2:12" x14ac:dyDescent="0.2">
      <c r="B4286" s="62" t="s">
        <v>1483</v>
      </c>
      <c r="C4286" s="61" t="s">
        <v>582</v>
      </c>
      <c r="D4286" s="60">
        <v>2.1228199999999999</v>
      </c>
      <c r="E4286" s="59">
        <v>2.5378400000000001</v>
      </c>
      <c r="F4286" s="59">
        <v>3.85981</v>
      </c>
      <c r="G4286" s="56">
        <v>0</v>
      </c>
      <c r="H4286" s="56">
        <v>0</v>
      </c>
      <c r="I4286" s="58">
        <v>0.21631300000000001</v>
      </c>
      <c r="J4286" s="57">
        <v>0.198102</v>
      </c>
      <c r="K4286" s="56"/>
      <c r="L4286" s="56" t="s">
        <v>488</v>
      </c>
    </row>
    <row r="4287" spans="2:12" x14ac:dyDescent="0.2">
      <c r="B4287" s="62" t="s">
        <v>1482</v>
      </c>
      <c r="C4287" s="61" t="s">
        <v>535</v>
      </c>
      <c r="D4287" s="60">
        <v>2.2023799999999998</v>
      </c>
      <c r="E4287" s="59">
        <v>2.4915799999999999</v>
      </c>
      <c r="F4287" s="59">
        <v>3.8138899999999998</v>
      </c>
      <c r="G4287" s="56">
        <v>0</v>
      </c>
      <c r="H4287" s="56">
        <v>0</v>
      </c>
      <c r="I4287" s="58">
        <v>0.213176</v>
      </c>
      <c r="J4287" s="57">
        <v>0.18886700000000001</v>
      </c>
      <c r="K4287" s="56"/>
      <c r="L4287" s="56" t="s">
        <v>488</v>
      </c>
    </row>
    <row r="4288" spans="2:12" x14ac:dyDescent="0.2">
      <c r="B4288" s="62" t="s">
        <v>1481</v>
      </c>
      <c r="C4288" s="61" t="s">
        <v>537</v>
      </c>
      <c r="D4288" s="60">
        <v>2.24613</v>
      </c>
      <c r="E4288" s="59">
        <v>2.4615800000000001</v>
      </c>
      <c r="F4288" s="59">
        <v>3.79108</v>
      </c>
      <c r="G4288" s="56">
        <v>0</v>
      </c>
      <c r="H4288" s="56">
        <v>0</v>
      </c>
      <c r="I4288" s="58">
        <v>0.208589</v>
      </c>
      <c r="J4288" s="57">
        <v>0.18343400000000001</v>
      </c>
      <c r="K4288" s="56"/>
      <c r="L4288" s="56" t="s">
        <v>488</v>
      </c>
    </row>
    <row r="4289" spans="2:12" x14ac:dyDescent="0.2">
      <c r="B4289" s="62" t="s">
        <v>1480</v>
      </c>
      <c r="C4289" s="61" t="s">
        <v>558</v>
      </c>
      <c r="D4289" s="60">
        <v>2.2812199999999998</v>
      </c>
      <c r="E4289" s="59">
        <v>2.4418600000000001</v>
      </c>
      <c r="F4289" s="59">
        <v>3.7685900000000001</v>
      </c>
      <c r="G4289" s="56">
        <v>0</v>
      </c>
      <c r="H4289" s="56">
        <v>0</v>
      </c>
      <c r="I4289" s="58">
        <v>0.20803099999999999</v>
      </c>
      <c r="J4289" s="57">
        <v>0.179534</v>
      </c>
      <c r="K4289" s="56"/>
      <c r="L4289" s="56" t="s">
        <v>488</v>
      </c>
    </row>
    <row r="4290" spans="2:12" x14ac:dyDescent="0.2">
      <c r="B4290" s="62" t="s">
        <v>1479</v>
      </c>
      <c r="C4290" s="61" t="s">
        <v>1226</v>
      </c>
      <c r="D4290" s="60">
        <v>2.3550399999999998</v>
      </c>
      <c r="E4290" s="59">
        <v>2.4146999999999998</v>
      </c>
      <c r="F4290" s="59">
        <v>3.7278600000000002</v>
      </c>
      <c r="G4290" s="56">
        <v>0</v>
      </c>
      <c r="H4290" s="56">
        <v>0</v>
      </c>
      <c r="I4290" s="58">
        <v>0.21642700000000001</v>
      </c>
      <c r="J4290" s="57">
        <v>0.17263400000000001</v>
      </c>
      <c r="K4290" s="56"/>
      <c r="L4290" s="56" t="s">
        <v>488</v>
      </c>
    </row>
    <row r="4291" spans="2:12" x14ac:dyDescent="0.2">
      <c r="B4291" s="62" t="s">
        <v>1478</v>
      </c>
      <c r="C4291" s="61" t="s">
        <v>612</v>
      </c>
      <c r="D4291" s="60">
        <v>1.23766</v>
      </c>
      <c r="E4291" s="59">
        <v>4.5914999999999999</v>
      </c>
      <c r="F4291" s="59">
        <v>5.0346099999999998</v>
      </c>
      <c r="G4291" s="56">
        <v>652.48900000000003</v>
      </c>
      <c r="H4291" s="56">
        <v>527.197</v>
      </c>
      <c r="I4291" s="58">
        <v>0.34264</v>
      </c>
      <c r="J4291" s="57">
        <v>0.36767899999999998</v>
      </c>
      <c r="K4291" s="56"/>
      <c r="L4291" s="56" t="s">
        <v>488</v>
      </c>
    </row>
    <row r="4292" spans="2:12" x14ac:dyDescent="0.2">
      <c r="B4292" s="62" t="s">
        <v>1477</v>
      </c>
      <c r="C4292" s="61" t="s">
        <v>499</v>
      </c>
      <c r="D4292" s="60">
        <v>0.58990100000000001</v>
      </c>
      <c r="E4292" s="59">
        <v>7.9396899999999997</v>
      </c>
      <c r="F4292" s="59">
        <v>15.083539999999999</v>
      </c>
      <c r="G4292" s="56">
        <v>2171.5100000000002</v>
      </c>
      <c r="H4292" s="56">
        <v>3681.14</v>
      </c>
      <c r="I4292" s="58">
        <v>0.820994</v>
      </c>
      <c r="J4292" s="57">
        <v>1.36913</v>
      </c>
      <c r="K4292" s="56"/>
      <c r="L4292" s="56" t="s">
        <v>488</v>
      </c>
    </row>
    <row r="4293" spans="2:12" x14ac:dyDescent="0.2">
      <c r="B4293" s="62" t="s">
        <v>1476</v>
      </c>
      <c r="C4293" s="61" t="s">
        <v>499</v>
      </c>
      <c r="D4293" s="60">
        <v>0.44999</v>
      </c>
      <c r="E4293" s="59">
        <v>10.005710000000001</v>
      </c>
      <c r="F4293" s="59">
        <v>17.270479999999999</v>
      </c>
      <c r="G4293" s="56">
        <v>1935.8</v>
      </c>
      <c r="H4293" s="56">
        <v>4301.87</v>
      </c>
      <c r="I4293" s="58">
        <v>0.87261999999999995</v>
      </c>
      <c r="J4293" s="57">
        <v>1.8878600000000001</v>
      </c>
      <c r="K4293" s="56"/>
      <c r="L4293" s="56" t="s">
        <v>488</v>
      </c>
    </row>
    <row r="4294" spans="2:12" x14ac:dyDescent="0.2">
      <c r="B4294" s="62" t="s">
        <v>1475</v>
      </c>
      <c r="C4294" s="61" t="s">
        <v>708</v>
      </c>
      <c r="D4294" s="60">
        <v>1.2151000000000001</v>
      </c>
      <c r="E4294" s="59">
        <v>3.6298599999999999</v>
      </c>
      <c r="F4294" s="59">
        <v>5.4072800000000001</v>
      </c>
      <c r="G4294" s="56">
        <v>0</v>
      </c>
      <c r="H4294" s="56">
        <v>0</v>
      </c>
      <c r="I4294" s="58">
        <v>0.32888099999999998</v>
      </c>
      <c r="J4294" s="57">
        <v>0.41472700000000001</v>
      </c>
      <c r="K4294" s="56"/>
      <c r="L4294" s="56" t="s">
        <v>488</v>
      </c>
    </row>
    <row r="4295" spans="2:12" x14ac:dyDescent="0.2">
      <c r="B4295" s="62" t="s">
        <v>1474</v>
      </c>
      <c r="C4295" s="61" t="s">
        <v>1473</v>
      </c>
      <c r="D4295" s="60">
        <v>1.55505</v>
      </c>
      <c r="E4295" s="59">
        <v>3.8821099999999999</v>
      </c>
      <c r="F4295" s="59">
        <v>5.0338599999999998</v>
      </c>
      <c r="G4295" s="56">
        <v>267.58600000000001</v>
      </c>
      <c r="H4295" s="56">
        <v>172.07499999999999</v>
      </c>
      <c r="I4295" s="58">
        <v>0.38804699999999998</v>
      </c>
      <c r="J4295" s="57">
        <v>0.316772</v>
      </c>
      <c r="K4295" s="56"/>
      <c r="L4295" s="56" t="s">
        <v>492</v>
      </c>
    </row>
    <row r="4296" spans="2:12" x14ac:dyDescent="0.2">
      <c r="B4296" s="62" t="s">
        <v>1472</v>
      </c>
      <c r="C4296" s="61" t="s">
        <v>510</v>
      </c>
      <c r="D4296" s="60">
        <v>1.0386599999999999</v>
      </c>
      <c r="E4296" s="59">
        <v>4.0787399999999998</v>
      </c>
      <c r="F4296" s="59">
        <v>6.0115800000000004</v>
      </c>
      <c r="G4296" s="56">
        <v>1293.33</v>
      </c>
      <c r="H4296" s="56">
        <v>1245.19</v>
      </c>
      <c r="I4296" s="58">
        <v>0.55133100000000002</v>
      </c>
      <c r="J4296" s="57">
        <v>0.56077999999999995</v>
      </c>
      <c r="K4296" s="56"/>
      <c r="L4296" s="56" t="s">
        <v>488</v>
      </c>
    </row>
    <row r="4297" spans="2:12" x14ac:dyDescent="0.2">
      <c r="B4297" s="62" t="s">
        <v>1471</v>
      </c>
      <c r="C4297" s="61" t="s">
        <v>510</v>
      </c>
      <c r="D4297" s="60">
        <v>1.05921</v>
      </c>
      <c r="E4297" s="59">
        <v>3.95783</v>
      </c>
      <c r="F4297" s="59">
        <v>5.9254300000000004</v>
      </c>
      <c r="G4297" s="56">
        <v>1211.79</v>
      </c>
      <c r="H4297" s="56">
        <v>1144.06</v>
      </c>
      <c r="I4297" s="58">
        <v>0.52811399999999997</v>
      </c>
      <c r="J4297" s="57">
        <v>0.54280300000000004</v>
      </c>
      <c r="K4297" s="56"/>
      <c r="L4297" s="56" t="s">
        <v>488</v>
      </c>
    </row>
    <row r="4298" spans="2:12" x14ac:dyDescent="0.2">
      <c r="B4298" s="62" t="s">
        <v>1470</v>
      </c>
      <c r="C4298" s="61" t="s">
        <v>510</v>
      </c>
      <c r="D4298" s="60">
        <v>1.06894</v>
      </c>
      <c r="E4298" s="59">
        <v>3.8941599999999998</v>
      </c>
      <c r="F4298" s="59">
        <v>5.7298</v>
      </c>
      <c r="G4298" s="56">
        <v>1177.8</v>
      </c>
      <c r="H4298" s="56">
        <v>1101.8399999999999</v>
      </c>
      <c r="I4298" s="58">
        <v>0.517849</v>
      </c>
      <c r="J4298" s="57">
        <v>0.53263499999999997</v>
      </c>
      <c r="K4298" s="56"/>
      <c r="L4298" s="56" t="s">
        <v>488</v>
      </c>
    </row>
    <row r="4299" spans="2:12" x14ac:dyDescent="0.2">
      <c r="B4299" s="62" t="s">
        <v>1469</v>
      </c>
      <c r="C4299" s="61" t="s">
        <v>510</v>
      </c>
      <c r="D4299" s="60">
        <v>1.0507500000000001</v>
      </c>
      <c r="E4299" s="59">
        <v>4.06358</v>
      </c>
      <c r="F4299" s="59">
        <v>5.93858</v>
      </c>
      <c r="G4299" s="56">
        <v>1270.8800000000001</v>
      </c>
      <c r="H4299" s="56">
        <v>1209.5</v>
      </c>
      <c r="I4299" s="58">
        <v>0.54128399999999999</v>
      </c>
      <c r="J4299" s="57">
        <v>0.55005499999999996</v>
      </c>
      <c r="K4299" s="56"/>
      <c r="L4299" s="56" t="s">
        <v>488</v>
      </c>
    </row>
    <row r="4300" spans="2:12" x14ac:dyDescent="0.2">
      <c r="B4300" s="62" t="s">
        <v>1468</v>
      </c>
      <c r="C4300" s="61" t="s">
        <v>510</v>
      </c>
      <c r="D4300" s="60">
        <v>1.0744499999999999</v>
      </c>
      <c r="E4300" s="59">
        <v>3.8327800000000001</v>
      </c>
      <c r="F4300" s="59">
        <v>5.6376200000000001</v>
      </c>
      <c r="G4300" s="56">
        <v>1102.8699999999999</v>
      </c>
      <c r="H4300" s="56">
        <v>1026.45</v>
      </c>
      <c r="I4300" s="58">
        <v>0.51563499999999995</v>
      </c>
      <c r="J4300" s="57">
        <v>0.52840100000000001</v>
      </c>
      <c r="K4300" s="56"/>
      <c r="L4300" s="56" t="s">
        <v>488</v>
      </c>
    </row>
    <row r="4301" spans="2:12" x14ac:dyDescent="0.2">
      <c r="B4301" s="62" t="s">
        <v>1467</v>
      </c>
      <c r="C4301" s="61" t="s">
        <v>510</v>
      </c>
      <c r="D4301" s="60">
        <v>1.0422499999999999</v>
      </c>
      <c r="E4301" s="59">
        <v>4.1299700000000001</v>
      </c>
      <c r="F4301" s="59">
        <v>5.9191200000000004</v>
      </c>
      <c r="G4301" s="56">
        <v>1248.52</v>
      </c>
      <c r="H4301" s="56">
        <v>1197.92</v>
      </c>
      <c r="I4301" s="58">
        <v>0.54402399999999995</v>
      </c>
      <c r="J4301" s="57">
        <v>0.55652000000000001</v>
      </c>
      <c r="K4301" s="56"/>
      <c r="L4301" s="56" t="s">
        <v>488</v>
      </c>
    </row>
    <row r="4302" spans="2:12" x14ac:dyDescent="0.2">
      <c r="B4302" s="62" t="s">
        <v>1466</v>
      </c>
      <c r="C4302" s="61" t="s">
        <v>510</v>
      </c>
      <c r="D4302" s="60">
        <v>1.0431299999999999</v>
      </c>
      <c r="E4302" s="59">
        <v>4.1240300000000003</v>
      </c>
      <c r="F4302" s="59">
        <v>5.9175700000000004</v>
      </c>
      <c r="G4302" s="56">
        <v>1264.26</v>
      </c>
      <c r="H4302" s="56">
        <v>1211.99</v>
      </c>
      <c r="I4302" s="58">
        <v>0.54343799999999998</v>
      </c>
      <c r="J4302" s="57">
        <v>0.55525100000000005</v>
      </c>
      <c r="K4302" s="56"/>
      <c r="L4302" s="56" t="s">
        <v>488</v>
      </c>
    </row>
    <row r="4303" spans="2:12" x14ac:dyDescent="0.2">
      <c r="B4303" s="62" t="s">
        <v>1465</v>
      </c>
      <c r="C4303" s="61" t="s">
        <v>625</v>
      </c>
      <c r="D4303" s="60">
        <v>1.28356</v>
      </c>
      <c r="E4303" s="59">
        <v>4.0363100000000003</v>
      </c>
      <c r="F4303" s="59">
        <v>5.0869499999999999</v>
      </c>
      <c r="G4303" s="56">
        <v>741.59799999999996</v>
      </c>
      <c r="H4303" s="56">
        <v>577.76700000000005</v>
      </c>
      <c r="I4303" s="58">
        <v>0.42244500000000001</v>
      </c>
      <c r="J4303" s="57">
        <v>0.43028699999999998</v>
      </c>
      <c r="K4303" s="56"/>
      <c r="L4303" s="56" t="s">
        <v>488</v>
      </c>
    </row>
    <row r="4304" spans="2:12" x14ac:dyDescent="0.2">
      <c r="B4304" s="62" t="s">
        <v>1464</v>
      </c>
      <c r="C4304" s="61" t="s">
        <v>1463</v>
      </c>
      <c r="D4304" s="60">
        <v>1.6957</v>
      </c>
      <c r="E4304" s="59">
        <v>3.8612099999999998</v>
      </c>
      <c r="F4304" s="59">
        <v>4.4385500000000002</v>
      </c>
      <c r="G4304" s="56">
        <v>128.702</v>
      </c>
      <c r="H4304" s="56">
        <v>75.899100000000004</v>
      </c>
      <c r="I4304" s="58">
        <v>0.18882599999999999</v>
      </c>
      <c r="J4304" s="57">
        <v>0.26526300000000003</v>
      </c>
      <c r="K4304" s="56"/>
      <c r="L4304" s="56" t="s">
        <v>730</v>
      </c>
    </row>
    <row r="4305" spans="2:12" x14ac:dyDescent="0.2">
      <c r="B4305" s="62" t="s">
        <v>1462</v>
      </c>
      <c r="C4305" s="61" t="s">
        <v>625</v>
      </c>
      <c r="D4305" s="60">
        <v>1.5265</v>
      </c>
      <c r="E4305" s="59">
        <v>2.5534500000000002</v>
      </c>
      <c r="F4305" s="59">
        <v>5.22811</v>
      </c>
      <c r="G4305" s="56">
        <v>0</v>
      </c>
      <c r="H4305" s="56">
        <v>0</v>
      </c>
      <c r="I4305" s="58">
        <v>0.210395</v>
      </c>
      <c r="J4305" s="57">
        <v>0.28113700000000003</v>
      </c>
      <c r="K4305" s="56"/>
      <c r="L4305" s="56" t="s">
        <v>492</v>
      </c>
    </row>
    <row r="4306" spans="2:12" x14ac:dyDescent="0.2">
      <c r="B4306" s="62" t="s">
        <v>1461</v>
      </c>
      <c r="C4306" s="61" t="s">
        <v>510</v>
      </c>
      <c r="D4306" s="60">
        <v>1.15551</v>
      </c>
      <c r="E4306" s="59">
        <v>2.79467</v>
      </c>
      <c r="F4306" s="59">
        <v>5.1631900000000002</v>
      </c>
      <c r="G4306" s="56">
        <v>0</v>
      </c>
      <c r="H4306" s="56">
        <v>0</v>
      </c>
      <c r="I4306" s="58">
        <v>0.43080800000000002</v>
      </c>
      <c r="J4306" s="57">
        <v>0.45593099999999998</v>
      </c>
      <c r="K4306" s="56"/>
      <c r="L4306" s="56" t="s">
        <v>488</v>
      </c>
    </row>
    <row r="4307" spans="2:12" x14ac:dyDescent="0.2">
      <c r="B4307" s="62" t="s">
        <v>1460</v>
      </c>
      <c r="C4307" s="61" t="s">
        <v>510</v>
      </c>
      <c r="D4307" s="60">
        <v>0.81010199999999999</v>
      </c>
      <c r="E4307" s="59">
        <v>9.5261399999999998</v>
      </c>
      <c r="F4307" s="59">
        <v>14.37312</v>
      </c>
      <c r="G4307" s="56">
        <v>1403.19</v>
      </c>
      <c r="H4307" s="56">
        <v>1732.12</v>
      </c>
      <c r="I4307" s="58">
        <v>0.62401499999999999</v>
      </c>
      <c r="J4307" s="57">
        <v>0.80254099999999995</v>
      </c>
      <c r="K4307" s="56"/>
      <c r="L4307" s="56" t="s">
        <v>492</v>
      </c>
    </row>
    <row r="4308" spans="2:12" x14ac:dyDescent="0.2">
      <c r="B4308" s="62" t="s">
        <v>1459</v>
      </c>
      <c r="C4308" s="61" t="s">
        <v>702</v>
      </c>
      <c r="D4308" s="60">
        <v>0.57659800000000005</v>
      </c>
      <c r="E4308" s="59">
        <v>9.0674499999999991</v>
      </c>
      <c r="F4308" s="59">
        <v>26.295069999999999</v>
      </c>
      <c r="G4308" s="56">
        <v>1722.8</v>
      </c>
      <c r="H4308" s="56">
        <v>2987.86</v>
      </c>
      <c r="I4308" s="58">
        <v>0.85573399999999999</v>
      </c>
      <c r="J4308" s="57">
        <v>1.42909</v>
      </c>
      <c r="K4308" s="56"/>
      <c r="L4308" s="56" t="s">
        <v>488</v>
      </c>
    </row>
    <row r="4309" spans="2:12" x14ac:dyDescent="0.2">
      <c r="B4309" s="62" t="s">
        <v>1458</v>
      </c>
      <c r="C4309" s="61" t="s">
        <v>918</v>
      </c>
      <c r="D4309" s="60">
        <v>0.74946100000000004</v>
      </c>
      <c r="E4309" s="59">
        <v>8.9712599999999991</v>
      </c>
      <c r="F4309" s="59">
        <v>26.23104</v>
      </c>
      <c r="G4309" s="56">
        <v>1726.19</v>
      </c>
      <c r="H4309" s="56">
        <v>2303.25</v>
      </c>
      <c r="I4309" s="58">
        <v>0.85418099999999997</v>
      </c>
      <c r="J4309" s="57">
        <v>1.0987100000000001</v>
      </c>
      <c r="K4309" s="56"/>
      <c r="L4309" s="56" t="s">
        <v>488</v>
      </c>
    </row>
    <row r="4310" spans="2:12" x14ac:dyDescent="0.2">
      <c r="B4310" s="62" t="s">
        <v>1457</v>
      </c>
      <c r="C4310" s="61" t="s">
        <v>510</v>
      </c>
      <c r="D4310" s="60">
        <v>1.08873</v>
      </c>
      <c r="E4310" s="59">
        <v>5.056</v>
      </c>
      <c r="F4310" s="59">
        <v>6.6435199999999996</v>
      </c>
      <c r="G4310" s="56">
        <v>1043.8800000000001</v>
      </c>
      <c r="H4310" s="56">
        <v>946.48099999999999</v>
      </c>
      <c r="I4310" s="58">
        <v>0.42165399999999997</v>
      </c>
      <c r="J4310" s="57">
        <v>0.49354500000000001</v>
      </c>
      <c r="K4310" s="56"/>
      <c r="L4310" s="56" t="s">
        <v>492</v>
      </c>
    </row>
    <row r="4311" spans="2:12" x14ac:dyDescent="0.2">
      <c r="B4311" s="62" t="s">
        <v>1456</v>
      </c>
      <c r="C4311" s="61" t="s">
        <v>510</v>
      </c>
      <c r="D4311" s="60">
        <v>1.1029100000000001</v>
      </c>
      <c r="E4311" s="59">
        <v>5.1498499999999998</v>
      </c>
      <c r="F4311" s="59">
        <v>6.8532000000000002</v>
      </c>
      <c r="G4311" s="56">
        <v>1096.75</v>
      </c>
      <c r="H4311" s="56">
        <v>1007.37</v>
      </c>
      <c r="I4311" s="58">
        <v>0.39909299999999998</v>
      </c>
      <c r="J4311" s="57">
        <v>0.47255399999999997</v>
      </c>
      <c r="K4311" s="56"/>
      <c r="L4311" s="56" t="s">
        <v>492</v>
      </c>
    </row>
    <row r="4312" spans="2:12" x14ac:dyDescent="0.2">
      <c r="B4312" s="62" t="s">
        <v>1455</v>
      </c>
      <c r="C4312" s="61" t="s">
        <v>499</v>
      </c>
      <c r="D4312" s="60">
        <v>1.1226499999999999</v>
      </c>
      <c r="E4312" s="59">
        <v>5.1475999999999997</v>
      </c>
      <c r="F4312" s="59">
        <v>6.8499800000000004</v>
      </c>
      <c r="G4312" s="56">
        <v>1096.28</v>
      </c>
      <c r="H4312" s="56">
        <v>980.29600000000005</v>
      </c>
      <c r="I4312" s="58">
        <v>0.42489900000000003</v>
      </c>
      <c r="J4312" s="57">
        <v>0.48330200000000001</v>
      </c>
      <c r="K4312" s="56"/>
      <c r="L4312" s="56" t="s">
        <v>492</v>
      </c>
    </row>
    <row r="4313" spans="2:12" x14ac:dyDescent="0.2">
      <c r="B4313" s="62" t="s">
        <v>1454</v>
      </c>
      <c r="C4313" s="61" t="s">
        <v>499</v>
      </c>
      <c r="D4313" s="60">
        <v>1.1183099999999999</v>
      </c>
      <c r="E4313" s="59">
        <v>5.1407499999999997</v>
      </c>
      <c r="F4313" s="59">
        <v>6.8675800000000002</v>
      </c>
      <c r="G4313" s="56">
        <v>1106.3900000000001</v>
      </c>
      <c r="H4313" s="56">
        <v>995.11099999999999</v>
      </c>
      <c r="I4313" s="58">
        <v>0.42609599999999997</v>
      </c>
      <c r="J4313" s="57">
        <v>0.48629</v>
      </c>
      <c r="K4313" s="56"/>
      <c r="L4313" s="56" t="s">
        <v>492</v>
      </c>
    </row>
    <row r="4314" spans="2:12" x14ac:dyDescent="0.2">
      <c r="B4314" s="62" t="s">
        <v>1453</v>
      </c>
      <c r="C4314" s="61" t="s">
        <v>499</v>
      </c>
      <c r="D4314" s="60">
        <v>1.11182</v>
      </c>
      <c r="E4314" s="59">
        <v>5.1619099999999998</v>
      </c>
      <c r="F4314" s="59">
        <v>6.8911699999999998</v>
      </c>
      <c r="G4314" s="56">
        <v>1129.96</v>
      </c>
      <c r="H4314" s="56">
        <v>1023.77</v>
      </c>
      <c r="I4314" s="58">
        <v>0.42691899999999999</v>
      </c>
      <c r="J4314" s="57">
        <v>0.49200300000000002</v>
      </c>
      <c r="K4314" s="56"/>
      <c r="L4314" s="56" t="s">
        <v>492</v>
      </c>
    </row>
    <row r="4315" spans="2:12" x14ac:dyDescent="0.2">
      <c r="B4315" s="62" t="s">
        <v>1452</v>
      </c>
      <c r="C4315" s="61" t="s">
        <v>499</v>
      </c>
      <c r="D4315" s="60">
        <v>1.10372</v>
      </c>
      <c r="E4315" s="59">
        <v>5.12765</v>
      </c>
      <c r="F4315" s="59">
        <v>6.87392</v>
      </c>
      <c r="G4315" s="56">
        <v>1096.08</v>
      </c>
      <c r="H4315" s="56">
        <v>983.42899999999997</v>
      </c>
      <c r="I4315" s="58">
        <v>0.43026500000000001</v>
      </c>
      <c r="J4315" s="57">
        <v>0.49963099999999999</v>
      </c>
      <c r="K4315" s="56"/>
      <c r="L4315" s="56" t="s">
        <v>492</v>
      </c>
    </row>
    <row r="4316" spans="2:12" x14ac:dyDescent="0.2">
      <c r="B4316" s="62" t="s">
        <v>1451</v>
      </c>
      <c r="C4316" s="61" t="s">
        <v>499</v>
      </c>
      <c r="D4316" s="60">
        <v>1.1145499999999999</v>
      </c>
      <c r="E4316" s="59">
        <v>5.1354100000000003</v>
      </c>
      <c r="F4316" s="59">
        <v>6.79284</v>
      </c>
      <c r="G4316" s="56">
        <v>1106.06</v>
      </c>
      <c r="H4316" s="56">
        <v>985.22</v>
      </c>
      <c r="I4316" s="58">
        <v>0.42915300000000001</v>
      </c>
      <c r="J4316" s="57">
        <v>0.49064999999999998</v>
      </c>
      <c r="K4316" s="56"/>
      <c r="L4316" s="56" t="s">
        <v>492</v>
      </c>
    </row>
    <row r="4317" spans="2:12" x14ac:dyDescent="0.2">
      <c r="B4317" s="62" t="s">
        <v>1450</v>
      </c>
      <c r="C4317" s="61" t="s">
        <v>495</v>
      </c>
      <c r="D4317" s="60">
        <v>1.7047699999999999</v>
      </c>
      <c r="E4317" s="59">
        <v>2.4916700000000001</v>
      </c>
      <c r="F4317" s="59">
        <v>3.3171499999999998</v>
      </c>
      <c r="G4317" s="56">
        <v>0</v>
      </c>
      <c r="H4317" s="56">
        <v>0</v>
      </c>
      <c r="I4317" s="58">
        <v>5.7305000000000002E-2</v>
      </c>
      <c r="J4317" s="57">
        <v>0.21315999999999999</v>
      </c>
      <c r="K4317" s="56"/>
      <c r="L4317" s="56" t="s">
        <v>488</v>
      </c>
    </row>
    <row r="4318" spans="2:12" x14ac:dyDescent="0.2">
      <c r="B4318" s="62" t="s">
        <v>1449</v>
      </c>
      <c r="C4318" s="61" t="s">
        <v>495</v>
      </c>
      <c r="D4318" s="60">
        <v>1.7346699999999999</v>
      </c>
      <c r="E4318" s="59">
        <v>2.5236000000000001</v>
      </c>
      <c r="F4318" s="59">
        <v>3.3530600000000002</v>
      </c>
      <c r="G4318" s="56">
        <v>0</v>
      </c>
      <c r="H4318" s="56">
        <v>0</v>
      </c>
      <c r="I4318" s="58">
        <v>5.44001E-2</v>
      </c>
      <c r="J4318" s="57">
        <v>0.206148</v>
      </c>
      <c r="K4318" s="56"/>
      <c r="L4318" s="56" t="s">
        <v>488</v>
      </c>
    </row>
    <row r="4319" spans="2:12" x14ac:dyDescent="0.2">
      <c r="B4319" s="62" t="s">
        <v>1448</v>
      </c>
      <c r="C4319" s="61" t="s">
        <v>510</v>
      </c>
      <c r="D4319" s="60">
        <v>1.79538</v>
      </c>
      <c r="E4319" s="59">
        <v>2.4826100000000002</v>
      </c>
      <c r="F4319" s="59">
        <v>3.2578999999999998</v>
      </c>
      <c r="G4319" s="56">
        <v>0</v>
      </c>
      <c r="H4319" s="56">
        <v>0</v>
      </c>
      <c r="I4319" s="58">
        <v>5.1883699999999998E-2</v>
      </c>
      <c r="J4319" s="57">
        <v>0.195189</v>
      </c>
      <c r="K4319" s="56"/>
      <c r="L4319" s="56" t="s">
        <v>488</v>
      </c>
    </row>
    <row r="4320" spans="2:12" x14ac:dyDescent="0.2">
      <c r="B4320" s="62" t="s">
        <v>1447</v>
      </c>
      <c r="C4320" s="61" t="s">
        <v>708</v>
      </c>
      <c r="D4320" s="60">
        <v>1.8084100000000001</v>
      </c>
      <c r="E4320" s="59">
        <v>2.4765100000000002</v>
      </c>
      <c r="F4320" s="59">
        <v>3.2455500000000002</v>
      </c>
      <c r="G4320" s="56">
        <v>0</v>
      </c>
      <c r="H4320" s="56">
        <v>0</v>
      </c>
      <c r="I4320" s="58">
        <v>5.0588099999999997E-2</v>
      </c>
      <c r="J4320" s="57">
        <v>0.197737</v>
      </c>
      <c r="K4320" s="56"/>
      <c r="L4320" s="56" t="s">
        <v>488</v>
      </c>
    </row>
    <row r="4321" spans="2:12" x14ac:dyDescent="0.2">
      <c r="B4321" s="62" t="s">
        <v>1446</v>
      </c>
      <c r="C4321" s="61" t="s">
        <v>499</v>
      </c>
      <c r="D4321" s="60">
        <v>0.74831300000000001</v>
      </c>
      <c r="E4321" s="59">
        <v>6.8567799999999997</v>
      </c>
      <c r="F4321" s="59">
        <v>14.09924</v>
      </c>
      <c r="G4321" s="56">
        <v>2206.59</v>
      </c>
      <c r="H4321" s="56">
        <v>2948.75</v>
      </c>
      <c r="I4321" s="58">
        <v>0.82202200000000003</v>
      </c>
      <c r="J4321" s="57">
        <v>1.03888</v>
      </c>
      <c r="K4321" s="56"/>
      <c r="L4321" s="56" t="s">
        <v>488</v>
      </c>
    </row>
    <row r="4322" spans="2:12" x14ac:dyDescent="0.2">
      <c r="B4322" s="62" t="s">
        <v>1445</v>
      </c>
      <c r="C4322" s="61" t="s">
        <v>499</v>
      </c>
      <c r="D4322" s="60">
        <v>0.74369499999999999</v>
      </c>
      <c r="E4322" s="59">
        <v>6.8340800000000002</v>
      </c>
      <c r="F4322" s="59">
        <v>14.281929999999999</v>
      </c>
      <c r="G4322" s="56">
        <v>2196.21</v>
      </c>
      <c r="H4322" s="56">
        <v>2953.1</v>
      </c>
      <c r="I4322" s="58">
        <v>0.81897200000000003</v>
      </c>
      <c r="J4322" s="57">
        <v>1.04433</v>
      </c>
      <c r="K4322" s="56"/>
      <c r="L4322" s="56" t="s">
        <v>488</v>
      </c>
    </row>
    <row r="4323" spans="2:12" x14ac:dyDescent="0.2">
      <c r="B4323" s="62" t="s">
        <v>1444</v>
      </c>
      <c r="C4323" s="61" t="s">
        <v>499</v>
      </c>
      <c r="D4323" s="60">
        <v>1.1388</v>
      </c>
      <c r="E4323" s="59">
        <v>2.66486</v>
      </c>
      <c r="F4323" s="59">
        <v>5.9132600000000002</v>
      </c>
      <c r="G4323" s="56">
        <v>0</v>
      </c>
      <c r="H4323" s="56">
        <v>0</v>
      </c>
      <c r="I4323" s="58">
        <v>0.41199000000000002</v>
      </c>
      <c r="J4323" s="57">
        <v>0.48941299999999999</v>
      </c>
      <c r="K4323" s="56"/>
      <c r="L4323" s="56" t="s">
        <v>492</v>
      </c>
    </row>
    <row r="4324" spans="2:12" x14ac:dyDescent="0.2">
      <c r="B4324" s="62" t="s">
        <v>1443</v>
      </c>
      <c r="C4324" s="61" t="s">
        <v>499</v>
      </c>
      <c r="D4324" s="60">
        <v>0.85257700000000003</v>
      </c>
      <c r="E4324" s="59">
        <v>8.7230299999999996</v>
      </c>
      <c r="F4324" s="59">
        <v>10.10886</v>
      </c>
      <c r="G4324" s="56">
        <v>1790.02</v>
      </c>
      <c r="H4324" s="56">
        <v>2099.54</v>
      </c>
      <c r="I4324" s="58">
        <v>0.70508800000000005</v>
      </c>
      <c r="J4324" s="57">
        <v>0.82691899999999996</v>
      </c>
      <c r="K4324" s="56"/>
      <c r="L4324" s="56" t="s">
        <v>488</v>
      </c>
    </row>
    <row r="4325" spans="2:12" x14ac:dyDescent="0.2">
      <c r="B4325" s="62" t="s">
        <v>1442</v>
      </c>
      <c r="C4325" s="61" t="s">
        <v>499</v>
      </c>
      <c r="D4325" s="60">
        <v>0.95836100000000002</v>
      </c>
      <c r="E4325" s="59">
        <v>4.5088499999999998</v>
      </c>
      <c r="F4325" s="59">
        <v>13.77115</v>
      </c>
      <c r="G4325" s="56">
        <v>1825.81</v>
      </c>
      <c r="H4325" s="56">
        <v>1905.14</v>
      </c>
      <c r="I4325" s="58">
        <v>0.70983300000000005</v>
      </c>
      <c r="J4325" s="57">
        <v>0.72559799999999997</v>
      </c>
      <c r="K4325" s="56"/>
      <c r="L4325" s="56" t="s">
        <v>488</v>
      </c>
    </row>
    <row r="4326" spans="2:12" x14ac:dyDescent="0.2">
      <c r="B4326" s="62" t="s">
        <v>1441</v>
      </c>
      <c r="C4326" s="61" t="s">
        <v>499</v>
      </c>
      <c r="D4326" s="60">
        <v>1.19713</v>
      </c>
      <c r="E4326" s="59">
        <v>5.0685599999999997</v>
      </c>
      <c r="F4326" s="59">
        <v>6.4087699999999996</v>
      </c>
      <c r="G4326" s="56">
        <v>1354.04</v>
      </c>
      <c r="H4326" s="56">
        <v>1131.07</v>
      </c>
      <c r="I4326" s="58">
        <v>0.55003599999999997</v>
      </c>
      <c r="J4326" s="57">
        <v>0.49990200000000001</v>
      </c>
      <c r="K4326" s="56"/>
      <c r="L4326" s="56" t="s">
        <v>492</v>
      </c>
    </row>
    <row r="4327" spans="2:12" x14ac:dyDescent="0.2">
      <c r="B4327" s="62" t="s">
        <v>1440</v>
      </c>
      <c r="C4327" s="61" t="s">
        <v>510</v>
      </c>
      <c r="D4327" s="60">
        <v>0.77688299999999999</v>
      </c>
      <c r="E4327" s="59">
        <v>7.3946300000000003</v>
      </c>
      <c r="F4327" s="59">
        <v>11.89701</v>
      </c>
      <c r="G4327" s="56">
        <v>1634.51</v>
      </c>
      <c r="H4327" s="56">
        <v>2103.9299999999998</v>
      </c>
      <c r="I4327" s="58">
        <v>0.66758300000000004</v>
      </c>
      <c r="J4327" s="57">
        <v>0.87673800000000002</v>
      </c>
      <c r="K4327" s="56"/>
      <c r="L4327" s="56" t="s">
        <v>492</v>
      </c>
    </row>
    <row r="4328" spans="2:12" x14ac:dyDescent="0.2">
      <c r="B4328" s="62" t="s">
        <v>1439</v>
      </c>
      <c r="C4328" s="61" t="s">
        <v>1438</v>
      </c>
      <c r="D4328" s="60">
        <v>1.4352199999999999</v>
      </c>
      <c r="E4328" s="59">
        <v>2.5622500000000001</v>
      </c>
      <c r="F4328" s="59">
        <v>3.80924</v>
      </c>
      <c r="G4328" s="56">
        <v>0</v>
      </c>
      <c r="H4328" s="56">
        <v>0</v>
      </c>
      <c r="I4328" s="58">
        <v>0.23383499999999999</v>
      </c>
      <c r="J4328" s="57">
        <v>0.21714600000000001</v>
      </c>
      <c r="K4328" s="56"/>
      <c r="L4328" s="56" t="s">
        <v>488</v>
      </c>
    </row>
    <row r="4329" spans="2:12" x14ac:dyDescent="0.2">
      <c r="B4329" s="62" t="s">
        <v>1437</v>
      </c>
      <c r="C4329" s="61" t="s">
        <v>502</v>
      </c>
      <c r="D4329" s="60">
        <v>1.2974000000000001</v>
      </c>
      <c r="E4329" s="59">
        <v>5.7291299999999996</v>
      </c>
      <c r="F4329" s="59">
        <v>6.2821499999999997</v>
      </c>
      <c r="G4329" s="56">
        <v>922.84799999999996</v>
      </c>
      <c r="H4329" s="56">
        <v>711.30399999999997</v>
      </c>
      <c r="I4329" s="58">
        <v>0.34556900000000002</v>
      </c>
      <c r="J4329" s="57">
        <v>0.389824</v>
      </c>
      <c r="K4329" s="56"/>
      <c r="L4329" s="56" t="s">
        <v>488</v>
      </c>
    </row>
    <row r="4330" spans="2:12" x14ac:dyDescent="0.2">
      <c r="B4330" s="62" t="s">
        <v>1436</v>
      </c>
      <c r="C4330" s="61" t="s">
        <v>582</v>
      </c>
      <c r="D4330" s="60">
        <v>1.10229</v>
      </c>
      <c r="E4330" s="59">
        <v>4.0222699999999998</v>
      </c>
      <c r="F4330" s="59">
        <v>8.7980900000000002</v>
      </c>
      <c r="G4330" s="56">
        <v>1852.84</v>
      </c>
      <c r="H4330" s="56">
        <v>1680.9</v>
      </c>
      <c r="I4330" s="58">
        <v>0.63976299999999997</v>
      </c>
      <c r="J4330" s="57">
        <v>0.630081</v>
      </c>
      <c r="K4330" s="56"/>
      <c r="L4330" s="56" t="s">
        <v>488</v>
      </c>
    </row>
    <row r="4331" spans="2:12" x14ac:dyDescent="0.2">
      <c r="B4331" s="62" t="s">
        <v>1435</v>
      </c>
      <c r="C4331" s="61" t="s">
        <v>641</v>
      </c>
      <c r="D4331" s="60">
        <v>1.3103499999999999</v>
      </c>
      <c r="E4331" s="59">
        <v>3.34226</v>
      </c>
      <c r="F4331" s="59">
        <v>9.1307299999999998</v>
      </c>
      <c r="G4331" s="56">
        <v>0</v>
      </c>
      <c r="H4331" s="56">
        <v>0</v>
      </c>
      <c r="I4331" s="58">
        <v>0.36956099999999997</v>
      </c>
      <c r="J4331" s="57">
        <v>0.43520799999999998</v>
      </c>
      <c r="K4331" s="56"/>
      <c r="L4331" s="56" t="s">
        <v>492</v>
      </c>
    </row>
    <row r="4332" spans="2:12" x14ac:dyDescent="0.2">
      <c r="B4332" s="62" t="s">
        <v>1434</v>
      </c>
      <c r="C4332" s="61" t="s">
        <v>1433</v>
      </c>
      <c r="D4332" s="60">
        <v>1.3594900000000001</v>
      </c>
      <c r="E4332" s="59">
        <v>7.0449099999999998</v>
      </c>
      <c r="F4332" s="59">
        <v>9.3075399999999995</v>
      </c>
      <c r="G4332" s="56">
        <v>2156.7800000000002</v>
      </c>
      <c r="H4332" s="56">
        <v>1586.46</v>
      </c>
      <c r="I4332" s="58">
        <v>0.74787300000000001</v>
      </c>
      <c r="J4332" s="57">
        <v>0.53996500000000003</v>
      </c>
      <c r="K4332" s="56"/>
      <c r="L4332" s="56" t="s">
        <v>488</v>
      </c>
    </row>
    <row r="4333" spans="2:12" x14ac:dyDescent="0.2">
      <c r="B4333" s="62" t="s">
        <v>1432</v>
      </c>
      <c r="C4333" s="61" t="s">
        <v>499</v>
      </c>
      <c r="D4333" s="60">
        <v>0.68571099999999996</v>
      </c>
      <c r="E4333" s="59">
        <v>6.2237099999999996</v>
      </c>
      <c r="F4333" s="59">
        <v>15.05768</v>
      </c>
      <c r="G4333" s="56">
        <v>2101.71</v>
      </c>
      <c r="H4333" s="56">
        <v>3065</v>
      </c>
      <c r="I4333" s="58">
        <v>0.82973399999999997</v>
      </c>
      <c r="J4333" s="57">
        <v>1.12425</v>
      </c>
      <c r="K4333" s="56"/>
      <c r="L4333" s="56" t="s">
        <v>488</v>
      </c>
    </row>
    <row r="4334" spans="2:12" x14ac:dyDescent="0.2">
      <c r="B4334" s="62" t="s">
        <v>1431</v>
      </c>
      <c r="C4334" s="61" t="s">
        <v>499</v>
      </c>
      <c r="D4334" s="60">
        <v>0.92897300000000005</v>
      </c>
      <c r="E4334" s="59">
        <v>5.0686999999999998</v>
      </c>
      <c r="F4334" s="59">
        <v>6.5597300000000001</v>
      </c>
      <c r="G4334" s="56">
        <v>1745.3</v>
      </c>
      <c r="H4334" s="56">
        <v>1894.32</v>
      </c>
      <c r="I4334" s="58">
        <v>0.60677499999999995</v>
      </c>
      <c r="J4334" s="57">
        <v>0.71863200000000005</v>
      </c>
      <c r="K4334" s="56"/>
      <c r="L4334" s="56" t="s">
        <v>488</v>
      </c>
    </row>
    <row r="4335" spans="2:12" x14ac:dyDescent="0.2">
      <c r="B4335" s="62" t="s">
        <v>1430</v>
      </c>
      <c r="C4335" s="61" t="s">
        <v>499</v>
      </c>
      <c r="D4335" s="60">
        <v>0.92133200000000004</v>
      </c>
      <c r="E4335" s="59">
        <v>5.2865399999999996</v>
      </c>
      <c r="F4335" s="59">
        <v>6.4229000000000003</v>
      </c>
      <c r="G4335" s="56">
        <v>1716.72</v>
      </c>
      <c r="H4335" s="56">
        <v>1847.98</v>
      </c>
      <c r="I4335" s="58">
        <v>0.61150700000000002</v>
      </c>
      <c r="J4335" s="57">
        <v>0.72968699999999997</v>
      </c>
      <c r="K4335" s="56"/>
      <c r="L4335" s="56" t="s">
        <v>488</v>
      </c>
    </row>
    <row r="4336" spans="2:12" x14ac:dyDescent="0.2">
      <c r="B4336" s="62" t="s">
        <v>1429</v>
      </c>
      <c r="C4336" s="61" t="s">
        <v>499</v>
      </c>
      <c r="D4336" s="60">
        <v>1.2121900000000001</v>
      </c>
      <c r="E4336" s="59">
        <v>2.6002800000000001</v>
      </c>
      <c r="F4336" s="59">
        <v>5.2387699999999997</v>
      </c>
      <c r="G4336" s="56">
        <v>0</v>
      </c>
      <c r="H4336" s="56">
        <v>0</v>
      </c>
      <c r="I4336" s="58">
        <v>0.34117999999999998</v>
      </c>
      <c r="J4336" s="57">
        <v>0.47067900000000001</v>
      </c>
      <c r="K4336" s="56"/>
      <c r="L4336" s="56" t="s">
        <v>488</v>
      </c>
    </row>
    <row r="4337" spans="2:12" x14ac:dyDescent="0.2">
      <c r="B4337" s="62" t="s">
        <v>1428</v>
      </c>
      <c r="C4337" s="61" t="s">
        <v>499</v>
      </c>
      <c r="D4337" s="60">
        <v>1.2464299999999999</v>
      </c>
      <c r="E4337" s="59">
        <v>2.4900600000000002</v>
      </c>
      <c r="F4337" s="59">
        <v>5.1387700000000001</v>
      </c>
      <c r="G4337" s="56">
        <v>0</v>
      </c>
      <c r="H4337" s="56">
        <v>0</v>
      </c>
      <c r="I4337" s="58">
        <v>0.33965200000000001</v>
      </c>
      <c r="J4337" s="57">
        <v>0.45166800000000001</v>
      </c>
      <c r="K4337" s="56"/>
      <c r="L4337" s="56" t="s">
        <v>488</v>
      </c>
    </row>
    <row r="4338" spans="2:12" x14ac:dyDescent="0.2">
      <c r="B4338" s="62" t="s">
        <v>1427</v>
      </c>
      <c r="C4338" s="61" t="s">
        <v>499</v>
      </c>
      <c r="D4338" s="60">
        <v>0.88225100000000001</v>
      </c>
      <c r="E4338" s="59">
        <v>6.1019600000000001</v>
      </c>
      <c r="F4338" s="59">
        <v>7.0980999999999996</v>
      </c>
      <c r="G4338" s="56">
        <v>1899.04</v>
      </c>
      <c r="H4338" s="56">
        <v>2152.5</v>
      </c>
      <c r="I4338" s="58">
        <v>0.67841799999999997</v>
      </c>
      <c r="J4338" s="57">
        <v>0.77708100000000002</v>
      </c>
      <c r="K4338" s="56"/>
      <c r="L4338" s="56" t="s">
        <v>488</v>
      </c>
    </row>
    <row r="4339" spans="2:12" x14ac:dyDescent="0.2">
      <c r="B4339" s="62" t="s">
        <v>1426</v>
      </c>
      <c r="C4339" s="61" t="s">
        <v>495</v>
      </c>
      <c r="D4339" s="60">
        <v>0.81612499999999999</v>
      </c>
      <c r="E4339" s="59">
        <v>6.23055</v>
      </c>
      <c r="F4339" s="59">
        <v>7.1413700000000002</v>
      </c>
      <c r="G4339" s="56">
        <v>1947.27</v>
      </c>
      <c r="H4339" s="56">
        <v>2386</v>
      </c>
      <c r="I4339" s="58">
        <v>0.67613500000000004</v>
      </c>
      <c r="J4339" s="57">
        <v>0.82945899999999995</v>
      </c>
      <c r="K4339" s="56"/>
      <c r="L4339" s="56" t="s">
        <v>488</v>
      </c>
    </row>
    <row r="4340" spans="2:12" x14ac:dyDescent="0.2">
      <c r="B4340" s="62" t="s">
        <v>1425</v>
      </c>
      <c r="C4340" s="61" t="s">
        <v>495</v>
      </c>
      <c r="D4340" s="60">
        <v>0.72303099999999998</v>
      </c>
      <c r="E4340" s="59">
        <v>13.16757</v>
      </c>
      <c r="F4340" s="59">
        <v>14.01454</v>
      </c>
      <c r="G4340" s="56">
        <v>1574.26</v>
      </c>
      <c r="H4340" s="56">
        <v>2177.31</v>
      </c>
      <c r="I4340" s="58">
        <v>0.74046400000000001</v>
      </c>
      <c r="J4340" s="57">
        <v>1.02901</v>
      </c>
      <c r="K4340" s="56"/>
      <c r="L4340" s="56" t="s">
        <v>488</v>
      </c>
    </row>
    <row r="4341" spans="2:12" x14ac:dyDescent="0.2">
      <c r="B4341" s="62" t="s">
        <v>1424</v>
      </c>
      <c r="C4341" s="61" t="s">
        <v>510</v>
      </c>
      <c r="D4341" s="60">
        <v>1.2401899999999999</v>
      </c>
      <c r="E4341" s="59">
        <v>3.8555000000000001</v>
      </c>
      <c r="F4341" s="59">
        <v>5.1217899999999998</v>
      </c>
      <c r="G4341" s="56">
        <v>898.62199999999996</v>
      </c>
      <c r="H4341" s="56">
        <v>724.58500000000004</v>
      </c>
      <c r="I4341" s="58">
        <v>0.487095</v>
      </c>
      <c r="J4341" s="57">
        <v>0.44313900000000001</v>
      </c>
      <c r="K4341" s="56"/>
      <c r="L4341" s="56" t="s">
        <v>488</v>
      </c>
    </row>
    <row r="4342" spans="2:12" x14ac:dyDescent="0.2">
      <c r="B4342" s="62" t="s">
        <v>1423</v>
      </c>
      <c r="C4342" s="61" t="s">
        <v>1325</v>
      </c>
      <c r="D4342" s="60">
        <v>1.60145</v>
      </c>
      <c r="E4342" s="59">
        <v>3.1040899999999998</v>
      </c>
      <c r="F4342" s="59">
        <v>5.8195100000000002</v>
      </c>
      <c r="G4342" s="56">
        <v>0</v>
      </c>
      <c r="H4342" s="56">
        <v>0</v>
      </c>
      <c r="I4342" s="58">
        <v>0.34318599999999999</v>
      </c>
      <c r="J4342" s="57">
        <v>0.32181100000000001</v>
      </c>
      <c r="K4342" s="56"/>
      <c r="L4342" s="56" t="s">
        <v>492</v>
      </c>
    </row>
    <row r="4343" spans="2:12" x14ac:dyDescent="0.2">
      <c r="B4343" s="62" t="s">
        <v>1422</v>
      </c>
      <c r="C4343" s="61" t="s">
        <v>708</v>
      </c>
      <c r="D4343" s="60">
        <v>1.46143</v>
      </c>
      <c r="E4343" s="59">
        <v>4.9210000000000003</v>
      </c>
      <c r="F4343" s="59">
        <v>6.5223800000000001</v>
      </c>
      <c r="G4343" s="56">
        <v>1098.4000000000001</v>
      </c>
      <c r="H4343" s="56">
        <v>751.59699999999998</v>
      </c>
      <c r="I4343" s="58">
        <v>0.38890999999999998</v>
      </c>
      <c r="J4343" s="57">
        <v>0.37060900000000002</v>
      </c>
      <c r="K4343" s="56"/>
      <c r="L4343" s="56" t="s">
        <v>488</v>
      </c>
    </row>
    <row r="4344" spans="2:12" x14ac:dyDescent="0.2">
      <c r="B4344" s="62" t="s">
        <v>1421</v>
      </c>
      <c r="C4344" s="61" t="s">
        <v>1420</v>
      </c>
      <c r="D4344" s="60">
        <v>1.8333999999999999</v>
      </c>
      <c r="E4344" s="59">
        <v>3.5819100000000001</v>
      </c>
      <c r="F4344" s="59">
        <v>5.2191200000000002</v>
      </c>
      <c r="G4344" s="56">
        <v>0</v>
      </c>
      <c r="H4344" s="56">
        <v>0</v>
      </c>
      <c r="I4344" s="58">
        <v>0.150753</v>
      </c>
      <c r="J4344" s="57">
        <v>0.226439</v>
      </c>
      <c r="K4344" s="56"/>
      <c r="L4344" s="56" t="s">
        <v>492</v>
      </c>
    </row>
    <row r="4345" spans="2:12" x14ac:dyDescent="0.2">
      <c r="B4345" s="62" t="s">
        <v>1419</v>
      </c>
      <c r="C4345" s="61" t="s">
        <v>1418</v>
      </c>
      <c r="D4345" s="60">
        <v>1.82037</v>
      </c>
      <c r="E4345" s="59">
        <v>3.6718099999999998</v>
      </c>
      <c r="F4345" s="59">
        <v>5.4036299999999997</v>
      </c>
      <c r="G4345" s="56">
        <v>0</v>
      </c>
      <c r="H4345" s="56">
        <v>0</v>
      </c>
      <c r="I4345" s="58">
        <v>0.159021</v>
      </c>
      <c r="J4345" s="57">
        <v>0.22897000000000001</v>
      </c>
      <c r="K4345" s="56"/>
      <c r="L4345" s="56" t="s">
        <v>492</v>
      </c>
    </row>
    <row r="4346" spans="2:12" x14ac:dyDescent="0.2">
      <c r="B4346" s="62" t="s">
        <v>1417</v>
      </c>
      <c r="C4346" s="61" t="s">
        <v>1416</v>
      </c>
      <c r="D4346" s="60">
        <v>1.8253200000000001</v>
      </c>
      <c r="E4346" s="59">
        <v>3.6509</v>
      </c>
      <c r="F4346" s="59">
        <v>5.4405000000000001</v>
      </c>
      <c r="G4346" s="56">
        <v>0</v>
      </c>
      <c r="H4346" s="56">
        <v>0</v>
      </c>
      <c r="I4346" s="58">
        <v>0.15726000000000001</v>
      </c>
      <c r="J4346" s="57">
        <v>0.226492</v>
      </c>
      <c r="K4346" s="56"/>
      <c r="L4346" s="56" t="s">
        <v>492</v>
      </c>
    </row>
    <row r="4347" spans="2:12" x14ac:dyDescent="0.2">
      <c r="B4347" s="62" t="s">
        <v>1415</v>
      </c>
      <c r="C4347" s="61" t="s">
        <v>1414</v>
      </c>
      <c r="D4347" s="60">
        <v>1.8025500000000001</v>
      </c>
      <c r="E4347" s="59">
        <v>3.7062200000000001</v>
      </c>
      <c r="F4347" s="59">
        <v>5.43126</v>
      </c>
      <c r="G4347" s="56">
        <v>0</v>
      </c>
      <c r="H4347" s="56">
        <v>0</v>
      </c>
      <c r="I4347" s="58">
        <v>0.16017700000000001</v>
      </c>
      <c r="J4347" s="57">
        <v>0.23227700000000001</v>
      </c>
      <c r="K4347" s="56"/>
      <c r="L4347" s="56" t="s">
        <v>492</v>
      </c>
    </row>
    <row r="4348" spans="2:12" x14ac:dyDescent="0.2">
      <c r="B4348" s="62" t="s">
        <v>1413</v>
      </c>
      <c r="C4348" s="61" t="s">
        <v>502</v>
      </c>
      <c r="D4348" s="60">
        <v>0.31195899999999999</v>
      </c>
      <c r="E4348" s="59">
        <v>11.947789999999999</v>
      </c>
      <c r="F4348" s="59">
        <v>17.239789999999999</v>
      </c>
      <c r="G4348" s="56">
        <v>1782.15</v>
      </c>
      <c r="H4348" s="56">
        <v>5712.77</v>
      </c>
      <c r="I4348" s="58">
        <v>0.90332500000000004</v>
      </c>
      <c r="J4348" s="57">
        <v>2.76783</v>
      </c>
      <c r="K4348" s="56"/>
      <c r="L4348" s="56" t="s">
        <v>488</v>
      </c>
    </row>
    <row r="4349" spans="2:12" x14ac:dyDescent="0.2">
      <c r="B4349" s="62" t="s">
        <v>1412</v>
      </c>
      <c r="C4349" s="61" t="s">
        <v>495</v>
      </c>
      <c r="D4349" s="60">
        <v>0.55012499999999998</v>
      </c>
      <c r="E4349" s="59">
        <v>12.46025</v>
      </c>
      <c r="F4349" s="59">
        <v>20.8996</v>
      </c>
      <c r="G4349" s="56">
        <v>1139.47</v>
      </c>
      <c r="H4349" s="56">
        <v>2071.29</v>
      </c>
      <c r="I4349" s="58">
        <v>0.78596299999999997</v>
      </c>
      <c r="J4349" s="57">
        <v>1.37835</v>
      </c>
      <c r="K4349" s="56"/>
      <c r="L4349" s="56" t="s">
        <v>492</v>
      </c>
    </row>
    <row r="4350" spans="2:12" x14ac:dyDescent="0.2">
      <c r="B4350" s="62" t="s">
        <v>1411</v>
      </c>
      <c r="C4350" s="61" t="s">
        <v>510</v>
      </c>
      <c r="D4350" s="60">
        <v>0.62388200000000005</v>
      </c>
      <c r="E4350" s="59">
        <v>12.038629999999999</v>
      </c>
      <c r="F4350" s="59">
        <v>20.38402</v>
      </c>
      <c r="G4350" s="56">
        <v>1156.81</v>
      </c>
      <c r="H4350" s="56">
        <v>1854.21</v>
      </c>
      <c r="I4350" s="58">
        <v>0.79675200000000002</v>
      </c>
      <c r="J4350" s="57">
        <v>1.19939</v>
      </c>
      <c r="K4350" s="56"/>
      <c r="L4350" s="56" t="s">
        <v>492</v>
      </c>
    </row>
    <row r="4351" spans="2:12" x14ac:dyDescent="0.2">
      <c r="B4351" s="62" t="s">
        <v>1410</v>
      </c>
      <c r="C4351" s="61" t="s">
        <v>708</v>
      </c>
      <c r="D4351" s="60">
        <v>0.58501000000000003</v>
      </c>
      <c r="E4351" s="59">
        <v>12.00812</v>
      </c>
      <c r="F4351" s="59">
        <v>20.43544</v>
      </c>
      <c r="G4351" s="56">
        <v>1172.3</v>
      </c>
      <c r="H4351" s="56">
        <v>2003.89</v>
      </c>
      <c r="I4351" s="58">
        <v>0.80098400000000003</v>
      </c>
      <c r="J4351" s="57">
        <v>1.2935700000000001</v>
      </c>
      <c r="K4351" s="56"/>
      <c r="L4351" s="56" t="s">
        <v>492</v>
      </c>
    </row>
    <row r="4352" spans="2:12" x14ac:dyDescent="0.2">
      <c r="B4352" s="62" t="s">
        <v>1409</v>
      </c>
      <c r="C4352" s="61" t="s">
        <v>612</v>
      </c>
      <c r="D4352" s="60">
        <v>0.53759699999999999</v>
      </c>
      <c r="E4352" s="59">
        <v>12.85426</v>
      </c>
      <c r="F4352" s="59">
        <v>21.624559999999999</v>
      </c>
      <c r="G4352" s="56">
        <v>1107.21</v>
      </c>
      <c r="H4352" s="56">
        <v>2059.5500000000002</v>
      </c>
      <c r="I4352" s="58">
        <v>0.83157199999999998</v>
      </c>
      <c r="J4352" s="57">
        <v>1.42957</v>
      </c>
      <c r="K4352" s="56"/>
      <c r="L4352" s="56" t="s">
        <v>492</v>
      </c>
    </row>
    <row r="4353" spans="2:12" x14ac:dyDescent="0.2">
      <c r="B4353" s="62" t="s">
        <v>1408</v>
      </c>
      <c r="C4353" s="61" t="s">
        <v>579</v>
      </c>
      <c r="D4353" s="60">
        <v>0.90278400000000003</v>
      </c>
      <c r="E4353" s="59">
        <v>4.6976199999999997</v>
      </c>
      <c r="F4353" s="59">
        <v>6.6280599999999996</v>
      </c>
      <c r="G4353" s="56">
        <v>1957.32</v>
      </c>
      <c r="H4353" s="56">
        <v>2168.09</v>
      </c>
      <c r="I4353" s="58">
        <v>0.71528099999999994</v>
      </c>
      <c r="J4353" s="57">
        <v>0.73297500000000004</v>
      </c>
      <c r="K4353" s="56"/>
      <c r="L4353" s="56" t="s">
        <v>488</v>
      </c>
    </row>
    <row r="4354" spans="2:12" x14ac:dyDescent="0.2">
      <c r="B4354" s="62" t="s">
        <v>1407</v>
      </c>
      <c r="C4354" s="61" t="s">
        <v>537</v>
      </c>
      <c r="D4354" s="60">
        <v>1.3386100000000001</v>
      </c>
      <c r="E4354" s="59">
        <v>2.9550800000000002</v>
      </c>
      <c r="F4354" s="59">
        <v>5.9134900000000004</v>
      </c>
      <c r="G4354" s="56">
        <v>0</v>
      </c>
      <c r="H4354" s="56">
        <v>0</v>
      </c>
      <c r="I4354" s="58">
        <v>0.43020599999999998</v>
      </c>
      <c r="J4354" s="57">
        <v>0.36884600000000001</v>
      </c>
      <c r="K4354" s="56"/>
      <c r="L4354" s="56" t="s">
        <v>488</v>
      </c>
    </row>
    <row r="4355" spans="2:12" x14ac:dyDescent="0.2">
      <c r="B4355" s="62" t="s">
        <v>1406</v>
      </c>
      <c r="C4355" s="61" t="s">
        <v>541</v>
      </c>
      <c r="D4355" s="60">
        <v>1.2447600000000001</v>
      </c>
      <c r="E4355" s="59">
        <v>3.03911</v>
      </c>
      <c r="F4355" s="59">
        <v>5.9450799999999999</v>
      </c>
      <c r="G4355" s="56">
        <v>0</v>
      </c>
      <c r="H4355" s="56">
        <v>0</v>
      </c>
      <c r="I4355" s="58">
        <v>0.43912099999999998</v>
      </c>
      <c r="J4355" s="57">
        <v>0.40478900000000001</v>
      </c>
      <c r="K4355" s="56" t="s">
        <v>1405</v>
      </c>
      <c r="L4355" s="56" t="s">
        <v>563</v>
      </c>
    </row>
    <row r="4356" spans="2:12" x14ac:dyDescent="0.2">
      <c r="B4356" s="62" t="s">
        <v>1404</v>
      </c>
      <c r="C4356" s="61" t="s">
        <v>502</v>
      </c>
      <c r="D4356" s="60">
        <v>0.93740599999999996</v>
      </c>
      <c r="E4356" s="59">
        <v>9.2249199999999991</v>
      </c>
      <c r="F4356" s="59">
        <v>11.97495</v>
      </c>
      <c r="G4356" s="56">
        <v>2077.2199999999998</v>
      </c>
      <c r="H4356" s="56">
        <v>2215.92</v>
      </c>
      <c r="I4356" s="58">
        <v>0.73231800000000002</v>
      </c>
      <c r="J4356" s="57">
        <v>0.817276</v>
      </c>
      <c r="K4356" s="56"/>
      <c r="L4356" s="56" t="s">
        <v>488</v>
      </c>
    </row>
    <row r="4357" spans="2:12" x14ac:dyDescent="0.2">
      <c r="B4357" s="62" t="s">
        <v>1403</v>
      </c>
      <c r="C4357" s="61" t="s">
        <v>499</v>
      </c>
      <c r="D4357" s="60">
        <v>0.45375900000000002</v>
      </c>
      <c r="E4357" s="59">
        <v>11.20157</v>
      </c>
      <c r="F4357" s="59">
        <v>12.541079999999999</v>
      </c>
      <c r="G4357" s="56">
        <v>2015.54</v>
      </c>
      <c r="H4357" s="56">
        <v>4441.87</v>
      </c>
      <c r="I4357" s="58">
        <v>0.81635599999999997</v>
      </c>
      <c r="J4357" s="57">
        <v>1.75543</v>
      </c>
      <c r="K4357" s="56"/>
      <c r="L4357" s="56" t="s">
        <v>488</v>
      </c>
    </row>
    <row r="4358" spans="2:12" x14ac:dyDescent="0.2">
      <c r="B4358" s="62" t="s">
        <v>1402</v>
      </c>
      <c r="C4358" s="61" t="s">
        <v>510</v>
      </c>
      <c r="D4358" s="60">
        <v>0.67761800000000005</v>
      </c>
      <c r="E4358" s="59">
        <v>6.6926800000000002</v>
      </c>
      <c r="F4358" s="59">
        <v>10.367010000000001</v>
      </c>
      <c r="G4358" s="56">
        <v>1827.16</v>
      </c>
      <c r="H4358" s="56">
        <v>2597.65</v>
      </c>
      <c r="I4358" s="58">
        <v>0.67521600000000004</v>
      </c>
      <c r="J4358" s="57">
        <v>1.0152000000000001</v>
      </c>
      <c r="K4358" s="56"/>
      <c r="L4358" s="56" t="s">
        <v>488</v>
      </c>
    </row>
    <row r="4359" spans="2:12" x14ac:dyDescent="0.2">
      <c r="B4359" s="62" t="s">
        <v>1401</v>
      </c>
      <c r="C4359" s="61" t="s">
        <v>550</v>
      </c>
      <c r="D4359" s="60">
        <v>0.85019400000000001</v>
      </c>
      <c r="E4359" s="59">
        <v>4.5854299999999997</v>
      </c>
      <c r="F4359" s="59">
        <v>5.9031799999999999</v>
      </c>
      <c r="G4359" s="56">
        <v>1755.7</v>
      </c>
      <c r="H4359" s="56">
        <v>2065.0500000000002</v>
      </c>
      <c r="I4359" s="58">
        <v>0.64977399999999996</v>
      </c>
      <c r="J4359" s="57">
        <v>0.77230600000000005</v>
      </c>
      <c r="K4359" s="56"/>
      <c r="L4359" s="56" t="s">
        <v>488</v>
      </c>
    </row>
    <row r="4360" spans="2:12" x14ac:dyDescent="0.2">
      <c r="B4360" s="62" t="s">
        <v>1400</v>
      </c>
      <c r="C4360" s="61" t="s">
        <v>708</v>
      </c>
      <c r="D4360" s="60">
        <v>0.79262500000000002</v>
      </c>
      <c r="E4360" s="59">
        <v>5.8544</v>
      </c>
      <c r="F4360" s="59">
        <v>9.5965799999999994</v>
      </c>
      <c r="G4360" s="56">
        <v>1898.7</v>
      </c>
      <c r="H4360" s="56">
        <v>2395.46</v>
      </c>
      <c r="I4360" s="58">
        <v>0.71210799999999996</v>
      </c>
      <c r="J4360" s="57">
        <v>0.84510799999999997</v>
      </c>
      <c r="K4360" s="56"/>
      <c r="L4360" s="56" t="s">
        <v>488</v>
      </c>
    </row>
    <row r="4361" spans="2:12" x14ac:dyDescent="0.2">
      <c r="B4361" s="62" t="s">
        <v>1399</v>
      </c>
      <c r="C4361" s="61" t="s">
        <v>612</v>
      </c>
      <c r="D4361" s="60">
        <v>0.77329199999999998</v>
      </c>
      <c r="E4361" s="59">
        <v>5.8632299999999997</v>
      </c>
      <c r="F4361" s="59">
        <v>9.7712000000000003</v>
      </c>
      <c r="G4361" s="56">
        <v>1916.83</v>
      </c>
      <c r="H4361" s="56">
        <v>2478.8000000000002</v>
      </c>
      <c r="I4361" s="58">
        <v>0.71249099999999999</v>
      </c>
      <c r="J4361" s="57">
        <v>0.87026000000000003</v>
      </c>
      <c r="K4361" s="56"/>
      <c r="L4361" s="56" t="s">
        <v>488</v>
      </c>
    </row>
    <row r="4362" spans="2:12" x14ac:dyDescent="0.2">
      <c r="B4362" s="62" t="s">
        <v>1398</v>
      </c>
      <c r="C4362" s="61" t="s">
        <v>502</v>
      </c>
      <c r="D4362" s="60">
        <v>0.850858</v>
      </c>
      <c r="E4362" s="59">
        <v>6.0457900000000002</v>
      </c>
      <c r="F4362" s="59">
        <v>15.41536</v>
      </c>
      <c r="G4362" s="56">
        <v>1250.01</v>
      </c>
      <c r="H4362" s="56">
        <v>1469.11</v>
      </c>
      <c r="I4362" s="58">
        <v>0.70089299999999999</v>
      </c>
      <c r="J4362" s="57">
        <v>0.83293899999999998</v>
      </c>
      <c r="K4362" s="56"/>
      <c r="L4362" s="56" t="s">
        <v>492</v>
      </c>
    </row>
    <row r="4363" spans="2:12" x14ac:dyDescent="0.2">
      <c r="B4363" s="62" t="s">
        <v>1397</v>
      </c>
      <c r="C4363" s="61" t="s">
        <v>505</v>
      </c>
      <c r="D4363" s="60">
        <v>0.96556200000000003</v>
      </c>
      <c r="E4363" s="59">
        <v>6.4808899999999996</v>
      </c>
      <c r="F4363" s="59">
        <v>13.035130000000001</v>
      </c>
      <c r="G4363" s="56">
        <v>1307.82</v>
      </c>
      <c r="H4363" s="56">
        <v>1354.46</v>
      </c>
      <c r="I4363" s="58">
        <v>0.55837999999999999</v>
      </c>
      <c r="J4363" s="57">
        <v>0.62749600000000005</v>
      </c>
      <c r="K4363" s="56"/>
      <c r="L4363" s="56" t="s">
        <v>488</v>
      </c>
    </row>
    <row r="4364" spans="2:12" x14ac:dyDescent="0.2">
      <c r="B4364" s="62" t="s">
        <v>1396</v>
      </c>
      <c r="C4364" s="61" t="s">
        <v>510</v>
      </c>
      <c r="D4364" s="60">
        <v>1.4579800000000001</v>
      </c>
      <c r="E4364" s="59">
        <v>3.4513699999999998</v>
      </c>
      <c r="F4364" s="59">
        <v>3.8159200000000002</v>
      </c>
      <c r="G4364" s="56">
        <v>0</v>
      </c>
      <c r="H4364" s="56">
        <v>0</v>
      </c>
      <c r="I4364" s="58">
        <v>0.29300500000000002</v>
      </c>
      <c r="J4364" s="57">
        <v>0.29144799999999998</v>
      </c>
      <c r="K4364" s="56"/>
      <c r="L4364" s="56" t="s">
        <v>488</v>
      </c>
    </row>
    <row r="4365" spans="2:12" x14ac:dyDescent="0.2">
      <c r="B4365" s="62" t="s">
        <v>1395</v>
      </c>
      <c r="C4365" s="61" t="s">
        <v>1393</v>
      </c>
      <c r="D4365" s="60">
        <v>1.3768400000000001</v>
      </c>
      <c r="E4365" s="59">
        <v>3.0919400000000001</v>
      </c>
      <c r="F4365" s="59">
        <v>3.8118300000000001</v>
      </c>
      <c r="G4365" s="56">
        <v>0</v>
      </c>
      <c r="H4365" s="56">
        <v>0</v>
      </c>
      <c r="I4365" s="58">
        <v>0.36473100000000003</v>
      </c>
      <c r="J4365" s="57">
        <v>0.32155699999999998</v>
      </c>
      <c r="K4365" s="56"/>
      <c r="L4365" s="56" t="s">
        <v>488</v>
      </c>
    </row>
    <row r="4366" spans="2:12" x14ac:dyDescent="0.2">
      <c r="B4366" s="62" t="s">
        <v>1394</v>
      </c>
      <c r="C4366" s="61" t="s">
        <v>1393</v>
      </c>
      <c r="D4366" s="60">
        <v>1.37954</v>
      </c>
      <c r="E4366" s="59">
        <v>3.0955300000000001</v>
      </c>
      <c r="F4366" s="59">
        <v>3.8125900000000001</v>
      </c>
      <c r="G4366" s="56">
        <v>0</v>
      </c>
      <c r="H4366" s="56">
        <v>0</v>
      </c>
      <c r="I4366" s="58">
        <v>0.36310799999999999</v>
      </c>
      <c r="J4366" s="57">
        <v>0.32089400000000001</v>
      </c>
      <c r="K4366" s="56"/>
      <c r="L4366" s="56" t="s">
        <v>488</v>
      </c>
    </row>
    <row r="4367" spans="2:12" x14ac:dyDescent="0.2">
      <c r="B4367" s="62" t="s">
        <v>1392</v>
      </c>
      <c r="C4367" s="61" t="s">
        <v>612</v>
      </c>
      <c r="D4367" s="60">
        <v>1.1459600000000001</v>
      </c>
      <c r="E4367" s="59">
        <v>4.0818099999999999</v>
      </c>
      <c r="F4367" s="59">
        <v>4.6505799999999997</v>
      </c>
      <c r="G4367" s="56">
        <v>569.38400000000001</v>
      </c>
      <c r="H4367" s="56">
        <v>496.86099999999999</v>
      </c>
      <c r="I4367" s="58">
        <v>0.453071</v>
      </c>
      <c r="J4367" s="57">
        <v>0.45064399999999999</v>
      </c>
      <c r="K4367" s="56"/>
      <c r="L4367" s="56" t="s">
        <v>488</v>
      </c>
    </row>
    <row r="4368" spans="2:12" x14ac:dyDescent="0.2">
      <c r="B4368" s="62" t="s">
        <v>1391</v>
      </c>
      <c r="C4368" s="61" t="s">
        <v>489</v>
      </c>
      <c r="D4368" s="60">
        <v>1.1189100000000001</v>
      </c>
      <c r="E4368" s="59">
        <v>6.2427000000000001</v>
      </c>
      <c r="F4368" s="59">
        <v>7.38415</v>
      </c>
      <c r="G4368" s="56">
        <v>915.81200000000001</v>
      </c>
      <c r="H4368" s="56">
        <v>818.48800000000006</v>
      </c>
      <c r="I4368" s="58">
        <v>0.349435</v>
      </c>
      <c r="J4368" s="57">
        <v>0.47393400000000002</v>
      </c>
      <c r="K4368" s="56"/>
      <c r="L4368" s="56" t="s">
        <v>488</v>
      </c>
    </row>
    <row r="4369" spans="2:12" x14ac:dyDescent="0.2">
      <c r="B4369" s="62" t="s">
        <v>1390</v>
      </c>
      <c r="C4369" s="61" t="s">
        <v>499</v>
      </c>
      <c r="D4369" s="60">
        <v>1.15194</v>
      </c>
      <c r="E4369" s="59">
        <v>4.2442000000000002</v>
      </c>
      <c r="F4369" s="59">
        <v>5.5798500000000004</v>
      </c>
      <c r="G4369" s="56">
        <v>1152.32</v>
      </c>
      <c r="H4369" s="56">
        <v>1000.33</v>
      </c>
      <c r="I4369" s="58">
        <v>0.49939699999999998</v>
      </c>
      <c r="J4369" s="57">
        <v>0.48827500000000001</v>
      </c>
      <c r="K4369" s="56"/>
      <c r="L4369" s="56" t="s">
        <v>488</v>
      </c>
    </row>
    <row r="4370" spans="2:12" x14ac:dyDescent="0.2">
      <c r="B4370" s="62" t="s">
        <v>1389</v>
      </c>
      <c r="C4370" s="61" t="s">
        <v>859</v>
      </c>
      <c r="D4370" s="60">
        <v>1.68509</v>
      </c>
      <c r="E4370" s="59">
        <v>5.0447899999999999</v>
      </c>
      <c r="F4370" s="59">
        <v>6.1610899999999997</v>
      </c>
      <c r="G4370" s="56">
        <v>1119.17</v>
      </c>
      <c r="H4370" s="56">
        <v>664.16200000000003</v>
      </c>
      <c r="I4370" s="58">
        <v>0.46705200000000002</v>
      </c>
      <c r="J4370" s="57">
        <v>0.33656399999999997</v>
      </c>
      <c r="K4370" s="56"/>
      <c r="L4370" s="56" t="s">
        <v>488</v>
      </c>
    </row>
    <row r="4371" spans="2:12" x14ac:dyDescent="0.2">
      <c r="B4371" s="62" t="s">
        <v>1388</v>
      </c>
      <c r="C4371" s="61" t="s">
        <v>1386</v>
      </c>
      <c r="D4371" s="60">
        <v>1.7642899999999999</v>
      </c>
      <c r="E4371" s="59">
        <v>4.3555099999999998</v>
      </c>
      <c r="F4371" s="59">
        <v>5.7405600000000003</v>
      </c>
      <c r="G4371" s="56">
        <v>1005.58</v>
      </c>
      <c r="H4371" s="56">
        <v>569.96500000000003</v>
      </c>
      <c r="I4371" s="58">
        <v>0.47939999999999999</v>
      </c>
      <c r="J4371" s="57">
        <v>0.31384800000000002</v>
      </c>
      <c r="K4371" s="56"/>
      <c r="L4371" s="56" t="s">
        <v>488</v>
      </c>
    </row>
    <row r="4372" spans="2:12" x14ac:dyDescent="0.2">
      <c r="B4372" s="62" t="s">
        <v>1387</v>
      </c>
      <c r="C4372" s="61" t="s">
        <v>1386</v>
      </c>
      <c r="D4372" s="60">
        <v>2.0996100000000002</v>
      </c>
      <c r="E4372" s="59">
        <v>2.5949900000000001</v>
      </c>
      <c r="F4372" s="59">
        <v>6.0621400000000003</v>
      </c>
      <c r="G4372" s="56">
        <v>0</v>
      </c>
      <c r="H4372" s="56">
        <v>0</v>
      </c>
      <c r="I4372" s="58">
        <v>0.34123700000000001</v>
      </c>
      <c r="J4372" s="57">
        <v>0.22210299999999999</v>
      </c>
      <c r="K4372" s="56"/>
      <c r="L4372" s="56" t="s">
        <v>488</v>
      </c>
    </row>
    <row r="4373" spans="2:12" x14ac:dyDescent="0.2">
      <c r="B4373" s="62" t="s">
        <v>1385</v>
      </c>
      <c r="C4373" s="61" t="s">
        <v>1384</v>
      </c>
      <c r="D4373" s="60">
        <v>1.4297899999999999</v>
      </c>
      <c r="E4373" s="59">
        <v>3.1293199999999999</v>
      </c>
      <c r="F4373" s="59">
        <v>8.7546099999999996</v>
      </c>
      <c r="G4373" s="56">
        <v>0</v>
      </c>
      <c r="H4373" s="56">
        <v>0</v>
      </c>
      <c r="I4373" s="58">
        <v>0.50156800000000001</v>
      </c>
      <c r="J4373" s="57">
        <v>0.41635499999999998</v>
      </c>
      <c r="K4373" s="56"/>
      <c r="L4373" s="56" t="s">
        <v>488</v>
      </c>
    </row>
    <row r="4374" spans="2:12" x14ac:dyDescent="0.2">
      <c r="B4374" s="62" t="s">
        <v>1383</v>
      </c>
      <c r="C4374" s="61" t="s">
        <v>499</v>
      </c>
      <c r="D4374" s="60">
        <v>1.8036099999999999</v>
      </c>
      <c r="E4374" s="59">
        <v>2.8338999999999999</v>
      </c>
      <c r="F4374" s="59">
        <v>3.48062</v>
      </c>
      <c r="G4374" s="56">
        <v>0</v>
      </c>
      <c r="H4374" s="56">
        <v>0</v>
      </c>
      <c r="I4374" s="58">
        <v>0.12099</v>
      </c>
      <c r="J4374" s="57">
        <v>0.20871600000000001</v>
      </c>
      <c r="K4374" s="56"/>
      <c r="L4374" s="56" t="s">
        <v>488</v>
      </c>
    </row>
    <row r="4375" spans="2:12" x14ac:dyDescent="0.2">
      <c r="B4375" s="62" t="s">
        <v>1382</v>
      </c>
      <c r="C4375" s="61" t="s">
        <v>495</v>
      </c>
      <c r="D4375" s="60">
        <v>1.2053</v>
      </c>
      <c r="E4375" s="59">
        <v>4.59016</v>
      </c>
      <c r="F4375" s="59">
        <v>5.3606999999999996</v>
      </c>
      <c r="G4375" s="56">
        <v>955.07500000000005</v>
      </c>
      <c r="H4375" s="56">
        <v>792.39499999999998</v>
      </c>
      <c r="I4375" s="58">
        <v>0.46366499999999999</v>
      </c>
      <c r="J4375" s="57">
        <v>0.43936700000000001</v>
      </c>
      <c r="K4375" s="56"/>
      <c r="L4375" s="56" t="s">
        <v>488</v>
      </c>
    </row>
    <row r="4376" spans="2:12" x14ac:dyDescent="0.2">
      <c r="B4376" s="62" t="s">
        <v>1381</v>
      </c>
      <c r="C4376" s="61" t="s">
        <v>1380</v>
      </c>
      <c r="D4376" s="60">
        <v>1.3305</v>
      </c>
      <c r="E4376" s="59">
        <v>3.3615900000000001</v>
      </c>
      <c r="F4376" s="59">
        <v>6.9662699999999997</v>
      </c>
      <c r="G4376" s="56">
        <v>0</v>
      </c>
      <c r="H4376" s="56">
        <v>0</v>
      </c>
      <c r="I4376" s="58">
        <v>0.27881600000000001</v>
      </c>
      <c r="J4376" s="57">
        <v>0.36663400000000002</v>
      </c>
      <c r="K4376" s="56"/>
      <c r="L4376" s="56" t="s">
        <v>492</v>
      </c>
    </row>
    <row r="4377" spans="2:12" x14ac:dyDescent="0.2">
      <c r="B4377" s="62" t="s">
        <v>1379</v>
      </c>
      <c r="C4377" s="61" t="s">
        <v>510</v>
      </c>
      <c r="D4377" s="60">
        <v>1.1859299999999999</v>
      </c>
      <c r="E4377" s="59">
        <v>3.2357900000000002</v>
      </c>
      <c r="F4377" s="59">
        <v>4.3117299999999998</v>
      </c>
      <c r="G4377" s="56">
        <v>0</v>
      </c>
      <c r="H4377" s="56">
        <v>0</v>
      </c>
      <c r="I4377" s="58">
        <v>0.34520499999999998</v>
      </c>
      <c r="J4377" s="57">
        <v>0.41307500000000003</v>
      </c>
      <c r="K4377" s="56"/>
      <c r="L4377" s="56" t="s">
        <v>488</v>
      </c>
    </row>
    <row r="4378" spans="2:12" x14ac:dyDescent="0.2">
      <c r="B4378" s="62" t="s">
        <v>1378</v>
      </c>
      <c r="C4378" s="61" t="s">
        <v>495</v>
      </c>
      <c r="D4378" s="60">
        <v>1.5446299999999999</v>
      </c>
      <c r="E4378" s="59">
        <v>3.8915099999999998</v>
      </c>
      <c r="F4378" s="59">
        <v>4.5601599999999998</v>
      </c>
      <c r="G4378" s="56">
        <v>473.94299999999998</v>
      </c>
      <c r="H4378" s="56">
        <v>306.83199999999999</v>
      </c>
      <c r="I4378" s="58">
        <v>0.31805</v>
      </c>
      <c r="J4378" s="57">
        <v>0.29061100000000001</v>
      </c>
      <c r="K4378" s="56"/>
      <c r="L4378" s="56" t="s">
        <v>488</v>
      </c>
    </row>
    <row r="4379" spans="2:12" x14ac:dyDescent="0.2">
      <c r="B4379" s="62" t="s">
        <v>1377</v>
      </c>
      <c r="C4379" s="61" t="s">
        <v>495</v>
      </c>
      <c r="D4379" s="60">
        <v>1.4462999999999999</v>
      </c>
      <c r="E4379" s="59">
        <v>3.47065</v>
      </c>
      <c r="F4379" s="59">
        <v>4.6709800000000001</v>
      </c>
      <c r="G4379" s="56">
        <v>0</v>
      </c>
      <c r="H4379" s="56">
        <v>0</v>
      </c>
      <c r="I4379" s="58">
        <v>0.32375300000000001</v>
      </c>
      <c r="J4379" s="57">
        <v>0.33177000000000001</v>
      </c>
      <c r="K4379" s="56"/>
      <c r="L4379" s="56" t="s">
        <v>488</v>
      </c>
    </row>
    <row r="4380" spans="2:12" x14ac:dyDescent="0.2">
      <c r="B4380" s="62" t="s">
        <v>1376</v>
      </c>
      <c r="C4380" s="61" t="s">
        <v>708</v>
      </c>
      <c r="D4380" s="60">
        <v>1.3141499999999999</v>
      </c>
      <c r="E4380" s="59">
        <v>4.43058</v>
      </c>
      <c r="F4380" s="59">
        <v>7.8937299999999997</v>
      </c>
      <c r="G4380" s="56">
        <v>1428.41</v>
      </c>
      <c r="H4380" s="56">
        <v>1086.95</v>
      </c>
      <c r="I4380" s="58">
        <v>0.57021900000000003</v>
      </c>
      <c r="J4380" s="57">
        <v>0.46188200000000001</v>
      </c>
      <c r="K4380" s="56"/>
      <c r="L4380" s="56" t="s">
        <v>488</v>
      </c>
    </row>
    <row r="4381" spans="2:12" x14ac:dyDescent="0.2">
      <c r="B4381" s="62" t="s">
        <v>1375</v>
      </c>
      <c r="C4381" s="61" t="s">
        <v>1374</v>
      </c>
      <c r="D4381" s="60">
        <v>1.0874200000000001</v>
      </c>
      <c r="E4381" s="59">
        <v>5.7858000000000001</v>
      </c>
      <c r="F4381" s="59">
        <v>7.2450099999999997</v>
      </c>
      <c r="G4381" s="56">
        <v>2392.1</v>
      </c>
      <c r="H4381" s="56">
        <v>2199.8000000000002</v>
      </c>
      <c r="I4381" s="58">
        <v>0.71707299999999996</v>
      </c>
      <c r="J4381" s="57">
        <v>0.66153799999999996</v>
      </c>
      <c r="K4381" s="56"/>
      <c r="L4381" s="56" t="s">
        <v>488</v>
      </c>
    </row>
    <row r="4382" spans="2:12" x14ac:dyDescent="0.2">
      <c r="B4382" s="62" t="s">
        <v>1373</v>
      </c>
      <c r="C4382" s="61" t="s">
        <v>550</v>
      </c>
      <c r="D4382" s="60">
        <v>1.8710500000000001</v>
      </c>
      <c r="E4382" s="59">
        <v>2.9828800000000002</v>
      </c>
      <c r="F4382" s="59">
        <v>4.9973400000000003</v>
      </c>
      <c r="G4382" s="56">
        <v>0</v>
      </c>
      <c r="H4382" s="56">
        <v>0</v>
      </c>
      <c r="I4382" s="58">
        <v>0.318803</v>
      </c>
      <c r="J4382" s="57">
        <v>0.31170500000000001</v>
      </c>
      <c r="K4382" s="56"/>
      <c r="L4382" s="56" t="s">
        <v>488</v>
      </c>
    </row>
    <row r="4383" spans="2:12" x14ac:dyDescent="0.2">
      <c r="B4383" s="62" t="s">
        <v>1372</v>
      </c>
      <c r="C4383" s="61" t="s">
        <v>550</v>
      </c>
      <c r="D4383" s="60">
        <v>1.9151400000000001</v>
      </c>
      <c r="E4383" s="59">
        <v>3.5020799999999999</v>
      </c>
      <c r="F4383" s="59">
        <v>3.9007499999999999</v>
      </c>
      <c r="G4383" s="56">
        <v>0</v>
      </c>
      <c r="H4383" s="56">
        <v>0</v>
      </c>
      <c r="I4383" s="58">
        <v>0.18637599999999999</v>
      </c>
      <c r="J4383" s="57">
        <v>0.23255400000000001</v>
      </c>
      <c r="K4383" s="56"/>
      <c r="L4383" s="56" t="s">
        <v>488</v>
      </c>
    </row>
    <row r="4384" spans="2:12" x14ac:dyDescent="0.2">
      <c r="B4384" s="62" t="s">
        <v>1371</v>
      </c>
      <c r="C4384" s="61" t="s">
        <v>502</v>
      </c>
      <c r="D4384" s="60">
        <v>1.0946199999999999</v>
      </c>
      <c r="E4384" s="59">
        <v>4.89154</v>
      </c>
      <c r="F4384" s="59">
        <v>5.4871800000000004</v>
      </c>
      <c r="G4384" s="56">
        <v>1911.55</v>
      </c>
      <c r="H4384" s="56">
        <v>1746.32</v>
      </c>
      <c r="I4384" s="58">
        <v>0.57194900000000004</v>
      </c>
      <c r="J4384" s="57">
        <v>0.59470400000000001</v>
      </c>
      <c r="K4384" s="56"/>
      <c r="L4384" s="56" t="s">
        <v>488</v>
      </c>
    </row>
    <row r="4385" spans="2:12" x14ac:dyDescent="0.2">
      <c r="B4385" s="62" t="s">
        <v>1370</v>
      </c>
      <c r="C4385" s="61" t="s">
        <v>510</v>
      </c>
      <c r="D4385" s="60">
        <v>1.2555499999999999</v>
      </c>
      <c r="E4385" s="59">
        <v>3.0511300000000001</v>
      </c>
      <c r="F4385" s="59">
        <v>5.3548799999999996</v>
      </c>
      <c r="G4385" s="56">
        <v>0</v>
      </c>
      <c r="H4385" s="56">
        <v>0</v>
      </c>
      <c r="I4385" s="58">
        <v>0.43109799999999998</v>
      </c>
      <c r="J4385" s="57">
        <v>0.40176000000000001</v>
      </c>
      <c r="K4385" s="56"/>
      <c r="L4385" s="56" t="s">
        <v>488</v>
      </c>
    </row>
    <row r="4386" spans="2:12" x14ac:dyDescent="0.2">
      <c r="B4386" s="62" t="s">
        <v>1369</v>
      </c>
      <c r="C4386" s="61" t="s">
        <v>499</v>
      </c>
      <c r="D4386" s="60">
        <v>1.59459</v>
      </c>
      <c r="E4386" s="59">
        <v>4.3003499999999999</v>
      </c>
      <c r="F4386" s="59">
        <v>5.6810600000000004</v>
      </c>
      <c r="G4386" s="56">
        <v>368.07600000000002</v>
      </c>
      <c r="H4386" s="56">
        <v>230.828</v>
      </c>
      <c r="I4386" s="58">
        <v>0.19425100000000001</v>
      </c>
      <c r="J4386" s="57">
        <v>0.26806400000000002</v>
      </c>
      <c r="K4386" s="56"/>
      <c r="L4386" s="56" t="s">
        <v>488</v>
      </c>
    </row>
    <row r="4387" spans="2:12" x14ac:dyDescent="0.2">
      <c r="B4387" s="62" t="s">
        <v>1368</v>
      </c>
      <c r="C4387" s="61" t="s">
        <v>510</v>
      </c>
      <c r="D4387" s="60">
        <v>1.4177599999999999</v>
      </c>
      <c r="E4387" s="59">
        <v>2.4959899999999999</v>
      </c>
      <c r="F4387" s="59">
        <v>4.8687300000000002</v>
      </c>
      <c r="G4387" s="56">
        <v>0</v>
      </c>
      <c r="H4387" s="56">
        <v>0</v>
      </c>
      <c r="I4387" s="58">
        <v>0.26705099999999998</v>
      </c>
      <c r="J4387" s="57">
        <v>0.30295499999999997</v>
      </c>
      <c r="K4387" s="56"/>
      <c r="L4387" s="56" t="s">
        <v>488</v>
      </c>
    </row>
    <row r="4388" spans="2:12" x14ac:dyDescent="0.2">
      <c r="B4388" s="62" t="s">
        <v>1367</v>
      </c>
      <c r="C4388" s="61" t="s">
        <v>708</v>
      </c>
      <c r="D4388" s="60">
        <v>1.4603600000000001</v>
      </c>
      <c r="E4388" s="59">
        <v>3.2968000000000002</v>
      </c>
      <c r="F4388" s="59">
        <v>4.9916</v>
      </c>
      <c r="G4388" s="56">
        <v>0</v>
      </c>
      <c r="H4388" s="56">
        <v>0</v>
      </c>
      <c r="I4388" s="58">
        <v>0.18199699999999999</v>
      </c>
      <c r="J4388" s="57">
        <v>0.28747699999999998</v>
      </c>
      <c r="K4388" s="56"/>
      <c r="L4388" s="56" t="s">
        <v>488</v>
      </c>
    </row>
    <row r="4389" spans="2:12" x14ac:dyDescent="0.2">
      <c r="B4389" s="62" t="s">
        <v>1366</v>
      </c>
      <c r="C4389" s="61" t="s">
        <v>510</v>
      </c>
      <c r="D4389" s="60">
        <v>0.76710100000000003</v>
      </c>
      <c r="E4389" s="59">
        <v>4.9270300000000002</v>
      </c>
      <c r="F4389" s="59">
        <v>7.5345700000000004</v>
      </c>
      <c r="G4389" s="56">
        <v>2165.5500000000002</v>
      </c>
      <c r="H4389" s="56">
        <v>2823.03</v>
      </c>
      <c r="I4389" s="58">
        <v>0.73147899999999999</v>
      </c>
      <c r="J4389" s="57">
        <v>0.88857399999999997</v>
      </c>
      <c r="K4389" s="56"/>
      <c r="L4389" s="56" t="s">
        <v>488</v>
      </c>
    </row>
    <row r="4390" spans="2:12" x14ac:dyDescent="0.2">
      <c r="B4390" s="62" t="s">
        <v>1365</v>
      </c>
      <c r="C4390" s="61" t="s">
        <v>495</v>
      </c>
      <c r="D4390" s="60">
        <v>1.54217</v>
      </c>
      <c r="E4390" s="59">
        <v>2.86572</v>
      </c>
      <c r="F4390" s="59">
        <v>4.0188199999999998</v>
      </c>
      <c r="G4390" s="56">
        <v>0</v>
      </c>
      <c r="H4390" s="56">
        <v>0</v>
      </c>
      <c r="I4390" s="58">
        <v>0.16817299999999999</v>
      </c>
      <c r="J4390" s="57">
        <v>0.27399600000000002</v>
      </c>
      <c r="K4390" s="56"/>
      <c r="L4390" s="56" t="s">
        <v>488</v>
      </c>
    </row>
    <row r="4391" spans="2:12" x14ac:dyDescent="0.2">
      <c r="B4391" s="62" t="s">
        <v>1364</v>
      </c>
      <c r="C4391" s="61" t="s">
        <v>541</v>
      </c>
      <c r="D4391" s="60">
        <v>1.0447</v>
      </c>
      <c r="E4391" s="59">
        <v>5.9788100000000002</v>
      </c>
      <c r="F4391" s="59">
        <v>7.2877700000000001</v>
      </c>
      <c r="G4391" s="56">
        <v>1624.29</v>
      </c>
      <c r="H4391" s="56">
        <v>1554.8</v>
      </c>
      <c r="I4391" s="58">
        <v>0.59545599999999999</v>
      </c>
      <c r="J4391" s="57">
        <v>0.59962700000000002</v>
      </c>
      <c r="K4391" s="56"/>
      <c r="L4391" s="56" t="s">
        <v>488</v>
      </c>
    </row>
    <row r="4392" spans="2:12" x14ac:dyDescent="0.2">
      <c r="B4392" s="62" t="s">
        <v>1363</v>
      </c>
      <c r="C4392" s="61" t="s">
        <v>641</v>
      </c>
      <c r="D4392" s="60">
        <v>1.7236499999999999</v>
      </c>
      <c r="E4392" s="59">
        <v>4.8135700000000003</v>
      </c>
      <c r="F4392" s="59">
        <v>5.2679</v>
      </c>
      <c r="G4392" s="56">
        <v>420.80500000000001</v>
      </c>
      <c r="H4392" s="56">
        <v>244.136</v>
      </c>
      <c r="I4392" s="58">
        <v>0.28317799999999999</v>
      </c>
      <c r="J4392" s="57">
        <v>0.30862400000000001</v>
      </c>
      <c r="K4392" s="56"/>
      <c r="L4392" s="56" t="s">
        <v>488</v>
      </c>
    </row>
    <row r="4393" spans="2:12" x14ac:dyDescent="0.2">
      <c r="B4393" s="62" t="s">
        <v>1362</v>
      </c>
      <c r="C4393" s="61" t="s">
        <v>798</v>
      </c>
      <c r="D4393" s="60">
        <v>0.91486999999999996</v>
      </c>
      <c r="E4393" s="59">
        <v>10.764889999999999</v>
      </c>
      <c r="F4393" s="59">
        <v>11.639620000000001</v>
      </c>
      <c r="G4393" s="56">
        <v>1450.38</v>
      </c>
      <c r="H4393" s="56">
        <v>1585.34</v>
      </c>
      <c r="I4393" s="58">
        <v>0.711839</v>
      </c>
      <c r="J4393" s="57">
        <v>0.70325000000000004</v>
      </c>
      <c r="K4393" s="56"/>
      <c r="L4393" s="56" t="s">
        <v>730</v>
      </c>
    </row>
    <row r="4394" spans="2:12" x14ac:dyDescent="0.2">
      <c r="B4394" s="62" t="s">
        <v>1361</v>
      </c>
      <c r="C4394" s="61" t="s">
        <v>499</v>
      </c>
      <c r="D4394" s="60">
        <v>0.70291000000000003</v>
      </c>
      <c r="E4394" s="59">
        <v>8.7537400000000005</v>
      </c>
      <c r="F4394" s="59">
        <v>11.11495</v>
      </c>
      <c r="G4394" s="56">
        <v>1781.21</v>
      </c>
      <c r="H4394" s="56">
        <v>2534.06</v>
      </c>
      <c r="I4394" s="58">
        <v>0.73549699999999996</v>
      </c>
      <c r="J4394" s="57">
        <v>1.03715</v>
      </c>
      <c r="K4394" s="56"/>
      <c r="L4394" s="56" t="s">
        <v>488</v>
      </c>
    </row>
    <row r="4395" spans="2:12" x14ac:dyDescent="0.2">
      <c r="B4395" s="62" t="s">
        <v>1360</v>
      </c>
      <c r="C4395" s="61" t="s">
        <v>499</v>
      </c>
      <c r="D4395" s="60">
        <v>1.2727599999999999</v>
      </c>
      <c r="E4395" s="59">
        <v>3.0134799999999999</v>
      </c>
      <c r="F4395" s="59">
        <v>4.8021200000000004</v>
      </c>
      <c r="G4395" s="56">
        <v>0</v>
      </c>
      <c r="H4395" s="56">
        <v>0</v>
      </c>
      <c r="I4395" s="58">
        <v>0.23148199999999999</v>
      </c>
      <c r="J4395" s="57">
        <v>0.35766199999999998</v>
      </c>
      <c r="K4395" s="56"/>
      <c r="L4395" s="56" t="s">
        <v>488</v>
      </c>
    </row>
    <row r="4396" spans="2:12" x14ac:dyDescent="0.2">
      <c r="B4396" s="62" t="s">
        <v>1359</v>
      </c>
      <c r="C4396" s="61" t="s">
        <v>499</v>
      </c>
      <c r="D4396" s="60">
        <v>1.3428599999999999</v>
      </c>
      <c r="E4396" s="59">
        <v>2.9035299999999999</v>
      </c>
      <c r="F4396" s="59">
        <v>4.7868500000000003</v>
      </c>
      <c r="G4396" s="56">
        <v>0</v>
      </c>
      <c r="H4396" s="56">
        <v>0</v>
      </c>
      <c r="I4396" s="58">
        <v>0.19038099999999999</v>
      </c>
      <c r="J4396" s="57">
        <v>0.30736599999999997</v>
      </c>
      <c r="K4396" s="56"/>
      <c r="L4396" s="56" t="s">
        <v>488</v>
      </c>
    </row>
    <row r="4397" spans="2:12" x14ac:dyDescent="0.2">
      <c r="B4397" s="62" t="s">
        <v>1358</v>
      </c>
      <c r="C4397" s="61" t="s">
        <v>641</v>
      </c>
      <c r="D4397" s="60">
        <v>1.80701</v>
      </c>
      <c r="E4397" s="59">
        <v>2.8028</v>
      </c>
      <c r="F4397" s="59">
        <v>3.5075599999999998</v>
      </c>
      <c r="G4397" s="56">
        <v>0</v>
      </c>
      <c r="H4397" s="56">
        <v>0</v>
      </c>
      <c r="I4397" s="58">
        <v>0.16749700000000001</v>
      </c>
      <c r="J4397" s="57">
        <v>0.25752000000000003</v>
      </c>
      <c r="K4397" s="56"/>
      <c r="L4397" s="56" t="s">
        <v>488</v>
      </c>
    </row>
    <row r="4398" spans="2:12" x14ac:dyDescent="0.2">
      <c r="B4398" s="62" t="s">
        <v>1357</v>
      </c>
      <c r="C4398" s="61" t="s">
        <v>1356</v>
      </c>
      <c r="D4398" s="60">
        <v>1.53443</v>
      </c>
      <c r="E4398" s="59">
        <v>2.95777</v>
      </c>
      <c r="F4398" s="59">
        <v>4.4453100000000001</v>
      </c>
      <c r="G4398" s="56">
        <v>0</v>
      </c>
      <c r="H4398" s="56">
        <v>0</v>
      </c>
      <c r="I4398" s="58">
        <v>0.21557399999999999</v>
      </c>
      <c r="J4398" s="57">
        <v>0.27251799999999998</v>
      </c>
      <c r="K4398" s="56"/>
      <c r="L4398" s="56" t="s">
        <v>488</v>
      </c>
    </row>
    <row r="4399" spans="2:12" x14ac:dyDescent="0.2">
      <c r="B4399" s="62" t="s">
        <v>1355</v>
      </c>
      <c r="C4399" s="61" t="s">
        <v>859</v>
      </c>
      <c r="D4399" s="60">
        <v>2.16553</v>
      </c>
      <c r="E4399" s="59">
        <v>2.5677500000000002</v>
      </c>
      <c r="F4399" s="59">
        <v>3.0357799999999999</v>
      </c>
      <c r="G4399" s="56">
        <v>0</v>
      </c>
      <c r="H4399" s="56">
        <v>0</v>
      </c>
      <c r="I4399" s="58">
        <v>0.120573</v>
      </c>
      <c r="J4399" s="57">
        <v>0.18374199999999999</v>
      </c>
      <c r="K4399" s="56"/>
      <c r="L4399" s="56" t="s">
        <v>730</v>
      </c>
    </row>
    <row r="4400" spans="2:12" x14ac:dyDescent="0.2">
      <c r="B4400" s="62" t="s">
        <v>1354</v>
      </c>
      <c r="C4400" s="61" t="s">
        <v>1226</v>
      </c>
      <c r="D4400" s="60">
        <v>1.4922899999999999</v>
      </c>
      <c r="E4400" s="59">
        <v>4.8223700000000003</v>
      </c>
      <c r="F4400" s="59">
        <v>6.3236299999999996</v>
      </c>
      <c r="G4400" s="56">
        <v>1158.71</v>
      </c>
      <c r="H4400" s="56">
        <v>776.46699999999998</v>
      </c>
      <c r="I4400" s="58">
        <v>0.53113200000000005</v>
      </c>
      <c r="J4400" s="57">
        <v>0.37722099999999997</v>
      </c>
      <c r="K4400" s="56"/>
      <c r="L4400" s="56" t="s">
        <v>488</v>
      </c>
    </row>
    <row r="4401" spans="2:12" x14ac:dyDescent="0.2">
      <c r="B4401" s="62" t="s">
        <v>1353</v>
      </c>
      <c r="C4401" s="61" t="s">
        <v>502</v>
      </c>
      <c r="D4401" s="60">
        <v>1.91615</v>
      </c>
      <c r="E4401" s="59">
        <v>4.30755</v>
      </c>
      <c r="F4401" s="59">
        <v>4.4898499999999997</v>
      </c>
      <c r="G4401" s="56">
        <v>291.66399999999999</v>
      </c>
      <c r="H4401" s="56">
        <v>152.21299999999999</v>
      </c>
      <c r="I4401" s="58">
        <v>0.26478600000000002</v>
      </c>
      <c r="J4401" s="57">
        <v>0.21398300000000001</v>
      </c>
      <c r="K4401" s="56"/>
      <c r="L4401" s="56" t="s">
        <v>488</v>
      </c>
    </row>
    <row r="4402" spans="2:12" x14ac:dyDescent="0.2">
      <c r="B4402" s="62" t="s">
        <v>1352</v>
      </c>
      <c r="C4402" s="61" t="s">
        <v>499</v>
      </c>
      <c r="D4402" s="60">
        <v>0.56261099999999997</v>
      </c>
      <c r="E4402" s="59">
        <v>6.5756600000000001</v>
      </c>
      <c r="F4402" s="59">
        <v>18.447759999999999</v>
      </c>
      <c r="G4402" s="56">
        <v>2091.9499999999998</v>
      </c>
      <c r="H4402" s="56">
        <v>3718.28</v>
      </c>
      <c r="I4402" s="58">
        <v>0.85305200000000003</v>
      </c>
      <c r="J4402" s="57">
        <v>1.40934</v>
      </c>
      <c r="K4402" s="56"/>
      <c r="L4402" s="56" t="s">
        <v>488</v>
      </c>
    </row>
    <row r="4403" spans="2:12" x14ac:dyDescent="0.2">
      <c r="B4403" s="62" t="s">
        <v>1351</v>
      </c>
      <c r="C4403" s="61" t="s">
        <v>502</v>
      </c>
      <c r="D4403" s="60">
        <v>0.56074199999999996</v>
      </c>
      <c r="E4403" s="59">
        <v>6.6218700000000004</v>
      </c>
      <c r="F4403" s="59">
        <v>18.706679999999999</v>
      </c>
      <c r="G4403" s="56">
        <v>2086.69</v>
      </c>
      <c r="H4403" s="56">
        <v>3721.31</v>
      </c>
      <c r="I4403" s="58">
        <v>0.84698799999999996</v>
      </c>
      <c r="J4403" s="57">
        <v>1.4141300000000001</v>
      </c>
      <c r="K4403" s="56"/>
      <c r="L4403" s="56" t="s">
        <v>488</v>
      </c>
    </row>
    <row r="4404" spans="2:12" x14ac:dyDescent="0.2">
      <c r="B4404" s="62" t="s">
        <v>1350</v>
      </c>
      <c r="C4404" s="61" t="s">
        <v>625</v>
      </c>
      <c r="D4404" s="60">
        <v>1.2389399999999999</v>
      </c>
      <c r="E4404" s="59">
        <v>13.811070000000001</v>
      </c>
      <c r="F4404" s="59">
        <v>14.72034</v>
      </c>
      <c r="G4404" s="56">
        <v>1053.8900000000001</v>
      </c>
      <c r="H4404" s="56">
        <v>850.64200000000005</v>
      </c>
      <c r="I4404" s="58">
        <v>0.54783099999999996</v>
      </c>
      <c r="J4404" s="57">
        <v>0.506911</v>
      </c>
      <c r="K4404" s="56"/>
      <c r="L4404" s="56" t="s">
        <v>488</v>
      </c>
    </row>
    <row r="4405" spans="2:12" x14ac:dyDescent="0.2">
      <c r="B4405" s="62" t="s">
        <v>1349</v>
      </c>
      <c r="C4405" s="61" t="s">
        <v>495</v>
      </c>
      <c r="D4405" s="60">
        <v>1.3589500000000001</v>
      </c>
      <c r="E4405" s="59">
        <v>4.4606700000000004</v>
      </c>
      <c r="F4405" s="59">
        <v>5.8520099999999999</v>
      </c>
      <c r="G4405" s="56">
        <v>864.08199999999999</v>
      </c>
      <c r="H4405" s="56">
        <v>635.846</v>
      </c>
      <c r="I4405" s="58">
        <v>0.44561000000000001</v>
      </c>
      <c r="J4405" s="57">
        <v>0.36874499999999999</v>
      </c>
      <c r="K4405" s="56"/>
      <c r="L4405" s="56" t="s">
        <v>488</v>
      </c>
    </row>
    <row r="4406" spans="2:12" x14ac:dyDescent="0.2">
      <c r="B4406" s="62" t="s">
        <v>1348</v>
      </c>
      <c r="C4406" s="61" t="s">
        <v>495</v>
      </c>
      <c r="D4406" s="60">
        <v>1.39517</v>
      </c>
      <c r="E4406" s="59">
        <v>3.9568599999999998</v>
      </c>
      <c r="F4406" s="59">
        <v>5.0150699999999997</v>
      </c>
      <c r="G4406" s="56">
        <v>512.59299999999996</v>
      </c>
      <c r="H4406" s="56">
        <v>367.40699999999998</v>
      </c>
      <c r="I4406" s="58">
        <v>0.32858199999999999</v>
      </c>
      <c r="J4406" s="57">
        <v>0.32560099999999997</v>
      </c>
      <c r="K4406" s="56"/>
      <c r="L4406" s="56" t="s">
        <v>488</v>
      </c>
    </row>
    <row r="4407" spans="2:12" x14ac:dyDescent="0.2">
      <c r="B4407" s="62" t="s">
        <v>1347</v>
      </c>
      <c r="C4407" s="61" t="s">
        <v>499</v>
      </c>
      <c r="D4407" s="60">
        <v>1.5858399999999999</v>
      </c>
      <c r="E4407" s="59">
        <v>2.7723900000000001</v>
      </c>
      <c r="F4407" s="59">
        <v>3.5790999999999999</v>
      </c>
      <c r="G4407" s="56">
        <v>0</v>
      </c>
      <c r="H4407" s="56">
        <v>0</v>
      </c>
      <c r="I4407" s="58">
        <v>0.157245</v>
      </c>
      <c r="J4407" s="57">
        <v>0.26308799999999999</v>
      </c>
      <c r="K4407" s="56"/>
      <c r="L4407" s="56" t="s">
        <v>488</v>
      </c>
    </row>
    <row r="4408" spans="2:12" x14ac:dyDescent="0.2">
      <c r="B4408" s="62" t="s">
        <v>1346</v>
      </c>
      <c r="C4408" s="61" t="s">
        <v>499</v>
      </c>
      <c r="D4408" s="60">
        <v>1.7285699999999999</v>
      </c>
      <c r="E4408" s="59">
        <v>2.6928000000000001</v>
      </c>
      <c r="F4408" s="59">
        <v>6.4472100000000001</v>
      </c>
      <c r="G4408" s="56">
        <v>0</v>
      </c>
      <c r="H4408" s="56">
        <v>0</v>
      </c>
      <c r="I4408" s="58">
        <v>0.38657900000000001</v>
      </c>
      <c r="J4408" s="57">
        <v>0.28826499999999999</v>
      </c>
      <c r="K4408" s="56"/>
      <c r="L4408" s="56" t="s">
        <v>488</v>
      </c>
    </row>
    <row r="4409" spans="2:12" x14ac:dyDescent="0.2">
      <c r="B4409" s="62" t="s">
        <v>1345</v>
      </c>
      <c r="C4409" s="61" t="s">
        <v>495</v>
      </c>
      <c r="D4409" s="60">
        <v>0.79058899999999999</v>
      </c>
      <c r="E4409" s="59">
        <v>10.264659999999999</v>
      </c>
      <c r="F4409" s="59">
        <v>11.328440000000001</v>
      </c>
      <c r="G4409" s="56">
        <v>1535.77</v>
      </c>
      <c r="H4409" s="56">
        <v>1942.57</v>
      </c>
      <c r="I4409" s="58">
        <v>0.70919900000000002</v>
      </c>
      <c r="J4409" s="57">
        <v>0.84789700000000001</v>
      </c>
      <c r="K4409" s="56"/>
      <c r="L4409" s="56" t="s">
        <v>488</v>
      </c>
    </row>
    <row r="4410" spans="2:12" x14ac:dyDescent="0.2">
      <c r="B4410" s="62" t="s">
        <v>1344</v>
      </c>
      <c r="C4410" s="61" t="s">
        <v>495</v>
      </c>
      <c r="D4410" s="60">
        <v>0.79058899999999999</v>
      </c>
      <c r="E4410" s="59">
        <v>10.23371</v>
      </c>
      <c r="F4410" s="59">
        <v>11.32335</v>
      </c>
      <c r="G4410" s="56">
        <v>1531.02</v>
      </c>
      <c r="H4410" s="56">
        <v>1936.56</v>
      </c>
      <c r="I4410" s="58">
        <v>0.71013599999999999</v>
      </c>
      <c r="J4410" s="57">
        <v>0.84778600000000004</v>
      </c>
      <c r="K4410" s="56"/>
      <c r="L4410" s="56" t="s">
        <v>488</v>
      </c>
    </row>
    <row r="4411" spans="2:12" x14ac:dyDescent="0.2">
      <c r="B4411" s="62" t="s">
        <v>1343</v>
      </c>
      <c r="C4411" s="61" t="s">
        <v>495</v>
      </c>
      <c r="D4411" s="60">
        <v>1.00728</v>
      </c>
      <c r="E4411" s="59">
        <v>4.3145100000000003</v>
      </c>
      <c r="F4411" s="59">
        <v>4.8936299999999999</v>
      </c>
      <c r="G4411" s="56">
        <v>919.11300000000006</v>
      </c>
      <c r="H4411" s="56">
        <v>889.75099999999998</v>
      </c>
      <c r="I4411" s="58">
        <v>0.54882399999999998</v>
      </c>
      <c r="J4411" s="57">
        <v>0.56806999999999996</v>
      </c>
      <c r="K4411" s="56"/>
      <c r="L4411" s="56" t="s">
        <v>488</v>
      </c>
    </row>
    <row r="4412" spans="2:12" x14ac:dyDescent="0.2">
      <c r="B4412" s="62" t="s">
        <v>1342</v>
      </c>
      <c r="C4412" s="61" t="s">
        <v>495</v>
      </c>
      <c r="D4412" s="60">
        <v>1.0329999999999999</v>
      </c>
      <c r="E4412" s="59">
        <v>4.4609800000000002</v>
      </c>
      <c r="F4412" s="59">
        <v>5.0413899999999998</v>
      </c>
      <c r="G4412" s="56">
        <v>1070.04</v>
      </c>
      <c r="H4412" s="56">
        <v>1062.3</v>
      </c>
      <c r="I4412" s="58">
        <v>0.53095599999999998</v>
      </c>
      <c r="J4412" s="57">
        <v>0.54264199999999996</v>
      </c>
      <c r="K4412" s="56"/>
      <c r="L4412" s="56" t="s">
        <v>488</v>
      </c>
    </row>
    <row r="4413" spans="2:12" x14ac:dyDescent="0.2">
      <c r="B4413" s="62" t="s">
        <v>1341</v>
      </c>
      <c r="C4413" s="61" t="s">
        <v>550</v>
      </c>
      <c r="D4413" s="60">
        <v>1.35846</v>
      </c>
      <c r="E4413" s="59">
        <v>5.6082900000000002</v>
      </c>
      <c r="F4413" s="59">
        <v>6.9723300000000004</v>
      </c>
      <c r="G4413" s="56">
        <v>907.99400000000003</v>
      </c>
      <c r="H4413" s="56">
        <v>668.40200000000004</v>
      </c>
      <c r="I4413" s="58">
        <v>0.35172900000000001</v>
      </c>
      <c r="J4413" s="57">
        <v>0.38772400000000001</v>
      </c>
      <c r="K4413" s="56"/>
      <c r="L4413" s="56" t="s">
        <v>488</v>
      </c>
    </row>
    <row r="4414" spans="2:12" x14ac:dyDescent="0.2">
      <c r="B4414" s="62" t="s">
        <v>1340</v>
      </c>
      <c r="C4414" s="61" t="s">
        <v>550</v>
      </c>
      <c r="D4414" s="60">
        <v>1.3046599999999999</v>
      </c>
      <c r="E4414" s="59">
        <v>3.9327999999999999</v>
      </c>
      <c r="F4414" s="59">
        <v>5.3816899999999999</v>
      </c>
      <c r="G4414" s="56">
        <v>576.14599999999996</v>
      </c>
      <c r="H4414" s="56">
        <v>441.60700000000003</v>
      </c>
      <c r="I4414" s="58">
        <v>0.31222100000000003</v>
      </c>
      <c r="J4414" s="57">
        <v>0.39151999999999998</v>
      </c>
      <c r="K4414" s="56"/>
      <c r="L4414" s="56" t="s">
        <v>488</v>
      </c>
    </row>
    <row r="4415" spans="2:12" x14ac:dyDescent="0.2">
      <c r="B4415" s="62" t="s">
        <v>1339</v>
      </c>
      <c r="C4415" s="61" t="s">
        <v>531</v>
      </c>
      <c r="D4415" s="60">
        <v>2.2622599999999999</v>
      </c>
      <c r="E4415" s="59">
        <v>2.63707</v>
      </c>
      <c r="F4415" s="59">
        <v>3.9845700000000002</v>
      </c>
      <c r="G4415" s="56">
        <v>0</v>
      </c>
      <c r="H4415" s="56">
        <v>0</v>
      </c>
      <c r="I4415" s="58">
        <v>8.8380299999999995E-2</v>
      </c>
      <c r="J4415" s="57">
        <v>0.15251300000000001</v>
      </c>
      <c r="K4415" s="56"/>
      <c r="L4415" s="56" t="s">
        <v>492</v>
      </c>
    </row>
    <row r="4416" spans="2:12" x14ac:dyDescent="0.2">
      <c r="B4416" s="62" t="s">
        <v>1338</v>
      </c>
      <c r="C4416" s="61" t="s">
        <v>499</v>
      </c>
      <c r="D4416" s="60">
        <v>0.68566899999999997</v>
      </c>
      <c r="E4416" s="59">
        <v>6.4519700000000002</v>
      </c>
      <c r="F4416" s="59">
        <v>13.72369</v>
      </c>
      <c r="G4416" s="56">
        <v>2166.27</v>
      </c>
      <c r="H4416" s="56">
        <v>3159.35</v>
      </c>
      <c r="I4416" s="58">
        <v>0.78691299999999997</v>
      </c>
      <c r="J4416" s="57">
        <v>1.1343000000000001</v>
      </c>
      <c r="K4416" s="56"/>
      <c r="L4416" s="56" t="s">
        <v>488</v>
      </c>
    </row>
    <row r="4417" spans="2:12" x14ac:dyDescent="0.2">
      <c r="B4417" s="62" t="s">
        <v>1337</v>
      </c>
      <c r="C4417" s="61" t="s">
        <v>502</v>
      </c>
      <c r="D4417" s="60">
        <v>1.5819700000000001</v>
      </c>
      <c r="E4417" s="59">
        <v>3.4706800000000002</v>
      </c>
      <c r="F4417" s="59">
        <v>4.2913800000000002</v>
      </c>
      <c r="G4417" s="56">
        <v>0</v>
      </c>
      <c r="H4417" s="56">
        <v>0</v>
      </c>
      <c r="I4417" s="58">
        <v>0.21394099999999999</v>
      </c>
      <c r="J4417" s="57">
        <v>0.270617</v>
      </c>
      <c r="K4417" s="56"/>
      <c r="L4417" s="56" t="s">
        <v>488</v>
      </c>
    </row>
    <row r="4418" spans="2:12" x14ac:dyDescent="0.2">
      <c r="B4418" s="62" t="s">
        <v>1336</v>
      </c>
      <c r="C4418" s="61" t="s">
        <v>502</v>
      </c>
      <c r="D4418" s="60">
        <v>1.3407</v>
      </c>
      <c r="E4418" s="59">
        <v>5.9589299999999996</v>
      </c>
      <c r="F4418" s="59">
        <v>6.5709600000000004</v>
      </c>
      <c r="G4418" s="56">
        <v>924.88</v>
      </c>
      <c r="H4418" s="56">
        <v>689.846</v>
      </c>
      <c r="I4418" s="58">
        <v>0.34324300000000002</v>
      </c>
      <c r="J4418" s="57">
        <v>0.37880900000000001</v>
      </c>
      <c r="K4418" s="56"/>
      <c r="L4418" s="56" t="s">
        <v>488</v>
      </c>
    </row>
    <row r="4419" spans="2:12" x14ac:dyDescent="0.2">
      <c r="B4419" s="62" t="s">
        <v>1335</v>
      </c>
      <c r="C4419" s="61" t="s">
        <v>499</v>
      </c>
      <c r="D4419" s="60">
        <v>0.51928700000000005</v>
      </c>
      <c r="E4419" s="59">
        <v>8.7288200000000007</v>
      </c>
      <c r="F4419" s="59">
        <v>14.852880000000001</v>
      </c>
      <c r="G4419" s="56">
        <v>2150.6</v>
      </c>
      <c r="H4419" s="56">
        <v>4141.45</v>
      </c>
      <c r="I4419" s="58">
        <v>0.82918499999999995</v>
      </c>
      <c r="J4419" s="57">
        <v>1.62842</v>
      </c>
      <c r="K4419" s="56"/>
      <c r="L4419" s="56" t="s">
        <v>488</v>
      </c>
    </row>
    <row r="4420" spans="2:12" x14ac:dyDescent="0.2">
      <c r="B4420" s="62" t="s">
        <v>1334</v>
      </c>
      <c r="C4420" s="61" t="s">
        <v>499</v>
      </c>
      <c r="D4420" s="60">
        <v>0.59467499999999995</v>
      </c>
      <c r="E4420" s="59">
        <v>7.9701899999999997</v>
      </c>
      <c r="F4420" s="59">
        <v>14.988569999999999</v>
      </c>
      <c r="G4420" s="56">
        <v>2155.88</v>
      </c>
      <c r="H4420" s="56">
        <v>3625.3</v>
      </c>
      <c r="I4420" s="58">
        <v>0.83445000000000003</v>
      </c>
      <c r="J4420" s="57">
        <v>1.3608100000000001</v>
      </c>
      <c r="K4420" s="56"/>
      <c r="L4420" s="56" t="s">
        <v>488</v>
      </c>
    </row>
    <row r="4421" spans="2:12" x14ac:dyDescent="0.2">
      <c r="B4421" s="62" t="s">
        <v>1333</v>
      </c>
      <c r="C4421" s="61" t="s">
        <v>499</v>
      </c>
      <c r="D4421" s="60">
        <v>0.59467499999999995</v>
      </c>
      <c r="E4421" s="59">
        <v>7.9967899999999998</v>
      </c>
      <c r="F4421" s="59">
        <v>14.997579999999999</v>
      </c>
      <c r="G4421" s="56">
        <v>2134.89</v>
      </c>
      <c r="H4421" s="56">
        <v>3590.01</v>
      </c>
      <c r="I4421" s="58">
        <v>0.83503899999999998</v>
      </c>
      <c r="J4421" s="57">
        <v>1.36069</v>
      </c>
      <c r="K4421" s="56"/>
      <c r="L4421" s="56" t="s">
        <v>488</v>
      </c>
    </row>
    <row r="4422" spans="2:12" x14ac:dyDescent="0.2">
      <c r="B4422" s="62" t="s">
        <v>1332</v>
      </c>
      <c r="C4422" s="61" t="s">
        <v>1331</v>
      </c>
      <c r="D4422" s="60">
        <v>3.6619899999999999</v>
      </c>
      <c r="E4422" s="59">
        <v>4.3034400000000002</v>
      </c>
      <c r="F4422" s="59">
        <v>5.0783699999999996</v>
      </c>
      <c r="G4422" s="56">
        <v>626.51099999999997</v>
      </c>
      <c r="H4422" s="56">
        <v>171.08500000000001</v>
      </c>
      <c r="I4422" s="58">
        <v>0.25251699999999999</v>
      </c>
      <c r="J4422" s="57">
        <v>0.11691600000000001</v>
      </c>
      <c r="K4422" s="56"/>
      <c r="L4422" s="56" t="s">
        <v>492</v>
      </c>
    </row>
    <row r="4423" spans="2:12" x14ac:dyDescent="0.2">
      <c r="B4423" s="62" t="s">
        <v>1330</v>
      </c>
      <c r="C4423" s="61" t="s">
        <v>550</v>
      </c>
      <c r="D4423" s="60">
        <v>1.7827299999999999</v>
      </c>
      <c r="E4423" s="59">
        <v>3.9146200000000002</v>
      </c>
      <c r="F4423" s="59">
        <v>4.9277499999999996</v>
      </c>
      <c r="G4423" s="56">
        <v>916.423</v>
      </c>
      <c r="H4423" s="56">
        <v>514.05499999999995</v>
      </c>
      <c r="I4423" s="58">
        <v>0.37510500000000002</v>
      </c>
      <c r="J4423" s="57">
        <v>0.33304</v>
      </c>
      <c r="K4423" s="56"/>
      <c r="L4423" s="56" t="s">
        <v>488</v>
      </c>
    </row>
    <row r="4424" spans="2:12" x14ac:dyDescent="0.2">
      <c r="B4424" s="62" t="s">
        <v>1329</v>
      </c>
      <c r="C4424" s="61" t="s">
        <v>499</v>
      </c>
      <c r="D4424" s="60">
        <v>0.911443</v>
      </c>
      <c r="E4424" s="59">
        <v>5.5163900000000003</v>
      </c>
      <c r="F4424" s="59">
        <v>8.03491</v>
      </c>
      <c r="G4424" s="56">
        <v>1939.93</v>
      </c>
      <c r="H4424" s="56">
        <v>2128.42</v>
      </c>
      <c r="I4424" s="58">
        <v>0.73216199999999998</v>
      </c>
      <c r="J4424" s="57">
        <v>0.72620099999999999</v>
      </c>
      <c r="K4424" s="56"/>
      <c r="L4424" s="56" t="s">
        <v>488</v>
      </c>
    </row>
    <row r="4425" spans="2:12" x14ac:dyDescent="0.2">
      <c r="B4425" s="62" t="s">
        <v>1328</v>
      </c>
      <c r="C4425" s="61" t="s">
        <v>499</v>
      </c>
      <c r="D4425" s="60">
        <v>0.43834000000000001</v>
      </c>
      <c r="E4425" s="59">
        <v>10.73771</v>
      </c>
      <c r="F4425" s="59">
        <v>16.87143</v>
      </c>
      <c r="G4425" s="56">
        <v>1986.92</v>
      </c>
      <c r="H4425" s="56">
        <v>4532.83</v>
      </c>
      <c r="I4425" s="58">
        <v>0.85740799999999995</v>
      </c>
      <c r="J4425" s="57">
        <v>1.8995599999999999</v>
      </c>
      <c r="K4425" s="56"/>
      <c r="L4425" s="56" t="s">
        <v>488</v>
      </c>
    </row>
    <row r="4426" spans="2:12" x14ac:dyDescent="0.2">
      <c r="B4426" s="62" t="s">
        <v>1327</v>
      </c>
      <c r="C4426" s="61" t="s">
        <v>541</v>
      </c>
      <c r="D4426" s="60">
        <v>1.78729</v>
      </c>
      <c r="E4426" s="59">
        <v>3.3760699999999999</v>
      </c>
      <c r="F4426" s="59">
        <v>4.1463599999999996</v>
      </c>
      <c r="G4426" s="56">
        <v>0</v>
      </c>
      <c r="H4426" s="56">
        <v>0</v>
      </c>
      <c r="I4426" s="58">
        <v>0.22329399999999999</v>
      </c>
      <c r="J4426" s="57">
        <v>0.22647300000000001</v>
      </c>
      <c r="K4426" s="56"/>
      <c r="L4426" s="56" t="s">
        <v>488</v>
      </c>
    </row>
    <row r="4427" spans="2:12" x14ac:dyDescent="0.2">
      <c r="B4427" s="62" t="s">
        <v>1326</v>
      </c>
      <c r="C4427" s="61" t="s">
        <v>1325</v>
      </c>
      <c r="D4427" s="60">
        <v>2.5070899999999998</v>
      </c>
      <c r="E4427" s="59">
        <v>2.4272999999999998</v>
      </c>
      <c r="F4427" s="59">
        <v>4.1856400000000002</v>
      </c>
      <c r="G4427" s="56">
        <v>0</v>
      </c>
      <c r="H4427" s="56">
        <v>0</v>
      </c>
      <c r="I4427" s="58">
        <v>4.1007399999999999E-2</v>
      </c>
      <c r="J4427" s="57">
        <v>0.14224300000000001</v>
      </c>
      <c r="K4427" s="56"/>
      <c r="L4427" s="56" t="s">
        <v>730</v>
      </c>
    </row>
    <row r="4428" spans="2:12" x14ac:dyDescent="0.2">
      <c r="B4428" s="62" t="s">
        <v>1324</v>
      </c>
      <c r="C4428" s="61" t="s">
        <v>502</v>
      </c>
      <c r="D4428" s="60">
        <v>0.92932999999999999</v>
      </c>
      <c r="E4428" s="59">
        <v>6.5725199999999999</v>
      </c>
      <c r="F4428" s="59">
        <v>7.3089300000000001</v>
      </c>
      <c r="G4428" s="56">
        <v>1356.64</v>
      </c>
      <c r="H4428" s="56">
        <v>1459.8</v>
      </c>
      <c r="I4428" s="58">
        <v>0.48245500000000002</v>
      </c>
      <c r="J4428" s="57">
        <v>0.68570299999999995</v>
      </c>
      <c r="K4428" s="56"/>
      <c r="L4428" s="56" t="s">
        <v>488</v>
      </c>
    </row>
    <row r="4429" spans="2:12" x14ac:dyDescent="0.2">
      <c r="B4429" s="62" t="s">
        <v>1323</v>
      </c>
      <c r="C4429" s="61" t="s">
        <v>1031</v>
      </c>
      <c r="D4429" s="60">
        <v>1.302</v>
      </c>
      <c r="E4429" s="59">
        <v>3.84924</v>
      </c>
      <c r="F4429" s="59">
        <v>5.2191099999999997</v>
      </c>
      <c r="G4429" s="56">
        <v>296.44600000000003</v>
      </c>
      <c r="H4429" s="56">
        <v>227.685</v>
      </c>
      <c r="I4429" s="58">
        <v>0.22483400000000001</v>
      </c>
      <c r="J4429" s="57">
        <v>0.35446</v>
      </c>
      <c r="K4429" s="56"/>
      <c r="L4429" s="56" t="s">
        <v>492</v>
      </c>
    </row>
    <row r="4430" spans="2:12" x14ac:dyDescent="0.2">
      <c r="B4430" s="62" t="s">
        <v>1322</v>
      </c>
      <c r="C4430" s="61" t="s">
        <v>510</v>
      </c>
      <c r="D4430" s="60">
        <v>1.6070899999999999</v>
      </c>
      <c r="E4430" s="59">
        <v>2.8500899999999998</v>
      </c>
      <c r="F4430" s="59">
        <v>4.9692100000000003</v>
      </c>
      <c r="G4430" s="56">
        <v>0</v>
      </c>
      <c r="H4430" s="56">
        <v>0</v>
      </c>
      <c r="I4430" s="58">
        <v>0.137519</v>
      </c>
      <c r="J4430" s="57">
        <v>0.24057799999999999</v>
      </c>
      <c r="K4430" s="56"/>
      <c r="L4430" s="56" t="s">
        <v>488</v>
      </c>
    </row>
    <row r="4431" spans="2:12" x14ac:dyDescent="0.2">
      <c r="B4431" s="62" t="s">
        <v>1321</v>
      </c>
      <c r="C4431" s="61" t="s">
        <v>1313</v>
      </c>
      <c r="D4431" s="60">
        <v>1.64266</v>
      </c>
      <c r="E4431" s="59">
        <v>2.6571500000000001</v>
      </c>
      <c r="F4431" s="59">
        <v>3.5893199999999998</v>
      </c>
      <c r="G4431" s="56">
        <v>0</v>
      </c>
      <c r="H4431" s="56">
        <v>0</v>
      </c>
      <c r="I4431" s="58">
        <v>9.0381100000000006E-2</v>
      </c>
      <c r="J4431" s="57">
        <v>0.217892</v>
      </c>
      <c r="K4431" s="56"/>
      <c r="L4431" s="56" t="s">
        <v>488</v>
      </c>
    </row>
    <row r="4432" spans="2:12" x14ac:dyDescent="0.2">
      <c r="B4432" s="62" t="s">
        <v>1320</v>
      </c>
      <c r="C4432" s="61" t="s">
        <v>1313</v>
      </c>
      <c r="D4432" s="60">
        <v>1.2443299999999999</v>
      </c>
      <c r="E4432" s="59">
        <v>6.0660100000000003</v>
      </c>
      <c r="F4432" s="59">
        <v>6.4157900000000003</v>
      </c>
      <c r="G4432" s="56">
        <v>1154.22</v>
      </c>
      <c r="H4432" s="56">
        <v>927.58299999999997</v>
      </c>
      <c r="I4432" s="58">
        <v>0.51754999999999995</v>
      </c>
      <c r="J4432" s="57">
        <v>0.43971199999999999</v>
      </c>
      <c r="K4432" s="56"/>
      <c r="L4432" s="56" t="s">
        <v>488</v>
      </c>
    </row>
    <row r="4433" spans="2:12" x14ac:dyDescent="0.2">
      <c r="B4433" s="62" t="s">
        <v>1319</v>
      </c>
      <c r="C4433" s="61" t="s">
        <v>1313</v>
      </c>
      <c r="D4433" s="60">
        <v>1.2347399999999999</v>
      </c>
      <c r="E4433" s="59">
        <v>7.27468</v>
      </c>
      <c r="F4433" s="59">
        <v>7.4929800000000002</v>
      </c>
      <c r="G4433" s="56">
        <v>1258.1400000000001</v>
      </c>
      <c r="H4433" s="56">
        <v>1018.95</v>
      </c>
      <c r="I4433" s="58">
        <v>0.55062199999999994</v>
      </c>
      <c r="J4433" s="57">
        <v>0.45476299999999997</v>
      </c>
      <c r="K4433" s="56"/>
      <c r="L4433" s="56" t="s">
        <v>488</v>
      </c>
    </row>
    <row r="4434" spans="2:12" x14ac:dyDescent="0.2">
      <c r="B4434" s="62" t="s">
        <v>1318</v>
      </c>
      <c r="C4434" s="61" t="s">
        <v>1313</v>
      </c>
      <c r="D4434" s="60">
        <v>1.2328399999999999</v>
      </c>
      <c r="E4434" s="59">
        <v>7.2585300000000004</v>
      </c>
      <c r="F4434" s="59">
        <v>7.4983399999999998</v>
      </c>
      <c r="G4434" s="56">
        <v>1273.82</v>
      </c>
      <c r="H4434" s="56">
        <v>1033.24</v>
      </c>
      <c r="I4434" s="58">
        <v>0.54819799999999996</v>
      </c>
      <c r="J4434" s="57">
        <v>0.45502700000000001</v>
      </c>
      <c r="K4434" s="56"/>
      <c r="L4434" s="56" t="s">
        <v>488</v>
      </c>
    </row>
    <row r="4435" spans="2:12" x14ac:dyDescent="0.2">
      <c r="B4435" s="62" t="s">
        <v>1317</v>
      </c>
      <c r="C4435" s="61" t="s">
        <v>1313</v>
      </c>
      <c r="D4435" s="60">
        <v>1.23129</v>
      </c>
      <c r="E4435" s="59">
        <v>7.2664099999999996</v>
      </c>
      <c r="F4435" s="59">
        <v>7.4929500000000004</v>
      </c>
      <c r="G4435" s="56">
        <v>1260.45</v>
      </c>
      <c r="H4435" s="56">
        <v>1023.68</v>
      </c>
      <c r="I4435" s="58">
        <v>0.54880799999999996</v>
      </c>
      <c r="J4435" s="57">
        <v>0.45615099999999997</v>
      </c>
      <c r="K4435" s="56"/>
      <c r="L4435" s="56" t="s">
        <v>488</v>
      </c>
    </row>
    <row r="4436" spans="2:12" x14ac:dyDescent="0.2">
      <c r="B4436" s="62" t="s">
        <v>1316</v>
      </c>
      <c r="C4436" s="61" t="s">
        <v>1313</v>
      </c>
      <c r="D4436" s="60">
        <v>1.23129</v>
      </c>
      <c r="E4436" s="59">
        <v>7.26736</v>
      </c>
      <c r="F4436" s="59">
        <v>7.4934700000000003</v>
      </c>
      <c r="G4436" s="56">
        <v>1281.08</v>
      </c>
      <c r="H4436" s="56">
        <v>1040.44</v>
      </c>
      <c r="I4436" s="58">
        <v>0.54828900000000003</v>
      </c>
      <c r="J4436" s="57">
        <v>0.45611499999999999</v>
      </c>
      <c r="K4436" s="56"/>
      <c r="L4436" s="56" t="s">
        <v>488</v>
      </c>
    </row>
    <row r="4437" spans="2:12" x14ac:dyDescent="0.2">
      <c r="B4437" s="62" t="s">
        <v>1315</v>
      </c>
      <c r="C4437" s="61" t="s">
        <v>1313</v>
      </c>
      <c r="D4437" s="60">
        <v>1.2338800000000001</v>
      </c>
      <c r="E4437" s="59">
        <v>7.2443299999999997</v>
      </c>
      <c r="F4437" s="59">
        <v>7.4818800000000003</v>
      </c>
      <c r="G4437" s="56">
        <v>1253.78</v>
      </c>
      <c r="H4437" s="56">
        <v>1016.13</v>
      </c>
      <c r="I4437" s="58">
        <v>0.55073700000000003</v>
      </c>
      <c r="J4437" s="57">
        <v>0.45515899999999998</v>
      </c>
      <c r="K4437" s="56"/>
      <c r="L4437" s="56" t="s">
        <v>488</v>
      </c>
    </row>
    <row r="4438" spans="2:12" x14ac:dyDescent="0.2">
      <c r="B4438" s="62" t="s">
        <v>1314</v>
      </c>
      <c r="C4438" s="61" t="s">
        <v>1313</v>
      </c>
      <c r="D4438" s="60">
        <v>1.2338800000000001</v>
      </c>
      <c r="E4438" s="59">
        <v>7.2546999999999997</v>
      </c>
      <c r="F4438" s="59">
        <v>7.4883199999999999</v>
      </c>
      <c r="G4438" s="56">
        <v>1287.03</v>
      </c>
      <c r="H4438" s="56">
        <v>1043.07</v>
      </c>
      <c r="I4438" s="58">
        <v>0.55059400000000003</v>
      </c>
      <c r="J4438" s="57">
        <v>0.45529700000000001</v>
      </c>
      <c r="K4438" s="56"/>
      <c r="L4438" s="56" t="s">
        <v>488</v>
      </c>
    </row>
    <row r="4439" spans="2:12" x14ac:dyDescent="0.2">
      <c r="B4439" s="62" t="s">
        <v>1312</v>
      </c>
      <c r="C4439" s="61" t="s">
        <v>694</v>
      </c>
      <c r="D4439" s="60">
        <v>1.1638200000000001</v>
      </c>
      <c r="E4439" s="59">
        <v>4.1163100000000004</v>
      </c>
      <c r="F4439" s="59">
        <v>4.7867699999999997</v>
      </c>
      <c r="G4439" s="56">
        <v>706.12400000000002</v>
      </c>
      <c r="H4439" s="56">
        <v>606.73</v>
      </c>
      <c r="I4439" s="58">
        <v>0.32135000000000002</v>
      </c>
      <c r="J4439" s="57">
        <v>0.43198999999999999</v>
      </c>
      <c r="K4439" s="56"/>
      <c r="L4439" s="56" t="s">
        <v>492</v>
      </c>
    </row>
    <row r="4440" spans="2:12" x14ac:dyDescent="0.2">
      <c r="B4440" s="62" t="s">
        <v>1311</v>
      </c>
      <c r="C4440" s="61" t="s">
        <v>499</v>
      </c>
      <c r="D4440" s="60">
        <v>1.7033199999999999</v>
      </c>
      <c r="E4440" s="59">
        <v>2.9952999999999999</v>
      </c>
      <c r="F4440" s="59">
        <v>4.2158300000000004</v>
      </c>
      <c r="G4440" s="56">
        <v>0</v>
      </c>
      <c r="H4440" s="56">
        <v>0</v>
      </c>
      <c r="I4440" s="58">
        <v>0.317056</v>
      </c>
      <c r="J4440" s="57">
        <v>0.282364</v>
      </c>
      <c r="K4440" s="56"/>
      <c r="L4440" s="56" t="s">
        <v>488</v>
      </c>
    </row>
    <row r="4441" spans="2:12" x14ac:dyDescent="0.2">
      <c r="B4441" s="62" t="s">
        <v>1310</v>
      </c>
      <c r="C4441" s="61" t="s">
        <v>499</v>
      </c>
      <c r="D4441" s="60">
        <v>1.6978</v>
      </c>
      <c r="E4441" s="59">
        <v>2.9928499999999998</v>
      </c>
      <c r="F4441" s="59">
        <v>4.1969000000000003</v>
      </c>
      <c r="G4441" s="56">
        <v>0</v>
      </c>
      <c r="H4441" s="56">
        <v>0</v>
      </c>
      <c r="I4441" s="58">
        <v>0.32391900000000001</v>
      </c>
      <c r="J4441" s="57">
        <v>0.28392299999999998</v>
      </c>
      <c r="K4441" s="56"/>
      <c r="L4441" s="56" t="s">
        <v>488</v>
      </c>
    </row>
    <row r="4442" spans="2:12" x14ac:dyDescent="0.2">
      <c r="B4442" s="62" t="s">
        <v>1309</v>
      </c>
      <c r="C4442" s="61" t="s">
        <v>499</v>
      </c>
      <c r="D4442" s="60">
        <v>1.7008700000000001</v>
      </c>
      <c r="E4442" s="59">
        <v>2.9643999999999999</v>
      </c>
      <c r="F4442" s="59">
        <v>4.1736300000000002</v>
      </c>
      <c r="G4442" s="56">
        <v>0</v>
      </c>
      <c r="H4442" s="56">
        <v>0</v>
      </c>
      <c r="I4442" s="58">
        <v>0.32125799999999999</v>
      </c>
      <c r="J4442" s="57">
        <v>0.28373199999999998</v>
      </c>
      <c r="K4442" s="56"/>
      <c r="L4442" s="56" t="s">
        <v>488</v>
      </c>
    </row>
    <row r="4443" spans="2:12" x14ac:dyDescent="0.2">
      <c r="B4443" s="62" t="s">
        <v>1308</v>
      </c>
      <c r="C4443" s="61" t="s">
        <v>499</v>
      </c>
      <c r="D4443" s="60">
        <v>1.69225</v>
      </c>
      <c r="E4443" s="59">
        <v>3.0752299999999999</v>
      </c>
      <c r="F4443" s="59">
        <v>4.2222499999999998</v>
      </c>
      <c r="G4443" s="56">
        <v>0</v>
      </c>
      <c r="H4443" s="56">
        <v>0</v>
      </c>
      <c r="I4443" s="58">
        <v>0.33030900000000002</v>
      </c>
      <c r="J4443" s="57">
        <v>0.287518</v>
      </c>
      <c r="K4443" s="56"/>
      <c r="L4443" s="56" t="s">
        <v>488</v>
      </c>
    </row>
    <row r="4444" spans="2:12" x14ac:dyDescent="0.2">
      <c r="B4444" s="62" t="s">
        <v>1307</v>
      </c>
      <c r="C4444" s="61" t="s">
        <v>499</v>
      </c>
      <c r="D4444" s="60">
        <v>1.71123</v>
      </c>
      <c r="E4444" s="59">
        <v>2.98665</v>
      </c>
      <c r="F4444" s="59">
        <v>4.1634500000000001</v>
      </c>
      <c r="G4444" s="56">
        <v>0</v>
      </c>
      <c r="H4444" s="56">
        <v>0</v>
      </c>
      <c r="I4444" s="58">
        <v>0.31858999999999998</v>
      </c>
      <c r="J4444" s="57">
        <v>0.28037899999999999</v>
      </c>
      <c r="K4444" s="56"/>
      <c r="L4444" s="56" t="s">
        <v>488</v>
      </c>
    </row>
    <row r="4445" spans="2:12" x14ac:dyDescent="0.2">
      <c r="B4445" s="62" t="s">
        <v>1306</v>
      </c>
      <c r="C4445" s="61" t="s">
        <v>502</v>
      </c>
      <c r="D4445" s="60">
        <v>0.57519600000000004</v>
      </c>
      <c r="E4445" s="59">
        <v>10.49353</v>
      </c>
      <c r="F4445" s="59">
        <v>15.938280000000001</v>
      </c>
      <c r="G4445" s="56">
        <v>2041.59</v>
      </c>
      <c r="H4445" s="56">
        <v>3549.39</v>
      </c>
      <c r="I4445" s="58">
        <v>0.83905300000000005</v>
      </c>
      <c r="J4445" s="57">
        <v>1.3550500000000001</v>
      </c>
      <c r="K4445" s="56"/>
      <c r="L4445" s="56" t="s">
        <v>488</v>
      </c>
    </row>
    <row r="4446" spans="2:12" x14ac:dyDescent="0.2">
      <c r="B4446" s="62" t="s">
        <v>1305</v>
      </c>
      <c r="C4446" s="61" t="s">
        <v>798</v>
      </c>
      <c r="D4446" s="60">
        <v>0.94901199999999997</v>
      </c>
      <c r="E4446" s="59">
        <v>6.5131800000000002</v>
      </c>
      <c r="F4446" s="59">
        <v>7.20791</v>
      </c>
      <c r="G4446" s="56">
        <v>1348.25</v>
      </c>
      <c r="H4446" s="56">
        <v>1430.29</v>
      </c>
      <c r="I4446" s="58">
        <v>0.61826999999999999</v>
      </c>
      <c r="J4446" s="57">
        <v>0.62243300000000001</v>
      </c>
      <c r="K4446" s="56"/>
      <c r="L4446" s="56" t="s">
        <v>488</v>
      </c>
    </row>
    <row r="4447" spans="2:12" x14ac:dyDescent="0.2">
      <c r="B4447" s="62" t="s">
        <v>1304</v>
      </c>
      <c r="C4447" s="61" t="s">
        <v>798</v>
      </c>
      <c r="D4447" s="60">
        <v>0.94264000000000003</v>
      </c>
      <c r="E4447" s="59">
        <v>5.5581300000000002</v>
      </c>
      <c r="F4447" s="59">
        <v>7.2488299999999999</v>
      </c>
      <c r="G4447" s="56">
        <v>1334.26</v>
      </c>
      <c r="H4447" s="56">
        <v>1384.47</v>
      </c>
      <c r="I4447" s="58">
        <v>0.62696200000000002</v>
      </c>
      <c r="J4447" s="57">
        <v>0.63032999999999995</v>
      </c>
      <c r="K4447" s="56"/>
      <c r="L4447" s="56" t="s">
        <v>488</v>
      </c>
    </row>
    <row r="4448" spans="2:12" x14ac:dyDescent="0.2">
      <c r="B4448" s="62" t="s">
        <v>1303</v>
      </c>
      <c r="C4448" s="61" t="s">
        <v>798</v>
      </c>
      <c r="D4448" s="60">
        <v>0.96372899999999995</v>
      </c>
      <c r="E4448" s="59">
        <v>5.7433800000000002</v>
      </c>
      <c r="F4448" s="59">
        <v>7.3732899999999999</v>
      </c>
      <c r="G4448" s="56">
        <v>1372.13</v>
      </c>
      <c r="H4448" s="56">
        <v>1445.85</v>
      </c>
      <c r="I4448" s="58">
        <v>0.62260800000000005</v>
      </c>
      <c r="J4448" s="57">
        <v>0.60535099999999997</v>
      </c>
      <c r="K4448" s="56"/>
      <c r="L4448" s="56" t="s">
        <v>488</v>
      </c>
    </row>
    <row r="4449" spans="2:12" x14ac:dyDescent="0.2">
      <c r="B4449" s="62" t="s">
        <v>1302</v>
      </c>
      <c r="C4449" s="61" t="s">
        <v>502</v>
      </c>
      <c r="D4449" s="60">
        <v>1.30508</v>
      </c>
      <c r="E4449" s="59">
        <v>3.4370699999999998</v>
      </c>
      <c r="F4449" s="59">
        <v>4.5007900000000003</v>
      </c>
      <c r="G4449" s="56">
        <v>0</v>
      </c>
      <c r="H4449" s="56">
        <v>0</v>
      </c>
      <c r="I4449" s="58">
        <v>0.366342</v>
      </c>
      <c r="J4449" s="57">
        <v>0.37598399999999998</v>
      </c>
      <c r="K4449" s="56"/>
      <c r="L4449" s="56" t="s">
        <v>488</v>
      </c>
    </row>
    <row r="4450" spans="2:12" x14ac:dyDescent="0.2">
      <c r="B4450" s="62" t="s">
        <v>1301</v>
      </c>
      <c r="C4450" s="61" t="s">
        <v>798</v>
      </c>
      <c r="D4450" s="60">
        <v>0.69347999999999999</v>
      </c>
      <c r="E4450" s="59">
        <v>6.1905200000000002</v>
      </c>
      <c r="F4450" s="59">
        <v>9.9690700000000003</v>
      </c>
      <c r="G4450" s="56">
        <v>1929.01</v>
      </c>
      <c r="H4450" s="56">
        <v>2781.64</v>
      </c>
      <c r="I4450" s="58">
        <v>0.74051699999999998</v>
      </c>
      <c r="J4450" s="57">
        <v>0.98472300000000001</v>
      </c>
      <c r="K4450" s="56"/>
      <c r="L4450" s="56" t="s">
        <v>492</v>
      </c>
    </row>
    <row r="4451" spans="2:12" x14ac:dyDescent="0.2">
      <c r="B4451" s="62" t="s">
        <v>1300</v>
      </c>
      <c r="C4451" s="61" t="s">
        <v>526</v>
      </c>
      <c r="D4451" s="60">
        <v>0.819886</v>
      </c>
      <c r="E4451" s="59">
        <v>8.11233</v>
      </c>
      <c r="F4451" s="59">
        <v>9.3066899999999997</v>
      </c>
      <c r="G4451" s="56">
        <v>2089.04</v>
      </c>
      <c r="H4451" s="56">
        <v>2547.96</v>
      </c>
      <c r="I4451" s="58">
        <v>0.76884699999999995</v>
      </c>
      <c r="J4451" s="57">
        <v>0.87321099999999996</v>
      </c>
      <c r="K4451" s="56"/>
      <c r="L4451" s="56" t="s">
        <v>488</v>
      </c>
    </row>
    <row r="4452" spans="2:12" x14ac:dyDescent="0.2">
      <c r="B4452" s="62" t="s">
        <v>1299</v>
      </c>
      <c r="C4452" s="61" t="s">
        <v>708</v>
      </c>
      <c r="D4452" s="60">
        <v>1.20156</v>
      </c>
      <c r="E4452" s="59">
        <v>5.3888600000000002</v>
      </c>
      <c r="F4452" s="59">
        <v>6.2751599999999996</v>
      </c>
      <c r="G4452" s="56">
        <v>1516.14</v>
      </c>
      <c r="H4452" s="56">
        <v>1261.82</v>
      </c>
      <c r="I4452" s="58">
        <v>0.566527</v>
      </c>
      <c r="J4452" s="57">
        <v>0.53920500000000005</v>
      </c>
      <c r="K4452" s="56"/>
      <c r="L4452" s="56" t="s">
        <v>488</v>
      </c>
    </row>
    <row r="4453" spans="2:12" x14ac:dyDescent="0.2">
      <c r="B4453" s="62" t="s">
        <v>1298</v>
      </c>
      <c r="C4453" s="61" t="s">
        <v>529</v>
      </c>
      <c r="D4453" s="60">
        <v>1.76901</v>
      </c>
      <c r="E4453" s="59">
        <v>2.9713500000000002</v>
      </c>
      <c r="F4453" s="59">
        <v>3.5880100000000001</v>
      </c>
      <c r="G4453" s="56">
        <v>0</v>
      </c>
      <c r="H4453" s="56">
        <v>0</v>
      </c>
      <c r="I4453" s="58">
        <v>8.36644E-2</v>
      </c>
      <c r="J4453" s="57">
        <v>0.19156599999999999</v>
      </c>
      <c r="K4453" s="56"/>
      <c r="L4453" s="56" t="s">
        <v>488</v>
      </c>
    </row>
    <row r="4454" spans="2:12" x14ac:dyDescent="0.2">
      <c r="B4454" s="62" t="s">
        <v>1297</v>
      </c>
      <c r="C4454" s="61" t="s">
        <v>502</v>
      </c>
      <c r="D4454" s="60">
        <v>1.3157799999999999</v>
      </c>
      <c r="E4454" s="59">
        <v>3.3966799999999999</v>
      </c>
      <c r="F4454" s="59">
        <v>3.98841</v>
      </c>
      <c r="G4454" s="56">
        <v>0</v>
      </c>
      <c r="H4454" s="56">
        <v>0</v>
      </c>
      <c r="I4454" s="58">
        <v>0.219523</v>
      </c>
      <c r="J4454" s="57">
        <v>0.34232499999999999</v>
      </c>
      <c r="K4454" s="56"/>
      <c r="L4454" s="56" t="s">
        <v>488</v>
      </c>
    </row>
    <row r="4455" spans="2:12" x14ac:dyDescent="0.2">
      <c r="B4455" s="62" t="s">
        <v>1296</v>
      </c>
      <c r="C4455" s="61" t="s">
        <v>502</v>
      </c>
      <c r="D4455" s="60">
        <v>1.1646099999999999</v>
      </c>
      <c r="E4455" s="59">
        <v>3.2666599999999999</v>
      </c>
      <c r="F4455" s="59">
        <v>4.8335299999999997</v>
      </c>
      <c r="G4455" s="56">
        <v>0</v>
      </c>
      <c r="H4455" s="56">
        <v>0</v>
      </c>
      <c r="I4455" s="58">
        <v>0.29704599999999998</v>
      </c>
      <c r="J4455" s="57">
        <v>0.43535400000000002</v>
      </c>
      <c r="K4455" s="56"/>
      <c r="L4455" s="56" t="s">
        <v>488</v>
      </c>
    </row>
    <row r="4456" spans="2:12" x14ac:dyDescent="0.2">
      <c r="B4456" s="62" t="s">
        <v>1295</v>
      </c>
      <c r="C4456" s="61" t="s">
        <v>1293</v>
      </c>
      <c r="D4456" s="60">
        <v>1.59439</v>
      </c>
      <c r="E4456" s="59">
        <v>7.25807</v>
      </c>
      <c r="F4456" s="59">
        <v>10.4656</v>
      </c>
      <c r="G4456" s="56">
        <v>1888.64</v>
      </c>
      <c r="H4456" s="56">
        <v>1184.56</v>
      </c>
      <c r="I4456" s="58">
        <v>0.62748000000000004</v>
      </c>
      <c r="J4456" s="57">
        <v>0.41584399999999999</v>
      </c>
      <c r="K4456" s="56"/>
      <c r="L4456" s="56" t="s">
        <v>488</v>
      </c>
    </row>
    <row r="4457" spans="2:12" x14ac:dyDescent="0.2">
      <c r="B4457" s="62" t="s">
        <v>1294</v>
      </c>
      <c r="C4457" s="61" t="s">
        <v>1293</v>
      </c>
      <c r="D4457" s="60">
        <v>2.14337</v>
      </c>
      <c r="E4457" s="59">
        <v>4.2288199999999998</v>
      </c>
      <c r="F4457" s="59">
        <v>7.2456800000000001</v>
      </c>
      <c r="G4457" s="56">
        <v>1321.43</v>
      </c>
      <c r="H4457" s="56">
        <v>616.52</v>
      </c>
      <c r="I4457" s="58">
        <v>0.50709300000000002</v>
      </c>
      <c r="J4457" s="57">
        <v>0.27064899999999997</v>
      </c>
      <c r="K4457" s="56"/>
      <c r="L4457" s="56" t="s">
        <v>488</v>
      </c>
    </row>
    <row r="4458" spans="2:12" x14ac:dyDescent="0.2">
      <c r="B4458" s="62" t="s">
        <v>1292</v>
      </c>
      <c r="C4458" s="61" t="s">
        <v>1291</v>
      </c>
      <c r="D4458" s="60">
        <v>0.74798200000000004</v>
      </c>
      <c r="E4458" s="59">
        <v>7.95723</v>
      </c>
      <c r="F4458" s="59">
        <v>9.9977999999999998</v>
      </c>
      <c r="G4458" s="56">
        <v>1941.22</v>
      </c>
      <c r="H4458" s="56">
        <v>2595.2800000000002</v>
      </c>
      <c r="I4458" s="58">
        <v>0.72564099999999998</v>
      </c>
      <c r="J4458" s="57">
        <v>0.98309000000000002</v>
      </c>
      <c r="K4458" s="56"/>
      <c r="L4458" s="56" t="s">
        <v>624</v>
      </c>
    </row>
    <row r="4459" spans="2:12" x14ac:dyDescent="0.2">
      <c r="B4459" s="62" t="s">
        <v>1290</v>
      </c>
      <c r="C4459" s="61" t="s">
        <v>510</v>
      </c>
      <c r="D4459" s="60">
        <v>1.01651</v>
      </c>
      <c r="E4459" s="59">
        <v>4.4778099999999998</v>
      </c>
      <c r="F4459" s="59">
        <v>7.9131200000000002</v>
      </c>
      <c r="G4459" s="56">
        <v>973.93600000000004</v>
      </c>
      <c r="H4459" s="56">
        <v>958.12199999999996</v>
      </c>
      <c r="I4459" s="58">
        <v>0.59783500000000001</v>
      </c>
      <c r="J4459" s="57">
        <v>0.60095600000000005</v>
      </c>
      <c r="K4459" s="56"/>
      <c r="L4459" s="56" t="s">
        <v>488</v>
      </c>
    </row>
    <row r="4460" spans="2:12" x14ac:dyDescent="0.2">
      <c r="B4460" s="62" t="s">
        <v>1289</v>
      </c>
      <c r="C4460" s="61" t="s">
        <v>1288</v>
      </c>
      <c r="D4460" s="60">
        <v>0.81973099999999999</v>
      </c>
      <c r="E4460" s="59">
        <v>4.2369399999999997</v>
      </c>
      <c r="F4460" s="59">
        <v>15.022740000000001</v>
      </c>
      <c r="G4460" s="56">
        <v>1635.77</v>
      </c>
      <c r="H4460" s="56">
        <v>1995.5</v>
      </c>
      <c r="I4460" s="58">
        <v>0.72288799999999998</v>
      </c>
      <c r="J4460" s="57">
        <v>0.82404699999999997</v>
      </c>
      <c r="K4460" s="56"/>
      <c r="L4460" s="56" t="s">
        <v>488</v>
      </c>
    </row>
    <row r="4461" spans="2:12" x14ac:dyDescent="0.2">
      <c r="B4461" s="62" t="s">
        <v>1287</v>
      </c>
      <c r="C4461" s="61" t="s">
        <v>1286</v>
      </c>
      <c r="D4461" s="60">
        <v>0.52910999999999997</v>
      </c>
      <c r="E4461" s="59">
        <v>7.9153099999999998</v>
      </c>
      <c r="F4461" s="59">
        <v>18.885249999999999</v>
      </c>
      <c r="G4461" s="56">
        <v>1937.17</v>
      </c>
      <c r="H4461" s="56">
        <v>3661.18</v>
      </c>
      <c r="I4461" s="58">
        <v>0.84223999999999999</v>
      </c>
      <c r="J4461" s="57">
        <v>1.48387</v>
      </c>
      <c r="K4461" s="56"/>
      <c r="L4461" s="56" t="s">
        <v>488</v>
      </c>
    </row>
    <row r="4462" spans="2:12" x14ac:dyDescent="0.2">
      <c r="B4462" s="62" t="s">
        <v>1285</v>
      </c>
      <c r="C4462" s="61" t="s">
        <v>1284</v>
      </c>
      <c r="D4462" s="60">
        <v>2.1994699999999998</v>
      </c>
      <c r="E4462" s="59">
        <v>3.1852299999999998</v>
      </c>
      <c r="F4462" s="59">
        <v>3.4099900000000001</v>
      </c>
      <c r="G4462" s="56">
        <v>0</v>
      </c>
      <c r="H4462" s="56">
        <v>0</v>
      </c>
      <c r="I4462" s="58">
        <v>0.28299400000000002</v>
      </c>
      <c r="J4462" s="57">
        <v>0.177176</v>
      </c>
      <c r="K4462" s="56"/>
      <c r="L4462" s="56" t="s">
        <v>488</v>
      </c>
    </row>
    <row r="4463" spans="2:12" x14ac:dyDescent="0.2">
      <c r="B4463" s="62" t="s">
        <v>1283</v>
      </c>
      <c r="C4463" s="61" t="s">
        <v>499</v>
      </c>
      <c r="D4463" s="60">
        <v>0.69281899999999996</v>
      </c>
      <c r="E4463" s="59">
        <v>7.2473799999999997</v>
      </c>
      <c r="F4463" s="59">
        <v>10.465310000000001</v>
      </c>
      <c r="G4463" s="56">
        <v>1976.91</v>
      </c>
      <c r="H4463" s="56">
        <v>2853.43</v>
      </c>
      <c r="I4463" s="58">
        <v>0.74182700000000001</v>
      </c>
      <c r="J4463" s="57">
        <v>1.02945</v>
      </c>
      <c r="K4463" s="56"/>
      <c r="L4463" s="56" t="s">
        <v>488</v>
      </c>
    </row>
    <row r="4464" spans="2:12" x14ac:dyDescent="0.2">
      <c r="B4464" s="62" t="s">
        <v>1282</v>
      </c>
      <c r="C4464" s="61" t="s">
        <v>541</v>
      </c>
      <c r="D4464" s="60">
        <v>1.0762700000000001</v>
      </c>
      <c r="E4464" s="59">
        <v>6.6175800000000002</v>
      </c>
      <c r="F4464" s="59">
        <v>8.4066500000000008</v>
      </c>
      <c r="G4464" s="56">
        <v>1438.79</v>
      </c>
      <c r="H4464" s="56">
        <v>1336.83</v>
      </c>
      <c r="I4464" s="58">
        <v>0.61685500000000004</v>
      </c>
      <c r="J4464" s="57">
        <v>0.565581</v>
      </c>
      <c r="K4464" s="56"/>
      <c r="L4464" s="56" t="s">
        <v>488</v>
      </c>
    </row>
    <row r="4465" spans="2:12" x14ac:dyDescent="0.2">
      <c r="B4465" s="62" t="s">
        <v>1281</v>
      </c>
      <c r="C4465" s="61" t="s">
        <v>548</v>
      </c>
      <c r="D4465" s="60">
        <v>0.975024</v>
      </c>
      <c r="E4465" s="59">
        <v>6.70045</v>
      </c>
      <c r="F4465" s="59">
        <v>7.0057200000000002</v>
      </c>
      <c r="G4465" s="56">
        <v>1427.32</v>
      </c>
      <c r="H4465" s="56">
        <v>1463.88</v>
      </c>
      <c r="I4465" s="58">
        <v>0.69676899999999997</v>
      </c>
      <c r="J4465" s="57">
        <v>0.60726500000000005</v>
      </c>
      <c r="K4465" s="56"/>
      <c r="L4465" s="56" t="s">
        <v>730</v>
      </c>
    </row>
    <row r="4466" spans="2:12" x14ac:dyDescent="0.2">
      <c r="B4466" s="62" t="s">
        <v>1280</v>
      </c>
      <c r="C4466" s="65" t="s">
        <v>548</v>
      </c>
      <c r="D4466" s="60">
        <v>0.98046999999999995</v>
      </c>
      <c r="E4466" s="59">
        <v>6.9053300000000002</v>
      </c>
      <c r="F4466" s="59">
        <v>7.3490000000000002</v>
      </c>
      <c r="G4466" s="56">
        <v>1384.51</v>
      </c>
      <c r="H4466" s="56">
        <v>1412.09</v>
      </c>
      <c r="I4466" s="64">
        <v>0.72</v>
      </c>
      <c r="J4466" s="63">
        <v>0.60216000000000003</v>
      </c>
      <c r="K4466" s="56" t="s">
        <v>1278</v>
      </c>
      <c r="L4466" s="56" t="s">
        <v>563</v>
      </c>
    </row>
    <row r="4467" spans="2:12" x14ac:dyDescent="0.2">
      <c r="B4467" s="62" t="s">
        <v>1279</v>
      </c>
      <c r="C4467" s="65" t="s">
        <v>548</v>
      </c>
      <c r="D4467" s="60">
        <v>0.95516199999999996</v>
      </c>
      <c r="E4467" s="59">
        <v>6.8936900000000003</v>
      </c>
      <c r="F4467" s="59">
        <v>7.0757399999999997</v>
      </c>
      <c r="G4467" s="56">
        <v>1405.51</v>
      </c>
      <c r="H4467" s="56">
        <v>1471.49</v>
      </c>
      <c r="I4467" s="64">
        <v>0.68600000000000005</v>
      </c>
      <c r="J4467" s="63">
        <v>0.65203599999999995</v>
      </c>
      <c r="K4467" s="56" t="s">
        <v>1278</v>
      </c>
      <c r="L4467" s="56" t="s">
        <v>563</v>
      </c>
    </row>
    <row r="4468" spans="2:12" x14ac:dyDescent="0.2">
      <c r="B4468" s="62" t="s">
        <v>1277</v>
      </c>
      <c r="C4468" s="61" t="s">
        <v>1276</v>
      </c>
      <c r="D4468" s="60">
        <v>1.2252700000000001</v>
      </c>
      <c r="E4468" s="59">
        <v>3.5604399999999998</v>
      </c>
      <c r="F4468" s="59">
        <v>5.1359700000000004</v>
      </c>
      <c r="G4468" s="56">
        <v>0</v>
      </c>
      <c r="H4468" s="56">
        <v>0</v>
      </c>
      <c r="I4468" s="58">
        <v>0.52395199999999997</v>
      </c>
      <c r="J4468" s="57">
        <v>0.40215800000000002</v>
      </c>
      <c r="K4468" s="56"/>
      <c r="L4468" s="56" t="s">
        <v>488</v>
      </c>
    </row>
    <row r="4469" spans="2:12" x14ac:dyDescent="0.2">
      <c r="B4469" s="62" t="s">
        <v>1275</v>
      </c>
      <c r="C4469" s="61" t="s">
        <v>1274</v>
      </c>
      <c r="D4469" s="60">
        <v>1.1479900000000001</v>
      </c>
      <c r="E4469" s="59">
        <v>3.2969400000000002</v>
      </c>
      <c r="F4469" s="59">
        <v>5.7746399999999998</v>
      </c>
      <c r="G4469" s="56">
        <v>0</v>
      </c>
      <c r="H4469" s="56">
        <v>0</v>
      </c>
      <c r="I4469" s="58">
        <v>0.56549099999999997</v>
      </c>
      <c r="J4469" s="57">
        <v>0.44866</v>
      </c>
      <c r="K4469" s="56"/>
      <c r="L4469" s="56" t="s">
        <v>488</v>
      </c>
    </row>
    <row r="4470" spans="2:12" x14ac:dyDescent="0.2">
      <c r="B4470" s="62" t="s">
        <v>1273</v>
      </c>
      <c r="C4470" s="61" t="s">
        <v>1272</v>
      </c>
      <c r="D4470" s="60">
        <v>1.1260399999999999</v>
      </c>
      <c r="E4470" s="59">
        <v>3.3155100000000002</v>
      </c>
      <c r="F4470" s="59">
        <v>5.7963399999999998</v>
      </c>
      <c r="G4470" s="56">
        <v>0</v>
      </c>
      <c r="H4470" s="56">
        <v>0</v>
      </c>
      <c r="I4470" s="58">
        <v>0.57064700000000002</v>
      </c>
      <c r="J4470" s="57">
        <v>0.46136899999999997</v>
      </c>
      <c r="K4470" s="56"/>
      <c r="L4470" s="56" t="s">
        <v>488</v>
      </c>
    </row>
    <row r="4471" spans="2:12" x14ac:dyDescent="0.2">
      <c r="B4471" s="62" t="s">
        <v>1271</v>
      </c>
      <c r="C4471" s="61" t="s">
        <v>550</v>
      </c>
      <c r="D4471" s="60">
        <v>1.41655</v>
      </c>
      <c r="E4471" s="59">
        <v>4.4160899999999996</v>
      </c>
      <c r="F4471" s="59">
        <v>6.6223700000000001</v>
      </c>
      <c r="G4471" s="56">
        <v>677.90599999999995</v>
      </c>
      <c r="H4471" s="56">
        <v>478.56200000000001</v>
      </c>
      <c r="I4471" s="58">
        <v>0.40204899999999999</v>
      </c>
      <c r="J4471" s="57">
        <v>0.373442</v>
      </c>
      <c r="K4471" s="56"/>
      <c r="L4471" s="56" t="s">
        <v>492</v>
      </c>
    </row>
    <row r="4472" spans="2:12" x14ac:dyDescent="0.2">
      <c r="B4472" s="62" t="s">
        <v>1270</v>
      </c>
      <c r="C4472" s="61" t="s">
        <v>1269</v>
      </c>
      <c r="D4472" s="60">
        <v>0.85374399999999995</v>
      </c>
      <c r="E4472" s="59">
        <v>6.3890200000000004</v>
      </c>
      <c r="F4472" s="59">
        <v>9.4159699999999997</v>
      </c>
      <c r="G4472" s="56">
        <v>2233.83</v>
      </c>
      <c r="H4472" s="56">
        <v>2616.5100000000002</v>
      </c>
      <c r="I4472" s="58">
        <v>0.80778799999999995</v>
      </c>
      <c r="J4472" s="57">
        <v>0.83920499999999998</v>
      </c>
      <c r="K4472" s="56"/>
      <c r="L4472" s="56" t="s">
        <v>488</v>
      </c>
    </row>
    <row r="4473" spans="2:12" x14ac:dyDescent="0.2">
      <c r="B4473" s="62" t="s">
        <v>1268</v>
      </c>
      <c r="C4473" s="61" t="s">
        <v>550</v>
      </c>
      <c r="D4473" s="60">
        <v>1.2758700000000001</v>
      </c>
      <c r="E4473" s="59">
        <v>5.2653299999999996</v>
      </c>
      <c r="F4473" s="59">
        <v>6.3256899999999998</v>
      </c>
      <c r="G4473" s="56">
        <v>1338.02</v>
      </c>
      <c r="H4473" s="56">
        <v>1048.71</v>
      </c>
      <c r="I4473" s="58">
        <v>0.54214099999999998</v>
      </c>
      <c r="J4473" s="57">
        <v>0.45465899999999998</v>
      </c>
      <c r="K4473" s="56"/>
      <c r="L4473" s="56" t="s">
        <v>488</v>
      </c>
    </row>
    <row r="4474" spans="2:12" x14ac:dyDescent="0.2">
      <c r="B4474" s="62" t="s">
        <v>1267</v>
      </c>
      <c r="C4474" s="61" t="s">
        <v>1266</v>
      </c>
      <c r="D4474" s="60">
        <v>0.85371200000000003</v>
      </c>
      <c r="E4474" s="59">
        <v>6.4811100000000001</v>
      </c>
      <c r="F4474" s="59">
        <v>9.5818600000000007</v>
      </c>
      <c r="G4474" s="56">
        <v>2212.6799999999998</v>
      </c>
      <c r="H4474" s="56">
        <v>2591.83</v>
      </c>
      <c r="I4474" s="58">
        <v>0.80083400000000005</v>
      </c>
      <c r="J4474" s="57">
        <v>0.83950599999999997</v>
      </c>
      <c r="K4474" s="56"/>
      <c r="L4474" s="56" t="s">
        <v>488</v>
      </c>
    </row>
    <row r="4475" spans="2:12" x14ac:dyDescent="0.2">
      <c r="B4475" s="62" t="s">
        <v>1265</v>
      </c>
      <c r="C4475" s="61" t="s">
        <v>550</v>
      </c>
      <c r="D4475" s="60">
        <v>1.4370000000000001</v>
      </c>
      <c r="E4475" s="59">
        <v>4.5029399999999997</v>
      </c>
      <c r="F4475" s="59">
        <v>6.5126299999999997</v>
      </c>
      <c r="G4475" s="56">
        <v>783.625</v>
      </c>
      <c r="H4475" s="56">
        <v>545.32100000000003</v>
      </c>
      <c r="I4475" s="58">
        <v>0.42524800000000001</v>
      </c>
      <c r="J4475" s="57">
        <v>0.363066</v>
      </c>
      <c r="K4475" s="56"/>
      <c r="L4475" s="56" t="s">
        <v>492</v>
      </c>
    </row>
    <row r="4476" spans="2:12" x14ac:dyDescent="0.2">
      <c r="B4476" s="62" t="s">
        <v>1264</v>
      </c>
      <c r="C4476" s="61" t="s">
        <v>499</v>
      </c>
      <c r="D4476" s="60">
        <v>1.2221200000000001</v>
      </c>
      <c r="E4476" s="59">
        <v>3.7855300000000001</v>
      </c>
      <c r="F4476" s="59">
        <v>5.3966099999999999</v>
      </c>
      <c r="G4476" s="56">
        <v>621.35199999999998</v>
      </c>
      <c r="H4476" s="56">
        <v>508.423</v>
      </c>
      <c r="I4476" s="58">
        <v>0.376004</v>
      </c>
      <c r="J4476" s="57">
        <v>0.39201200000000003</v>
      </c>
      <c r="K4476" s="56"/>
      <c r="L4476" s="56" t="s">
        <v>488</v>
      </c>
    </row>
    <row r="4477" spans="2:12" x14ac:dyDescent="0.2">
      <c r="B4477" s="62" t="s">
        <v>1263</v>
      </c>
      <c r="C4477" s="61" t="s">
        <v>550</v>
      </c>
      <c r="D4477" s="60">
        <v>1.2857400000000001</v>
      </c>
      <c r="E4477" s="59">
        <v>2.8480300000000001</v>
      </c>
      <c r="F4477" s="59">
        <v>4.4192999999999998</v>
      </c>
      <c r="G4477" s="56">
        <v>0</v>
      </c>
      <c r="H4477" s="56">
        <v>0</v>
      </c>
      <c r="I4477" s="58">
        <v>0.20183999999999999</v>
      </c>
      <c r="J4477" s="57">
        <v>0.36435600000000001</v>
      </c>
      <c r="K4477" s="56"/>
      <c r="L4477" s="56" t="s">
        <v>492</v>
      </c>
    </row>
    <row r="4478" spans="2:12" x14ac:dyDescent="0.2">
      <c r="B4478" s="62" t="s">
        <v>1262</v>
      </c>
      <c r="C4478" s="61" t="s">
        <v>510</v>
      </c>
      <c r="D4478" s="60">
        <v>1.2036899999999999</v>
      </c>
      <c r="E4478" s="59">
        <v>3.69787</v>
      </c>
      <c r="F4478" s="59">
        <v>4.1924299999999999</v>
      </c>
      <c r="G4478" s="56">
        <v>0</v>
      </c>
      <c r="H4478" s="56">
        <v>0</v>
      </c>
      <c r="I4478" s="58">
        <v>0.3271</v>
      </c>
      <c r="J4478" s="57">
        <v>0.40609699999999999</v>
      </c>
      <c r="K4478" s="56"/>
      <c r="L4478" s="56" t="s">
        <v>488</v>
      </c>
    </row>
    <row r="4479" spans="2:12" x14ac:dyDescent="0.2">
      <c r="B4479" s="62" t="s">
        <v>1261</v>
      </c>
      <c r="C4479" s="61" t="s">
        <v>510</v>
      </c>
      <c r="D4479" s="60">
        <v>1.3233699999999999</v>
      </c>
      <c r="E4479" s="59">
        <v>4.4842199999999997</v>
      </c>
      <c r="F4479" s="59">
        <v>5.1388400000000001</v>
      </c>
      <c r="G4479" s="56">
        <v>640.84699999999998</v>
      </c>
      <c r="H4479" s="56">
        <v>532.40300000000002</v>
      </c>
      <c r="I4479" s="58">
        <v>0.22980300000000001</v>
      </c>
      <c r="J4479" s="57">
        <v>0.33132</v>
      </c>
      <c r="K4479" s="56"/>
      <c r="L4479" s="56" t="s">
        <v>488</v>
      </c>
    </row>
    <row r="4480" spans="2:12" x14ac:dyDescent="0.2">
      <c r="B4480" s="62" t="s">
        <v>1260</v>
      </c>
      <c r="C4480" s="61" t="s">
        <v>499</v>
      </c>
      <c r="D4480" s="60">
        <v>1.4555199999999999</v>
      </c>
      <c r="E4480" s="59">
        <v>4.0716700000000001</v>
      </c>
      <c r="F4480" s="59">
        <v>5.22485</v>
      </c>
      <c r="G4480" s="56">
        <v>509.26</v>
      </c>
      <c r="H4480" s="56">
        <v>349.88299999999998</v>
      </c>
      <c r="I4480" s="58">
        <v>0.25789800000000002</v>
      </c>
      <c r="J4480" s="57">
        <v>0.29872799999999999</v>
      </c>
      <c r="K4480" s="56"/>
      <c r="L4480" s="56" t="s">
        <v>488</v>
      </c>
    </row>
    <row r="4481" spans="2:12" x14ac:dyDescent="0.2">
      <c r="B4481" s="62" t="s">
        <v>1259</v>
      </c>
      <c r="C4481" s="61" t="s">
        <v>499</v>
      </c>
      <c r="D4481" s="60">
        <v>1.01088</v>
      </c>
      <c r="E4481" s="59">
        <v>4.9743000000000004</v>
      </c>
      <c r="F4481" s="59">
        <v>5.9273699999999998</v>
      </c>
      <c r="G4481" s="56">
        <v>696.01</v>
      </c>
      <c r="H4481" s="56">
        <v>688.51900000000001</v>
      </c>
      <c r="I4481" s="58">
        <v>0.35248800000000002</v>
      </c>
      <c r="J4481" s="57">
        <v>0.53334400000000004</v>
      </c>
      <c r="K4481" s="56"/>
      <c r="L4481" s="56" t="s">
        <v>488</v>
      </c>
    </row>
    <row r="4482" spans="2:12" x14ac:dyDescent="0.2">
      <c r="B4482" s="62" t="s">
        <v>1258</v>
      </c>
      <c r="C4482" s="61" t="s">
        <v>531</v>
      </c>
      <c r="D4482" s="60">
        <v>1.58691</v>
      </c>
      <c r="E4482" s="59">
        <v>2.8578800000000002</v>
      </c>
      <c r="F4482" s="59">
        <v>4.7957000000000001</v>
      </c>
      <c r="G4482" s="56">
        <v>0</v>
      </c>
      <c r="H4482" s="56">
        <v>0</v>
      </c>
      <c r="I4482" s="58">
        <v>0.38416899999999998</v>
      </c>
      <c r="J4482" s="57">
        <v>0.31451600000000002</v>
      </c>
      <c r="K4482" s="56"/>
      <c r="L4482" s="56" t="s">
        <v>488</v>
      </c>
    </row>
    <row r="4483" spans="2:12" x14ac:dyDescent="0.2">
      <c r="B4483" s="62" t="s">
        <v>1257</v>
      </c>
      <c r="C4483" s="61" t="s">
        <v>531</v>
      </c>
      <c r="D4483" s="60">
        <v>1.5913900000000001</v>
      </c>
      <c r="E4483" s="59">
        <v>2.6972299999999998</v>
      </c>
      <c r="F4483" s="59">
        <v>4.8321300000000003</v>
      </c>
      <c r="G4483" s="56">
        <v>0</v>
      </c>
      <c r="H4483" s="56">
        <v>0</v>
      </c>
      <c r="I4483" s="58">
        <v>0.40085100000000001</v>
      </c>
      <c r="J4483" s="57">
        <v>0.31598500000000002</v>
      </c>
      <c r="K4483" s="56"/>
      <c r="L4483" s="56" t="s">
        <v>488</v>
      </c>
    </row>
    <row r="4484" spans="2:12" x14ac:dyDescent="0.2">
      <c r="B4484" s="62" t="s">
        <v>1256</v>
      </c>
      <c r="C4484" s="61" t="s">
        <v>510</v>
      </c>
      <c r="D4484" s="60">
        <v>1.3</v>
      </c>
      <c r="E4484" s="59">
        <v>4.1825700000000001</v>
      </c>
      <c r="F4484" s="59">
        <v>5.2012700000000001</v>
      </c>
      <c r="G4484" s="56">
        <v>596.904</v>
      </c>
      <c r="H4484" s="56">
        <v>459.15600000000001</v>
      </c>
      <c r="I4484" s="58">
        <v>0.338476</v>
      </c>
      <c r="J4484" s="57">
        <v>0.36758299999999999</v>
      </c>
      <c r="K4484" s="56"/>
      <c r="L4484" s="56" t="s">
        <v>488</v>
      </c>
    </row>
    <row r="4485" spans="2:12" x14ac:dyDescent="0.2">
      <c r="B4485" s="62" t="s">
        <v>1255</v>
      </c>
      <c r="C4485" s="61" t="s">
        <v>878</v>
      </c>
      <c r="D4485" s="60">
        <v>2.2781899999999999</v>
      </c>
      <c r="E4485" s="59">
        <v>3.1907999999999999</v>
      </c>
      <c r="F4485" s="59">
        <v>4.5734199999999996</v>
      </c>
      <c r="G4485" s="56">
        <v>0</v>
      </c>
      <c r="H4485" s="56">
        <v>0</v>
      </c>
      <c r="I4485" s="58">
        <v>0.137826</v>
      </c>
      <c r="J4485" s="57">
        <v>0.18053900000000001</v>
      </c>
      <c r="K4485" s="56"/>
      <c r="L4485" s="56" t="s">
        <v>488</v>
      </c>
    </row>
    <row r="4486" spans="2:12" x14ac:dyDescent="0.2">
      <c r="B4486" s="62" t="s">
        <v>1254</v>
      </c>
      <c r="C4486" s="61" t="s">
        <v>1096</v>
      </c>
      <c r="D4486" s="60">
        <v>2.2996099999999999</v>
      </c>
      <c r="E4486" s="59">
        <v>3.1624599999999998</v>
      </c>
      <c r="F4486" s="59">
        <v>4.6191399999999998</v>
      </c>
      <c r="G4486" s="56">
        <v>0</v>
      </c>
      <c r="H4486" s="56">
        <v>0</v>
      </c>
      <c r="I4486" s="58">
        <v>0.13633400000000001</v>
      </c>
      <c r="J4486" s="57">
        <v>0.17693500000000001</v>
      </c>
      <c r="K4486" s="56"/>
      <c r="L4486" s="56" t="s">
        <v>488</v>
      </c>
    </row>
    <row r="4487" spans="2:12" x14ac:dyDescent="0.2">
      <c r="B4487" s="62" t="s">
        <v>1253</v>
      </c>
      <c r="C4487" s="61" t="s">
        <v>1252</v>
      </c>
      <c r="D4487" s="60">
        <v>2.3272300000000001</v>
      </c>
      <c r="E4487" s="59">
        <v>3.1387399999999999</v>
      </c>
      <c r="F4487" s="59">
        <v>4.6344900000000004</v>
      </c>
      <c r="G4487" s="56">
        <v>0</v>
      </c>
      <c r="H4487" s="56">
        <v>0</v>
      </c>
      <c r="I4487" s="58">
        <v>0.13694100000000001</v>
      </c>
      <c r="J4487" s="57">
        <v>0.174794</v>
      </c>
      <c r="K4487" s="56"/>
      <c r="L4487" s="56" t="s">
        <v>488</v>
      </c>
    </row>
    <row r="4488" spans="2:12" x14ac:dyDescent="0.2">
      <c r="B4488" s="62" t="s">
        <v>1251</v>
      </c>
      <c r="C4488" s="61" t="s">
        <v>612</v>
      </c>
      <c r="D4488" s="60">
        <v>0.82645400000000002</v>
      </c>
      <c r="E4488" s="59">
        <v>5.0490300000000001</v>
      </c>
      <c r="F4488" s="59">
        <v>5.5218999999999996</v>
      </c>
      <c r="G4488" s="56">
        <v>783.58500000000004</v>
      </c>
      <c r="H4488" s="56">
        <v>948.12800000000004</v>
      </c>
      <c r="I4488" s="58">
        <v>0.62008200000000002</v>
      </c>
      <c r="J4488" s="57">
        <v>0.76240300000000005</v>
      </c>
      <c r="K4488" s="56"/>
      <c r="L4488" s="56" t="s">
        <v>488</v>
      </c>
    </row>
    <row r="4489" spans="2:12" x14ac:dyDescent="0.2">
      <c r="B4489" s="62" t="s">
        <v>1250</v>
      </c>
      <c r="C4489" s="61" t="s">
        <v>708</v>
      </c>
      <c r="D4489" s="60">
        <v>1.07497</v>
      </c>
      <c r="E4489" s="59">
        <v>4.7899700000000003</v>
      </c>
      <c r="F4489" s="59">
        <v>6.7393099999999997</v>
      </c>
      <c r="G4489" s="56">
        <v>1269.98</v>
      </c>
      <c r="H4489" s="56">
        <v>1181.4100000000001</v>
      </c>
      <c r="I4489" s="58">
        <v>0.52186600000000005</v>
      </c>
      <c r="J4489" s="57">
        <v>0.52449100000000004</v>
      </c>
      <c r="K4489" s="56"/>
      <c r="L4489" s="56" t="s">
        <v>488</v>
      </c>
    </row>
    <row r="4490" spans="2:12" x14ac:dyDescent="0.2">
      <c r="B4490" s="62" t="s">
        <v>1249</v>
      </c>
      <c r="C4490" s="61" t="s">
        <v>708</v>
      </c>
      <c r="D4490" s="60">
        <v>1.0616300000000001</v>
      </c>
      <c r="E4490" s="59">
        <v>5.3600300000000001</v>
      </c>
      <c r="F4490" s="59">
        <v>6.6882799999999998</v>
      </c>
      <c r="G4490" s="56">
        <v>1291.6400000000001</v>
      </c>
      <c r="H4490" s="56">
        <v>1216.6500000000001</v>
      </c>
      <c r="I4490" s="58">
        <v>0.53807899999999997</v>
      </c>
      <c r="J4490" s="57">
        <v>0.53754999999999997</v>
      </c>
      <c r="K4490" s="56"/>
      <c r="L4490" s="56" t="s">
        <v>488</v>
      </c>
    </row>
    <row r="4491" spans="2:12" x14ac:dyDescent="0.2">
      <c r="B4491" s="62" t="s">
        <v>1248</v>
      </c>
      <c r="C4491" s="61" t="s">
        <v>533</v>
      </c>
      <c r="D4491" s="60">
        <v>2.0614300000000001</v>
      </c>
      <c r="E4491" s="59">
        <v>3.54799</v>
      </c>
      <c r="F4491" s="59">
        <v>4.3066599999999999</v>
      </c>
      <c r="G4491" s="56">
        <v>0</v>
      </c>
      <c r="H4491" s="56">
        <v>0</v>
      </c>
      <c r="I4491" s="58">
        <v>0.32683299999999998</v>
      </c>
      <c r="J4491" s="57">
        <v>0.232269</v>
      </c>
      <c r="K4491" s="56"/>
      <c r="L4491" s="56" t="s">
        <v>488</v>
      </c>
    </row>
    <row r="4492" spans="2:12" x14ac:dyDescent="0.2">
      <c r="B4492" s="62" t="s">
        <v>1247</v>
      </c>
      <c r="C4492" s="61" t="s">
        <v>550</v>
      </c>
      <c r="D4492" s="60">
        <v>1.52986</v>
      </c>
      <c r="E4492" s="59">
        <v>3.4258600000000001</v>
      </c>
      <c r="F4492" s="59">
        <v>5.73813</v>
      </c>
      <c r="G4492" s="56">
        <v>0</v>
      </c>
      <c r="H4492" s="56">
        <v>0</v>
      </c>
      <c r="I4492" s="58">
        <v>0.316112</v>
      </c>
      <c r="J4492" s="57">
        <v>0.319604</v>
      </c>
      <c r="K4492" s="56"/>
      <c r="L4492" s="56" t="s">
        <v>492</v>
      </c>
    </row>
    <row r="4493" spans="2:12" x14ac:dyDescent="0.2">
      <c r="B4493" s="62" t="s">
        <v>1246</v>
      </c>
      <c r="C4493" s="61" t="s">
        <v>531</v>
      </c>
      <c r="D4493" s="60">
        <v>1.68872</v>
      </c>
      <c r="E4493" s="59">
        <v>3.9056099999999998</v>
      </c>
      <c r="F4493" s="59">
        <v>4.8596199999999996</v>
      </c>
      <c r="G4493" s="56">
        <v>489.45400000000001</v>
      </c>
      <c r="H4493" s="56">
        <v>289.83699999999999</v>
      </c>
      <c r="I4493" s="58">
        <v>0.34623799999999999</v>
      </c>
      <c r="J4493" s="57">
        <v>0.27003300000000002</v>
      </c>
      <c r="K4493" s="56"/>
      <c r="L4493" s="56" t="s">
        <v>488</v>
      </c>
    </row>
    <row r="4494" spans="2:12" x14ac:dyDescent="0.2">
      <c r="B4494" s="62" t="s">
        <v>1245</v>
      </c>
      <c r="C4494" s="61" t="s">
        <v>535</v>
      </c>
      <c r="D4494" s="60">
        <v>1.72479</v>
      </c>
      <c r="E4494" s="59">
        <v>3.88578</v>
      </c>
      <c r="F4494" s="59">
        <v>4.8433400000000004</v>
      </c>
      <c r="G4494" s="56">
        <v>475.10700000000003</v>
      </c>
      <c r="H4494" s="56">
        <v>275.45699999999999</v>
      </c>
      <c r="I4494" s="58">
        <v>0.345086</v>
      </c>
      <c r="J4494" s="57">
        <v>0.26286500000000002</v>
      </c>
      <c r="K4494" s="56"/>
      <c r="L4494" s="56" t="s">
        <v>488</v>
      </c>
    </row>
    <row r="4495" spans="2:12" x14ac:dyDescent="0.2">
      <c r="B4495" s="62" t="s">
        <v>1244</v>
      </c>
      <c r="C4495" s="61" t="s">
        <v>499</v>
      </c>
      <c r="D4495" s="60">
        <v>0.81990399999999997</v>
      </c>
      <c r="E4495" s="59">
        <v>6.7033899999999997</v>
      </c>
      <c r="F4495" s="59">
        <v>10.71326</v>
      </c>
      <c r="G4495" s="56">
        <v>1880.23</v>
      </c>
      <c r="H4495" s="56">
        <v>2293.23</v>
      </c>
      <c r="I4495" s="58">
        <v>0.77453700000000003</v>
      </c>
      <c r="J4495" s="57">
        <v>0.87190299999999998</v>
      </c>
      <c r="K4495" s="56"/>
      <c r="L4495" s="56" t="s">
        <v>488</v>
      </c>
    </row>
    <row r="4496" spans="2:12" x14ac:dyDescent="0.2">
      <c r="B4496" s="62" t="s">
        <v>1243</v>
      </c>
      <c r="C4496" s="61" t="s">
        <v>499</v>
      </c>
      <c r="D4496" s="60">
        <v>0.81281199999999998</v>
      </c>
      <c r="E4496" s="59">
        <v>6.7869799999999998</v>
      </c>
      <c r="F4496" s="59">
        <v>10.905989999999999</v>
      </c>
      <c r="G4496" s="56">
        <v>1815.45</v>
      </c>
      <c r="H4496" s="56">
        <v>2233.54</v>
      </c>
      <c r="I4496" s="58">
        <v>0.77612000000000003</v>
      </c>
      <c r="J4496" s="57">
        <v>0.88326400000000005</v>
      </c>
      <c r="K4496" s="56"/>
      <c r="L4496" s="56" t="s">
        <v>488</v>
      </c>
    </row>
    <row r="4497" spans="2:12" x14ac:dyDescent="0.2">
      <c r="B4497" s="62" t="s">
        <v>1242</v>
      </c>
      <c r="C4497" s="61" t="s">
        <v>499</v>
      </c>
      <c r="D4497" s="60">
        <v>0.81633</v>
      </c>
      <c r="E4497" s="59">
        <v>6.7293200000000004</v>
      </c>
      <c r="F4497" s="59">
        <v>10.711</v>
      </c>
      <c r="G4497" s="56">
        <v>1917.84</v>
      </c>
      <c r="H4497" s="56">
        <v>2349.35</v>
      </c>
      <c r="I4497" s="58">
        <v>0.773787</v>
      </c>
      <c r="J4497" s="57">
        <v>0.87655000000000005</v>
      </c>
      <c r="K4497" s="56"/>
      <c r="L4497" s="56" t="s">
        <v>488</v>
      </c>
    </row>
    <row r="4498" spans="2:12" x14ac:dyDescent="0.2">
      <c r="B4498" s="62" t="s">
        <v>1241</v>
      </c>
      <c r="C4498" s="61" t="s">
        <v>499</v>
      </c>
      <c r="D4498" s="60">
        <v>0.80874000000000001</v>
      </c>
      <c r="E4498" s="59">
        <v>6.6908899999999996</v>
      </c>
      <c r="F4498" s="59">
        <v>10.864940000000001</v>
      </c>
      <c r="G4498" s="56">
        <v>1927.5</v>
      </c>
      <c r="H4498" s="56">
        <v>2383.34</v>
      </c>
      <c r="I4498" s="58">
        <v>0.77657799999999999</v>
      </c>
      <c r="J4498" s="57">
        <v>0.88785899999999995</v>
      </c>
      <c r="K4498" s="56"/>
      <c r="L4498" s="56" t="s">
        <v>488</v>
      </c>
    </row>
    <row r="4499" spans="2:12" x14ac:dyDescent="0.2">
      <c r="B4499" s="62" t="s">
        <v>1240</v>
      </c>
      <c r="C4499" s="61" t="s">
        <v>499</v>
      </c>
      <c r="D4499" s="60">
        <v>0.81346499999999999</v>
      </c>
      <c r="E4499" s="59">
        <v>6.87066</v>
      </c>
      <c r="F4499" s="59">
        <v>11.37189</v>
      </c>
      <c r="G4499" s="56">
        <v>1882.17</v>
      </c>
      <c r="H4499" s="56">
        <v>2313.77</v>
      </c>
      <c r="I4499" s="58">
        <v>0.77442500000000003</v>
      </c>
      <c r="J4499" s="57">
        <v>0.88142600000000004</v>
      </c>
      <c r="K4499" s="56"/>
      <c r="L4499" s="56" t="s">
        <v>488</v>
      </c>
    </row>
    <row r="4500" spans="2:12" x14ac:dyDescent="0.2">
      <c r="B4500" s="62" t="s">
        <v>1239</v>
      </c>
      <c r="C4500" s="61" t="s">
        <v>499</v>
      </c>
      <c r="D4500" s="60">
        <v>0.73357000000000006</v>
      </c>
      <c r="E4500" s="59">
        <v>5.7713799999999997</v>
      </c>
      <c r="F4500" s="59">
        <v>11.110939999999999</v>
      </c>
      <c r="G4500" s="56">
        <v>2133.5100000000002</v>
      </c>
      <c r="H4500" s="56">
        <v>2908.39</v>
      </c>
      <c r="I4500" s="58">
        <v>0.79322499999999996</v>
      </c>
      <c r="J4500" s="57">
        <v>1.0161199999999999</v>
      </c>
      <c r="K4500" s="56"/>
      <c r="L4500" s="56" t="s">
        <v>488</v>
      </c>
    </row>
    <row r="4501" spans="2:12" x14ac:dyDescent="0.2">
      <c r="B4501" s="62" t="s">
        <v>1238</v>
      </c>
      <c r="C4501" s="61" t="s">
        <v>499</v>
      </c>
      <c r="D4501" s="60">
        <v>0.80867999999999995</v>
      </c>
      <c r="E4501" s="59">
        <v>6.3270600000000004</v>
      </c>
      <c r="F4501" s="59">
        <v>11.03891</v>
      </c>
      <c r="G4501" s="56">
        <v>2056.89</v>
      </c>
      <c r="H4501" s="56">
        <v>2543.5100000000002</v>
      </c>
      <c r="I4501" s="58">
        <v>0.76738099999999998</v>
      </c>
      <c r="J4501" s="57">
        <v>0.89334199999999997</v>
      </c>
      <c r="K4501" s="56"/>
      <c r="L4501" s="56" t="s">
        <v>488</v>
      </c>
    </row>
    <row r="4502" spans="2:12" x14ac:dyDescent="0.2">
      <c r="B4502" s="62" t="s">
        <v>1237</v>
      </c>
      <c r="C4502" s="61" t="s">
        <v>499</v>
      </c>
      <c r="D4502" s="60">
        <v>0.77837199999999995</v>
      </c>
      <c r="E4502" s="59">
        <v>5.64839</v>
      </c>
      <c r="F4502" s="59">
        <v>11.745329999999999</v>
      </c>
      <c r="G4502" s="56">
        <v>2139.41</v>
      </c>
      <c r="H4502" s="56">
        <v>2748.57</v>
      </c>
      <c r="I4502" s="58">
        <v>0.78951700000000002</v>
      </c>
      <c r="J4502" s="57">
        <v>0.952685</v>
      </c>
      <c r="K4502" s="56"/>
      <c r="L4502" s="56" t="s">
        <v>488</v>
      </c>
    </row>
    <row r="4503" spans="2:12" x14ac:dyDescent="0.2">
      <c r="B4503" s="62" t="s">
        <v>1236</v>
      </c>
      <c r="C4503" s="61" t="s">
        <v>798</v>
      </c>
      <c r="D4503" s="60">
        <v>1.38341</v>
      </c>
      <c r="E4503" s="59">
        <v>3.1135100000000002</v>
      </c>
      <c r="F4503" s="59">
        <v>4.77902</v>
      </c>
      <c r="G4503" s="56">
        <v>0</v>
      </c>
      <c r="H4503" s="56">
        <v>0</v>
      </c>
      <c r="I4503" s="58">
        <v>0.17429900000000001</v>
      </c>
      <c r="J4503" s="57">
        <v>0.31139899999999998</v>
      </c>
      <c r="K4503" s="56"/>
      <c r="L4503" s="56" t="s">
        <v>488</v>
      </c>
    </row>
    <row r="4504" spans="2:12" x14ac:dyDescent="0.2">
      <c r="B4504" s="62" t="s">
        <v>1235</v>
      </c>
      <c r="C4504" s="61" t="s">
        <v>510</v>
      </c>
      <c r="D4504" s="60">
        <v>0.954148</v>
      </c>
      <c r="E4504" s="59">
        <v>4.5808900000000001</v>
      </c>
      <c r="F4504" s="59">
        <v>6.0202200000000001</v>
      </c>
      <c r="G4504" s="56">
        <v>1585.91</v>
      </c>
      <c r="H4504" s="56">
        <v>1662.12</v>
      </c>
      <c r="I4504" s="58">
        <v>0.61753100000000005</v>
      </c>
      <c r="J4504" s="57">
        <v>0.63035300000000005</v>
      </c>
      <c r="K4504" s="56"/>
      <c r="L4504" s="56" t="s">
        <v>492</v>
      </c>
    </row>
    <row r="4505" spans="2:12" x14ac:dyDescent="0.2">
      <c r="B4505" s="62" t="s">
        <v>1234</v>
      </c>
      <c r="C4505" s="61" t="s">
        <v>708</v>
      </c>
      <c r="D4505" s="60">
        <v>0.96252800000000005</v>
      </c>
      <c r="E4505" s="59">
        <v>4.7073700000000001</v>
      </c>
      <c r="F4505" s="59">
        <v>6.1593499999999999</v>
      </c>
      <c r="G4505" s="56">
        <v>1577.67</v>
      </c>
      <c r="H4505" s="56">
        <v>1639.09</v>
      </c>
      <c r="I4505" s="58">
        <v>0.60702599999999995</v>
      </c>
      <c r="J4505" s="57">
        <v>0.61685900000000005</v>
      </c>
      <c r="K4505" s="56"/>
      <c r="L4505" s="56" t="s">
        <v>492</v>
      </c>
    </row>
    <row r="4506" spans="2:12" x14ac:dyDescent="0.2">
      <c r="B4506" s="62" t="s">
        <v>1233</v>
      </c>
      <c r="C4506" s="61" t="s">
        <v>625</v>
      </c>
      <c r="D4506" s="60">
        <v>1.0760099999999999</v>
      </c>
      <c r="E4506" s="59">
        <v>4.4211099999999997</v>
      </c>
      <c r="F4506" s="59">
        <v>5.8851899999999997</v>
      </c>
      <c r="G4506" s="56">
        <v>1254.1500000000001</v>
      </c>
      <c r="H4506" s="56">
        <v>1165.56</v>
      </c>
      <c r="I4506" s="58">
        <v>0.462891</v>
      </c>
      <c r="J4506" s="57">
        <v>0.51178699999999999</v>
      </c>
      <c r="K4506" s="56"/>
      <c r="L4506" s="56" t="s">
        <v>492</v>
      </c>
    </row>
    <row r="4507" spans="2:12" x14ac:dyDescent="0.2">
      <c r="B4507" s="62" t="s">
        <v>1232</v>
      </c>
      <c r="C4507" s="61" t="s">
        <v>625</v>
      </c>
      <c r="D4507" s="60">
        <v>1.3083199999999999</v>
      </c>
      <c r="E4507" s="59">
        <v>3.9518900000000001</v>
      </c>
      <c r="F4507" s="59">
        <v>5.6865600000000001</v>
      </c>
      <c r="G4507" s="56">
        <v>848.97799999999995</v>
      </c>
      <c r="H4507" s="56">
        <v>648.90800000000002</v>
      </c>
      <c r="I4507" s="58">
        <v>0.40575099999999997</v>
      </c>
      <c r="J4507" s="57">
        <v>0.40592299999999998</v>
      </c>
      <c r="K4507" s="56"/>
      <c r="L4507" s="56" t="s">
        <v>492</v>
      </c>
    </row>
    <row r="4508" spans="2:12" x14ac:dyDescent="0.2">
      <c r="B4508" s="62" t="s">
        <v>1231</v>
      </c>
      <c r="C4508" s="61" t="s">
        <v>625</v>
      </c>
      <c r="D4508" s="60">
        <v>1.1540299999999999</v>
      </c>
      <c r="E4508" s="59">
        <v>3.88815</v>
      </c>
      <c r="F4508" s="59">
        <v>5.19679</v>
      </c>
      <c r="G4508" s="56">
        <v>915.65700000000004</v>
      </c>
      <c r="H4508" s="56">
        <v>793.44399999999996</v>
      </c>
      <c r="I4508" s="58">
        <v>0.42065000000000002</v>
      </c>
      <c r="J4508" s="57">
        <v>0.45712199999999997</v>
      </c>
      <c r="K4508" s="56"/>
      <c r="L4508" s="56" t="s">
        <v>492</v>
      </c>
    </row>
    <row r="4509" spans="2:12" x14ac:dyDescent="0.2">
      <c r="B4509" s="62" t="s">
        <v>1230</v>
      </c>
      <c r="C4509" s="61" t="s">
        <v>502</v>
      </c>
      <c r="D4509" s="60">
        <v>1.61843</v>
      </c>
      <c r="E4509" s="59">
        <v>2.5215700000000001</v>
      </c>
      <c r="F4509" s="59">
        <v>3.1510600000000002</v>
      </c>
      <c r="G4509" s="56">
        <v>0</v>
      </c>
      <c r="H4509" s="56">
        <v>0</v>
      </c>
      <c r="I4509" s="58">
        <v>6.4907000000000006E-2</v>
      </c>
      <c r="J4509" s="57">
        <v>0.23114899999999999</v>
      </c>
      <c r="K4509" s="56"/>
      <c r="L4509" s="56" t="s">
        <v>488</v>
      </c>
    </row>
    <row r="4510" spans="2:12" x14ac:dyDescent="0.2">
      <c r="B4510" s="62" t="s">
        <v>1229</v>
      </c>
      <c r="C4510" s="61" t="s">
        <v>502</v>
      </c>
      <c r="D4510" s="60">
        <v>1.55406</v>
      </c>
      <c r="E4510" s="59">
        <v>3.2364700000000002</v>
      </c>
      <c r="F4510" s="59">
        <v>4.5796700000000001</v>
      </c>
      <c r="G4510" s="56">
        <v>0</v>
      </c>
      <c r="H4510" s="56">
        <v>0</v>
      </c>
      <c r="I4510" s="58">
        <v>0.251357</v>
      </c>
      <c r="J4510" s="57">
        <v>0.30001499999999998</v>
      </c>
      <c r="K4510" s="56"/>
      <c r="L4510" s="56" t="s">
        <v>492</v>
      </c>
    </row>
    <row r="4511" spans="2:12" x14ac:dyDescent="0.2">
      <c r="B4511" s="62" t="s">
        <v>1228</v>
      </c>
      <c r="C4511" s="61" t="s">
        <v>859</v>
      </c>
      <c r="D4511" s="60">
        <v>1.70777</v>
      </c>
      <c r="E4511" s="59">
        <v>4.3037900000000002</v>
      </c>
      <c r="F4511" s="59">
        <v>4.8376099999999997</v>
      </c>
      <c r="G4511" s="56">
        <v>1866.82</v>
      </c>
      <c r="H4511" s="56">
        <v>1093.1300000000001</v>
      </c>
      <c r="I4511" s="58">
        <v>0.53334800000000004</v>
      </c>
      <c r="J4511" s="57">
        <v>0.35289500000000001</v>
      </c>
      <c r="K4511" s="56"/>
      <c r="L4511" s="56" t="s">
        <v>488</v>
      </c>
    </row>
    <row r="4512" spans="2:12" x14ac:dyDescent="0.2">
      <c r="B4512" s="62" t="s">
        <v>1227</v>
      </c>
      <c r="C4512" s="61" t="s">
        <v>1226</v>
      </c>
      <c r="D4512" s="60">
        <v>1.7547600000000001</v>
      </c>
      <c r="E4512" s="59">
        <v>4.2736900000000002</v>
      </c>
      <c r="F4512" s="59">
        <v>4.8398099999999999</v>
      </c>
      <c r="G4512" s="56">
        <v>1870.12</v>
      </c>
      <c r="H4512" s="56">
        <v>1065.74</v>
      </c>
      <c r="I4512" s="58">
        <v>0.56292399999999998</v>
      </c>
      <c r="J4512" s="57">
        <v>0.34222799999999998</v>
      </c>
      <c r="K4512" s="56"/>
      <c r="L4512" s="56" t="s">
        <v>488</v>
      </c>
    </row>
    <row r="4513" spans="2:12" x14ac:dyDescent="0.2">
      <c r="B4513" s="62" t="s">
        <v>1225</v>
      </c>
      <c r="C4513" s="61" t="s">
        <v>582</v>
      </c>
      <c r="D4513" s="60">
        <v>2.38239</v>
      </c>
      <c r="E4513" s="59">
        <v>3.5623</v>
      </c>
      <c r="F4513" s="59">
        <v>5.0945400000000003</v>
      </c>
      <c r="G4513" s="56">
        <v>0</v>
      </c>
      <c r="H4513" s="56">
        <v>0</v>
      </c>
      <c r="I4513" s="58">
        <v>0.25658799999999998</v>
      </c>
      <c r="J4513" s="57">
        <v>0.171846</v>
      </c>
      <c r="K4513" s="56"/>
      <c r="L4513" s="56" t="s">
        <v>488</v>
      </c>
    </row>
    <row r="4514" spans="2:12" x14ac:dyDescent="0.2">
      <c r="B4514" s="62" t="s">
        <v>1224</v>
      </c>
      <c r="C4514" s="61" t="s">
        <v>531</v>
      </c>
      <c r="D4514" s="60">
        <v>2.4263300000000001</v>
      </c>
      <c r="E4514" s="59">
        <v>3.4733100000000001</v>
      </c>
      <c r="F4514" s="59">
        <v>5.0364300000000002</v>
      </c>
      <c r="G4514" s="56">
        <v>0</v>
      </c>
      <c r="H4514" s="56">
        <v>0</v>
      </c>
      <c r="I4514" s="58">
        <v>0.25285099999999999</v>
      </c>
      <c r="J4514" s="57">
        <v>0.16692299999999999</v>
      </c>
      <c r="K4514" s="56"/>
      <c r="L4514" s="56" t="s">
        <v>488</v>
      </c>
    </row>
    <row r="4515" spans="2:12" x14ac:dyDescent="0.2">
      <c r="B4515" s="62" t="s">
        <v>1223</v>
      </c>
      <c r="C4515" s="61" t="s">
        <v>533</v>
      </c>
      <c r="D4515" s="60">
        <v>2.4768599999999998</v>
      </c>
      <c r="E4515" s="59">
        <v>3.4635199999999999</v>
      </c>
      <c r="F4515" s="59">
        <v>5.0473499999999998</v>
      </c>
      <c r="G4515" s="56">
        <v>0</v>
      </c>
      <c r="H4515" s="56">
        <v>0</v>
      </c>
      <c r="I4515" s="58">
        <v>0.25302999999999998</v>
      </c>
      <c r="J4515" s="57">
        <v>0.16280800000000001</v>
      </c>
      <c r="K4515" s="56"/>
      <c r="L4515" s="56" t="s">
        <v>488</v>
      </c>
    </row>
    <row r="4516" spans="2:12" x14ac:dyDescent="0.2">
      <c r="B4516" s="62" t="s">
        <v>1222</v>
      </c>
      <c r="C4516" s="61" t="s">
        <v>535</v>
      </c>
      <c r="D4516" s="60">
        <v>2.5251800000000002</v>
      </c>
      <c r="E4516" s="59">
        <v>3.46394</v>
      </c>
      <c r="F4516" s="59">
        <v>4.9787299999999997</v>
      </c>
      <c r="G4516" s="56">
        <v>0</v>
      </c>
      <c r="H4516" s="56">
        <v>0</v>
      </c>
      <c r="I4516" s="58">
        <v>0.25107499999999999</v>
      </c>
      <c r="J4516" s="57">
        <v>0.15817899999999999</v>
      </c>
      <c r="K4516" s="56"/>
      <c r="L4516" s="56" t="s">
        <v>488</v>
      </c>
    </row>
    <row r="4517" spans="2:12" x14ac:dyDescent="0.2">
      <c r="B4517" s="62" t="s">
        <v>1221</v>
      </c>
      <c r="C4517" s="61" t="s">
        <v>537</v>
      </c>
      <c r="D4517" s="60">
        <v>2.56501</v>
      </c>
      <c r="E4517" s="59">
        <v>3.4868800000000002</v>
      </c>
      <c r="F4517" s="59">
        <v>5.0243200000000003</v>
      </c>
      <c r="G4517" s="56">
        <v>0</v>
      </c>
      <c r="H4517" s="56">
        <v>0</v>
      </c>
      <c r="I4517" s="58">
        <v>0.25093399999999999</v>
      </c>
      <c r="J4517" s="57">
        <v>0.15506900000000001</v>
      </c>
      <c r="K4517" s="56"/>
      <c r="L4517" s="56" t="s">
        <v>488</v>
      </c>
    </row>
    <row r="4518" spans="2:12" x14ac:dyDescent="0.2">
      <c r="B4518" s="62" t="s">
        <v>1220</v>
      </c>
      <c r="C4518" s="61" t="s">
        <v>541</v>
      </c>
      <c r="D4518" s="60">
        <v>1.5031399999999999</v>
      </c>
      <c r="E4518" s="59">
        <v>4.40435</v>
      </c>
      <c r="F4518" s="59">
        <v>5.01302</v>
      </c>
      <c r="G4518" s="56">
        <v>1977.48</v>
      </c>
      <c r="H4518" s="56">
        <v>1315.57</v>
      </c>
      <c r="I4518" s="58">
        <v>0.53353600000000001</v>
      </c>
      <c r="J4518" s="57">
        <v>0.40913300000000002</v>
      </c>
      <c r="K4518" s="56"/>
      <c r="L4518" s="56" t="s">
        <v>488</v>
      </c>
    </row>
    <row r="4519" spans="2:12" x14ac:dyDescent="0.2">
      <c r="B4519" s="62" t="s">
        <v>1219</v>
      </c>
      <c r="C4519" s="61" t="s">
        <v>582</v>
      </c>
      <c r="D4519" s="60">
        <v>1.5565599999999999</v>
      </c>
      <c r="E4519" s="59">
        <v>4.3927500000000004</v>
      </c>
      <c r="F4519" s="59">
        <v>4.9535200000000001</v>
      </c>
      <c r="G4519" s="56">
        <v>1909.19</v>
      </c>
      <c r="H4519" s="56">
        <v>1226.55</v>
      </c>
      <c r="I4519" s="58">
        <v>0.53273999999999999</v>
      </c>
      <c r="J4519" s="57">
        <v>0.39286700000000002</v>
      </c>
      <c r="K4519" s="56"/>
      <c r="L4519" s="56" t="s">
        <v>488</v>
      </c>
    </row>
    <row r="4520" spans="2:12" x14ac:dyDescent="0.2">
      <c r="B4520" s="62" t="s">
        <v>1218</v>
      </c>
      <c r="C4520" s="61" t="s">
        <v>531</v>
      </c>
      <c r="D4520" s="60">
        <v>1.5798399999999999</v>
      </c>
      <c r="E4520" s="59">
        <v>4.3621400000000001</v>
      </c>
      <c r="F4520" s="59">
        <v>4.9238</v>
      </c>
      <c r="G4520" s="56">
        <v>1891.33</v>
      </c>
      <c r="H4520" s="56">
        <v>1197.17</v>
      </c>
      <c r="I4520" s="58">
        <v>0.53356000000000003</v>
      </c>
      <c r="J4520" s="57">
        <v>0.38587199999999999</v>
      </c>
      <c r="K4520" s="56"/>
      <c r="L4520" s="56" t="s">
        <v>488</v>
      </c>
    </row>
    <row r="4521" spans="2:12" x14ac:dyDescent="0.2">
      <c r="B4521" s="62" t="s">
        <v>1217</v>
      </c>
      <c r="C4521" s="61" t="s">
        <v>533</v>
      </c>
      <c r="D4521" s="60">
        <v>1.6133500000000001</v>
      </c>
      <c r="E4521" s="59">
        <v>4.3764700000000003</v>
      </c>
      <c r="F4521" s="59">
        <v>4.90097</v>
      </c>
      <c r="G4521" s="56">
        <v>1911.68</v>
      </c>
      <c r="H4521" s="56">
        <v>1184.9100000000001</v>
      </c>
      <c r="I4521" s="58">
        <v>0.53366400000000003</v>
      </c>
      <c r="J4521" s="57">
        <v>0.37687100000000001</v>
      </c>
      <c r="K4521" s="56"/>
      <c r="L4521" s="56" t="s">
        <v>488</v>
      </c>
    </row>
    <row r="4522" spans="2:12" x14ac:dyDescent="0.2">
      <c r="B4522" s="62" t="s">
        <v>1216</v>
      </c>
      <c r="C4522" s="61" t="s">
        <v>535</v>
      </c>
      <c r="D4522" s="60">
        <v>1.63348</v>
      </c>
      <c r="E4522" s="59">
        <v>4.3703799999999999</v>
      </c>
      <c r="F4522" s="59">
        <v>4.8797100000000002</v>
      </c>
      <c r="G4522" s="56">
        <v>1915.65</v>
      </c>
      <c r="H4522" s="56">
        <v>1172.74</v>
      </c>
      <c r="I4522" s="58">
        <v>0.53165200000000001</v>
      </c>
      <c r="J4522" s="57">
        <v>0.37131900000000001</v>
      </c>
      <c r="K4522" s="56"/>
      <c r="L4522" s="56" t="s">
        <v>488</v>
      </c>
    </row>
    <row r="4523" spans="2:12" x14ac:dyDescent="0.2">
      <c r="B4523" s="62" t="s">
        <v>1215</v>
      </c>
      <c r="C4523" s="61" t="s">
        <v>537</v>
      </c>
      <c r="D4523" s="60">
        <v>1.66666</v>
      </c>
      <c r="E4523" s="59">
        <v>4.34945</v>
      </c>
      <c r="F4523" s="59">
        <v>4.8594799999999996</v>
      </c>
      <c r="G4523" s="56">
        <v>1833.64</v>
      </c>
      <c r="H4523" s="56">
        <v>1100.19</v>
      </c>
      <c r="I4523" s="58">
        <v>0.53100000000000003</v>
      </c>
      <c r="J4523" s="57">
        <v>0.36355999999999999</v>
      </c>
      <c r="K4523" s="56"/>
      <c r="L4523" s="56" t="s">
        <v>488</v>
      </c>
    </row>
    <row r="4524" spans="2:12" x14ac:dyDescent="0.2">
      <c r="B4524" s="62" t="s">
        <v>1214</v>
      </c>
      <c r="C4524" s="61" t="s">
        <v>558</v>
      </c>
      <c r="D4524" s="60">
        <v>1.6855899999999999</v>
      </c>
      <c r="E4524" s="59">
        <v>4.3322599999999998</v>
      </c>
      <c r="F4524" s="59">
        <v>4.8612000000000002</v>
      </c>
      <c r="G4524" s="56">
        <v>1887.27</v>
      </c>
      <c r="H4524" s="56">
        <v>1119.6500000000001</v>
      </c>
      <c r="I4524" s="58">
        <v>0.53368300000000002</v>
      </c>
      <c r="J4524" s="57">
        <v>0.359099</v>
      </c>
      <c r="K4524" s="56"/>
      <c r="L4524" s="56" t="s">
        <v>488</v>
      </c>
    </row>
    <row r="4525" spans="2:12" x14ac:dyDescent="0.2">
      <c r="B4525" s="62" t="s">
        <v>1213</v>
      </c>
      <c r="C4525" s="61" t="s">
        <v>1211</v>
      </c>
      <c r="D4525" s="60">
        <v>1.26156</v>
      </c>
      <c r="E4525" s="59">
        <v>3.3875999999999999</v>
      </c>
      <c r="F4525" s="59">
        <v>5.3569399999999998</v>
      </c>
      <c r="G4525" s="56">
        <v>0</v>
      </c>
      <c r="H4525" s="56">
        <v>0</v>
      </c>
      <c r="I4525" s="58">
        <v>0.27949099999999999</v>
      </c>
      <c r="J4525" s="57">
        <v>0.34137200000000001</v>
      </c>
      <c r="K4525" s="56"/>
      <c r="L4525" s="56" t="s">
        <v>488</v>
      </c>
    </row>
    <row r="4526" spans="2:12" x14ac:dyDescent="0.2">
      <c r="B4526" s="62" t="s">
        <v>1212</v>
      </c>
      <c r="C4526" s="61" t="s">
        <v>1211</v>
      </c>
      <c r="D4526" s="60">
        <v>1.09649</v>
      </c>
      <c r="E4526" s="59">
        <v>4.3489100000000001</v>
      </c>
      <c r="F4526" s="59">
        <v>5.50596</v>
      </c>
      <c r="G4526" s="56">
        <v>1130.3499999999999</v>
      </c>
      <c r="H4526" s="56">
        <v>1030.8800000000001</v>
      </c>
      <c r="I4526" s="58">
        <v>0.49356499999999998</v>
      </c>
      <c r="J4526" s="57">
        <v>0.48485800000000001</v>
      </c>
      <c r="K4526" s="56"/>
      <c r="L4526" s="56" t="s">
        <v>488</v>
      </c>
    </row>
    <row r="4527" spans="2:12" x14ac:dyDescent="0.2">
      <c r="B4527" s="62" t="s">
        <v>1210</v>
      </c>
      <c r="C4527" s="61" t="s">
        <v>550</v>
      </c>
      <c r="D4527" s="60">
        <v>1.3403099999999999</v>
      </c>
      <c r="E4527" s="59">
        <v>2.8681399999999999</v>
      </c>
      <c r="F4527" s="59">
        <v>4.3807600000000004</v>
      </c>
      <c r="G4527" s="56">
        <v>0</v>
      </c>
      <c r="H4527" s="56">
        <v>0</v>
      </c>
      <c r="I4527" s="58">
        <v>0.25583800000000001</v>
      </c>
      <c r="J4527" s="57">
        <v>0.33751599999999998</v>
      </c>
      <c r="K4527" s="56"/>
      <c r="L4527" s="56" t="s">
        <v>488</v>
      </c>
    </row>
    <row r="4528" spans="2:12" x14ac:dyDescent="0.2">
      <c r="B4528" s="62" t="s">
        <v>1209</v>
      </c>
      <c r="C4528" s="61" t="s">
        <v>555</v>
      </c>
      <c r="D4528" s="60">
        <v>1.7211000000000001</v>
      </c>
      <c r="E4528" s="59">
        <v>3.2967399999999998</v>
      </c>
      <c r="F4528" s="59">
        <v>4.9128800000000004</v>
      </c>
      <c r="G4528" s="56">
        <v>0</v>
      </c>
      <c r="H4528" s="56">
        <v>0</v>
      </c>
      <c r="I4528" s="58">
        <v>0.150893</v>
      </c>
      <c r="J4528" s="57">
        <v>0.191686</v>
      </c>
      <c r="K4528" s="56"/>
      <c r="L4528" s="56" t="s">
        <v>492</v>
      </c>
    </row>
    <row r="4529" spans="2:12" x14ac:dyDescent="0.2">
      <c r="B4529" s="62" t="s">
        <v>1208</v>
      </c>
      <c r="C4529" s="61" t="s">
        <v>499</v>
      </c>
      <c r="D4529" s="60">
        <v>1.41831</v>
      </c>
      <c r="E4529" s="59">
        <v>3.86158</v>
      </c>
      <c r="F4529" s="59">
        <v>4.6266999999999996</v>
      </c>
      <c r="G4529" s="56">
        <v>507.16800000000001</v>
      </c>
      <c r="H4529" s="56">
        <v>357.58600000000001</v>
      </c>
      <c r="I4529" s="58">
        <v>0.36839699999999997</v>
      </c>
      <c r="J4529" s="57">
        <v>0.34116999999999997</v>
      </c>
      <c r="K4529" s="56"/>
      <c r="L4529" s="56" t="s">
        <v>488</v>
      </c>
    </row>
    <row r="4530" spans="2:12" x14ac:dyDescent="0.2">
      <c r="B4530" s="62" t="s">
        <v>1207</v>
      </c>
      <c r="C4530" s="61" t="s">
        <v>502</v>
      </c>
      <c r="D4530" s="60">
        <v>1.51264</v>
      </c>
      <c r="E4530" s="59">
        <v>5.6864699999999999</v>
      </c>
      <c r="F4530" s="59">
        <v>6.2408900000000003</v>
      </c>
      <c r="G4530" s="56">
        <v>418.875</v>
      </c>
      <c r="H4530" s="56">
        <v>276.916</v>
      </c>
      <c r="I4530" s="58">
        <v>0.23921500000000001</v>
      </c>
      <c r="J4530" s="57">
        <v>0.29142800000000002</v>
      </c>
      <c r="K4530" s="56"/>
      <c r="L4530" s="56" t="s">
        <v>488</v>
      </c>
    </row>
    <row r="4531" spans="2:12" x14ac:dyDescent="0.2">
      <c r="B4531" s="62" t="s">
        <v>1206</v>
      </c>
      <c r="C4531" s="61" t="s">
        <v>499</v>
      </c>
      <c r="D4531" s="60">
        <v>1.4096900000000001</v>
      </c>
      <c r="E4531" s="59">
        <v>3.8347799999999999</v>
      </c>
      <c r="F4531" s="59">
        <v>4.9153099999999998</v>
      </c>
      <c r="G4531" s="56">
        <v>659.77300000000002</v>
      </c>
      <c r="H4531" s="56">
        <v>468.029</v>
      </c>
      <c r="I4531" s="58">
        <v>0.425512</v>
      </c>
      <c r="J4531" s="57">
        <v>0.36011799999999999</v>
      </c>
      <c r="K4531" s="56"/>
      <c r="L4531" s="56" t="s">
        <v>488</v>
      </c>
    </row>
    <row r="4532" spans="2:12" x14ac:dyDescent="0.2">
      <c r="B4532" s="62" t="s">
        <v>1205</v>
      </c>
      <c r="C4532" s="61" t="s">
        <v>579</v>
      </c>
      <c r="D4532" s="60">
        <v>1.50223</v>
      </c>
      <c r="E4532" s="59">
        <v>5.7858999999999998</v>
      </c>
      <c r="F4532" s="59">
        <v>7.3489100000000001</v>
      </c>
      <c r="G4532" s="56">
        <v>451.11799999999999</v>
      </c>
      <c r="H4532" s="56">
        <v>300.298</v>
      </c>
      <c r="I4532" s="58">
        <v>0.24261099999999999</v>
      </c>
      <c r="J4532" s="57">
        <v>0.30199599999999999</v>
      </c>
      <c r="K4532" s="56"/>
      <c r="L4532" s="56" t="s">
        <v>488</v>
      </c>
    </row>
    <row r="4533" spans="2:12" x14ac:dyDescent="0.2">
      <c r="B4533" s="62" t="s">
        <v>1204</v>
      </c>
      <c r="C4533" s="61" t="s">
        <v>531</v>
      </c>
      <c r="D4533" s="60">
        <v>1.5231699999999999</v>
      </c>
      <c r="E4533" s="59">
        <v>5.83636</v>
      </c>
      <c r="F4533" s="59">
        <v>7.47105</v>
      </c>
      <c r="G4533" s="56">
        <v>525.00099999999998</v>
      </c>
      <c r="H4533" s="56">
        <v>344.67700000000002</v>
      </c>
      <c r="I4533" s="58">
        <v>0.28370200000000001</v>
      </c>
      <c r="J4533" s="57">
        <v>0.30161900000000003</v>
      </c>
      <c r="K4533" s="56" t="s">
        <v>993</v>
      </c>
      <c r="L4533" s="56" t="s">
        <v>563</v>
      </c>
    </row>
    <row r="4534" spans="2:12" x14ac:dyDescent="0.2">
      <c r="B4534" s="62" t="s">
        <v>1203</v>
      </c>
      <c r="C4534" s="61" t="s">
        <v>533</v>
      </c>
      <c r="D4534" s="60">
        <v>1.55847</v>
      </c>
      <c r="E4534" s="59">
        <v>5.7743099999999998</v>
      </c>
      <c r="F4534" s="59">
        <v>7.3452299999999999</v>
      </c>
      <c r="G4534" s="56">
        <v>453.19900000000001</v>
      </c>
      <c r="H4534" s="56">
        <v>290.79599999999999</v>
      </c>
      <c r="I4534" s="58">
        <v>0.246285</v>
      </c>
      <c r="J4534" s="57">
        <v>0.28834500000000002</v>
      </c>
      <c r="K4534" s="56"/>
      <c r="L4534" s="56" t="s">
        <v>488</v>
      </c>
    </row>
    <row r="4535" spans="2:12" x14ac:dyDescent="0.2">
      <c r="B4535" s="62" t="s">
        <v>1202</v>
      </c>
      <c r="C4535" s="61" t="s">
        <v>535</v>
      </c>
      <c r="D4535" s="60">
        <v>1.5482800000000001</v>
      </c>
      <c r="E4535" s="59">
        <v>5.7786999999999997</v>
      </c>
      <c r="F4535" s="59">
        <v>7.4559499999999996</v>
      </c>
      <c r="G4535" s="56">
        <v>521.23299999999995</v>
      </c>
      <c r="H4535" s="56">
        <v>336.65199999999999</v>
      </c>
      <c r="I4535" s="58">
        <v>0.28058100000000002</v>
      </c>
      <c r="J4535" s="57">
        <v>0.29560599999999998</v>
      </c>
      <c r="K4535" s="56" t="s">
        <v>993</v>
      </c>
      <c r="L4535" s="56" t="s">
        <v>563</v>
      </c>
    </row>
    <row r="4536" spans="2:12" x14ac:dyDescent="0.2">
      <c r="B4536" s="62" t="s">
        <v>1201</v>
      </c>
      <c r="C4536" s="61" t="s">
        <v>537</v>
      </c>
      <c r="D4536" s="60">
        <v>1.58521</v>
      </c>
      <c r="E4536" s="59">
        <v>5.7896900000000002</v>
      </c>
      <c r="F4536" s="59">
        <v>7.4338300000000004</v>
      </c>
      <c r="G4536" s="56">
        <v>517.673</v>
      </c>
      <c r="H4536" s="56">
        <v>326.565</v>
      </c>
      <c r="I4536" s="58">
        <v>0.276034</v>
      </c>
      <c r="J4536" s="57">
        <v>0.28165000000000001</v>
      </c>
      <c r="K4536" s="56" t="s">
        <v>993</v>
      </c>
      <c r="L4536" s="56" t="s">
        <v>563</v>
      </c>
    </row>
    <row r="4537" spans="2:12" x14ac:dyDescent="0.2">
      <c r="B4537" s="62" t="s">
        <v>1200</v>
      </c>
      <c r="C4537" s="61" t="s">
        <v>1199</v>
      </c>
      <c r="D4537" s="60">
        <v>1.6253299999999999</v>
      </c>
      <c r="E4537" s="59">
        <v>2.4390900000000002</v>
      </c>
      <c r="F4537" s="59">
        <v>2.7495500000000002</v>
      </c>
      <c r="G4537" s="56">
        <v>0</v>
      </c>
      <c r="H4537" s="56">
        <v>0</v>
      </c>
      <c r="I4537" s="58">
        <v>0.24812799999999999</v>
      </c>
      <c r="J4537" s="57">
        <v>0.19830999999999999</v>
      </c>
      <c r="K4537" s="56"/>
      <c r="L4537" s="56" t="s">
        <v>488</v>
      </c>
    </row>
    <row r="4538" spans="2:12" x14ac:dyDescent="0.2">
      <c r="B4538" s="62" t="s">
        <v>1198</v>
      </c>
      <c r="C4538" s="61" t="s">
        <v>1174</v>
      </c>
      <c r="D4538" s="60">
        <v>1.78295</v>
      </c>
      <c r="E4538" s="59">
        <v>2.9795600000000002</v>
      </c>
      <c r="F4538" s="59">
        <v>3.6533199999999999</v>
      </c>
      <c r="G4538" s="56">
        <v>0</v>
      </c>
      <c r="H4538" s="56">
        <v>0</v>
      </c>
      <c r="I4538" s="58">
        <v>6.6632800000000006E-2</v>
      </c>
      <c r="J4538" s="57">
        <v>0.17824400000000001</v>
      </c>
      <c r="K4538" s="56"/>
      <c r="L4538" s="56" t="s">
        <v>488</v>
      </c>
    </row>
    <row r="4539" spans="2:12" x14ac:dyDescent="0.2">
      <c r="B4539" s="62" t="s">
        <v>1197</v>
      </c>
      <c r="C4539" s="61" t="s">
        <v>1196</v>
      </c>
      <c r="D4539" s="60">
        <v>1.3689</v>
      </c>
      <c r="E4539" s="59">
        <v>7.0866899999999999</v>
      </c>
      <c r="F4539" s="59">
        <v>8.3013399999999997</v>
      </c>
      <c r="G4539" s="56">
        <v>916.73599999999999</v>
      </c>
      <c r="H4539" s="56">
        <v>669.68700000000001</v>
      </c>
      <c r="I4539" s="58">
        <v>0.36862200000000001</v>
      </c>
      <c r="J4539" s="57">
        <v>0.41165400000000002</v>
      </c>
      <c r="K4539" s="56"/>
      <c r="L4539" s="56" t="s">
        <v>488</v>
      </c>
    </row>
    <row r="4540" spans="2:12" x14ac:dyDescent="0.2">
      <c r="B4540" s="62" t="s">
        <v>1195</v>
      </c>
      <c r="C4540" s="61" t="s">
        <v>940</v>
      </c>
      <c r="D4540" s="60">
        <v>1.51454</v>
      </c>
      <c r="E4540" s="59">
        <v>7.1369199999999999</v>
      </c>
      <c r="F4540" s="59">
        <v>8.3311899999999994</v>
      </c>
      <c r="G4540" s="56">
        <v>922.43100000000004</v>
      </c>
      <c r="H4540" s="56">
        <v>609.04899999999998</v>
      </c>
      <c r="I4540" s="58">
        <v>0.366039</v>
      </c>
      <c r="J4540" s="57">
        <v>0.37288900000000003</v>
      </c>
      <c r="K4540" s="56"/>
      <c r="L4540" s="56" t="s">
        <v>488</v>
      </c>
    </row>
    <row r="4541" spans="2:12" x14ac:dyDescent="0.2">
      <c r="B4541" s="62" t="s">
        <v>1194</v>
      </c>
      <c r="C4541" s="61" t="s">
        <v>1096</v>
      </c>
      <c r="D4541" s="60">
        <v>1.4857499999999999</v>
      </c>
      <c r="E4541" s="59">
        <v>7.2739900000000004</v>
      </c>
      <c r="F4541" s="59">
        <v>8.4406700000000008</v>
      </c>
      <c r="G4541" s="56">
        <v>942.33600000000001</v>
      </c>
      <c r="H4541" s="56">
        <v>634.25099999999998</v>
      </c>
      <c r="I4541" s="58">
        <v>0.37354300000000001</v>
      </c>
      <c r="J4541" s="57">
        <v>0.38307799999999997</v>
      </c>
      <c r="K4541" s="56"/>
      <c r="L4541" s="56" t="s">
        <v>488</v>
      </c>
    </row>
    <row r="4542" spans="2:12" x14ac:dyDescent="0.2">
      <c r="B4542" s="62" t="s">
        <v>1193</v>
      </c>
      <c r="C4542" s="61" t="s">
        <v>1192</v>
      </c>
      <c r="D4542" s="60">
        <v>1.4397599999999999</v>
      </c>
      <c r="E4542" s="59">
        <v>7.4661999999999997</v>
      </c>
      <c r="F4542" s="59">
        <v>8.57681</v>
      </c>
      <c r="G4542" s="56">
        <v>962.125</v>
      </c>
      <c r="H4542" s="56">
        <v>668.25199999999995</v>
      </c>
      <c r="I4542" s="58">
        <v>0.38296200000000002</v>
      </c>
      <c r="J4542" s="57">
        <v>0.398561</v>
      </c>
      <c r="K4542" s="56"/>
      <c r="L4542" s="56" t="s">
        <v>488</v>
      </c>
    </row>
    <row r="4543" spans="2:12" x14ac:dyDescent="0.2">
      <c r="B4543" s="62" t="s">
        <v>1191</v>
      </c>
      <c r="C4543" s="61" t="s">
        <v>641</v>
      </c>
      <c r="D4543" s="60">
        <v>1.5927500000000001</v>
      </c>
      <c r="E4543" s="59">
        <v>3.5260600000000002</v>
      </c>
      <c r="F4543" s="59">
        <v>5.2781200000000004</v>
      </c>
      <c r="G4543" s="56">
        <v>0</v>
      </c>
      <c r="H4543" s="56">
        <v>0</v>
      </c>
      <c r="I4543" s="58">
        <v>0.29895100000000002</v>
      </c>
      <c r="J4543" s="57">
        <v>0.29073199999999999</v>
      </c>
      <c r="K4543" s="56"/>
      <c r="L4543" s="56" t="s">
        <v>488</v>
      </c>
    </row>
    <row r="4544" spans="2:12" x14ac:dyDescent="0.2">
      <c r="B4544" s="62" t="s">
        <v>1190</v>
      </c>
      <c r="C4544" s="61" t="s">
        <v>558</v>
      </c>
      <c r="D4544" s="60">
        <v>2.01091</v>
      </c>
      <c r="E4544" s="59">
        <v>2.5536300000000001</v>
      </c>
      <c r="F4544" s="59">
        <v>3.68933</v>
      </c>
      <c r="G4544" s="56">
        <v>0</v>
      </c>
      <c r="H4544" s="56">
        <v>0</v>
      </c>
      <c r="I4544" s="58">
        <v>0.153784</v>
      </c>
      <c r="J4544" s="57">
        <v>0.195385</v>
      </c>
      <c r="K4544" s="56"/>
      <c r="L4544" s="56" t="s">
        <v>488</v>
      </c>
    </row>
    <row r="4545" spans="2:12" x14ac:dyDescent="0.2">
      <c r="B4545" s="62" t="s">
        <v>1189</v>
      </c>
      <c r="C4545" s="61" t="s">
        <v>607</v>
      </c>
      <c r="D4545" s="60">
        <v>2.7414200000000002</v>
      </c>
      <c r="E4545" s="59">
        <v>2.5160800000000001</v>
      </c>
      <c r="F4545" s="59">
        <v>3.2254900000000002</v>
      </c>
      <c r="G4545" s="56">
        <v>0</v>
      </c>
      <c r="H4545" s="56">
        <v>0</v>
      </c>
      <c r="I4545" s="58">
        <v>0.183696</v>
      </c>
      <c r="J4545" s="57">
        <v>0.15767200000000001</v>
      </c>
      <c r="K4545" s="56"/>
      <c r="L4545" s="56" t="s">
        <v>488</v>
      </c>
    </row>
    <row r="4546" spans="2:12" x14ac:dyDescent="0.2">
      <c r="B4546" s="62" t="s">
        <v>1188</v>
      </c>
      <c r="C4546" s="61" t="s">
        <v>1187</v>
      </c>
      <c r="D4546" s="60">
        <v>2.1372499999999999</v>
      </c>
      <c r="E4546" s="59">
        <v>2.6540499999999998</v>
      </c>
      <c r="F4546" s="59">
        <v>3.5807899999999999</v>
      </c>
      <c r="G4546" s="56">
        <v>0</v>
      </c>
      <c r="H4546" s="56">
        <v>0</v>
      </c>
      <c r="I4546" s="58">
        <v>0.21255599999999999</v>
      </c>
      <c r="J4546" s="57">
        <v>0.20966199999999999</v>
      </c>
      <c r="K4546" s="56"/>
      <c r="L4546" s="56" t="s">
        <v>488</v>
      </c>
    </row>
    <row r="4547" spans="2:12" x14ac:dyDescent="0.2">
      <c r="B4547" s="62" t="s">
        <v>1186</v>
      </c>
      <c r="C4547" s="61" t="s">
        <v>690</v>
      </c>
      <c r="D4547" s="60">
        <v>1.65215</v>
      </c>
      <c r="E4547" s="59">
        <v>2.6662499999999998</v>
      </c>
      <c r="F4547" s="59">
        <v>4.7354700000000003</v>
      </c>
      <c r="G4547" s="56">
        <v>0</v>
      </c>
      <c r="H4547" s="56">
        <v>0</v>
      </c>
      <c r="I4547" s="58">
        <v>0.22431699999999999</v>
      </c>
      <c r="J4547" s="57">
        <v>0.27216099999999999</v>
      </c>
      <c r="K4547" s="56"/>
      <c r="L4547" s="56" t="s">
        <v>488</v>
      </c>
    </row>
    <row r="4548" spans="2:12" x14ac:dyDescent="0.2">
      <c r="B4548" s="62" t="s">
        <v>1185</v>
      </c>
      <c r="C4548" s="61" t="s">
        <v>1184</v>
      </c>
      <c r="D4548" s="60">
        <v>1.34422</v>
      </c>
      <c r="E4548" s="59">
        <v>7.5185199999999996</v>
      </c>
      <c r="F4548" s="59">
        <v>8.7319999999999993</v>
      </c>
      <c r="G4548" s="56">
        <v>962.39700000000005</v>
      </c>
      <c r="H4548" s="56">
        <v>715.95100000000002</v>
      </c>
      <c r="I4548" s="58">
        <v>0.39205000000000001</v>
      </c>
      <c r="J4548" s="57">
        <v>0.42709599999999998</v>
      </c>
      <c r="K4548" s="56"/>
      <c r="L4548" s="56" t="s">
        <v>488</v>
      </c>
    </row>
    <row r="4549" spans="2:12" x14ac:dyDescent="0.2">
      <c r="B4549" s="62" t="s">
        <v>1183</v>
      </c>
      <c r="C4549" s="61" t="s">
        <v>1182</v>
      </c>
      <c r="D4549" s="60">
        <v>0.92711900000000003</v>
      </c>
      <c r="E4549" s="59">
        <v>6.21746</v>
      </c>
      <c r="F4549" s="59">
        <v>9.6261200000000002</v>
      </c>
      <c r="G4549" s="56">
        <v>1534.37</v>
      </c>
      <c r="H4549" s="56">
        <v>1654.98</v>
      </c>
      <c r="I4549" s="58">
        <v>0.54664699999999999</v>
      </c>
      <c r="J4549" s="57">
        <v>0.69374100000000005</v>
      </c>
      <c r="K4549" s="56"/>
      <c r="L4549" s="56" t="s">
        <v>488</v>
      </c>
    </row>
    <row r="4550" spans="2:12" x14ac:dyDescent="0.2">
      <c r="B4550" s="62" t="s">
        <v>1181</v>
      </c>
      <c r="C4550" s="61" t="s">
        <v>495</v>
      </c>
      <c r="D4550" s="60">
        <v>1.6119399999999999</v>
      </c>
      <c r="E4550" s="59">
        <v>4.08148</v>
      </c>
      <c r="F4550" s="59">
        <v>4.9859999999999998</v>
      </c>
      <c r="G4550" s="56">
        <v>631.64</v>
      </c>
      <c r="H4550" s="56">
        <v>391.85199999999998</v>
      </c>
      <c r="I4550" s="58">
        <v>0.28930400000000001</v>
      </c>
      <c r="J4550" s="57">
        <v>0.29449500000000001</v>
      </c>
      <c r="K4550" s="56"/>
      <c r="L4550" s="56" t="s">
        <v>488</v>
      </c>
    </row>
    <row r="4551" spans="2:12" x14ac:dyDescent="0.2">
      <c r="B4551" s="62" t="s">
        <v>1180</v>
      </c>
      <c r="C4551" s="61" t="s">
        <v>510</v>
      </c>
      <c r="D4551" s="60">
        <v>1.1831199999999999</v>
      </c>
      <c r="E4551" s="59">
        <v>3.0808200000000001</v>
      </c>
      <c r="F4551" s="59">
        <v>4.1308999999999996</v>
      </c>
      <c r="G4551" s="56">
        <v>0</v>
      </c>
      <c r="H4551" s="56">
        <v>0</v>
      </c>
      <c r="I4551" s="58">
        <v>0.28439900000000001</v>
      </c>
      <c r="J4551" s="57">
        <v>0.38705699999999998</v>
      </c>
      <c r="K4551" s="56"/>
      <c r="L4551" s="56" t="s">
        <v>488</v>
      </c>
    </row>
    <row r="4552" spans="2:12" x14ac:dyDescent="0.2">
      <c r="B4552" s="62" t="s">
        <v>1179</v>
      </c>
      <c r="C4552" s="61" t="s">
        <v>550</v>
      </c>
      <c r="D4552" s="60">
        <v>1.4355199999999999</v>
      </c>
      <c r="E4552" s="59">
        <v>3.17117</v>
      </c>
      <c r="F4552" s="59">
        <v>4.2262899999999997</v>
      </c>
      <c r="G4552" s="56">
        <v>0</v>
      </c>
      <c r="H4552" s="56">
        <v>0</v>
      </c>
      <c r="I4552" s="58">
        <v>0.22706899999999999</v>
      </c>
      <c r="J4552" s="57">
        <v>0.303975</v>
      </c>
      <c r="K4552" s="56"/>
      <c r="L4552" s="56" t="s">
        <v>488</v>
      </c>
    </row>
    <row r="4553" spans="2:12" x14ac:dyDescent="0.2">
      <c r="B4553" s="62" t="s">
        <v>1178</v>
      </c>
      <c r="C4553" s="61" t="s">
        <v>550</v>
      </c>
      <c r="D4553" s="60">
        <v>1.3805099999999999</v>
      </c>
      <c r="E4553" s="59">
        <v>3.48109</v>
      </c>
      <c r="F4553" s="59">
        <v>5.4135200000000001</v>
      </c>
      <c r="G4553" s="56">
        <v>0</v>
      </c>
      <c r="H4553" s="56">
        <v>0</v>
      </c>
      <c r="I4553" s="58">
        <v>0.316637</v>
      </c>
      <c r="J4553" s="57">
        <v>0.35924400000000001</v>
      </c>
      <c r="K4553" s="56"/>
      <c r="L4553" s="56" t="s">
        <v>488</v>
      </c>
    </row>
    <row r="4554" spans="2:12" x14ac:dyDescent="0.2">
      <c r="B4554" s="62" t="s">
        <v>1177</v>
      </c>
      <c r="C4554" s="61" t="s">
        <v>550</v>
      </c>
      <c r="D4554" s="60">
        <v>1.2726</v>
      </c>
      <c r="E4554" s="59">
        <v>5.44238</v>
      </c>
      <c r="F4554" s="59">
        <v>6.13408</v>
      </c>
      <c r="G4554" s="56">
        <v>683.78800000000001</v>
      </c>
      <c r="H4554" s="56">
        <v>537.31600000000003</v>
      </c>
      <c r="I4554" s="58">
        <v>0.36230499999999999</v>
      </c>
      <c r="J4554" s="57">
        <v>0.39491300000000001</v>
      </c>
      <c r="K4554" s="56"/>
      <c r="L4554" s="56" t="s">
        <v>488</v>
      </c>
    </row>
    <row r="4555" spans="2:12" x14ac:dyDescent="0.2">
      <c r="B4555" s="62" t="s">
        <v>1176</v>
      </c>
      <c r="C4555" s="61" t="s">
        <v>550</v>
      </c>
      <c r="D4555" s="60">
        <v>1.9934799999999999</v>
      </c>
      <c r="E4555" s="59">
        <v>2.45038</v>
      </c>
      <c r="F4555" s="59">
        <v>9.9934799999999999</v>
      </c>
      <c r="G4555" s="56">
        <v>0</v>
      </c>
      <c r="H4555" s="56">
        <v>0</v>
      </c>
      <c r="I4555" s="58">
        <v>0.30456899999999998</v>
      </c>
      <c r="J4555" s="57">
        <v>0.25050299999999998</v>
      </c>
      <c r="K4555" s="56"/>
      <c r="L4555" s="56" t="s">
        <v>488</v>
      </c>
    </row>
    <row r="4556" spans="2:12" x14ac:dyDescent="0.2">
      <c r="B4556" s="62" t="s">
        <v>1175</v>
      </c>
      <c r="C4556" s="61" t="s">
        <v>1174</v>
      </c>
      <c r="D4556" s="60">
        <v>1.7202900000000001</v>
      </c>
      <c r="E4556" s="59">
        <v>3.07125</v>
      </c>
      <c r="F4556" s="59">
        <v>3.3966400000000001</v>
      </c>
      <c r="G4556" s="56">
        <v>0</v>
      </c>
      <c r="H4556" s="56">
        <v>0</v>
      </c>
      <c r="I4556" s="58">
        <v>5.9467699999999998E-2</v>
      </c>
      <c r="J4556" s="57">
        <v>0.161159</v>
      </c>
      <c r="K4556" s="56"/>
      <c r="L4556" s="56" t="s">
        <v>488</v>
      </c>
    </row>
    <row r="4557" spans="2:12" x14ac:dyDescent="0.2">
      <c r="B4557" s="62" t="s">
        <v>1173</v>
      </c>
      <c r="C4557" s="61" t="s">
        <v>495</v>
      </c>
      <c r="D4557" s="60">
        <v>1.6118600000000001</v>
      </c>
      <c r="E4557" s="59">
        <v>4.0686600000000004</v>
      </c>
      <c r="F4557" s="59">
        <v>4.9817200000000001</v>
      </c>
      <c r="G4557" s="56">
        <v>659.49699999999996</v>
      </c>
      <c r="H4557" s="56">
        <v>409.154</v>
      </c>
      <c r="I4557" s="58">
        <v>0.288385</v>
      </c>
      <c r="J4557" s="57">
        <v>0.29425299999999999</v>
      </c>
      <c r="K4557" s="56"/>
      <c r="L4557" s="56" t="s">
        <v>488</v>
      </c>
    </row>
    <row r="4558" spans="2:12" x14ac:dyDescent="0.2">
      <c r="B4558" s="62" t="s">
        <v>1172</v>
      </c>
      <c r="C4558" s="61" t="s">
        <v>495</v>
      </c>
      <c r="D4558" s="60">
        <v>1.60991</v>
      </c>
      <c r="E4558" s="59">
        <v>4.0376899999999996</v>
      </c>
      <c r="F4558" s="59">
        <v>4.9866400000000004</v>
      </c>
      <c r="G4558" s="56">
        <v>640.47400000000005</v>
      </c>
      <c r="H4558" s="56">
        <v>397.83199999999999</v>
      </c>
      <c r="I4558" s="58">
        <v>0.28839700000000001</v>
      </c>
      <c r="J4558" s="57">
        <v>0.29456199999999999</v>
      </c>
      <c r="K4558" s="56"/>
      <c r="L4558" s="56" t="s">
        <v>488</v>
      </c>
    </row>
    <row r="4559" spans="2:12" x14ac:dyDescent="0.2">
      <c r="B4559" s="62" t="s">
        <v>1171</v>
      </c>
      <c r="C4559" s="61" t="s">
        <v>499</v>
      </c>
      <c r="D4559" s="60">
        <v>1.44712</v>
      </c>
      <c r="E4559" s="59">
        <v>5.5035699999999999</v>
      </c>
      <c r="F4559" s="59">
        <v>6.7427000000000001</v>
      </c>
      <c r="G4559" s="56">
        <v>1161.72</v>
      </c>
      <c r="H4559" s="56">
        <v>802.78700000000003</v>
      </c>
      <c r="I4559" s="58">
        <v>0.49350100000000002</v>
      </c>
      <c r="J4559" s="57">
        <v>0.36948399999999998</v>
      </c>
      <c r="K4559" s="56"/>
      <c r="L4559" s="56" t="s">
        <v>488</v>
      </c>
    </row>
    <row r="4560" spans="2:12" x14ac:dyDescent="0.2">
      <c r="B4560" s="62" t="s">
        <v>1170</v>
      </c>
      <c r="C4560" s="61" t="s">
        <v>502</v>
      </c>
      <c r="D4560" s="60">
        <v>2.6890900000000002</v>
      </c>
      <c r="E4560" s="59">
        <v>2.4130799999999999</v>
      </c>
      <c r="F4560" s="59">
        <v>2.8315100000000002</v>
      </c>
      <c r="G4560" s="56">
        <v>0</v>
      </c>
      <c r="H4560" s="56">
        <v>0</v>
      </c>
      <c r="I4560" s="58">
        <v>1.7842899999999998E-2</v>
      </c>
      <c r="J4560" s="57">
        <v>0.118215</v>
      </c>
      <c r="K4560" s="56"/>
      <c r="L4560" s="56" t="s">
        <v>488</v>
      </c>
    </row>
    <row r="4561" spans="2:12" x14ac:dyDescent="0.2">
      <c r="B4561" s="62" t="s">
        <v>1169</v>
      </c>
      <c r="C4561" s="61" t="s">
        <v>520</v>
      </c>
      <c r="D4561" s="60">
        <v>1.2054800000000001</v>
      </c>
      <c r="E4561" s="59">
        <v>4.8833099999999998</v>
      </c>
      <c r="F4561" s="59">
        <v>5.90123</v>
      </c>
      <c r="G4561" s="56">
        <v>377.90600000000001</v>
      </c>
      <c r="H4561" s="56">
        <v>313.49</v>
      </c>
      <c r="I4561" s="58">
        <v>0.200465</v>
      </c>
      <c r="J4561" s="57">
        <v>0.35679699999999998</v>
      </c>
      <c r="K4561" s="56"/>
      <c r="L4561" s="56" t="s">
        <v>492</v>
      </c>
    </row>
    <row r="4562" spans="2:12" x14ac:dyDescent="0.2">
      <c r="B4562" s="62" t="s">
        <v>1168</v>
      </c>
      <c r="C4562" s="61" t="s">
        <v>1167</v>
      </c>
      <c r="D4562" s="60">
        <v>1.17628</v>
      </c>
      <c r="E4562" s="59">
        <v>4.2297799999999999</v>
      </c>
      <c r="F4562" s="59">
        <v>5.5676500000000004</v>
      </c>
      <c r="G4562" s="56">
        <v>423.11099999999999</v>
      </c>
      <c r="H4562" s="56">
        <v>359.70299999999997</v>
      </c>
      <c r="I4562" s="58">
        <v>0.222498</v>
      </c>
      <c r="J4562" s="57">
        <v>0.37090000000000001</v>
      </c>
      <c r="K4562" s="56"/>
      <c r="L4562" s="56" t="s">
        <v>488</v>
      </c>
    </row>
    <row r="4563" spans="2:12" x14ac:dyDescent="0.2">
      <c r="B4563" s="62" t="s">
        <v>1166</v>
      </c>
      <c r="C4563" s="61" t="s">
        <v>625</v>
      </c>
      <c r="D4563" s="60">
        <v>2.10703</v>
      </c>
      <c r="E4563" s="59">
        <v>2.8705500000000002</v>
      </c>
      <c r="F4563" s="59">
        <v>4.98644</v>
      </c>
      <c r="G4563" s="56">
        <v>0</v>
      </c>
      <c r="H4563" s="56">
        <v>0</v>
      </c>
      <c r="I4563" s="58">
        <v>9.3414300000000006E-2</v>
      </c>
      <c r="J4563" s="57">
        <v>0.17608299999999999</v>
      </c>
      <c r="K4563" s="56"/>
      <c r="L4563" s="56" t="s">
        <v>492</v>
      </c>
    </row>
    <row r="4564" spans="2:12" x14ac:dyDescent="0.2">
      <c r="B4564" s="62" t="s">
        <v>1165</v>
      </c>
      <c r="C4564" s="61" t="s">
        <v>502</v>
      </c>
      <c r="D4564" s="60">
        <v>1.4502600000000001</v>
      </c>
      <c r="E4564" s="59">
        <v>3.90672</v>
      </c>
      <c r="F4564" s="59">
        <v>4.4523700000000002</v>
      </c>
      <c r="G4564" s="56">
        <v>371.18599999999998</v>
      </c>
      <c r="H4564" s="56">
        <v>255.94399999999999</v>
      </c>
      <c r="I4564" s="58">
        <v>0.29910100000000001</v>
      </c>
      <c r="J4564" s="57">
        <v>0.30385400000000001</v>
      </c>
      <c r="K4564" s="56"/>
      <c r="L4564" s="56" t="s">
        <v>488</v>
      </c>
    </row>
    <row r="4565" spans="2:12" x14ac:dyDescent="0.2">
      <c r="B4565" s="62" t="s">
        <v>1164</v>
      </c>
      <c r="C4565" s="61" t="s">
        <v>499</v>
      </c>
      <c r="D4565" s="60">
        <v>0.79412899999999997</v>
      </c>
      <c r="E4565" s="59">
        <v>6.13483</v>
      </c>
      <c r="F4565" s="59">
        <v>9.0916599999999992</v>
      </c>
      <c r="G4565" s="56">
        <v>2220.96</v>
      </c>
      <c r="H4565" s="56">
        <v>2796.73</v>
      </c>
      <c r="I4565" s="58">
        <v>0.69477199999999995</v>
      </c>
      <c r="J4565" s="57">
        <v>0.90577099999999999</v>
      </c>
      <c r="K4565" s="56"/>
      <c r="L4565" s="56" t="s">
        <v>488</v>
      </c>
    </row>
    <row r="4566" spans="2:12" x14ac:dyDescent="0.2">
      <c r="B4566" s="62" t="s">
        <v>1163</v>
      </c>
      <c r="C4566" s="61" t="s">
        <v>535</v>
      </c>
      <c r="D4566" s="60">
        <v>0.40810200000000002</v>
      </c>
      <c r="E4566" s="59">
        <v>7.54941</v>
      </c>
      <c r="F4566" s="59">
        <v>12.054500000000001</v>
      </c>
      <c r="G4566" s="56">
        <v>2788.37</v>
      </c>
      <c r="H4566" s="56">
        <v>6832.55</v>
      </c>
      <c r="I4566" s="58">
        <v>0.81322899999999998</v>
      </c>
      <c r="J4566" s="57">
        <v>2.0470299999999999</v>
      </c>
      <c r="K4566" s="56"/>
      <c r="L4566" s="56" t="s">
        <v>492</v>
      </c>
    </row>
    <row r="4567" spans="2:12" x14ac:dyDescent="0.2">
      <c r="B4567" s="62" t="s">
        <v>1162</v>
      </c>
      <c r="C4567" s="61" t="s">
        <v>510</v>
      </c>
      <c r="D4567" s="60">
        <v>1.3291900000000001</v>
      </c>
      <c r="E4567" s="59">
        <v>4.2950999999999997</v>
      </c>
      <c r="F4567" s="59">
        <v>6.69801</v>
      </c>
      <c r="G4567" s="56">
        <v>1365.37</v>
      </c>
      <c r="H4567" s="56">
        <v>1027.22</v>
      </c>
      <c r="I4567" s="58">
        <v>0.50612500000000005</v>
      </c>
      <c r="J4567" s="57">
        <v>0.41578999999999999</v>
      </c>
      <c r="K4567" s="56"/>
      <c r="L4567" s="56" t="s">
        <v>488</v>
      </c>
    </row>
    <row r="4568" spans="2:12" x14ac:dyDescent="0.2">
      <c r="B4568" s="62" t="s">
        <v>1161</v>
      </c>
      <c r="C4568" s="61" t="s">
        <v>510</v>
      </c>
      <c r="D4568" s="60">
        <v>1.17225</v>
      </c>
      <c r="E4568" s="59">
        <v>10.95276</v>
      </c>
      <c r="F4568" s="59">
        <v>11.53266</v>
      </c>
      <c r="G4568" s="56">
        <v>1428.95</v>
      </c>
      <c r="H4568" s="56">
        <v>1218.99</v>
      </c>
      <c r="I4568" s="58">
        <v>0.71108700000000002</v>
      </c>
      <c r="J4568" s="57">
        <v>0.544624</v>
      </c>
      <c r="K4568" s="56"/>
      <c r="L4568" s="56" t="s">
        <v>488</v>
      </c>
    </row>
    <row r="4569" spans="2:12" x14ac:dyDescent="0.2">
      <c r="B4569" s="62" t="s">
        <v>1160</v>
      </c>
      <c r="C4569" s="61" t="s">
        <v>499</v>
      </c>
      <c r="D4569" s="60">
        <v>1.29023</v>
      </c>
      <c r="E4569" s="59">
        <v>10.51458</v>
      </c>
      <c r="F4569" s="59">
        <v>11.38801</v>
      </c>
      <c r="G4569" s="56">
        <v>1447.42</v>
      </c>
      <c r="H4569" s="56">
        <v>1121.83</v>
      </c>
      <c r="I4569" s="58">
        <v>0.69068499999999999</v>
      </c>
      <c r="J4569" s="57">
        <v>0.49679000000000001</v>
      </c>
      <c r="K4569" s="56"/>
      <c r="L4569" s="56" t="s">
        <v>488</v>
      </c>
    </row>
    <row r="4570" spans="2:12" x14ac:dyDescent="0.2">
      <c r="B4570" s="62" t="s">
        <v>1159</v>
      </c>
      <c r="C4570" s="61" t="s">
        <v>499</v>
      </c>
      <c r="D4570" s="60">
        <v>1.21909</v>
      </c>
      <c r="E4570" s="59">
        <v>10.615500000000001</v>
      </c>
      <c r="F4570" s="59">
        <v>11.39724</v>
      </c>
      <c r="G4570" s="56">
        <v>1479.71</v>
      </c>
      <c r="H4570" s="56">
        <v>1204.8599999999999</v>
      </c>
      <c r="I4570" s="58">
        <v>0.72367000000000004</v>
      </c>
      <c r="J4570" s="57">
        <v>0.54046099999999997</v>
      </c>
      <c r="K4570" s="56"/>
      <c r="L4570" s="56" t="s">
        <v>488</v>
      </c>
    </row>
    <row r="4571" spans="2:12" x14ac:dyDescent="0.2">
      <c r="B4571" s="62" t="s">
        <v>1158</v>
      </c>
      <c r="C4571" s="61" t="s">
        <v>499</v>
      </c>
      <c r="D4571" s="60">
        <v>1.22811</v>
      </c>
      <c r="E4571" s="59">
        <v>11.041449999999999</v>
      </c>
      <c r="F4571" s="59">
        <v>11.822990000000001</v>
      </c>
      <c r="G4571" s="56">
        <v>1442.07</v>
      </c>
      <c r="H4571" s="56">
        <v>1182.9100000000001</v>
      </c>
      <c r="I4571" s="58">
        <v>0.70402100000000001</v>
      </c>
      <c r="J4571" s="57">
        <v>0.53780099999999997</v>
      </c>
      <c r="K4571" s="56"/>
      <c r="L4571" s="56" t="s">
        <v>488</v>
      </c>
    </row>
    <row r="4572" spans="2:12" x14ac:dyDescent="0.2">
      <c r="B4572" s="62" t="s">
        <v>1157</v>
      </c>
      <c r="C4572" s="61" t="s">
        <v>499</v>
      </c>
      <c r="D4572" s="60">
        <v>1.26386</v>
      </c>
      <c r="E4572" s="59">
        <v>10.760859999999999</v>
      </c>
      <c r="F4572" s="59">
        <v>11.560980000000001</v>
      </c>
      <c r="G4572" s="56">
        <v>1500.66</v>
      </c>
      <c r="H4572" s="56">
        <v>1199.53</v>
      </c>
      <c r="I4572" s="58">
        <v>0.73623099999999997</v>
      </c>
      <c r="J4572" s="57">
        <v>0.52086600000000005</v>
      </c>
      <c r="K4572" s="56"/>
      <c r="L4572" s="56" t="s">
        <v>488</v>
      </c>
    </row>
    <row r="4573" spans="2:12" x14ac:dyDescent="0.2">
      <c r="B4573" s="62" t="s">
        <v>1156</v>
      </c>
      <c r="C4573" s="61" t="s">
        <v>499</v>
      </c>
      <c r="D4573" s="60">
        <v>1.2510399999999999</v>
      </c>
      <c r="E4573" s="59">
        <v>10.81912</v>
      </c>
      <c r="F4573" s="59">
        <v>11.64593</v>
      </c>
      <c r="G4573" s="56">
        <v>1478.78</v>
      </c>
      <c r="H4573" s="56">
        <v>1210.6500000000001</v>
      </c>
      <c r="I4573" s="58">
        <v>0.73714500000000005</v>
      </c>
      <c r="J4573" s="57">
        <v>0.52749599999999996</v>
      </c>
      <c r="K4573" s="56"/>
      <c r="L4573" s="56" t="s">
        <v>488</v>
      </c>
    </row>
    <row r="4574" spans="2:12" x14ac:dyDescent="0.2">
      <c r="B4574" s="62" t="s">
        <v>1155</v>
      </c>
      <c r="C4574" s="61" t="s">
        <v>499</v>
      </c>
      <c r="D4574" s="60">
        <v>1.22146</v>
      </c>
      <c r="E4574" s="59">
        <v>10.79499</v>
      </c>
      <c r="F4574" s="59">
        <v>11.562329999999999</v>
      </c>
      <c r="G4574" s="56">
        <v>1464.93</v>
      </c>
      <c r="H4574" s="56">
        <v>1159.0999999999999</v>
      </c>
      <c r="I4574" s="58">
        <v>0.72614800000000002</v>
      </c>
      <c r="J4574" s="57">
        <v>0.54391400000000001</v>
      </c>
      <c r="K4574" s="56"/>
      <c r="L4574" s="56" t="s">
        <v>488</v>
      </c>
    </row>
    <row r="4575" spans="2:12" x14ac:dyDescent="0.2">
      <c r="B4575" s="62" t="s">
        <v>1154</v>
      </c>
      <c r="C4575" s="61" t="s">
        <v>499</v>
      </c>
      <c r="D4575" s="60">
        <v>1.2157800000000001</v>
      </c>
      <c r="E4575" s="59">
        <v>10.84815</v>
      </c>
      <c r="F4575" s="59">
        <v>11.68121</v>
      </c>
      <c r="G4575" s="56">
        <v>1476.66</v>
      </c>
      <c r="H4575" s="56">
        <v>1214.58</v>
      </c>
      <c r="I4575" s="58">
        <v>0.73336699999999999</v>
      </c>
      <c r="J4575" s="57">
        <v>0.54743399999999998</v>
      </c>
      <c r="K4575" s="56"/>
      <c r="L4575" s="56" t="s">
        <v>488</v>
      </c>
    </row>
    <row r="4576" spans="2:12" x14ac:dyDescent="0.2">
      <c r="B4576" s="62" t="s">
        <v>1153</v>
      </c>
      <c r="C4576" s="61" t="s">
        <v>1152</v>
      </c>
      <c r="D4576" s="60">
        <v>1.57483</v>
      </c>
      <c r="E4576" s="59">
        <v>2.5744799999999999</v>
      </c>
      <c r="F4576" s="59">
        <v>4.0120399999999998</v>
      </c>
      <c r="G4576" s="56">
        <v>0</v>
      </c>
      <c r="H4576" s="56">
        <v>0</v>
      </c>
      <c r="I4576" s="58">
        <v>0.12981000000000001</v>
      </c>
      <c r="J4576" s="57">
        <v>0.21162700000000001</v>
      </c>
      <c r="K4576" s="56"/>
      <c r="L4576" s="56" t="s">
        <v>492</v>
      </c>
    </row>
    <row r="4577" spans="2:12" x14ac:dyDescent="0.2">
      <c r="B4577" s="62" t="s">
        <v>1151</v>
      </c>
      <c r="C4577" s="61" t="s">
        <v>502</v>
      </c>
      <c r="D4577" s="60">
        <v>1.48404</v>
      </c>
      <c r="E4577" s="59">
        <v>3.4167100000000001</v>
      </c>
      <c r="F4577" s="59">
        <v>4.3340300000000003</v>
      </c>
      <c r="G4577" s="56">
        <v>0</v>
      </c>
      <c r="H4577" s="56">
        <v>0</v>
      </c>
      <c r="I4577" s="58">
        <v>0.17446600000000001</v>
      </c>
      <c r="J4577" s="57">
        <v>0.27807700000000002</v>
      </c>
      <c r="K4577" s="56"/>
      <c r="L4577" s="56" t="s">
        <v>488</v>
      </c>
    </row>
    <row r="4578" spans="2:12" x14ac:dyDescent="0.2">
      <c r="B4578" s="62" t="s">
        <v>1150</v>
      </c>
      <c r="C4578" s="61" t="s">
        <v>502</v>
      </c>
      <c r="D4578" s="60">
        <v>1.49194</v>
      </c>
      <c r="E4578" s="59">
        <v>3.5628299999999999</v>
      </c>
      <c r="F4578" s="59">
        <v>4.3706699999999996</v>
      </c>
      <c r="G4578" s="56">
        <v>0</v>
      </c>
      <c r="H4578" s="56">
        <v>0</v>
      </c>
      <c r="I4578" s="58">
        <v>0.164245</v>
      </c>
      <c r="J4578" s="57">
        <v>0.27313100000000001</v>
      </c>
      <c r="K4578" s="56"/>
      <c r="L4578" s="56" t="s">
        <v>488</v>
      </c>
    </row>
    <row r="4579" spans="2:12" x14ac:dyDescent="0.2">
      <c r="B4579" s="62" t="s">
        <v>1149</v>
      </c>
      <c r="C4579" s="61" t="s">
        <v>502</v>
      </c>
      <c r="D4579" s="60">
        <v>1.36819</v>
      </c>
      <c r="E4579" s="59">
        <v>5.5048199999999996</v>
      </c>
      <c r="F4579" s="59">
        <v>5.8096300000000003</v>
      </c>
      <c r="G4579" s="56">
        <v>780.60599999999999</v>
      </c>
      <c r="H4579" s="56">
        <v>570.54100000000005</v>
      </c>
      <c r="I4579" s="58">
        <v>0.32026300000000002</v>
      </c>
      <c r="J4579" s="57">
        <v>0.33438299999999999</v>
      </c>
      <c r="K4579" s="56"/>
      <c r="L4579" s="56" t="s">
        <v>488</v>
      </c>
    </row>
    <row r="4580" spans="2:12" x14ac:dyDescent="0.2">
      <c r="B4580" s="62" t="s">
        <v>1148</v>
      </c>
      <c r="C4580" s="61" t="s">
        <v>510</v>
      </c>
      <c r="D4580" s="60">
        <v>1.50844</v>
      </c>
      <c r="E4580" s="59">
        <v>3.6991800000000001</v>
      </c>
      <c r="F4580" s="59">
        <v>4.4222099999999998</v>
      </c>
      <c r="G4580" s="56">
        <v>0</v>
      </c>
      <c r="H4580" s="56">
        <v>0</v>
      </c>
      <c r="I4580" s="58">
        <v>0.29777399999999998</v>
      </c>
      <c r="J4580" s="57">
        <v>0.27269199999999999</v>
      </c>
      <c r="K4580" s="56"/>
      <c r="L4580" s="56" t="s">
        <v>488</v>
      </c>
    </row>
    <row r="4581" spans="2:12" x14ac:dyDescent="0.2">
      <c r="B4581" s="62" t="s">
        <v>1147</v>
      </c>
      <c r="C4581" s="61" t="s">
        <v>499</v>
      </c>
      <c r="D4581" s="60">
        <v>1.24204</v>
      </c>
      <c r="E4581" s="59">
        <v>2.98597</v>
      </c>
      <c r="F4581" s="59">
        <v>4.9870599999999996</v>
      </c>
      <c r="G4581" s="56">
        <v>0</v>
      </c>
      <c r="H4581" s="56">
        <v>0</v>
      </c>
      <c r="I4581" s="58">
        <v>0.403505</v>
      </c>
      <c r="J4581" s="57">
        <v>0.40201500000000001</v>
      </c>
      <c r="K4581" s="56"/>
      <c r="L4581" s="56" t="s">
        <v>488</v>
      </c>
    </row>
    <row r="4582" spans="2:12" x14ac:dyDescent="0.2">
      <c r="B4582" s="62" t="s">
        <v>1146</v>
      </c>
      <c r="C4582" s="61" t="s">
        <v>798</v>
      </c>
      <c r="D4582" s="60">
        <v>1.33226</v>
      </c>
      <c r="E4582" s="59">
        <v>2.4540899999999999</v>
      </c>
      <c r="F4582" s="59">
        <v>3.5049999999999999</v>
      </c>
      <c r="G4582" s="56">
        <v>0</v>
      </c>
      <c r="H4582" s="56">
        <v>0</v>
      </c>
      <c r="I4582" s="58">
        <v>0.242837</v>
      </c>
      <c r="J4582" s="57">
        <v>0.36073300000000003</v>
      </c>
      <c r="K4582" s="56"/>
      <c r="L4582" s="56" t="s">
        <v>488</v>
      </c>
    </row>
    <row r="4583" spans="2:12" x14ac:dyDescent="0.2">
      <c r="B4583" s="62" t="s">
        <v>1145</v>
      </c>
      <c r="C4583" s="61" t="s">
        <v>502</v>
      </c>
      <c r="D4583" s="60">
        <v>1.49576</v>
      </c>
      <c r="E4583" s="59">
        <v>3.4159899999999999</v>
      </c>
      <c r="F4583" s="59">
        <v>4.3377299999999996</v>
      </c>
      <c r="G4583" s="56">
        <v>0</v>
      </c>
      <c r="H4583" s="56">
        <v>0</v>
      </c>
      <c r="I4583" s="58">
        <v>0.16526099999999999</v>
      </c>
      <c r="J4583" s="57">
        <v>0.27139799999999997</v>
      </c>
      <c r="K4583" s="56"/>
      <c r="L4583" s="56" t="s">
        <v>488</v>
      </c>
    </row>
    <row r="4584" spans="2:12" x14ac:dyDescent="0.2">
      <c r="B4584" s="62" t="s">
        <v>1144</v>
      </c>
      <c r="C4584" s="61" t="s">
        <v>502</v>
      </c>
      <c r="D4584" s="60">
        <v>1.3554600000000001</v>
      </c>
      <c r="E4584" s="59">
        <v>5.4941000000000004</v>
      </c>
      <c r="F4584" s="59">
        <v>5.7894100000000002</v>
      </c>
      <c r="G4584" s="56">
        <v>798.98299999999995</v>
      </c>
      <c r="H4584" s="56">
        <v>589.45600000000002</v>
      </c>
      <c r="I4584" s="58">
        <v>0.31990000000000002</v>
      </c>
      <c r="J4584" s="57">
        <v>0.34092600000000001</v>
      </c>
      <c r="K4584" s="56"/>
      <c r="L4584" s="56" t="s">
        <v>488</v>
      </c>
    </row>
    <row r="4585" spans="2:12" x14ac:dyDescent="0.2">
      <c r="B4585" s="62" t="s">
        <v>1143</v>
      </c>
      <c r="C4585" s="61" t="s">
        <v>550</v>
      </c>
      <c r="D4585" s="60">
        <v>1.4289799999999999</v>
      </c>
      <c r="E4585" s="59">
        <v>4.4433100000000003</v>
      </c>
      <c r="F4585" s="59">
        <v>5.7241900000000001</v>
      </c>
      <c r="G4585" s="56">
        <v>1959.3</v>
      </c>
      <c r="H4585" s="56">
        <v>1371.12</v>
      </c>
      <c r="I4585" s="58">
        <v>0.65685899999999997</v>
      </c>
      <c r="J4585" s="57">
        <v>0.48959999999999998</v>
      </c>
      <c r="K4585" s="56"/>
      <c r="L4585" s="56" t="s">
        <v>488</v>
      </c>
    </row>
    <row r="4586" spans="2:12" x14ac:dyDescent="0.2">
      <c r="B4586" s="62" t="s">
        <v>1142</v>
      </c>
      <c r="C4586" s="61" t="s">
        <v>1141</v>
      </c>
      <c r="D4586" s="60">
        <v>1.4520200000000001</v>
      </c>
      <c r="E4586" s="59">
        <v>4.01614</v>
      </c>
      <c r="F4586" s="59">
        <v>4.8577599999999999</v>
      </c>
      <c r="G4586" s="56">
        <v>181.64099999999999</v>
      </c>
      <c r="H4586" s="56">
        <v>125.096</v>
      </c>
      <c r="I4586" s="58">
        <v>0.127225</v>
      </c>
      <c r="J4586" s="57">
        <v>0.255884</v>
      </c>
      <c r="K4586" s="56"/>
      <c r="L4586" s="56" t="s">
        <v>488</v>
      </c>
    </row>
    <row r="4587" spans="2:12" x14ac:dyDescent="0.2">
      <c r="B4587" s="62" t="s">
        <v>1140</v>
      </c>
      <c r="C4587" s="61" t="s">
        <v>1139</v>
      </c>
      <c r="D4587" s="60">
        <v>1.44804</v>
      </c>
      <c r="E4587" s="59">
        <v>4.0354900000000002</v>
      </c>
      <c r="F4587" s="59">
        <v>4.7646699999999997</v>
      </c>
      <c r="G4587" s="56">
        <v>203.529</v>
      </c>
      <c r="H4587" s="56">
        <v>140.55500000000001</v>
      </c>
      <c r="I4587" s="58">
        <v>0.13449700000000001</v>
      </c>
      <c r="J4587" s="57">
        <v>0.24954200000000001</v>
      </c>
      <c r="K4587" s="56"/>
      <c r="L4587" s="56" t="s">
        <v>488</v>
      </c>
    </row>
    <row r="4588" spans="2:12" x14ac:dyDescent="0.2">
      <c r="B4588" s="62" t="s">
        <v>1138</v>
      </c>
      <c r="C4588" s="61" t="s">
        <v>859</v>
      </c>
      <c r="D4588" s="60">
        <v>1.93313</v>
      </c>
      <c r="E4588" s="59">
        <v>3.21211</v>
      </c>
      <c r="F4588" s="59">
        <v>5.5795300000000001</v>
      </c>
      <c r="G4588" s="56">
        <v>0</v>
      </c>
      <c r="H4588" s="56">
        <v>0</v>
      </c>
      <c r="I4588" s="58">
        <v>0.372838</v>
      </c>
      <c r="J4588" s="57">
        <v>0.23779800000000001</v>
      </c>
      <c r="K4588" s="56"/>
      <c r="L4588" s="56" t="s">
        <v>488</v>
      </c>
    </row>
    <row r="4589" spans="2:12" x14ac:dyDescent="0.2">
      <c r="B4589" s="62" t="s">
        <v>1137</v>
      </c>
      <c r="C4589" s="61" t="s">
        <v>859</v>
      </c>
      <c r="D4589" s="60">
        <v>1.90493</v>
      </c>
      <c r="E4589" s="59">
        <v>3.1608999999999998</v>
      </c>
      <c r="F4589" s="59">
        <v>5.0247099999999998</v>
      </c>
      <c r="G4589" s="56">
        <v>0</v>
      </c>
      <c r="H4589" s="56">
        <v>0</v>
      </c>
      <c r="I4589" s="58">
        <v>0.41111799999999998</v>
      </c>
      <c r="J4589" s="57">
        <v>0.24640300000000001</v>
      </c>
      <c r="K4589" s="56"/>
      <c r="L4589" s="56" t="s">
        <v>730</v>
      </c>
    </row>
    <row r="4590" spans="2:12" x14ac:dyDescent="0.2">
      <c r="B4590" s="62" t="s">
        <v>1136</v>
      </c>
      <c r="C4590" s="61" t="s">
        <v>548</v>
      </c>
      <c r="D4590" s="60">
        <v>1.16079</v>
      </c>
      <c r="E4590" s="59">
        <v>6.4342100000000002</v>
      </c>
      <c r="F4590" s="59">
        <v>7.8092800000000002</v>
      </c>
      <c r="G4590" s="56">
        <v>778.48299999999995</v>
      </c>
      <c r="H4590" s="56">
        <v>670.64800000000002</v>
      </c>
      <c r="I4590" s="58">
        <v>0.51224000000000003</v>
      </c>
      <c r="J4590" s="57">
        <v>0.433367</v>
      </c>
      <c r="K4590" s="56"/>
      <c r="L4590" s="56" t="s">
        <v>488</v>
      </c>
    </row>
    <row r="4591" spans="2:12" x14ac:dyDescent="0.2">
      <c r="B4591" s="62" t="s">
        <v>1135</v>
      </c>
      <c r="C4591" s="61" t="s">
        <v>625</v>
      </c>
      <c r="D4591" s="60">
        <v>1.2513099999999999</v>
      </c>
      <c r="E4591" s="59">
        <v>3.7803</v>
      </c>
      <c r="F4591" s="59">
        <v>5.4525300000000003</v>
      </c>
      <c r="G4591" s="56">
        <v>1101.96</v>
      </c>
      <c r="H4591" s="56">
        <v>880.64200000000005</v>
      </c>
      <c r="I4591" s="58">
        <v>0.51075199999999998</v>
      </c>
      <c r="J4591" s="57">
        <v>0.45694600000000002</v>
      </c>
      <c r="K4591" s="56"/>
      <c r="L4591" s="56" t="s">
        <v>488</v>
      </c>
    </row>
    <row r="4592" spans="2:12" x14ac:dyDescent="0.2">
      <c r="B4592" s="62" t="s">
        <v>1134</v>
      </c>
      <c r="C4592" s="61" t="s">
        <v>495</v>
      </c>
      <c r="D4592" s="60">
        <v>0.62471699999999997</v>
      </c>
      <c r="E4592" s="59">
        <v>5.8874000000000004</v>
      </c>
      <c r="F4592" s="59">
        <v>9.9225600000000007</v>
      </c>
      <c r="G4592" s="56">
        <v>2302.09</v>
      </c>
      <c r="H4592" s="56">
        <v>3685.02</v>
      </c>
      <c r="I4592" s="58">
        <v>0.79237199999999997</v>
      </c>
      <c r="J4592" s="57">
        <v>1.1839</v>
      </c>
      <c r="K4592" s="56"/>
      <c r="L4592" s="56" t="s">
        <v>488</v>
      </c>
    </row>
    <row r="4593" spans="2:12" x14ac:dyDescent="0.2">
      <c r="B4593" s="62" t="s">
        <v>1133</v>
      </c>
      <c r="C4593" s="61" t="s">
        <v>502</v>
      </c>
      <c r="D4593" s="60">
        <v>0.92857299999999998</v>
      </c>
      <c r="E4593" s="59">
        <v>6.52149</v>
      </c>
      <c r="F4593" s="59">
        <v>11.036429999999999</v>
      </c>
      <c r="G4593" s="56">
        <v>1945.94</v>
      </c>
      <c r="H4593" s="56">
        <v>2095.63</v>
      </c>
      <c r="I4593" s="58">
        <v>0.75086699999999995</v>
      </c>
      <c r="J4593" s="57">
        <v>0.76843899999999998</v>
      </c>
      <c r="K4593" s="56"/>
      <c r="L4593" s="56" t="s">
        <v>488</v>
      </c>
    </row>
    <row r="4594" spans="2:12" x14ac:dyDescent="0.2">
      <c r="B4594" s="62" t="s">
        <v>1132</v>
      </c>
      <c r="C4594" s="61" t="s">
        <v>495</v>
      </c>
      <c r="D4594" s="60">
        <v>1.2654399999999999</v>
      </c>
      <c r="E4594" s="59">
        <v>7.4468199999999998</v>
      </c>
      <c r="F4594" s="59">
        <v>7.5719700000000003</v>
      </c>
      <c r="G4594" s="56">
        <v>1085.49</v>
      </c>
      <c r="H4594" s="56">
        <v>857.798</v>
      </c>
      <c r="I4594" s="58">
        <v>0.43930399999999997</v>
      </c>
      <c r="J4594" s="57">
        <v>0.43510100000000002</v>
      </c>
      <c r="K4594" s="56"/>
      <c r="L4594" s="56" t="s">
        <v>492</v>
      </c>
    </row>
    <row r="4595" spans="2:12" x14ac:dyDescent="0.2">
      <c r="B4595" s="62" t="s">
        <v>1131</v>
      </c>
      <c r="C4595" s="61" t="s">
        <v>940</v>
      </c>
      <c r="D4595" s="60">
        <v>2.1555599999999999</v>
      </c>
      <c r="E4595" s="59">
        <v>3.2936999999999999</v>
      </c>
      <c r="F4595" s="59">
        <v>3.7088999999999999</v>
      </c>
      <c r="G4595" s="56">
        <v>0</v>
      </c>
      <c r="H4595" s="56">
        <v>0</v>
      </c>
      <c r="I4595" s="58">
        <v>0.12908500000000001</v>
      </c>
      <c r="J4595" s="57">
        <v>0.16720699999999999</v>
      </c>
      <c r="K4595" s="56"/>
      <c r="L4595" s="56" t="s">
        <v>488</v>
      </c>
    </row>
    <row r="4596" spans="2:12" x14ac:dyDescent="0.2">
      <c r="B4596" s="62" t="s">
        <v>1130</v>
      </c>
      <c r="C4596" s="61" t="s">
        <v>553</v>
      </c>
      <c r="D4596" s="60">
        <v>0.652092</v>
      </c>
      <c r="E4596" s="59">
        <v>10.331950000000001</v>
      </c>
      <c r="F4596" s="59">
        <v>11.00202</v>
      </c>
      <c r="G4596" s="56">
        <v>1792.8</v>
      </c>
      <c r="H4596" s="56">
        <v>2749.3</v>
      </c>
      <c r="I4596" s="58">
        <v>0.72603499999999999</v>
      </c>
      <c r="J4596" s="57">
        <v>1.11924</v>
      </c>
      <c r="K4596" s="56"/>
      <c r="L4596" s="56" t="s">
        <v>488</v>
      </c>
    </row>
    <row r="4597" spans="2:12" x14ac:dyDescent="0.2">
      <c r="B4597" s="62" t="s">
        <v>1129</v>
      </c>
      <c r="C4597" s="61" t="s">
        <v>553</v>
      </c>
      <c r="D4597" s="60">
        <v>0.60775000000000001</v>
      </c>
      <c r="E4597" s="59">
        <v>9.8127899999999997</v>
      </c>
      <c r="F4597" s="59">
        <v>11.45781</v>
      </c>
      <c r="G4597" s="56">
        <v>1954.26</v>
      </c>
      <c r="H4597" s="56">
        <v>3215.57</v>
      </c>
      <c r="I4597" s="58">
        <v>0.76645200000000002</v>
      </c>
      <c r="J4597" s="57">
        <v>1.2159899999999999</v>
      </c>
      <c r="K4597" s="56"/>
      <c r="L4597" s="56" t="s">
        <v>488</v>
      </c>
    </row>
    <row r="4598" spans="2:12" x14ac:dyDescent="0.2">
      <c r="B4598" s="62" t="s">
        <v>1128</v>
      </c>
      <c r="C4598" s="61" t="s">
        <v>495</v>
      </c>
      <c r="D4598" s="60">
        <v>1.2098100000000001</v>
      </c>
      <c r="E4598" s="59">
        <v>4.0365799999999998</v>
      </c>
      <c r="F4598" s="59">
        <v>5.4802799999999996</v>
      </c>
      <c r="G4598" s="56">
        <v>303.85399999999998</v>
      </c>
      <c r="H4598" s="56">
        <v>251.15799999999999</v>
      </c>
      <c r="I4598" s="58">
        <v>0.18616099999999999</v>
      </c>
      <c r="J4598" s="57">
        <v>0.36286600000000002</v>
      </c>
      <c r="K4598" s="56"/>
      <c r="L4598" s="56" t="s">
        <v>488</v>
      </c>
    </row>
    <row r="4599" spans="2:12" x14ac:dyDescent="0.2">
      <c r="B4599" s="62" t="s">
        <v>1127</v>
      </c>
      <c r="C4599" s="61" t="s">
        <v>1126</v>
      </c>
      <c r="D4599" s="60">
        <v>2.1223000000000001</v>
      </c>
      <c r="E4599" s="59">
        <v>4.0859800000000002</v>
      </c>
      <c r="F4599" s="59">
        <v>5.2508499999999998</v>
      </c>
      <c r="G4599" s="56">
        <v>620.11699999999996</v>
      </c>
      <c r="H4599" s="56">
        <v>292.19200000000001</v>
      </c>
      <c r="I4599" s="58">
        <v>0.26611899999999999</v>
      </c>
      <c r="J4599" s="57">
        <v>0.20907200000000001</v>
      </c>
      <c r="K4599" s="56"/>
      <c r="L4599" s="56" t="s">
        <v>488</v>
      </c>
    </row>
    <row r="4600" spans="2:12" x14ac:dyDescent="0.2">
      <c r="B4600" s="62" t="s">
        <v>1125</v>
      </c>
      <c r="C4600" s="61" t="s">
        <v>537</v>
      </c>
      <c r="D4600" s="60">
        <v>1.5422800000000001</v>
      </c>
      <c r="E4600" s="59">
        <v>4.4478099999999996</v>
      </c>
      <c r="F4600" s="59">
        <v>6.8680700000000003</v>
      </c>
      <c r="G4600" s="56">
        <v>1427.67</v>
      </c>
      <c r="H4600" s="56">
        <v>925.69299999999998</v>
      </c>
      <c r="I4600" s="58">
        <v>0.422209</v>
      </c>
      <c r="J4600" s="57">
        <v>0.39068399999999998</v>
      </c>
      <c r="K4600" s="56"/>
      <c r="L4600" s="56" t="s">
        <v>492</v>
      </c>
    </row>
    <row r="4601" spans="2:12" x14ac:dyDescent="0.2">
      <c r="B4601" s="62" t="s">
        <v>1124</v>
      </c>
      <c r="C4601" s="61" t="s">
        <v>548</v>
      </c>
      <c r="D4601" s="60">
        <v>1.88819</v>
      </c>
      <c r="E4601" s="59">
        <v>2.46576</v>
      </c>
      <c r="F4601" s="59">
        <v>3.7127500000000002</v>
      </c>
      <c r="G4601" s="56">
        <v>0</v>
      </c>
      <c r="H4601" s="56">
        <v>0</v>
      </c>
      <c r="I4601" s="58">
        <v>0.24069399999999999</v>
      </c>
      <c r="J4601" s="57">
        <v>0.199103</v>
      </c>
      <c r="K4601" s="56"/>
      <c r="L4601" s="56" t="s">
        <v>488</v>
      </c>
    </row>
    <row r="4602" spans="2:12" x14ac:dyDescent="0.2">
      <c r="B4602" s="62" t="s">
        <v>1123</v>
      </c>
      <c r="C4602" s="61" t="s">
        <v>1120</v>
      </c>
      <c r="D4602" s="60">
        <v>2.1711800000000001</v>
      </c>
      <c r="E4602" s="59">
        <v>2.6555599999999999</v>
      </c>
      <c r="F4602" s="59">
        <v>4.10947</v>
      </c>
      <c r="G4602" s="56">
        <v>0</v>
      </c>
      <c r="H4602" s="56">
        <v>0</v>
      </c>
      <c r="I4602" s="58">
        <v>9.9186300000000005E-2</v>
      </c>
      <c r="J4602" s="57">
        <v>0.14530599999999999</v>
      </c>
      <c r="K4602" s="56"/>
      <c r="L4602" s="56" t="s">
        <v>488</v>
      </c>
    </row>
    <row r="4603" spans="2:12" x14ac:dyDescent="0.2">
      <c r="B4603" s="62" t="s">
        <v>1122</v>
      </c>
      <c r="C4603" s="61" t="s">
        <v>871</v>
      </c>
      <c r="D4603" s="60">
        <v>2.2067299999999999</v>
      </c>
      <c r="E4603" s="59">
        <v>2.5984500000000001</v>
      </c>
      <c r="F4603" s="59">
        <v>4.0717299999999996</v>
      </c>
      <c r="G4603" s="56">
        <v>0</v>
      </c>
      <c r="H4603" s="56">
        <v>0</v>
      </c>
      <c r="I4603" s="58">
        <v>9.9642700000000001E-2</v>
      </c>
      <c r="J4603" s="57">
        <v>0.14412800000000001</v>
      </c>
      <c r="K4603" s="56"/>
      <c r="L4603" s="56" t="s">
        <v>488</v>
      </c>
    </row>
    <row r="4604" spans="2:12" x14ac:dyDescent="0.2">
      <c r="B4604" s="62" t="s">
        <v>1121</v>
      </c>
      <c r="C4604" s="61" t="s">
        <v>1120</v>
      </c>
      <c r="D4604" s="60">
        <v>2.1292499999999999</v>
      </c>
      <c r="E4604" s="59">
        <v>2.4746999999999999</v>
      </c>
      <c r="F4604" s="59">
        <v>3.95181</v>
      </c>
      <c r="G4604" s="56">
        <v>0</v>
      </c>
      <c r="H4604" s="56">
        <v>0</v>
      </c>
      <c r="I4604" s="58">
        <v>7.9074599999999995E-2</v>
      </c>
      <c r="J4604" s="57">
        <v>0.150092</v>
      </c>
      <c r="K4604" s="56"/>
      <c r="L4604" s="56" t="s">
        <v>492</v>
      </c>
    </row>
    <row r="4605" spans="2:12" x14ac:dyDescent="0.2">
      <c r="B4605" s="62" t="s">
        <v>1119</v>
      </c>
      <c r="C4605" s="61" t="s">
        <v>550</v>
      </c>
      <c r="D4605" s="60">
        <v>1.5997600000000001</v>
      </c>
      <c r="E4605" s="59">
        <v>3.6955399999999998</v>
      </c>
      <c r="F4605" s="59">
        <v>7.6438499999999996</v>
      </c>
      <c r="G4605" s="56">
        <v>0</v>
      </c>
      <c r="H4605" s="56">
        <v>0</v>
      </c>
      <c r="I4605" s="58">
        <v>0.31630599999999998</v>
      </c>
      <c r="J4605" s="57">
        <v>0.31913799999999998</v>
      </c>
      <c r="K4605" s="56"/>
      <c r="L4605" s="56" t="s">
        <v>492</v>
      </c>
    </row>
    <row r="4606" spans="2:12" x14ac:dyDescent="0.2">
      <c r="B4606" s="62" t="s">
        <v>1118</v>
      </c>
      <c r="C4606" s="61" t="s">
        <v>612</v>
      </c>
      <c r="D4606" s="60">
        <v>1.71018</v>
      </c>
      <c r="E4606" s="59">
        <v>3.8130099999999998</v>
      </c>
      <c r="F4606" s="59">
        <v>4.3172300000000003</v>
      </c>
      <c r="G4606" s="56">
        <v>231.35400000000001</v>
      </c>
      <c r="H4606" s="56">
        <v>135.28</v>
      </c>
      <c r="I4606" s="58">
        <v>0.28116000000000002</v>
      </c>
      <c r="J4606" s="57">
        <v>0.22420499999999999</v>
      </c>
      <c r="K4606" s="56"/>
      <c r="L4606" s="56" t="s">
        <v>488</v>
      </c>
    </row>
    <row r="4607" spans="2:12" x14ac:dyDescent="0.2">
      <c r="B4607" s="62" t="s">
        <v>1117</v>
      </c>
      <c r="C4607" s="61" t="s">
        <v>510</v>
      </c>
      <c r="D4607" s="60">
        <v>1.4106799999999999</v>
      </c>
      <c r="E4607" s="59">
        <v>2.4059900000000001</v>
      </c>
      <c r="F4607" s="59">
        <v>3.1246700000000001</v>
      </c>
      <c r="G4607" s="56">
        <v>0</v>
      </c>
      <c r="H4607" s="56">
        <v>0</v>
      </c>
      <c r="I4607" s="58">
        <v>6.9913000000000003E-2</v>
      </c>
      <c r="J4607" s="57">
        <v>0.28083000000000002</v>
      </c>
      <c r="K4607" s="56"/>
      <c r="L4607" s="56" t="s">
        <v>488</v>
      </c>
    </row>
    <row r="4608" spans="2:12" x14ac:dyDescent="0.2">
      <c r="B4608" s="62" t="s">
        <v>1116</v>
      </c>
      <c r="C4608" s="61" t="s">
        <v>798</v>
      </c>
      <c r="D4608" s="60">
        <v>0.74091399999999996</v>
      </c>
      <c r="E4608" s="59">
        <v>7.5357700000000003</v>
      </c>
      <c r="F4608" s="59">
        <v>10.93441</v>
      </c>
      <c r="G4608" s="56">
        <v>1968.71</v>
      </c>
      <c r="H4608" s="56">
        <v>2657.13</v>
      </c>
      <c r="I4608" s="58">
        <v>0.71475599999999995</v>
      </c>
      <c r="J4608" s="57">
        <v>0.91778499999999996</v>
      </c>
      <c r="K4608" s="56"/>
      <c r="L4608" s="56" t="s">
        <v>488</v>
      </c>
    </row>
    <row r="4609" spans="2:12" x14ac:dyDescent="0.2">
      <c r="B4609" s="62" t="s">
        <v>1115</v>
      </c>
      <c r="C4609" s="61" t="s">
        <v>550</v>
      </c>
      <c r="D4609" s="60">
        <v>1.20953</v>
      </c>
      <c r="E4609" s="59">
        <v>4.25936</v>
      </c>
      <c r="F4609" s="59">
        <v>5.00556</v>
      </c>
      <c r="G4609" s="56">
        <v>524.53899999999999</v>
      </c>
      <c r="H4609" s="56">
        <v>433.85199999999998</v>
      </c>
      <c r="I4609" s="58">
        <v>0.38479799999999997</v>
      </c>
      <c r="J4609" s="57">
        <v>0.39879399999999998</v>
      </c>
      <c r="K4609" s="56"/>
      <c r="L4609" s="56" t="s">
        <v>492</v>
      </c>
    </row>
    <row r="4610" spans="2:12" x14ac:dyDescent="0.2">
      <c r="B4610" s="62" t="s">
        <v>1114</v>
      </c>
      <c r="C4610" s="61" t="s">
        <v>550</v>
      </c>
      <c r="D4610" s="60">
        <v>1.20903</v>
      </c>
      <c r="E4610" s="59">
        <v>4.0294999999999996</v>
      </c>
      <c r="F4610" s="59">
        <v>4.9390400000000003</v>
      </c>
      <c r="G4610" s="56">
        <v>496.77199999999999</v>
      </c>
      <c r="H4610" s="56">
        <v>405.31700000000001</v>
      </c>
      <c r="I4610" s="58">
        <v>0.385878</v>
      </c>
      <c r="J4610" s="57">
        <v>0.39901399999999998</v>
      </c>
      <c r="K4610" s="56"/>
      <c r="L4610" s="56" t="s">
        <v>492</v>
      </c>
    </row>
    <row r="4611" spans="2:12" x14ac:dyDescent="0.2">
      <c r="B4611" s="62" t="s">
        <v>1113</v>
      </c>
      <c r="C4611" s="61" t="s">
        <v>550</v>
      </c>
      <c r="D4611" s="60">
        <v>1.2256400000000001</v>
      </c>
      <c r="E4611" s="59">
        <v>4.2579000000000002</v>
      </c>
      <c r="F4611" s="59">
        <v>5.0115999999999996</v>
      </c>
      <c r="G4611" s="56">
        <v>528.19500000000005</v>
      </c>
      <c r="H4611" s="56">
        <v>436.69499999999999</v>
      </c>
      <c r="I4611" s="58">
        <v>0.35524800000000001</v>
      </c>
      <c r="J4611" s="57">
        <v>0.38646900000000001</v>
      </c>
      <c r="K4611" s="56"/>
      <c r="L4611" s="56" t="s">
        <v>492</v>
      </c>
    </row>
    <row r="4612" spans="2:12" x14ac:dyDescent="0.2">
      <c r="B4612" s="62" t="s">
        <v>1112</v>
      </c>
      <c r="C4612" s="61" t="s">
        <v>550</v>
      </c>
      <c r="D4612" s="60">
        <v>1.3323199999999999</v>
      </c>
      <c r="E4612" s="59">
        <v>4.1567699999999999</v>
      </c>
      <c r="F4612" s="59">
        <v>5.1625500000000004</v>
      </c>
      <c r="G4612" s="56">
        <v>565.32399999999996</v>
      </c>
      <c r="H4612" s="56">
        <v>469.86399999999998</v>
      </c>
      <c r="I4612" s="58">
        <v>0.30697099999999999</v>
      </c>
      <c r="J4612" s="57">
        <v>0.32948899999999998</v>
      </c>
      <c r="K4612" s="56"/>
      <c r="L4612" s="56" t="s">
        <v>492</v>
      </c>
    </row>
    <row r="4613" spans="2:12" x14ac:dyDescent="0.2">
      <c r="B4613" s="62" t="s">
        <v>1111</v>
      </c>
      <c r="C4613" s="61" t="s">
        <v>550</v>
      </c>
      <c r="D4613" s="60">
        <v>1.2031700000000001</v>
      </c>
      <c r="E4613" s="59">
        <v>4.1353600000000004</v>
      </c>
      <c r="F4613" s="59">
        <v>5.09877</v>
      </c>
      <c r="G4613" s="56">
        <v>610.79600000000005</v>
      </c>
      <c r="H4613" s="56">
        <v>505.50400000000002</v>
      </c>
      <c r="I4613" s="58">
        <v>0.38306200000000001</v>
      </c>
      <c r="J4613" s="57">
        <v>0.40326400000000001</v>
      </c>
      <c r="K4613" s="56"/>
      <c r="L4613" s="56" t="s">
        <v>492</v>
      </c>
    </row>
    <row r="4614" spans="2:12" x14ac:dyDescent="0.2">
      <c r="B4614" s="62" t="s">
        <v>1110</v>
      </c>
      <c r="C4614" s="61" t="s">
        <v>550</v>
      </c>
      <c r="D4614" s="60">
        <v>1.2082900000000001</v>
      </c>
      <c r="E4614" s="59">
        <v>4.1152899999999999</v>
      </c>
      <c r="F4614" s="59">
        <v>5.1219400000000004</v>
      </c>
      <c r="G4614" s="56">
        <v>535.97900000000004</v>
      </c>
      <c r="H4614" s="56">
        <v>402.28899999999999</v>
      </c>
      <c r="I4614" s="58">
        <v>0.38033699999999998</v>
      </c>
      <c r="J4614" s="57">
        <v>0.39888200000000001</v>
      </c>
      <c r="K4614" s="56"/>
      <c r="L4614" s="56" t="s">
        <v>492</v>
      </c>
    </row>
    <row r="4615" spans="2:12" x14ac:dyDescent="0.2">
      <c r="B4615" s="62" t="s">
        <v>1109</v>
      </c>
      <c r="C4615" s="61" t="s">
        <v>550</v>
      </c>
      <c r="D4615" s="60">
        <v>1.2088000000000001</v>
      </c>
      <c r="E4615" s="59">
        <v>4.1171699999999998</v>
      </c>
      <c r="F4615" s="59">
        <v>5.0855899999999998</v>
      </c>
      <c r="G4615" s="56">
        <v>484.95800000000003</v>
      </c>
      <c r="H4615" s="56">
        <v>401.18900000000002</v>
      </c>
      <c r="I4615" s="58">
        <v>0.35575600000000002</v>
      </c>
      <c r="J4615" s="57">
        <v>0.39885199999999998</v>
      </c>
      <c r="K4615" s="56"/>
      <c r="L4615" s="56" t="s">
        <v>492</v>
      </c>
    </row>
    <row r="4616" spans="2:12" x14ac:dyDescent="0.2">
      <c r="B4616" s="62" t="s">
        <v>1108</v>
      </c>
      <c r="C4616" s="61" t="s">
        <v>550</v>
      </c>
      <c r="D4616" s="60">
        <v>1.2062999999999999</v>
      </c>
      <c r="E4616" s="59">
        <v>4.1537899999999999</v>
      </c>
      <c r="F4616" s="59">
        <v>5.09924</v>
      </c>
      <c r="G4616" s="56">
        <v>511.75799999999998</v>
      </c>
      <c r="H4616" s="56">
        <v>424.238</v>
      </c>
      <c r="I4616" s="58">
        <v>0.36081299999999999</v>
      </c>
      <c r="J4616" s="57">
        <v>0.40121800000000002</v>
      </c>
      <c r="K4616" s="56"/>
      <c r="L4616" s="56" t="s">
        <v>492</v>
      </c>
    </row>
    <row r="4617" spans="2:12" x14ac:dyDescent="0.2">
      <c r="B4617" s="62" t="s">
        <v>1107</v>
      </c>
      <c r="C4617" s="61" t="s">
        <v>550</v>
      </c>
      <c r="D4617" s="60">
        <v>1.21644</v>
      </c>
      <c r="E4617" s="59">
        <v>4.1196700000000002</v>
      </c>
      <c r="F4617" s="59">
        <v>5.0609000000000002</v>
      </c>
      <c r="G4617" s="56">
        <v>532.24199999999996</v>
      </c>
      <c r="H4617" s="56">
        <v>437.541</v>
      </c>
      <c r="I4617" s="58">
        <v>0.36169600000000002</v>
      </c>
      <c r="J4617" s="57">
        <v>0.394148</v>
      </c>
      <c r="K4617" s="56"/>
      <c r="L4617" s="56" t="s">
        <v>492</v>
      </c>
    </row>
    <row r="4618" spans="2:12" x14ac:dyDescent="0.2">
      <c r="B4618" s="62" t="s">
        <v>1106</v>
      </c>
      <c r="C4618" s="61" t="s">
        <v>1105</v>
      </c>
      <c r="D4618" s="60">
        <v>1.7736499999999999</v>
      </c>
      <c r="E4618" s="59">
        <v>3.0903700000000001</v>
      </c>
      <c r="F4618" s="59">
        <v>4.1064499999999997</v>
      </c>
      <c r="G4618" s="56">
        <v>0</v>
      </c>
      <c r="H4618" s="56">
        <v>0</v>
      </c>
      <c r="I4618" s="58">
        <v>0.32628400000000002</v>
      </c>
      <c r="J4618" s="57">
        <v>0.21820000000000001</v>
      </c>
      <c r="K4618" s="56"/>
      <c r="L4618" s="56" t="s">
        <v>488</v>
      </c>
    </row>
    <row r="4619" spans="2:12" x14ac:dyDescent="0.2">
      <c r="B4619" s="62" t="s">
        <v>1104</v>
      </c>
      <c r="C4619" s="61" t="s">
        <v>1103</v>
      </c>
      <c r="D4619" s="60">
        <v>1.00665</v>
      </c>
      <c r="E4619" s="59">
        <v>3.2145700000000001</v>
      </c>
      <c r="F4619" s="59">
        <v>9.7325400000000002</v>
      </c>
      <c r="G4619" s="56">
        <v>0</v>
      </c>
      <c r="H4619" s="56">
        <v>0</v>
      </c>
      <c r="I4619" s="58">
        <v>0.28343600000000002</v>
      </c>
      <c r="J4619" s="57">
        <v>0.52393100000000004</v>
      </c>
      <c r="K4619" s="56"/>
      <c r="L4619" s="56" t="s">
        <v>730</v>
      </c>
    </row>
    <row r="4620" spans="2:12" x14ac:dyDescent="0.2">
      <c r="B4620" s="62" t="s">
        <v>1102</v>
      </c>
      <c r="C4620" s="61" t="s">
        <v>875</v>
      </c>
      <c r="D4620" s="60">
        <v>1.7771999999999999</v>
      </c>
      <c r="E4620" s="59">
        <v>5.0967000000000002</v>
      </c>
      <c r="F4620" s="59">
        <v>7.3992399999999998</v>
      </c>
      <c r="G4620" s="56">
        <v>714.20799999999997</v>
      </c>
      <c r="H4620" s="56">
        <v>401.87299999999999</v>
      </c>
      <c r="I4620" s="58">
        <v>0.32050000000000001</v>
      </c>
      <c r="J4620" s="57">
        <v>0.254778</v>
      </c>
      <c r="K4620" s="56"/>
      <c r="L4620" s="56" t="s">
        <v>488</v>
      </c>
    </row>
    <row r="4621" spans="2:12" x14ac:dyDescent="0.2">
      <c r="B4621" s="62" t="s">
        <v>1101</v>
      </c>
      <c r="C4621" s="61" t="s">
        <v>1100</v>
      </c>
      <c r="D4621" s="60">
        <v>1.8419300000000001</v>
      </c>
      <c r="E4621" s="59">
        <v>5.0508199999999999</v>
      </c>
      <c r="F4621" s="59">
        <v>7.2668299999999997</v>
      </c>
      <c r="G4621" s="56">
        <v>704.37300000000005</v>
      </c>
      <c r="H4621" s="56">
        <v>382.41</v>
      </c>
      <c r="I4621" s="58">
        <v>0.32042700000000002</v>
      </c>
      <c r="J4621" s="57">
        <v>0.24043300000000001</v>
      </c>
      <c r="K4621" s="56"/>
      <c r="L4621" s="56" t="s">
        <v>488</v>
      </c>
    </row>
    <row r="4622" spans="2:12" x14ac:dyDescent="0.2">
      <c r="B4622" s="62" t="s">
        <v>1099</v>
      </c>
      <c r="C4622" s="61" t="s">
        <v>1096</v>
      </c>
      <c r="D4622" s="60">
        <v>1.9099699999999999</v>
      </c>
      <c r="E4622" s="59">
        <v>4.9844400000000002</v>
      </c>
      <c r="F4622" s="59">
        <v>7.1717500000000003</v>
      </c>
      <c r="G4622" s="56">
        <v>710.70299999999997</v>
      </c>
      <c r="H4622" s="56">
        <v>372.10199999999998</v>
      </c>
      <c r="I4622" s="58">
        <v>0.31703199999999998</v>
      </c>
      <c r="J4622" s="57">
        <v>0.22623199999999999</v>
      </c>
      <c r="K4622" s="56"/>
      <c r="L4622" s="56" t="s">
        <v>488</v>
      </c>
    </row>
    <row r="4623" spans="2:12" x14ac:dyDescent="0.2">
      <c r="B4623" s="62" t="s">
        <v>1098</v>
      </c>
      <c r="C4623" s="61" t="s">
        <v>875</v>
      </c>
      <c r="D4623" s="60">
        <v>1.7452799999999999</v>
      </c>
      <c r="E4623" s="59">
        <v>5.1514300000000004</v>
      </c>
      <c r="F4623" s="59">
        <v>7.4653299999999998</v>
      </c>
      <c r="G4623" s="56">
        <v>730.9</v>
      </c>
      <c r="H4623" s="56">
        <v>418.78699999999998</v>
      </c>
      <c r="I4623" s="58">
        <v>0.32033200000000001</v>
      </c>
      <c r="J4623" s="57">
        <v>0.26339899999999999</v>
      </c>
      <c r="K4623" s="56"/>
      <c r="L4623" s="56" t="s">
        <v>488</v>
      </c>
    </row>
    <row r="4624" spans="2:12" x14ac:dyDescent="0.2">
      <c r="B4624" s="62" t="s">
        <v>1097</v>
      </c>
      <c r="C4624" s="61" t="s">
        <v>1096</v>
      </c>
      <c r="D4624" s="60">
        <v>1.9058200000000001</v>
      </c>
      <c r="E4624" s="59">
        <v>4.9830800000000002</v>
      </c>
      <c r="F4624" s="59">
        <v>7.1677600000000004</v>
      </c>
      <c r="G4624" s="56">
        <v>701.92100000000005</v>
      </c>
      <c r="H4624" s="56">
        <v>368.30399999999997</v>
      </c>
      <c r="I4624" s="58">
        <v>0.31534899999999999</v>
      </c>
      <c r="J4624" s="57">
        <v>0.22750400000000001</v>
      </c>
      <c r="K4624" s="56"/>
      <c r="L4624" s="56" t="s">
        <v>488</v>
      </c>
    </row>
    <row r="4625" spans="2:12" x14ac:dyDescent="0.2">
      <c r="B4625" s="62" t="s">
        <v>1095</v>
      </c>
      <c r="C4625" s="61" t="s">
        <v>550</v>
      </c>
      <c r="D4625" s="60">
        <v>1.72448</v>
      </c>
      <c r="E4625" s="59">
        <v>5.4279500000000001</v>
      </c>
      <c r="F4625" s="59">
        <v>6.8655600000000003</v>
      </c>
      <c r="G4625" s="56">
        <v>1169.68</v>
      </c>
      <c r="H4625" s="56">
        <v>678.27599999999995</v>
      </c>
      <c r="I4625" s="58">
        <v>0.420404</v>
      </c>
      <c r="J4625" s="57">
        <v>0.32531399999999999</v>
      </c>
      <c r="K4625" s="56"/>
      <c r="L4625" s="56" t="s">
        <v>488</v>
      </c>
    </row>
    <row r="4626" spans="2:12" x14ac:dyDescent="0.2">
      <c r="B4626" s="62" t="s">
        <v>1094</v>
      </c>
      <c r="C4626" s="61" t="s">
        <v>499</v>
      </c>
      <c r="D4626" s="60">
        <v>1.2338</v>
      </c>
      <c r="E4626" s="59">
        <v>3.25305</v>
      </c>
      <c r="F4626" s="59">
        <v>6.7514500000000002</v>
      </c>
      <c r="G4626" s="56">
        <v>0</v>
      </c>
      <c r="H4626" s="56">
        <v>0</v>
      </c>
      <c r="I4626" s="58">
        <v>0.33354600000000001</v>
      </c>
      <c r="J4626" s="57">
        <v>0.37324600000000002</v>
      </c>
      <c r="K4626" s="56"/>
      <c r="L4626" s="56" t="s">
        <v>492</v>
      </c>
    </row>
    <row r="4627" spans="2:12" x14ac:dyDescent="0.2">
      <c r="B4627" s="62" t="s">
        <v>1093</v>
      </c>
      <c r="C4627" s="61" t="s">
        <v>499</v>
      </c>
      <c r="D4627" s="60">
        <v>1.2445299999999999</v>
      </c>
      <c r="E4627" s="59">
        <v>3.3096000000000001</v>
      </c>
      <c r="F4627" s="59">
        <v>6.7759600000000004</v>
      </c>
      <c r="G4627" s="56">
        <v>0</v>
      </c>
      <c r="H4627" s="56">
        <v>0</v>
      </c>
      <c r="I4627" s="58">
        <v>0.33382899999999999</v>
      </c>
      <c r="J4627" s="57">
        <v>0.37564399999999998</v>
      </c>
      <c r="K4627" s="56"/>
      <c r="L4627" s="56" t="s">
        <v>492</v>
      </c>
    </row>
    <row r="4628" spans="2:12" x14ac:dyDescent="0.2">
      <c r="B4628" s="62" t="s">
        <v>1092</v>
      </c>
      <c r="C4628" s="61" t="s">
        <v>708</v>
      </c>
      <c r="D4628" s="60">
        <v>1.46624</v>
      </c>
      <c r="E4628" s="59">
        <v>2.62616</v>
      </c>
      <c r="F4628" s="59">
        <v>4.2215400000000001</v>
      </c>
      <c r="G4628" s="56">
        <v>0</v>
      </c>
      <c r="H4628" s="56">
        <v>0</v>
      </c>
      <c r="I4628" s="58">
        <v>0.14373</v>
      </c>
      <c r="J4628" s="57">
        <v>0.28531299999999998</v>
      </c>
      <c r="K4628" s="56"/>
      <c r="L4628" s="56" t="s">
        <v>488</v>
      </c>
    </row>
    <row r="4629" spans="2:12" x14ac:dyDescent="0.2">
      <c r="B4629" s="62" t="s">
        <v>1091</v>
      </c>
      <c r="C4629" s="61" t="s">
        <v>550</v>
      </c>
      <c r="D4629" s="60">
        <v>1.39367</v>
      </c>
      <c r="E4629" s="59">
        <v>3.0763099999999999</v>
      </c>
      <c r="F4629" s="59">
        <v>4.0895299999999999</v>
      </c>
      <c r="G4629" s="56">
        <v>0</v>
      </c>
      <c r="H4629" s="56">
        <v>0</v>
      </c>
      <c r="I4629" s="58">
        <v>0.19431100000000001</v>
      </c>
      <c r="J4629" s="57">
        <v>0.36099100000000001</v>
      </c>
      <c r="K4629" s="56"/>
      <c r="L4629" s="56" t="s">
        <v>492</v>
      </c>
    </row>
    <row r="4630" spans="2:12" x14ac:dyDescent="0.2">
      <c r="B4630" s="62" t="s">
        <v>1090</v>
      </c>
      <c r="C4630" s="61" t="s">
        <v>550</v>
      </c>
      <c r="D4630" s="60">
        <v>2.0701999999999998</v>
      </c>
      <c r="E4630" s="59">
        <v>4.6239100000000004</v>
      </c>
      <c r="F4630" s="59">
        <v>5.6864999999999997</v>
      </c>
      <c r="G4630" s="56">
        <v>385.584</v>
      </c>
      <c r="H4630" s="56">
        <v>186.25399999999999</v>
      </c>
      <c r="I4630" s="58">
        <v>0.22774900000000001</v>
      </c>
      <c r="J4630" s="57">
        <v>0.213757</v>
      </c>
      <c r="K4630" s="56"/>
      <c r="L4630" s="56" t="s">
        <v>492</v>
      </c>
    </row>
    <row r="4631" spans="2:12" x14ac:dyDescent="0.2">
      <c r="B4631" s="62" t="s">
        <v>1089</v>
      </c>
      <c r="C4631" s="61" t="s">
        <v>510</v>
      </c>
      <c r="D4631" s="60">
        <v>1.1212200000000001</v>
      </c>
      <c r="E4631" s="59">
        <v>5.8608700000000002</v>
      </c>
      <c r="F4631" s="59">
        <v>7.4320399999999998</v>
      </c>
      <c r="G4631" s="56">
        <v>1426.26</v>
      </c>
      <c r="H4631" s="56">
        <v>1272.06</v>
      </c>
      <c r="I4631" s="58">
        <v>0.63977899999999999</v>
      </c>
      <c r="J4631" s="57">
        <v>0.51930200000000004</v>
      </c>
      <c r="K4631" s="56"/>
      <c r="L4631" s="56" t="s">
        <v>488</v>
      </c>
    </row>
    <row r="4632" spans="2:12" x14ac:dyDescent="0.2">
      <c r="B4632" s="62" t="s">
        <v>1088</v>
      </c>
      <c r="C4632" s="61" t="s">
        <v>502</v>
      </c>
      <c r="D4632" s="60">
        <v>1.1882299999999999</v>
      </c>
      <c r="E4632" s="59">
        <v>7.2431000000000001</v>
      </c>
      <c r="F4632" s="59">
        <v>10.608930000000001</v>
      </c>
      <c r="G4632" s="56">
        <v>869.60599999999999</v>
      </c>
      <c r="H4632" s="56">
        <v>731.851</v>
      </c>
      <c r="I4632" s="58">
        <v>0.42166799999999999</v>
      </c>
      <c r="J4632" s="57">
        <v>0.50325900000000001</v>
      </c>
      <c r="K4632" s="56"/>
      <c r="L4632" s="56" t="s">
        <v>488</v>
      </c>
    </row>
    <row r="4633" spans="2:12" x14ac:dyDescent="0.2">
      <c r="B4633" s="62" t="s">
        <v>1087</v>
      </c>
      <c r="C4633" s="61" t="s">
        <v>612</v>
      </c>
      <c r="D4633" s="60">
        <v>0.87276200000000004</v>
      </c>
      <c r="E4633" s="59">
        <v>13.616059999999999</v>
      </c>
      <c r="F4633" s="59">
        <v>13.956239999999999</v>
      </c>
      <c r="G4633" s="56">
        <v>1245.19</v>
      </c>
      <c r="H4633" s="56">
        <v>1432.82</v>
      </c>
      <c r="I4633" s="58">
        <v>0.67392399999999997</v>
      </c>
      <c r="J4633" s="57">
        <v>0.77180300000000002</v>
      </c>
      <c r="K4633" s="56" t="s">
        <v>1086</v>
      </c>
      <c r="L4633" s="56" t="s">
        <v>563</v>
      </c>
    </row>
    <row r="4634" spans="2:12" x14ac:dyDescent="0.2">
      <c r="B4634" s="62" t="s">
        <v>1085</v>
      </c>
      <c r="C4634" s="61" t="s">
        <v>535</v>
      </c>
      <c r="D4634" s="60">
        <v>1.2571099999999999</v>
      </c>
      <c r="E4634" s="59">
        <v>4.4651699999999996</v>
      </c>
      <c r="F4634" s="59">
        <v>6.3422999999999998</v>
      </c>
      <c r="G4634" s="56">
        <v>1523.33</v>
      </c>
      <c r="H4634" s="56">
        <v>1211.77</v>
      </c>
      <c r="I4634" s="58">
        <v>0.59260299999999999</v>
      </c>
      <c r="J4634" s="57">
        <v>0.47405999999999998</v>
      </c>
      <c r="K4634" s="56"/>
      <c r="L4634" s="56" t="s">
        <v>488</v>
      </c>
    </row>
    <row r="4635" spans="2:12" x14ac:dyDescent="0.2">
      <c r="B4635" s="62" t="s">
        <v>1084</v>
      </c>
      <c r="C4635" s="61" t="s">
        <v>502</v>
      </c>
      <c r="D4635" s="60">
        <v>0.87575199999999997</v>
      </c>
      <c r="E4635" s="59">
        <v>6.6590699999999998</v>
      </c>
      <c r="F4635" s="59">
        <v>13.23644</v>
      </c>
      <c r="G4635" s="56">
        <v>1903.96</v>
      </c>
      <c r="H4635" s="56">
        <v>2174.08</v>
      </c>
      <c r="I4635" s="58">
        <v>0.76405400000000001</v>
      </c>
      <c r="J4635" s="57">
        <v>0.82616400000000001</v>
      </c>
      <c r="K4635" s="56" t="s">
        <v>1082</v>
      </c>
      <c r="L4635" s="56" t="s">
        <v>563</v>
      </c>
    </row>
    <row r="4636" spans="2:12" x14ac:dyDescent="0.2">
      <c r="B4636" s="62" t="s">
        <v>1083</v>
      </c>
      <c r="C4636" s="61" t="s">
        <v>502</v>
      </c>
      <c r="D4636" s="60">
        <v>0.87412000000000001</v>
      </c>
      <c r="E4636" s="59">
        <v>6.6473899999999997</v>
      </c>
      <c r="F4636" s="59">
        <v>13.246420000000001</v>
      </c>
      <c r="G4636" s="56">
        <v>1889.35</v>
      </c>
      <c r="H4636" s="56">
        <v>2161.4299999999998</v>
      </c>
      <c r="I4636" s="58">
        <v>0.76213299999999995</v>
      </c>
      <c r="J4636" s="57">
        <v>0.82730199999999998</v>
      </c>
      <c r="K4636" s="56" t="s">
        <v>1082</v>
      </c>
      <c r="L4636" s="56" t="s">
        <v>563</v>
      </c>
    </row>
    <row r="4637" spans="2:12" x14ac:dyDescent="0.2">
      <c r="B4637" s="62" t="s">
        <v>1081</v>
      </c>
      <c r="C4637" s="61" t="s">
        <v>510</v>
      </c>
      <c r="D4637" s="60">
        <v>1.21878</v>
      </c>
      <c r="E4637" s="59">
        <v>4.25664</v>
      </c>
      <c r="F4637" s="59">
        <v>5.5647200000000003</v>
      </c>
      <c r="G4637" s="56">
        <v>1377.98</v>
      </c>
      <c r="H4637" s="56">
        <v>1130.6199999999999</v>
      </c>
      <c r="I4637" s="58">
        <v>0.52242999999999995</v>
      </c>
      <c r="J4637" s="57">
        <v>0.45818599999999998</v>
      </c>
      <c r="K4637" s="56"/>
      <c r="L4637" s="56" t="s">
        <v>488</v>
      </c>
    </row>
    <row r="4638" spans="2:12" x14ac:dyDescent="0.2">
      <c r="B4638" s="62" t="s">
        <v>1080</v>
      </c>
      <c r="C4638" s="61" t="s">
        <v>510</v>
      </c>
      <c r="D4638" s="60">
        <v>1.1346099999999999</v>
      </c>
      <c r="E4638" s="59">
        <v>5.3637600000000001</v>
      </c>
      <c r="F4638" s="59">
        <v>6.4637700000000002</v>
      </c>
      <c r="G4638" s="56">
        <v>1712.38</v>
      </c>
      <c r="H4638" s="56">
        <v>1509.22</v>
      </c>
      <c r="I4638" s="58">
        <v>0.58521500000000004</v>
      </c>
      <c r="J4638" s="57">
        <v>0.51589700000000005</v>
      </c>
      <c r="K4638" s="56"/>
      <c r="L4638" s="56" t="s">
        <v>488</v>
      </c>
    </row>
    <row r="4639" spans="2:12" x14ac:dyDescent="0.2">
      <c r="B4639" s="62" t="s">
        <v>1079</v>
      </c>
      <c r="C4639" s="61" t="s">
        <v>502</v>
      </c>
      <c r="D4639" s="60">
        <v>1.38794</v>
      </c>
      <c r="E4639" s="59">
        <v>2.9696099999999999</v>
      </c>
      <c r="F4639" s="59">
        <v>4.2665300000000004</v>
      </c>
      <c r="G4639" s="56">
        <v>0</v>
      </c>
      <c r="H4639" s="56">
        <v>0</v>
      </c>
      <c r="I4639" s="58">
        <v>0.436672</v>
      </c>
      <c r="J4639" s="57">
        <v>0.36734600000000001</v>
      </c>
      <c r="K4639" s="56"/>
      <c r="L4639" s="56" t="s">
        <v>488</v>
      </c>
    </row>
    <row r="4640" spans="2:12" x14ac:dyDescent="0.2">
      <c r="B4640" s="62" t="s">
        <v>1078</v>
      </c>
      <c r="C4640" s="61" t="s">
        <v>708</v>
      </c>
      <c r="D4640" s="60">
        <v>1.3283199999999999</v>
      </c>
      <c r="E4640" s="59">
        <v>2.8644699999999998</v>
      </c>
      <c r="F4640" s="59">
        <v>4.1564899999999998</v>
      </c>
      <c r="G4640" s="56">
        <v>0</v>
      </c>
      <c r="H4640" s="56">
        <v>0</v>
      </c>
      <c r="I4640" s="58">
        <v>0.41401500000000002</v>
      </c>
      <c r="J4640" s="57">
        <v>0.38288</v>
      </c>
      <c r="K4640" s="56"/>
      <c r="L4640" s="56" t="s">
        <v>488</v>
      </c>
    </row>
    <row r="4641" spans="2:12" x14ac:dyDescent="0.2">
      <c r="B4641" s="62" t="s">
        <v>1077</v>
      </c>
      <c r="C4641" s="61" t="s">
        <v>499</v>
      </c>
      <c r="D4641" s="60">
        <v>1.1962699999999999</v>
      </c>
      <c r="E4641" s="59">
        <v>3.93675</v>
      </c>
      <c r="F4641" s="59">
        <v>5.02813</v>
      </c>
      <c r="G4641" s="56">
        <v>381.80500000000001</v>
      </c>
      <c r="H4641" s="56">
        <v>319.16300000000001</v>
      </c>
      <c r="I4641" s="58">
        <v>0.38915100000000002</v>
      </c>
      <c r="J4641" s="57">
        <v>0.40125899999999998</v>
      </c>
      <c r="K4641" s="56"/>
      <c r="L4641" s="56" t="s">
        <v>488</v>
      </c>
    </row>
    <row r="4642" spans="2:12" x14ac:dyDescent="0.2">
      <c r="B4642" s="62" t="s">
        <v>1076</v>
      </c>
      <c r="C4642" s="61" t="s">
        <v>499</v>
      </c>
      <c r="D4642" s="60">
        <v>0.36518400000000001</v>
      </c>
      <c r="E4642" s="59">
        <v>13.243040000000001</v>
      </c>
      <c r="F4642" s="59">
        <v>14.912559999999999</v>
      </c>
      <c r="G4642" s="56">
        <v>1892.05</v>
      </c>
      <c r="H4642" s="56">
        <v>5181.08</v>
      </c>
      <c r="I4642" s="58">
        <v>0.89363099999999995</v>
      </c>
      <c r="J4642" s="57">
        <v>2.3288899999999999</v>
      </c>
      <c r="K4642" s="56"/>
      <c r="L4642" s="56" t="s">
        <v>488</v>
      </c>
    </row>
    <row r="4643" spans="2:12" x14ac:dyDescent="0.2">
      <c r="B4643" s="62" t="s">
        <v>1075</v>
      </c>
      <c r="C4643" s="61" t="s">
        <v>499</v>
      </c>
      <c r="D4643" s="60">
        <v>0.35987400000000003</v>
      </c>
      <c r="E4643" s="59">
        <v>13.28886</v>
      </c>
      <c r="F4643" s="59">
        <v>14.21921</v>
      </c>
      <c r="G4643" s="56">
        <v>1860.95</v>
      </c>
      <c r="H4643" s="56">
        <v>5171.1099999999997</v>
      </c>
      <c r="I4643" s="58">
        <v>0.89484399999999997</v>
      </c>
      <c r="J4643" s="57">
        <v>2.3692600000000001</v>
      </c>
      <c r="K4643" s="56"/>
      <c r="L4643" s="56" t="s">
        <v>488</v>
      </c>
    </row>
    <row r="4644" spans="2:12" x14ac:dyDescent="0.2">
      <c r="B4644" s="62" t="s">
        <v>1074</v>
      </c>
      <c r="C4644" s="61" t="s">
        <v>510</v>
      </c>
      <c r="D4644" s="60">
        <v>0.35839799999999999</v>
      </c>
      <c r="E4644" s="59">
        <v>13.193680000000001</v>
      </c>
      <c r="F4644" s="59">
        <v>14.22916</v>
      </c>
      <c r="G4644" s="56">
        <v>1909.79</v>
      </c>
      <c r="H4644" s="56">
        <v>5328.69</v>
      </c>
      <c r="I4644" s="58">
        <v>0.88998900000000003</v>
      </c>
      <c r="J4644" s="57">
        <v>2.3634300000000001</v>
      </c>
      <c r="K4644" s="56"/>
      <c r="L4644" s="56" t="s">
        <v>488</v>
      </c>
    </row>
    <row r="4645" spans="2:12" x14ac:dyDescent="0.2">
      <c r="B4645" s="62" t="s">
        <v>1073</v>
      </c>
      <c r="C4645" s="61" t="s">
        <v>502</v>
      </c>
      <c r="D4645" s="60">
        <v>0.36699100000000001</v>
      </c>
      <c r="E4645" s="59">
        <v>13.173999999999999</v>
      </c>
      <c r="F4645" s="59">
        <v>14.839130000000001</v>
      </c>
      <c r="G4645" s="56">
        <v>1906.47</v>
      </c>
      <c r="H4645" s="56">
        <v>5194.87</v>
      </c>
      <c r="I4645" s="58">
        <v>0.88993900000000004</v>
      </c>
      <c r="J4645" s="57">
        <v>2.3154400000000002</v>
      </c>
      <c r="K4645" s="56"/>
      <c r="L4645" s="56" t="s">
        <v>488</v>
      </c>
    </row>
    <row r="4646" spans="2:12" x14ac:dyDescent="0.2">
      <c r="B4646" s="62" t="s">
        <v>1072</v>
      </c>
      <c r="C4646" s="61" t="s">
        <v>502</v>
      </c>
      <c r="D4646" s="60">
        <v>0.32916600000000001</v>
      </c>
      <c r="E4646" s="59">
        <v>19.638010000000001</v>
      </c>
      <c r="F4646" s="59">
        <v>23.72832</v>
      </c>
      <c r="G4646" s="56">
        <v>1695.93</v>
      </c>
      <c r="H4646" s="56">
        <v>5152.2</v>
      </c>
      <c r="I4646" s="58">
        <v>0.90336000000000005</v>
      </c>
      <c r="J4646" s="57">
        <v>2.6311200000000001</v>
      </c>
      <c r="K4646" s="56"/>
      <c r="L4646" s="56" t="s">
        <v>488</v>
      </c>
    </row>
    <row r="4647" spans="2:12" x14ac:dyDescent="0.2">
      <c r="B4647" s="62" t="s">
        <v>1071</v>
      </c>
      <c r="C4647" s="61" t="s">
        <v>940</v>
      </c>
      <c r="D4647" s="60">
        <v>1.8673599999999999</v>
      </c>
      <c r="E4647" s="59">
        <v>2.4643299999999999</v>
      </c>
      <c r="F4647" s="59">
        <v>3.9969700000000001</v>
      </c>
      <c r="G4647" s="56">
        <v>0</v>
      </c>
      <c r="H4647" s="56">
        <v>0</v>
      </c>
      <c r="I4647" s="58">
        <v>0.13392799999999999</v>
      </c>
      <c r="J4647" s="57">
        <v>0.223801</v>
      </c>
      <c r="K4647" s="56"/>
      <c r="L4647" s="56" t="s">
        <v>488</v>
      </c>
    </row>
    <row r="4648" spans="2:12" x14ac:dyDescent="0.2">
      <c r="B4648" s="62" t="s">
        <v>1070</v>
      </c>
      <c r="C4648" s="61" t="s">
        <v>940</v>
      </c>
      <c r="D4648" s="60">
        <v>1.8673599999999999</v>
      </c>
      <c r="E4648" s="59">
        <v>2.4643299999999999</v>
      </c>
      <c r="F4648" s="59">
        <v>3.9969700000000001</v>
      </c>
      <c r="G4648" s="56">
        <v>0</v>
      </c>
      <c r="H4648" s="56">
        <v>0</v>
      </c>
      <c r="I4648" s="58">
        <v>0.134739</v>
      </c>
      <c r="J4648" s="57">
        <v>0.223801</v>
      </c>
      <c r="K4648" s="56"/>
      <c r="L4648" s="56" t="s">
        <v>488</v>
      </c>
    </row>
    <row r="4649" spans="2:12" x14ac:dyDescent="0.2">
      <c r="B4649" s="62" t="s">
        <v>1069</v>
      </c>
      <c r="C4649" s="61" t="s">
        <v>641</v>
      </c>
      <c r="D4649" s="60">
        <v>1.88819</v>
      </c>
      <c r="E4649" s="59">
        <v>4.8203399999999998</v>
      </c>
      <c r="F4649" s="59">
        <v>5.9118500000000003</v>
      </c>
      <c r="G4649" s="56">
        <v>529.36599999999999</v>
      </c>
      <c r="H4649" s="56">
        <v>280.35700000000003</v>
      </c>
      <c r="I4649" s="58">
        <v>0.23763799999999999</v>
      </c>
      <c r="J4649" s="57">
        <v>0.19107099999999999</v>
      </c>
      <c r="K4649" s="56"/>
      <c r="L4649" s="56" t="s">
        <v>488</v>
      </c>
    </row>
    <row r="4650" spans="2:12" x14ac:dyDescent="0.2">
      <c r="B4650" s="62" t="s">
        <v>1068</v>
      </c>
      <c r="C4650" s="61" t="s">
        <v>510</v>
      </c>
      <c r="D4650" s="60">
        <v>1.8078799999999999</v>
      </c>
      <c r="E4650" s="59">
        <v>2.5391400000000002</v>
      </c>
      <c r="F4650" s="59">
        <v>5.63225</v>
      </c>
      <c r="G4650" s="56">
        <v>0</v>
      </c>
      <c r="H4650" s="56">
        <v>0</v>
      </c>
      <c r="I4650" s="58">
        <v>0.352821</v>
      </c>
      <c r="J4650" s="57">
        <v>0.238401</v>
      </c>
      <c r="K4650" s="56"/>
      <c r="L4650" s="56" t="s">
        <v>488</v>
      </c>
    </row>
    <row r="4651" spans="2:12" x14ac:dyDescent="0.2">
      <c r="B4651" s="62" t="s">
        <v>1067</v>
      </c>
      <c r="C4651" s="61" t="s">
        <v>510</v>
      </c>
      <c r="D4651" s="60">
        <v>1.8025500000000001</v>
      </c>
      <c r="E4651" s="59">
        <v>2.5434800000000002</v>
      </c>
      <c r="F4651" s="59">
        <v>5.6494999999999997</v>
      </c>
      <c r="G4651" s="56">
        <v>0</v>
      </c>
      <c r="H4651" s="56">
        <v>0</v>
      </c>
      <c r="I4651" s="58">
        <v>0.368232</v>
      </c>
      <c r="J4651" s="57">
        <v>0.23848900000000001</v>
      </c>
      <c r="K4651" s="56"/>
      <c r="L4651" s="56" t="s">
        <v>488</v>
      </c>
    </row>
    <row r="4652" spans="2:12" x14ac:dyDescent="0.2">
      <c r="B4652" s="62" t="s">
        <v>1066</v>
      </c>
      <c r="C4652" s="61" t="s">
        <v>510</v>
      </c>
      <c r="D4652" s="60">
        <v>1.7591000000000001</v>
      </c>
      <c r="E4652" s="59">
        <v>2.6448499999999999</v>
      </c>
      <c r="F4652" s="59">
        <v>5.57315</v>
      </c>
      <c r="G4652" s="56">
        <v>0</v>
      </c>
      <c r="H4652" s="56">
        <v>0</v>
      </c>
      <c r="I4652" s="58">
        <v>0.37787900000000002</v>
      </c>
      <c r="J4652" s="57">
        <v>0.24951300000000001</v>
      </c>
      <c r="K4652" s="56"/>
      <c r="L4652" s="56" t="s">
        <v>488</v>
      </c>
    </row>
    <row r="4653" spans="2:12" x14ac:dyDescent="0.2">
      <c r="B4653" s="62" t="s">
        <v>1065</v>
      </c>
      <c r="C4653" s="61" t="s">
        <v>510</v>
      </c>
      <c r="D4653" s="60">
        <v>1.7523500000000001</v>
      </c>
      <c r="E4653" s="59">
        <v>2.6326700000000001</v>
      </c>
      <c r="F4653" s="59">
        <v>5.5361099999999999</v>
      </c>
      <c r="G4653" s="56">
        <v>0</v>
      </c>
      <c r="H4653" s="56">
        <v>0</v>
      </c>
      <c r="I4653" s="58">
        <v>0.37687799999999999</v>
      </c>
      <c r="J4653" s="57">
        <v>0.25070500000000001</v>
      </c>
      <c r="K4653" s="56"/>
      <c r="L4653" s="56" t="s">
        <v>488</v>
      </c>
    </row>
    <row r="4654" spans="2:12" x14ac:dyDescent="0.2">
      <c r="B4654" s="62" t="s">
        <v>1064</v>
      </c>
      <c r="C4654" s="61" t="s">
        <v>510</v>
      </c>
      <c r="D4654" s="60">
        <v>1.7712600000000001</v>
      </c>
      <c r="E4654" s="59">
        <v>2.66018</v>
      </c>
      <c r="F4654" s="59">
        <v>5.5594599999999996</v>
      </c>
      <c r="G4654" s="56">
        <v>0</v>
      </c>
      <c r="H4654" s="56">
        <v>0</v>
      </c>
      <c r="I4654" s="58">
        <v>0.37618699999999999</v>
      </c>
      <c r="J4654" s="57">
        <v>0.24646999999999999</v>
      </c>
      <c r="K4654" s="56"/>
      <c r="L4654" s="56" t="s">
        <v>488</v>
      </c>
    </row>
    <row r="4655" spans="2:12" x14ac:dyDescent="0.2">
      <c r="B4655" s="62" t="s">
        <v>1063</v>
      </c>
      <c r="C4655" s="61" t="s">
        <v>499</v>
      </c>
      <c r="D4655" s="60">
        <v>2.11598</v>
      </c>
      <c r="E4655" s="59">
        <v>2.8768199999999999</v>
      </c>
      <c r="F4655" s="59">
        <v>6.41127</v>
      </c>
      <c r="G4655" s="56">
        <v>0</v>
      </c>
      <c r="H4655" s="56">
        <v>0</v>
      </c>
      <c r="I4655" s="58">
        <v>0.37916800000000001</v>
      </c>
      <c r="J4655" s="57">
        <v>0.21377299999999999</v>
      </c>
      <c r="K4655" s="56"/>
      <c r="L4655" s="56" t="s">
        <v>488</v>
      </c>
    </row>
    <row r="4656" spans="2:12" x14ac:dyDescent="0.2">
      <c r="B4656" s="62" t="s">
        <v>1062</v>
      </c>
      <c r="C4656" s="61" t="s">
        <v>499</v>
      </c>
      <c r="D4656" s="60">
        <v>2.14194</v>
      </c>
      <c r="E4656" s="59">
        <v>2.6258499999999998</v>
      </c>
      <c r="F4656" s="59">
        <v>5.3072499999999998</v>
      </c>
      <c r="G4656" s="56">
        <v>0</v>
      </c>
      <c r="H4656" s="56">
        <v>0</v>
      </c>
      <c r="I4656" s="58">
        <v>0.31256</v>
      </c>
      <c r="J4656" s="57">
        <v>0.195932</v>
      </c>
      <c r="K4656" s="56"/>
      <c r="L4656" s="56" t="s">
        <v>488</v>
      </c>
    </row>
    <row r="4657" spans="2:12" x14ac:dyDescent="0.2">
      <c r="B4657" s="62" t="s">
        <v>1061</v>
      </c>
      <c r="C4657" s="61" t="s">
        <v>502</v>
      </c>
      <c r="D4657" s="60">
        <v>0.71813000000000005</v>
      </c>
      <c r="E4657" s="59">
        <v>7.4065599999999998</v>
      </c>
      <c r="F4657" s="59">
        <v>8.5953999999999997</v>
      </c>
      <c r="G4657" s="56">
        <v>2197.91</v>
      </c>
      <c r="H4657" s="56">
        <v>3060.6</v>
      </c>
      <c r="I4657" s="58">
        <v>0.73857399999999995</v>
      </c>
      <c r="J4657" s="57">
        <v>1.00888</v>
      </c>
      <c r="K4657" s="56"/>
      <c r="L4657" s="56" t="s">
        <v>488</v>
      </c>
    </row>
    <row r="4658" spans="2:12" x14ac:dyDescent="0.2">
      <c r="B4658" s="62" t="s">
        <v>1060</v>
      </c>
      <c r="C4658" s="61" t="s">
        <v>502</v>
      </c>
      <c r="D4658" s="60">
        <v>0.37443799999999999</v>
      </c>
      <c r="E4658" s="59">
        <v>10.86748</v>
      </c>
      <c r="F4658" s="59">
        <v>12.369160000000001</v>
      </c>
      <c r="G4658" s="56">
        <v>1921.09</v>
      </c>
      <c r="H4658" s="56">
        <v>5130.58</v>
      </c>
      <c r="I4658" s="58">
        <v>0.87170199999999998</v>
      </c>
      <c r="J4658" s="57">
        <v>2.2596799999999999</v>
      </c>
      <c r="K4658" s="56"/>
      <c r="L4658" s="56" t="s">
        <v>488</v>
      </c>
    </row>
    <row r="4659" spans="2:12" x14ac:dyDescent="0.2">
      <c r="B4659" s="62" t="s">
        <v>1059</v>
      </c>
      <c r="C4659" s="61" t="s">
        <v>502</v>
      </c>
      <c r="D4659" s="60">
        <v>0.35618300000000003</v>
      </c>
      <c r="E4659" s="59">
        <v>13.37593</v>
      </c>
      <c r="F4659" s="59">
        <v>14.31673</v>
      </c>
      <c r="G4659" s="56">
        <v>1667.85</v>
      </c>
      <c r="H4659" s="56">
        <v>4682.5600000000004</v>
      </c>
      <c r="I4659" s="58">
        <v>0.89466800000000002</v>
      </c>
      <c r="J4659" s="57">
        <v>2.4194900000000001</v>
      </c>
      <c r="K4659" s="56"/>
      <c r="L4659" s="56" t="s">
        <v>488</v>
      </c>
    </row>
    <row r="4660" spans="2:12" x14ac:dyDescent="0.2">
      <c r="B4660" s="62" t="s">
        <v>1058</v>
      </c>
      <c r="C4660" s="61" t="s">
        <v>502</v>
      </c>
      <c r="D4660" s="60">
        <v>0.28426499999999999</v>
      </c>
      <c r="E4660" s="59">
        <v>15.33221</v>
      </c>
      <c r="F4660" s="59">
        <v>17.29514</v>
      </c>
      <c r="G4660" s="56">
        <v>1497.61</v>
      </c>
      <c r="H4660" s="56">
        <v>5268.35</v>
      </c>
      <c r="I4660" s="58">
        <v>0.91597899999999999</v>
      </c>
      <c r="J4660" s="57">
        <v>3.10175</v>
      </c>
      <c r="K4660" s="56"/>
      <c r="L4660" s="56" t="s">
        <v>488</v>
      </c>
    </row>
    <row r="4661" spans="2:12" x14ac:dyDescent="0.2">
      <c r="B4661" s="62" t="s">
        <v>1057</v>
      </c>
      <c r="C4661" s="61" t="s">
        <v>502</v>
      </c>
      <c r="D4661" s="60">
        <v>0.178675</v>
      </c>
      <c r="E4661" s="59">
        <v>20.585909999999998</v>
      </c>
      <c r="F4661" s="59">
        <v>21.828119999999998</v>
      </c>
      <c r="G4661" s="56">
        <v>1125.9100000000001</v>
      </c>
      <c r="H4661" s="56">
        <v>6301.42</v>
      </c>
      <c r="I4661" s="58">
        <v>0.94227499999999997</v>
      </c>
      <c r="J4661" s="57">
        <v>5.1549199999999997</v>
      </c>
      <c r="K4661" s="56"/>
      <c r="L4661" s="56" t="s">
        <v>488</v>
      </c>
    </row>
    <row r="4662" spans="2:12" x14ac:dyDescent="0.2">
      <c r="B4662" s="62" t="s">
        <v>1056</v>
      </c>
      <c r="C4662" s="61" t="s">
        <v>502</v>
      </c>
      <c r="D4662" s="60">
        <v>0.170429</v>
      </c>
      <c r="E4662" s="59">
        <v>21.607189999999999</v>
      </c>
      <c r="F4662" s="59">
        <v>23.035329999999998</v>
      </c>
      <c r="G4662" s="56">
        <v>1065.2</v>
      </c>
      <c r="H4662" s="56">
        <v>6250.13</v>
      </c>
      <c r="I4662" s="58">
        <v>0.95127399999999995</v>
      </c>
      <c r="J4662" s="57">
        <v>5.4357899999999999</v>
      </c>
      <c r="K4662" s="56"/>
      <c r="L4662" s="56" t="s">
        <v>488</v>
      </c>
    </row>
    <row r="4663" spans="2:12" x14ac:dyDescent="0.2">
      <c r="B4663" s="62" t="s">
        <v>1055</v>
      </c>
      <c r="C4663" s="61" t="s">
        <v>526</v>
      </c>
      <c r="D4663" s="60">
        <v>0.88508200000000004</v>
      </c>
      <c r="E4663" s="59">
        <v>7.4166400000000001</v>
      </c>
      <c r="F4663" s="59">
        <v>8.5874299999999995</v>
      </c>
      <c r="G4663" s="56">
        <v>1771.41</v>
      </c>
      <c r="H4663" s="56">
        <v>2001.41</v>
      </c>
      <c r="I4663" s="58">
        <v>0.73167599999999999</v>
      </c>
      <c r="J4663" s="57">
        <v>0.75021700000000002</v>
      </c>
      <c r="K4663" s="56"/>
      <c r="L4663" s="56" t="s">
        <v>488</v>
      </c>
    </row>
    <row r="4664" spans="2:12" x14ac:dyDescent="0.2">
      <c r="B4664" s="62" t="s">
        <v>1054</v>
      </c>
      <c r="C4664" s="61" t="s">
        <v>510</v>
      </c>
      <c r="D4664" s="60">
        <v>1.3324</v>
      </c>
      <c r="E4664" s="59">
        <v>2.6753100000000001</v>
      </c>
      <c r="F4664" s="59">
        <v>3.4386700000000001</v>
      </c>
      <c r="G4664" s="56">
        <v>0</v>
      </c>
      <c r="H4664" s="56">
        <v>0</v>
      </c>
      <c r="I4664" s="58">
        <v>5.6233699999999998E-2</v>
      </c>
      <c r="J4664" s="57">
        <v>0.29891699999999999</v>
      </c>
      <c r="K4664" s="56"/>
      <c r="L4664" s="56" t="s">
        <v>488</v>
      </c>
    </row>
    <row r="4665" spans="2:12" x14ac:dyDescent="0.2">
      <c r="B4665" s="62" t="s">
        <v>1053</v>
      </c>
      <c r="C4665" s="61" t="s">
        <v>502</v>
      </c>
      <c r="D4665" s="60">
        <v>0.96516199999999996</v>
      </c>
      <c r="E4665" s="59">
        <v>4.2787800000000002</v>
      </c>
      <c r="F4665" s="59">
        <v>6.0741500000000004</v>
      </c>
      <c r="G4665" s="56">
        <v>1026.25</v>
      </c>
      <c r="H4665" s="56">
        <v>1063.29</v>
      </c>
      <c r="I4665" s="58">
        <v>0.52500400000000003</v>
      </c>
      <c r="J4665" s="57">
        <v>0.61520900000000001</v>
      </c>
      <c r="K4665" s="56"/>
      <c r="L4665" s="56" t="s">
        <v>488</v>
      </c>
    </row>
    <row r="4666" spans="2:12" x14ac:dyDescent="0.2">
      <c r="B4666" s="62" t="s">
        <v>1052</v>
      </c>
      <c r="C4666" s="61" t="s">
        <v>499</v>
      </c>
      <c r="D4666" s="60">
        <v>1.3465199999999999</v>
      </c>
      <c r="E4666" s="59">
        <v>2.6192099999999998</v>
      </c>
      <c r="F4666" s="59">
        <v>3.5124399999999998</v>
      </c>
      <c r="G4666" s="56">
        <v>0</v>
      </c>
      <c r="H4666" s="56">
        <v>0</v>
      </c>
      <c r="I4666" s="58">
        <v>6.0356699999999999E-2</v>
      </c>
      <c r="J4666" s="57">
        <v>0.30519000000000002</v>
      </c>
      <c r="K4666" s="56"/>
      <c r="L4666" s="56" t="s">
        <v>488</v>
      </c>
    </row>
    <row r="4667" spans="2:12" x14ac:dyDescent="0.2">
      <c r="B4667" s="62" t="s">
        <v>1051</v>
      </c>
      <c r="C4667" s="61" t="s">
        <v>507</v>
      </c>
      <c r="D4667" s="60">
        <v>2.5590700000000002</v>
      </c>
      <c r="E4667" s="59">
        <v>2.6005799999999999</v>
      </c>
      <c r="F4667" s="59">
        <v>3.1094200000000001</v>
      </c>
      <c r="G4667" s="56">
        <v>0</v>
      </c>
      <c r="H4667" s="56">
        <v>0</v>
      </c>
      <c r="I4667" s="58">
        <v>8.1981399999999996E-2</v>
      </c>
      <c r="J4667" s="57">
        <v>0.13664399999999999</v>
      </c>
      <c r="K4667" s="56"/>
      <c r="L4667" s="56" t="s">
        <v>488</v>
      </c>
    </row>
    <row r="4668" spans="2:12" x14ac:dyDescent="0.2">
      <c r="B4668" s="62" t="s">
        <v>1050</v>
      </c>
      <c r="C4668" s="61" t="s">
        <v>495</v>
      </c>
      <c r="D4668" s="60">
        <v>0.88114300000000001</v>
      </c>
      <c r="E4668" s="59">
        <v>7.7587299999999999</v>
      </c>
      <c r="F4668" s="59">
        <v>12.06174</v>
      </c>
      <c r="G4668" s="56">
        <v>1305.33</v>
      </c>
      <c r="H4668" s="56">
        <v>1481.41</v>
      </c>
      <c r="I4668" s="58">
        <v>0.55934499999999998</v>
      </c>
      <c r="J4668" s="57">
        <v>0.70724399999999998</v>
      </c>
      <c r="K4668" s="56"/>
      <c r="L4668" s="56" t="s">
        <v>488</v>
      </c>
    </row>
    <row r="4669" spans="2:12" x14ac:dyDescent="0.2">
      <c r="B4669" s="62" t="s">
        <v>1049</v>
      </c>
      <c r="C4669" s="61" t="s">
        <v>495</v>
      </c>
      <c r="D4669" s="60">
        <v>1.0015799999999999</v>
      </c>
      <c r="E4669" s="59">
        <v>3.7707099999999998</v>
      </c>
      <c r="F4669" s="59">
        <v>8.8329000000000004</v>
      </c>
      <c r="G4669" s="56">
        <v>97.951099999999997</v>
      </c>
      <c r="H4669" s="56">
        <v>97.796700000000001</v>
      </c>
      <c r="I4669" s="58">
        <v>0.42133700000000002</v>
      </c>
      <c r="J4669" s="57">
        <v>0.55288099999999996</v>
      </c>
      <c r="K4669" s="56"/>
      <c r="L4669" s="56" t="s">
        <v>488</v>
      </c>
    </row>
    <row r="4670" spans="2:12" x14ac:dyDescent="0.2">
      <c r="B4670" s="62" t="s">
        <v>1048</v>
      </c>
      <c r="C4670" s="61" t="s">
        <v>495</v>
      </c>
      <c r="D4670" s="60">
        <v>0.86953499999999995</v>
      </c>
      <c r="E4670" s="59">
        <v>7.8277400000000004</v>
      </c>
      <c r="F4670" s="59">
        <v>11.847519999999999</v>
      </c>
      <c r="G4670" s="56">
        <v>1247.8699999999999</v>
      </c>
      <c r="H4670" s="56">
        <v>1435.1</v>
      </c>
      <c r="I4670" s="58">
        <v>0.59067999999999998</v>
      </c>
      <c r="J4670" s="57">
        <v>0.73413399999999995</v>
      </c>
      <c r="K4670" s="56"/>
      <c r="L4670" s="56" t="s">
        <v>488</v>
      </c>
    </row>
    <row r="4671" spans="2:12" x14ac:dyDescent="0.2">
      <c r="B4671" s="62" t="s">
        <v>1047</v>
      </c>
      <c r="C4671" s="61" t="s">
        <v>495</v>
      </c>
      <c r="D4671" s="60">
        <v>0.853016</v>
      </c>
      <c r="E4671" s="59">
        <v>8.0944800000000008</v>
      </c>
      <c r="F4671" s="59">
        <v>12.177910000000001</v>
      </c>
      <c r="G4671" s="56">
        <v>1395.01</v>
      </c>
      <c r="H4671" s="56">
        <v>1635.39</v>
      </c>
      <c r="I4671" s="58">
        <v>0.60259700000000005</v>
      </c>
      <c r="J4671" s="57">
        <v>0.756054</v>
      </c>
      <c r="K4671" s="56"/>
      <c r="L4671" s="56" t="s">
        <v>488</v>
      </c>
    </row>
    <row r="4672" spans="2:12" x14ac:dyDescent="0.2">
      <c r="B4672" s="62" t="s">
        <v>1046</v>
      </c>
      <c r="C4672" s="61" t="s">
        <v>495</v>
      </c>
      <c r="D4672" s="60">
        <v>0.88237200000000005</v>
      </c>
      <c r="E4672" s="59">
        <v>7.46549</v>
      </c>
      <c r="F4672" s="59">
        <v>12.098610000000001</v>
      </c>
      <c r="G4672" s="56">
        <v>1342.2</v>
      </c>
      <c r="H4672" s="56">
        <v>1521.12</v>
      </c>
      <c r="I4672" s="58">
        <v>0.57856300000000005</v>
      </c>
      <c r="J4672" s="57">
        <v>0.71109999999999995</v>
      </c>
      <c r="K4672" s="56"/>
      <c r="L4672" s="56" t="s">
        <v>488</v>
      </c>
    </row>
    <row r="4673" spans="2:12" x14ac:dyDescent="0.2">
      <c r="B4673" s="62" t="s">
        <v>1045</v>
      </c>
      <c r="C4673" s="61" t="s">
        <v>495</v>
      </c>
      <c r="D4673" s="60">
        <v>0.86937299999999995</v>
      </c>
      <c r="E4673" s="59">
        <v>7.8053400000000002</v>
      </c>
      <c r="F4673" s="59">
        <v>12.14217</v>
      </c>
      <c r="G4673" s="56">
        <v>1341.39</v>
      </c>
      <c r="H4673" s="56">
        <v>1542.94</v>
      </c>
      <c r="I4673" s="58">
        <v>0.57863100000000001</v>
      </c>
      <c r="J4673" s="57">
        <v>0.72556900000000002</v>
      </c>
      <c r="K4673" s="56"/>
      <c r="L4673" s="56" t="s">
        <v>488</v>
      </c>
    </row>
    <row r="4674" spans="2:12" x14ac:dyDescent="0.2">
      <c r="B4674" s="62" t="s">
        <v>1044</v>
      </c>
      <c r="C4674" s="61" t="s">
        <v>495</v>
      </c>
      <c r="D4674" s="60">
        <v>0.89250399999999996</v>
      </c>
      <c r="E4674" s="59">
        <v>7.5100699999999998</v>
      </c>
      <c r="F4674" s="59">
        <v>12.14021</v>
      </c>
      <c r="G4674" s="56">
        <v>1310.79</v>
      </c>
      <c r="H4674" s="56">
        <v>1468.67</v>
      </c>
      <c r="I4674" s="58">
        <v>0.56038900000000003</v>
      </c>
      <c r="J4674" s="57">
        <v>0.695963</v>
      </c>
      <c r="K4674" s="56"/>
      <c r="L4674" s="56" t="s">
        <v>488</v>
      </c>
    </row>
    <row r="4675" spans="2:12" x14ac:dyDescent="0.2">
      <c r="B4675" s="62" t="s">
        <v>1043</v>
      </c>
      <c r="C4675" s="61" t="s">
        <v>495</v>
      </c>
      <c r="D4675" s="60">
        <v>0.88783000000000001</v>
      </c>
      <c r="E4675" s="59">
        <v>7.6774199999999997</v>
      </c>
      <c r="F4675" s="59">
        <v>12.095499999999999</v>
      </c>
      <c r="G4675" s="56">
        <v>1327.92</v>
      </c>
      <c r="H4675" s="56">
        <v>1495.7</v>
      </c>
      <c r="I4675" s="58">
        <v>0.555755</v>
      </c>
      <c r="J4675" s="57">
        <v>0.70147400000000004</v>
      </c>
      <c r="K4675" s="56"/>
      <c r="L4675" s="56" t="s">
        <v>488</v>
      </c>
    </row>
    <row r="4676" spans="2:12" x14ac:dyDescent="0.2">
      <c r="B4676" s="62" t="s">
        <v>1042</v>
      </c>
      <c r="C4676" s="61" t="s">
        <v>495</v>
      </c>
      <c r="D4676" s="60">
        <v>0.995838</v>
      </c>
      <c r="E4676" s="59">
        <v>3.8116400000000001</v>
      </c>
      <c r="F4676" s="59">
        <v>8.7791700000000006</v>
      </c>
      <c r="G4676" s="56">
        <v>109.78100000000001</v>
      </c>
      <c r="H4676" s="56">
        <v>110.24</v>
      </c>
      <c r="I4676" s="58">
        <v>0.42224800000000001</v>
      </c>
      <c r="J4676" s="57">
        <v>0.55798599999999998</v>
      </c>
      <c r="K4676" s="56"/>
      <c r="L4676" s="56" t="s">
        <v>488</v>
      </c>
    </row>
    <row r="4677" spans="2:12" x14ac:dyDescent="0.2">
      <c r="B4677" s="62" t="s">
        <v>1041</v>
      </c>
      <c r="C4677" s="61" t="s">
        <v>495</v>
      </c>
      <c r="D4677" s="60">
        <v>0.998614</v>
      </c>
      <c r="E4677" s="59">
        <v>3.77258</v>
      </c>
      <c r="F4677" s="59">
        <v>8.8251000000000008</v>
      </c>
      <c r="G4677" s="56">
        <v>105.77500000000001</v>
      </c>
      <c r="H4677" s="56">
        <v>105.922</v>
      </c>
      <c r="I4677" s="58">
        <v>0.41525200000000001</v>
      </c>
      <c r="J4677" s="57">
        <v>0.55375700000000005</v>
      </c>
      <c r="K4677" s="56"/>
      <c r="L4677" s="56" t="s">
        <v>488</v>
      </c>
    </row>
    <row r="4678" spans="2:12" x14ac:dyDescent="0.2">
      <c r="B4678" s="62" t="s">
        <v>1040</v>
      </c>
      <c r="C4678" s="61" t="s">
        <v>495</v>
      </c>
      <c r="D4678" s="60">
        <v>1.0176099999999999</v>
      </c>
      <c r="E4678" s="59">
        <v>3.5549400000000002</v>
      </c>
      <c r="F4678" s="59">
        <v>8.2870799999999996</v>
      </c>
      <c r="G4678" s="56">
        <v>0</v>
      </c>
      <c r="H4678" s="56">
        <v>0</v>
      </c>
      <c r="I4678" s="58">
        <v>0.40278599999999998</v>
      </c>
      <c r="J4678" s="57">
        <v>0.535636</v>
      </c>
      <c r="K4678" s="56"/>
      <c r="L4678" s="56" t="s">
        <v>488</v>
      </c>
    </row>
    <row r="4679" spans="2:12" x14ac:dyDescent="0.2">
      <c r="B4679" s="62" t="s">
        <v>1039</v>
      </c>
      <c r="C4679" s="61" t="s">
        <v>495</v>
      </c>
      <c r="D4679" s="60">
        <v>1.0099400000000001</v>
      </c>
      <c r="E4679" s="59">
        <v>3.6057800000000002</v>
      </c>
      <c r="F4679" s="59">
        <v>8.5137099999999997</v>
      </c>
      <c r="G4679" s="56">
        <v>0</v>
      </c>
      <c r="H4679" s="56">
        <v>0</v>
      </c>
      <c r="I4679" s="58">
        <v>0.40667799999999998</v>
      </c>
      <c r="J4679" s="57">
        <v>0.54306500000000002</v>
      </c>
      <c r="K4679" s="56"/>
      <c r="L4679" s="56" t="s">
        <v>488</v>
      </c>
    </row>
    <row r="4680" spans="2:12" x14ac:dyDescent="0.2">
      <c r="B4680" s="62" t="s">
        <v>1038</v>
      </c>
      <c r="C4680" s="61" t="s">
        <v>495</v>
      </c>
      <c r="D4680" s="60">
        <v>0.99140499999999998</v>
      </c>
      <c r="E4680" s="59">
        <v>3.8674900000000001</v>
      </c>
      <c r="F4680" s="59">
        <v>8.7280899999999999</v>
      </c>
      <c r="G4680" s="56">
        <v>131.80500000000001</v>
      </c>
      <c r="H4680" s="56">
        <v>132.94800000000001</v>
      </c>
      <c r="I4680" s="58">
        <v>0.41884900000000003</v>
      </c>
      <c r="J4680" s="57">
        <v>0.56002300000000005</v>
      </c>
      <c r="K4680" s="56"/>
      <c r="L4680" s="56" t="s">
        <v>488</v>
      </c>
    </row>
    <row r="4681" spans="2:12" x14ac:dyDescent="0.2">
      <c r="B4681" s="62" t="s">
        <v>1037</v>
      </c>
      <c r="C4681" s="61" t="s">
        <v>510</v>
      </c>
      <c r="D4681" s="60">
        <v>0.73443599999999998</v>
      </c>
      <c r="E4681" s="59">
        <v>8.9924900000000001</v>
      </c>
      <c r="F4681" s="59">
        <v>10.30936</v>
      </c>
      <c r="G4681" s="56">
        <v>2033.15</v>
      </c>
      <c r="H4681" s="56">
        <v>2768.32</v>
      </c>
      <c r="I4681" s="58">
        <v>0.74128700000000003</v>
      </c>
      <c r="J4681" s="57">
        <v>0.96707500000000002</v>
      </c>
      <c r="K4681" s="56"/>
      <c r="L4681" s="56" t="s">
        <v>488</v>
      </c>
    </row>
    <row r="4682" spans="2:12" x14ac:dyDescent="0.2">
      <c r="B4682" s="62" t="s">
        <v>1036</v>
      </c>
      <c r="C4682" s="61" t="s">
        <v>510</v>
      </c>
      <c r="D4682" s="60">
        <v>0.453204</v>
      </c>
      <c r="E4682" s="59">
        <v>8.1712199999999999</v>
      </c>
      <c r="F4682" s="59">
        <v>13.40072</v>
      </c>
      <c r="G4682" s="56">
        <v>2091.17</v>
      </c>
      <c r="H4682" s="56">
        <v>4614.1899999999996</v>
      </c>
      <c r="I4682" s="58">
        <v>0.85929199999999994</v>
      </c>
      <c r="J4682" s="57">
        <v>1.77298</v>
      </c>
      <c r="K4682" s="56"/>
      <c r="L4682" s="56" t="s">
        <v>488</v>
      </c>
    </row>
    <row r="4683" spans="2:12" x14ac:dyDescent="0.2">
      <c r="B4683" s="62" t="s">
        <v>1035</v>
      </c>
      <c r="C4683" s="61" t="s">
        <v>526</v>
      </c>
      <c r="D4683" s="60">
        <v>0.974329</v>
      </c>
      <c r="E4683" s="59">
        <v>4.28728</v>
      </c>
      <c r="F4683" s="59">
        <v>7.8540200000000002</v>
      </c>
      <c r="G4683" s="56">
        <v>1790.9</v>
      </c>
      <c r="H4683" s="56">
        <v>1838.08</v>
      </c>
      <c r="I4683" s="58">
        <v>0.73520300000000005</v>
      </c>
      <c r="J4683" s="57">
        <v>0.66878099999999996</v>
      </c>
      <c r="K4683" s="56"/>
      <c r="L4683" s="56" t="s">
        <v>488</v>
      </c>
    </row>
    <row r="4684" spans="2:12" x14ac:dyDescent="0.2">
      <c r="B4684" s="62" t="s">
        <v>1034</v>
      </c>
      <c r="C4684" s="61" t="s">
        <v>1033</v>
      </c>
      <c r="D4684" s="60">
        <v>2.1262400000000001</v>
      </c>
      <c r="E4684" s="59">
        <v>3.00244</v>
      </c>
      <c r="F4684" s="59">
        <v>4.31419</v>
      </c>
      <c r="G4684" s="56">
        <v>0</v>
      </c>
      <c r="H4684" s="56">
        <v>0</v>
      </c>
      <c r="I4684" s="58">
        <v>0.25525399999999998</v>
      </c>
      <c r="J4684" s="57">
        <v>0.24726300000000001</v>
      </c>
      <c r="K4684" s="56"/>
      <c r="L4684" s="56" t="s">
        <v>488</v>
      </c>
    </row>
    <row r="4685" spans="2:12" x14ac:dyDescent="0.2">
      <c r="B4685" s="62" t="s">
        <v>1032</v>
      </c>
      <c r="C4685" s="61" t="s">
        <v>1031</v>
      </c>
      <c r="D4685" s="60">
        <v>0.55121600000000004</v>
      </c>
      <c r="E4685" s="59">
        <v>9.1723700000000008</v>
      </c>
      <c r="F4685" s="59">
        <v>18.68299</v>
      </c>
      <c r="G4685" s="56">
        <v>1816.97</v>
      </c>
      <c r="H4685" s="56">
        <v>3296.3</v>
      </c>
      <c r="I4685" s="58">
        <v>0.85194499999999995</v>
      </c>
      <c r="J4685" s="57">
        <v>1.4690300000000001</v>
      </c>
      <c r="K4685" s="56"/>
      <c r="L4685" s="56" t="s">
        <v>488</v>
      </c>
    </row>
    <row r="4686" spans="2:12" x14ac:dyDescent="0.2">
      <c r="B4686" s="62" t="s">
        <v>1030</v>
      </c>
      <c r="C4686" s="61" t="s">
        <v>510</v>
      </c>
      <c r="D4686" s="60">
        <v>1.1028100000000001</v>
      </c>
      <c r="E4686" s="59">
        <v>3.0094799999999999</v>
      </c>
      <c r="F4686" s="59">
        <v>12.17047</v>
      </c>
      <c r="G4686" s="56">
        <v>0</v>
      </c>
      <c r="H4686" s="56">
        <v>0</v>
      </c>
      <c r="I4686" s="58">
        <v>0.65013500000000002</v>
      </c>
      <c r="J4686" s="57">
        <v>0.57553500000000002</v>
      </c>
      <c r="K4686" s="56"/>
      <c r="L4686" s="56" t="s">
        <v>488</v>
      </c>
    </row>
    <row r="4687" spans="2:12" x14ac:dyDescent="0.2">
      <c r="B4687" s="62" t="s">
        <v>1029</v>
      </c>
      <c r="C4687" s="61" t="s">
        <v>502</v>
      </c>
      <c r="D4687" s="60">
        <v>0.78852</v>
      </c>
      <c r="E4687" s="59">
        <v>6.6977900000000004</v>
      </c>
      <c r="F4687" s="59">
        <v>16.53276</v>
      </c>
      <c r="G4687" s="56">
        <v>1742.17</v>
      </c>
      <c r="H4687" s="56">
        <v>2224</v>
      </c>
      <c r="I4687" s="58">
        <v>0.77394600000000002</v>
      </c>
      <c r="J4687" s="57">
        <v>0.92176800000000003</v>
      </c>
      <c r="K4687" s="56"/>
      <c r="L4687" s="56" t="s">
        <v>488</v>
      </c>
    </row>
    <row r="4688" spans="2:12" x14ac:dyDescent="0.2">
      <c r="B4688" s="62" t="s">
        <v>1028</v>
      </c>
      <c r="C4688" s="61" t="s">
        <v>502</v>
      </c>
      <c r="D4688" s="60">
        <v>0.78334999999999999</v>
      </c>
      <c r="E4688" s="59">
        <v>6.6292200000000001</v>
      </c>
      <c r="F4688" s="59">
        <v>16.296589999999998</v>
      </c>
      <c r="G4688" s="56">
        <v>1737.26</v>
      </c>
      <c r="H4688" s="56">
        <v>2203.19</v>
      </c>
      <c r="I4688" s="58">
        <v>0.78064</v>
      </c>
      <c r="J4688" s="57">
        <v>0.93252500000000005</v>
      </c>
      <c r="K4688" s="56"/>
      <c r="L4688" s="56" t="s">
        <v>488</v>
      </c>
    </row>
    <row r="4689" spans="2:12" x14ac:dyDescent="0.2">
      <c r="B4689" s="62" t="s">
        <v>1027</v>
      </c>
      <c r="C4689" s="61" t="s">
        <v>502</v>
      </c>
      <c r="D4689" s="60">
        <v>0.879722</v>
      </c>
      <c r="E4689" s="59">
        <v>6.7245600000000003</v>
      </c>
      <c r="F4689" s="59">
        <v>13.18685</v>
      </c>
      <c r="G4689" s="56">
        <v>1843.57</v>
      </c>
      <c r="H4689" s="56">
        <v>2088.7800000000002</v>
      </c>
      <c r="I4689" s="58">
        <v>0.76295000000000002</v>
      </c>
      <c r="J4689" s="57">
        <v>0.82201199999999996</v>
      </c>
      <c r="K4689" s="56"/>
      <c r="L4689" s="56" t="s">
        <v>488</v>
      </c>
    </row>
    <row r="4690" spans="2:12" x14ac:dyDescent="0.2">
      <c r="B4690" s="62" t="s">
        <v>1026</v>
      </c>
      <c r="C4690" s="61" t="s">
        <v>502</v>
      </c>
      <c r="D4690" s="60">
        <v>0.88260499999999997</v>
      </c>
      <c r="E4690" s="59">
        <v>6.7182599999999999</v>
      </c>
      <c r="F4690" s="59">
        <v>13.177899999999999</v>
      </c>
      <c r="G4690" s="56">
        <v>1860.94</v>
      </c>
      <c r="H4690" s="56">
        <v>2104.04</v>
      </c>
      <c r="I4690" s="58">
        <v>0.76378900000000005</v>
      </c>
      <c r="J4690" s="57">
        <v>0.81842199999999998</v>
      </c>
      <c r="K4690" s="56"/>
      <c r="L4690" s="56" t="s">
        <v>488</v>
      </c>
    </row>
    <row r="4691" spans="2:12" x14ac:dyDescent="0.2">
      <c r="B4691" s="62" t="s">
        <v>1025</v>
      </c>
      <c r="C4691" s="61" t="s">
        <v>502</v>
      </c>
      <c r="D4691" s="60">
        <v>0.88445799999999997</v>
      </c>
      <c r="E4691" s="59">
        <v>6.6906699999999999</v>
      </c>
      <c r="F4691" s="59">
        <v>13.16215</v>
      </c>
      <c r="G4691" s="56">
        <v>1850.78</v>
      </c>
      <c r="H4691" s="56">
        <v>2084.63</v>
      </c>
      <c r="I4691" s="58">
        <v>0.76828600000000002</v>
      </c>
      <c r="J4691" s="57">
        <v>0.81704500000000002</v>
      </c>
      <c r="K4691" s="56"/>
      <c r="L4691" s="56" t="s">
        <v>488</v>
      </c>
    </row>
    <row r="4692" spans="2:12" x14ac:dyDescent="0.2">
      <c r="B4692" s="62" t="s">
        <v>1024</v>
      </c>
      <c r="C4692" s="61" t="s">
        <v>502</v>
      </c>
      <c r="D4692" s="60">
        <v>0.88782099999999997</v>
      </c>
      <c r="E4692" s="59">
        <v>6.4033300000000004</v>
      </c>
      <c r="F4692" s="59">
        <v>12.94074</v>
      </c>
      <c r="G4692" s="56">
        <v>1893.07</v>
      </c>
      <c r="H4692" s="56">
        <v>2057.69</v>
      </c>
      <c r="I4692" s="58">
        <v>0.76567200000000002</v>
      </c>
      <c r="J4692" s="57">
        <v>0.81283799999999995</v>
      </c>
      <c r="K4692" s="56"/>
      <c r="L4692" s="56" t="s">
        <v>488</v>
      </c>
    </row>
    <row r="4693" spans="2:12" x14ac:dyDescent="0.2">
      <c r="B4693" s="62" t="s">
        <v>1023</v>
      </c>
      <c r="C4693" s="61" t="s">
        <v>502</v>
      </c>
      <c r="D4693" s="60">
        <v>0.91999399999999998</v>
      </c>
      <c r="E4693" s="59">
        <v>6.6178699999999999</v>
      </c>
      <c r="F4693" s="59">
        <v>13.11041</v>
      </c>
      <c r="G4693" s="56">
        <v>1872.66</v>
      </c>
      <c r="H4693" s="56">
        <v>2091.4699999999998</v>
      </c>
      <c r="I4693" s="58">
        <v>0.76698100000000002</v>
      </c>
      <c r="J4693" s="57">
        <v>0.77618500000000001</v>
      </c>
      <c r="K4693" s="56"/>
      <c r="L4693" s="56" t="s">
        <v>488</v>
      </c>
    </row>
    <row r="4694" spans="2:12" x14ac:dyDescent="0.2">
      <c r="B4694" s="62" t="s">
        <v>1022</v>
      </c>
      <c r="C4694" s="61" t="s">
        <v>502</v>
      </c>
      <c r="D4694" s="60">
        <v>0.89538099999999998</v>
      </c>
      <c r="E4694" s="59">
        <v>6.64621</v>
      </c>
      <c r="F4694" s="59">
        <v>13.16653</v>
      </c>
      <c r="G4694" s="56">
        <v>1883.18</v>
      </c>
      <c r="H4694" s="56">
        <v>2132.08</v>
      </c>
      <c r="I4694" s="58">
        <v>0.76505000000000001</v>
      </c>
      <c r="J4694" s="57">
        <v>0.80424099999999998</v>
      </c>
      <c r="K4694" s="56"/>
      <c r="L4694" s="56" t="s">
        <v>488</v>
      </c>
    </row>
    <row r="4695" spans="2:12" x14ac:dyDescent="0.2">
      <c r="B4695" s="62" t="s">
        <v>1021</v>
      </c>
      <c r="C4695" s="61" t="s">
        <v>502</v>
      </c>
      <c r="D4695" s="60">
        <v>0.88326000000000005</v>
      </c>
      <c r="E4695" s="59">
        <v>6.7382999999999997</v>
      </c>
      <c r="F4695" s="59">
        <v>13.23316</v>
      </c>
      <c r="G4695" s="56">
        <v>1873.02</v>
      </c>
      <c r="H4695" s="56">
        <v>2141.23</v>
      </c>
      <c r="I4695" s="58">
        <v>0.76140699999999994</v>
      </c>
      <c r="J4695" s="57">
        <v>0.81695799999999996</v>
      </c>
      <c r="K4695" s="56"/>
      <c r="L4695" s="56" t="s">
        <v>488</v>
      </c>
    </row>
    <row r="4696" spans="2:12" x14ac:dyDescent="0.2">
      <c r="B4696" s="62" t="s">
        <v>1020</v>
      </c>
      <c r="C4696" s="61" t="s">
        <v>502</v>
      </c>
      <c r="D4696" s="60">
        <v>0.87473900000000004</v>
      </c>
      <c r="E4696" s="59">
        <v>6.7296100000000001</v>
      </c>
      <c r="F4696" s="59">
        <v>13.207280000000001</v>
      </c>
      <c r="G4696" s="56">
        <v>1848.85</v>
      </c>
      <c r="H4696" s="56">
        <v>2101.63</v>
      </c>
      <c r="I4696" s="58">
        <v>0.76014300000000001</v>
      </c>
      <c r="J4696" s="57">
        <v>0.82687600000000006</v>
      </c>
      <c r="K4696" s="56"/>
      <c r="L4696" s="56" t="s">
        <v>488</v>
      </c>
    </row>
    <row r="4697" spans="2:12" x14ac:dyDescent="0.2">
      <c r="B4697" s="62" t="s">
        <v>1019</v>
      </c>
      <c r="C4697" s="61" t="s">
        <v>499</v>
      </c>
      <c r="D4697" s="60">
        <v>0.73160199999999997</v>
      </c>
      <c r="E4697" s="59">
        <v>7.3956999999999997</v>
      </c>
      <c r="F4697" s="59">
        <v>9.0593000000000004</v>
      </c>
      <c r="G4697" s="56">
        <v>2023.85</v>
      </c>
      <c r="H4697" s="56">
        <v>2766.33</v>
      </c>
      <c r="I4697" s="58">
        <v>0.677512</v>
      </c>
      <c r="J4697" s="57">
        <v>0.97945099999999996</v>
      </c>
      <c r="K4697" s="56" t="s">
        <v>1018</v>
      </c>
      <c r="L4697" s="56" t="s">
        <v>563</v>
      </c>
    </row>
    <row r="4698" spans="2:12" x14ac:dyDescent="0.2">
      <c r="B4698" s="62" t="s">
        <v>1017</v>
      </c>
      <c r="C4698" s="61" t="s">
        <v>1016</v>
      </c>
      <c r="D4698" s="60">
        <v>1.42336</v>
      </c>
      <c r="E4698" s="59">
        <v>2.7052200000000002</v>
      </c>
      <c r="F4698" s="59">
        <v>3.6314000000000002</v>
      </c>
      <c r="G4698" s="56">
        <v>0</v>
      </c>
      <c r="H4698" s="56">
        <v>0</v>
      </c>
      <c r="I4698" s="58">
        <v>0.23965900000000001</v>
      </c>
      <c r="J4698" s="57">
        <v>0.350607</v>
      </c>
      <c r="K4698" s="56"/>
      <c r="L4698" s="56" t="s">
        <v>488</v>
      </c>
    </row>
    <row r="4699" spans="2:12" x14ac:dyDescent="0.2">
      <c r="B4699" s="62" t="s">
        <v>1015</v>
      </c>
      <c r="C4699" s="61" t="s">
        <v>499</v>
      </c>
      <c r="D4699" s="60">
        <v>0.56748900000000002</v>
      </c>
      <c r="E4699" s="59">
        <v>9.2255000000000003</v>
      </c>
      <c r="F4699" s="59">
        <v>13.121729999999999</v>
      </c>
      <c r="G4699" s="56">
        <v>2159.73</v>
      </c>
      <c r="H4699" s="56">
        <v>3805.76</v>
      </c>
      <c r="I4699" s="58">
        <v>0.83217399999999997</v>
      </c>
      <c r="J4699" s="57">
        <v>1.41561</v>
      </c>
      <c r="K4699" s="56"/>
      <c r="L4699" s="56" t="s">
        <v>488</v>
      </c>
    </row>
    <row r="4700" spans="2:12" x14ac:dyDescent="0.2">
      <c r="B4700" s="62" t="s">
        <v>1014</v>
      </c>
      <c r="C4700" s="61" t="s">
        <v>510</v>
      </c>
      <c r="D4700" s="60">
        <v>1.1600999999999999</v>
      </c>
      <c r="E4700" s="59">
        <v>5.6605499999999997</v>
      </c>
      <c r="F4700" s="59">
        <v>6.9178199999999999</v>
      </c>
      <c r="G4700" s="56">
        <v>1379.97</v>
      </c>
      <c r="H4700" s="56">
        <v>1189.53</v>
      </c>
      <c r="I4700" s="58">
        <v>0.53156499999999995</v>
      </c>
      <c r="J4700" s="57">
        <v>0.50474799999999997</v>
      </c>
      <c r="K4700" s="56"/>
      <c r="L4700" s="56" t="s">
        <v>488</v>
      </c>
    </row>
    <row r="4701" spans="2:12" x14ac:dyDescent="0.2">
      <c r="B4701" s="62" t="s">
        <v>1013</v>
      </c>
      <c r="C4701" s="61" t="s">
        <v>499</v>
      </c>
      <c r="D4701" s="60">
        <v>1.19984</v>
      </c>
      <c r="E4701" s="59">
        <v>7.8545199999999999</v>
      </c>
      <c r="F4701" s="59">
        <v>8.4369800000000001</v>
      </c>
      <c r="G4701" s="56">
        <v>1590.6</v>
      </c>
      <c r="H4701" s="56">
        <v>1325.67</v>
      </c>
      <c r="I4701" s="58">
        <v>0.62913399999999997</v>
      </c>
      <c r="J4701" s="57">
        <v>0.55942199999999997</v>
      </c>
      <c r="K4701" s="56"/>
      <c r="L4701" s="56" t="s">
        <v>488</v>
      </c>
    </row>
    <row r="4702" spans="2:12" x14ac:dyDescent="0.2">
      <c r="B4702" s="62" t="s">
        <v>1012</v>
      </c>
      <c r="C4702" s="61" t="s">
        <v>510</v>
      </c>
      <c r="D4702" s="60">
        <v>1.30471</v>
      </c>
      <c r="E4702" s="59">
        <v>2.8967499999999999</v>
      </c>
      <c r="F4702" s="59">
        <v>4.7770900000000003</v>
      </c>
      <c r="G4702" s="56">
        <v>0</v>
      </c>
      <c r="H4702" s="56">
        <v>0</v>
      </c>
      <c r="I4702" s="58">
        <v>0.29794700000000002</v>
      </c>
      <c r="J4702" s="57">
        <v>0.35167500000000002</v>
      </c>
      <c r="K4702" s="56"/>
      <c r="L4702" s="56" t="s">
        <v>488</v>
      </c>
    </row>
    <row r="4703" spans="2:12" x14ac:dyDescent="0.2">
      <c r="B4703" s="62" t="s">
        <v>1011</v>
      </c>
      <c r="C4703" s="61" t="s">
        <v>533</v>
      </c>
      <c r="D4703" s="60">
        <v>1.4673099999999999</v>
      </c>
      <c r="E4703" s="59">
        <v>4.7767400000000002</v>
      </c>
      <c r="F4703" s="59">
        <v>7.0135100000000001</v>
      </c>
      <c r="G4703" s="56">
        <v>1147.02</v>
      </c>
      <c r="H4703" s="56">
        <v>781.71799999999996</v>
      </c>
      <c r="I4703" s="58">
        <v>0.54622400000000004</v>
      </c>
      <c r="J4703" s="57">
        <v>0.37702799999999997</v>
      </c>
      <c r="K4703" s="56"/>
      <c r="L4703" s="56" t="s">
        <v>488</v>
      </c>
    </row>
    <row r="4704" spans="2:12" x14ac:dyDescent="0.2">
      <c r="B4704" s="62" t="s">
        <v>1010</v>
      </c>
      <c r="C4704" s="61" t="s">
        <v>708</v>
      </c>
      <c r="D4704" s="60">
        <v>1.18702</v>
      </c>
      <c r="E4704" s="59">
        <v>3.0472399999999999</v>
      </c>
      <c r="F4704" s="59">
        <v>4.1593900000000001</v>
      </c>
      <c r="G4704" s="56">
        <v>0</v>
      </c>
      <c r="H4704" s="56">
        <v>0</v>
      </c>
      <c r="I4704" s="58">
        <v>0.27773399999999998</v>
      </c>
      <c r="J4704" s="57">
        <v>0.391544</v>
      </c>
      <c r="K4704" s="56"/>
      <c r="L4704" s="56" t="s">
        <v>488</v>
      </c>
    </row>
    <row r="4705" spans="2:12" x14ac:dyDescent="0.2">
      <c r="B4705" s="62" t="s">
        <v>1009</v>
      </c>
      <c r="C4705" s="61" t="s">
        <v>587</v>
      </c>
      <c r="D4705" s="60">
        <v>2.37723</v>
      </c>
      <c r="E4705" s="59">
        <v>2.4873799999999999</v>
      </c>
      <c r="F4705" s="59">
        <v>4.2163300000000001</v>
      </c>
      <c r="G4705" s="56">
        <v>0</v>
      </c>
      <c r="H4705" s="56">
        <v>0</v>
      </c>
      <c r="I4705" s="58">
        <v>0.14057600000000001</v>
      </c>
      <c r="J4705" s="57">
        <v>0.14873700000000001</v>
      </c>
      <c r="K4705" s="56"/>
      <c r="L4705" s="56" t="s">
        <v>488</v>
      </c>
    </row>
    <row r="4706" spans="2:12" x14ac:dyDescent="0.2">
      <c r="B4706" s="62" t="s">
        <v>1008</v>
      </c>
      <c r="C4706" s="61" t="s">
        <v>502</v>
      </c>
      <c r="D4706" s="60">
        <v>0.992255</v>
      </c>
      <c r="E4706" s="59">
        <v>3.90347</v>
      </c>
      <c r="F4706" s="59">
        <v>4.8406200000000004</v>
      </c>
      <c r="G4706" s="56">
        <v>629.83000000000004</v>
      </c>
      <c r="H4706" s="56">
        <v>634.74699999999996</v>
      </c>
      <c r="I4706" s="58">
        <v>0.365985</v>
      </c>
      <c r="J4706" s="57">
        <v>0.547516</v>
      </c>
      <c r="K4706" s="56"/>
      <c r="L4706" s="56" t="s">
        <v>488</v>
      </c>
    </row>
    <row r="4707" spans="2:12" x14ac:dyDescent="0.2">
      <c r="B4707" s="62" t="s">
        <v>1007</v>
      </c>
      <c r="C4707" s="61" t="s">
        <v>1006</v>
      </c>
      <c r="D4707" s="60">
        <v>0.99494000000000005</v>
      </c>
      <c r="E4707" s="59">
        <v>7.2955199999999998</v>
      </c>
      <c r="F4707" s="59">
        <v>7.82348</v>
      </c>
      <c r="G4707" s="56">
        <v>1575.71</v>
      </c>
      <c r="H4707" s="56">
        <v>1583.72</v>
      </c>
      <c r="I4707" s="58">
        <v>0.647926</v>
      </c>
      <c r="J4707" s="57">
        <v>0.63181500000000002</v>
      </c>
      <c r="K4707" s="56"/>
      <c r="L4707" s="56" t="s">
        <v>730</v>
      </c>
    </row>
    <row r="4708" spans="2:12" x14ac:dyDescent="0.2">
      <c r="B4708" s="62" t="s">
        <v>1005</v>
      </c>
      <c r="C4708" s="61" t="s">
        <v>510</v>
      </c>
      <c r="D4708" s="60">
        <v>1.1598599999999999</v>
      </c>
      <c r="E4708" s="59">
        <v>3.5458400000000001</v>
      </c>
      <c r="F4708" s="59">
        <v>4.2194599999999998</v>
      </c>
      <c r="G4708" s="56">
        <v>0</v>
      </c>
      <c r="H4708" s="56">
        <v>0</v>
      </c>
      <c r="I4708" s="58">
        <v>0.546319</v>
      </c>
      <c r="J4708" s="57">
        <v>0.50539000000000001</v>
      </c>
      <c r="K4708" s="56"/>
      <c r="L4708" s="56" t="s">
        <v>488</v>
      </c>
    </row>
    <row r="4709" spans="2:12" x14ac:dyDescent="0.2">
      <c r="B4709" s="62" t="s">
        <v>1004</v>
      </c>
      <c r="C4709" s="61" t="s">
        <v>510</v>
      </c>
      <c r="D4709" s="60">
        <v>1.1683600000000001</v>
      </c>
      <c r="E4709" s="59">
        <v>3.5627900000000001</v>
      </c>
      <c r="F4709" s="59">
        <v>4.2412000000000001</v>
      </c>
      <c r="G4709" s="56">
        <v>0</v>
      </c>
      <c r="H4709" s="56">
        <v>0</v>
      </c>
      <c r="I4709" s="58">
        <v>0.53898900000000005</v>
      </c>
      <c r="J4709" s="57">
        <v>0.49868400000000002</v>
      </c>
      <c r="K4709" s="56"/>
      <c r="L4709" s="56" t="s">
        <v>488</v>
      </c>
    </row>
    <row r="4710" spans="2:12" x14ac:dyDescent="0.2">
      <c r="B4710" s="62" t="s">
        <v>1003</v>
      </c>
      <c r="C4710" s="61" t="s">
        <v>502</v>
      </c>
      <c r="D4710" s="60">
        <v>0.46421299999999999</v>
      </c>
      <c r="E4710" s="59">
        <v>9.2229100000000006</v>
      </c>
      <c r="F4710" s="59">
        <v>10.78711</v>
      </c>
      <c r="G4710" s="56">
        <v>2177.4499999999998</v>
      </c>
      <c r="H4710" s="56">
        <v>4690.6400000000003</v>
      </c>
      <c r="I4710" s="58">
        <v>0.86032200000000003</v>
      </c>
      <c r="J4710" s="57">
        <v>1.7557799999999999</v>
      </c>
      <c r="K4710" s="56"/>
      <c r="L4710" s="56" t="s">
        <v>488</v>
      </c>
    </row>
    <row r="4711" spans="2:12" x14ac:dyDescent="0.2">
      <c r="B4711" s="62" t="s">
        <v>1002</v>
      </c>
      <c r="C4711" s="61" t="s">
        <v>550</v>
      </c>
      <c r="D4711" s="60">
        <v>1.5875699999999999</v>
      </c>
      <c r="E4711" s="59">
        <v>2.4864899999999999</v>
      </c>
      <c r="F4711" s="59">
        <v>3.87209</v>
      </c>
      <c r="G4711" s="56">
        <v>0</v>
      </c>
      <c r="H4711" s="56">
        <v>0</v>
      </c>
      <c r="I4711" s="58">
        <v>0.148199</v>
      </c>
      <c r="J4711" s="57">
        <v>0.27956399999999998</v>
      </c>
      <c r="K4711" s="56"/>
      <c r="L4711" s="56" t="s">
        <v>488</v>
      </c>
    </row>
    <row r="4712" spans="2:12" x14ac:dyDescent="0.2">
      <c r="B4712" s="62" t="s">
        <v>1001</v>
      </c>
      <c r="C4712" s="61" t="s">
        <v>526</v>
      </c>
      <c r="D4712" s="60">
        <v>1.72079</v>
      </c>
      <c r="E4712" s="59">
        <v>3.2104300000000001</v>
      </c>
      <c r="F4712" s="59">
        <v>4.2321999999999997</v>
      </c>
      <c r="G4712" s="56">
        <v>0</v>
      </c>
      <c r="H4712" s="56">
        <v>0</v>
      </c>
      <c r="I4712" s="58">
        <v>0.30673800000000001</v>
      </c>
      <c r="J4712" s="57">
        <v>0.26373999999999997</v>
      </c>
      <c r="K4712" s="56"/>
      <c r="L4712" s="56" t="s">
        <v>488</v>
      </c>
    </row>
    <row r="4713" spans="2:12" x14ac:dyDescent="0.2">
      <c r="B4713" s="62" t="s">
        <v>1000</v>
      </c>
      <c r="C4713" s="61" t="s">
        <v>625</v>
      </c>
      <c r="D4713" s="60">
        <v>1.5053799999999999</v>
      </c>
      <c r="E4713" s="59">
        <v>4.0904400000000001</v>
      </c>
      <c r="F4713" s="59">
        <v>4.86158</v>
      </c>
      <c r="G4713" s="56">
        <v>696.43799999999999</v>
      </c>
      <c r="H4713" s="56">
        <v>462.63400000000001</v>
      </c>
      <c r="I4713" s="58">
        <v>0.47869800000000001</v>
      </c>
      <c r="J4713" s="57">
        <v>0.35745399999999999</v>
      </c>
      <c r="K4713" s="56"/>
      <c r="L4713" s="56" t="s">
        <v>492</v>
      </c>
    </row>
    <row r="4714" spans="2:12" x14ac:dyDescent="0.2">
      <c r="B4714" s="62" t="s">
        <v>999</v>
      </c>
      <c r="C4714" s="61" t="s">
        <v>625</v>
      </c>
      <c r="D4714" s="60">
        <v>1.39228</v>
      </c>
      <c r="E4714" s="59">
        <v>3.20967</v>
      </c>
      <c r="F4714" s="59">
        <v>5.6004699999999996</v>
      </c>
      <c r="G4714" s="56">
        <v>0</v>
      </c>
      <c r="H4714" s="56">
        <v>0</v>
      </c>
      <c r="I4714" s="58">
        <v>0.45305899999999999</v>
      </c>
      <c r="J4714" s="57">
        <v>0.38590000000000002</v>
      </c>
      <c r="K4714" s="56"/>
      <c r="L4714" s="56" t="s">
        <v>492</v>
      </c>
    </row>
    <row r="4715" spans="2:12" x14ac:dyDescent="0.2">
      <c r="B4715" s="62" t="s">
        <v>998</v>
      </c>
      <c r="C4715" s="61" t="s">
        <v>625</v>
      </c>
      <c r="D4715" s="60">
        <v>2.0699000000000001</v>
      </c>
      <c r="E4715" s="59">
        <v>5.0581300000000002</v>
      </c>
      <c r="F4715" s="59">
        <v>5.7182500000000003</v>
      </c>
      <c r="G4715" s="56">
        <v>385.036</v>
      </c>
      <c r="H4715" s="56">
        <v>186.017</v>
      </c>
      <c r="I4715" s="58">
        <v>0.17588999999999999</v>
      </c>
      <c r="J4715" s="57">
        <v>0.187194</v>
      </c>
      <c r="K4715" s="56"/>
      <c r="L4715" s="56" t="s">
        <v>492</v>
      </c>
    </row>
    <row r="4716" spans="2:12" x14ac:dyDescent="0.2">
      <c r="B4716" s="62" t="s">
        <v>997</v>
      </c>
      <c r="C4716" s="61" t="s">
        <v>625</v>
      </c>
      <c r="D4716" s="60">
        <v>1.4986200000000001</v>
      </c>
      <c r="E4716" s="59">
        <v>3.9584999999999999</v>
      </c>
      <c r="F4716" s="59">
        <v>4.6716199999999999</v>
      </c>
      <c r="G4716" s="56">
        <v>694.88699999999994</v>
      </c>
      <c r="H4716" s="56">
        <v>463.685</v>
      </c>
      <c r="I4716" s="58">
        <v>0.54087700000000005</v>
      </c>
      <c r="J4716" s="57">
        <v>0.41816500000000001</v>
      </c>
      <c r="K4716" s="56"/>
      <c r="L4716" s="56" t="s">
        <v>488</v>
      </c>
    </row>
    <row r="4717" spans="2:12" x14ac:dyDescent="0.2">
      <c r="B4717" s="62" t="s">
        <v>996</v>
      </c>
      <c r="C4717" s="61" t="s">
        <v>502</v>
      </c>
      <c r="D4717" s="60">
        <v>0.465059</v>
      </c>
      <c r="E4717" s="59">
        <v>9.9135500000000008</v>
      </c>
      <c r="F4717" s="59">
        <v>12.08201</v>
      </c>
      <c r="G4717" s="56">
        <v>2170.2600000000002</v>
      </c>
      <c r="H4717" s="56">
        <v>4666.6400000000003</v>
      </c>
      <c r="I4717" s="58">
        <v>0.85880800000000002</v>
      </c>
      <c r="J4717" s="57">
        <v>1.75363</v>
      </c>
      <c r="K4717" s="56"/>
      <c r="L4717" s="56" t="s">
        <v>488</v>
      </c>
    </row>
    <row r="4718" spans="2:12" x14ac:dyDescent="0.2">
      <c r="B4718" s="62" t="s">
        <v>995</v>
      </c>
      <c r="C4718" s="61" t="s">
        <v>499</v>
      </c>
      <c r="D4718" s="60">
        <v>0.99113399999999996</v>
      </c>
      <c r="E4718" s="59">
        <v>5.1259899999999998</v>
      </c>
      <c r="F4718" s="59">
        <v>6.7807199999999996</v>
      </c>
      <c r="G4718" s="56">
        <v>1892.83</v>
      </c>
      <c r="H4718" s="56">
        <v>1909.76</v>
      </c>
      <c r="I4718" s="58">
        <v>0.634598</v>
      </c>
      <c r="J4718" s="57">
        <v>0.64098200000000005</v>
      </c>
      <c r="K4718" s="56"/>
      <c r="L4718" s="56" t="s">
        <v>488</v>
      </c>
    </row>
    <row r="4719" spans="2:12" x14ac:dyDescent="0.2">
      <c r="B4719" s="62" t="s">
        <v>994</v>
      </c>
      <c r="C4719" s="61" t="s">
        <v>529</v>
      </c>
      <c r="D4719" s="60">
        <v>1.4686900000000001</v>
      </c>
      <c r="E4719" s="59">
        <v>4.1504399999999997</v>
      </c>
      <c r="F4719" s="59">
        <v>4.9016799999999998</v>
      </c>
      <c r="G4719" s="56">
        <v>640.79899999999998</v>
      </c>
      <c r="H4719" s="56">
        <v>436.30599999999998</v>
      </c>
      <c r="I4719" s="58">
        <v>0.32827499999999998</v>
      </c>
      <c r="J4719" s="57">
        <v>0.33502999999999999</v>
      </c>
      <c r="K4719" s="56" t="s">
        <v>993</v>
      </c>
      <c r="L4719" s="56" t="s">
        <v>563</v>
      </c>
    </row>
    <row r="4720" spans="2:12" x14ac:dyDescent="0.2">
      <c r="B4720" s="62" t="s">
        <v>992</v>
      </c>
      <c r="C4720" s="61" t="s">
        <v>550</v>
      </c>
      <c r="D4720" s="60">
        <v>0.99806799999999996</v>
      </c>
      <c r="E4720" s="59">
        <v>5.3145199999999999</v>
      </c>
      <c r="F4720" s="59">
        <v>7.0789799999999996</v>
      </c>
      <c r="G4720" s="56">
        <v>1677.22</v>
      </c>
      <c r="H4720" s="56">
        <v>1680.47</v>
      </c>
      <c r="I4720" s="58">
        <v>0.56228500000000003</v>
      </c>
      <c r="J4720" s="57">
        <v>0.608788</v>
      </c>
      <c r="K4720" s="56"/>
      <c r="L4720" s="56" t="s">
        <v>488</v>
      </c>
    </row>
    <row r="4721" spans="2:12" x14ac:dyDescent="0.2">
      <c r="B4721" s="62" t="s">
        <v>991</v>
      </c>
      <c r="C4721" s="61" t="s">
        <v>989</v>
      </c>
      <c r="D4721" s="60">
        <v>0.88598500000000002</v>
      </c>
      <c r="E4721" s="59">
        <v>3.46915</v>
      </c>
      <c r="F4721" s="59">
        <v>4.9958</v>
      </c>
      <c r="G4721" s="56">
        <v>0</v>
      </c>
      <c r="H4721" s="56">
        <v>0</v>
      </c>
      <c r="I4721" s="58">
        <v>0.55845199999999995</v>
      </c>
      <c r="J4721" s="57">
        <v>0.67300199999999999</v>
      </c>
      <c r="K4721" s="56"/>
      <c r="L4721" s="56" t="s">
        <v>488</v>
      </c>
    </row>
    <row r="4722" spans="2:12" x14ac:dyDescent="0.2">
      <c r="B4722" s="62" t="s">
        <v>990</v>
      </c>
      <c r="C4722" s="61" t="s">
        <v>989</v>
      </c>
      <c r="D4722" s="60">
        <v>0.88598500000000002</v>
      </c>
      <c r="E4722" s="59">
        <v>3.5129199999999998</v>
      </c>
      <c r="F4722" s="59">
        <v>5.0361500000000001</v>
      </c>
      <c r="G4722" s="56">
        <v>0</v>
      </c>
      <c r="H4722" s="56">
        <v>0</v>
      </c>
      <c r="I4722" s="58">
        <v>0.55920199999999998</v>
      </c>
      <c r="J4722" s="57">
        <v>0.67324600000000001</v>
      </c>
      <c r="K4722" s="56"/>
      <c r="L4722" s="56" t="s">
        <v>488</v>
      </c>
    </row>
    <row r="4723" spans="2:12" x14ac:dyDescent="0.2">
      <c r="B4723" s="62" t="s">
        <v>988</v>
      </c>
      <c r="C4723" s="61" t="s">
        <v>499</v>
      </c>
      <c r="D4723" s="60">
        <v>1.0350900000000001</v>
      </c>
      <c r="E4723" s="59">
        <v>8.4362700000000004</v>
      </c>
      <c r="F4723" s="59">
        <v>10.92065</v>
      </c>
      <c r="G4723" s="56">
        <v>1221.52</v>
      </c>
      <c r="H4723" s="56">
        <v>1180.1099999999999</v>
      </c>
      <c r="I4723" s="58">
        <v>0.52191699999999996</v>
      </c>
      <c r="J4723" s="57">
        <v>0.59621100000000005</v>
      </c>
      <c r="K4723" s="56"/>
      <c r="L4723" s="56" t="s">
        <v>488</v>
      </c>
    </row>
    <row r="4724" spans="2:12" x14ac:dyDescent="0.2">
      <c r="B4724" s="62" t="s">
        <v>987</v>
      </c>
      <c r="C4724" s="61" t="s">
        <v>499</v>
      </c>
      <c r="D4724" s="60">
        <v>1.78705</v>
      </c>
      <c r="E4724" s="59">
        <v>3.94171</v>
      </c>
      <c r="F4724" s="59">
        <v>4.84924</v>
      </c>
      <c r="G4724" s="56">
        <v>542.46100000000001</v>
      </c>
      <c r="H4724" s="56">
        <v>303.55099999999999</v>
      </c>
      <c r="I4724" s="58">
        <v>0.30970399999999998</v>
      </c>
      <c r="J4724" s="57">
        <v>0.280669</v>
      </c>
      <c r="K4724" s="56"/>
      <c r="L4724" s="56" t="s">
        <v>488</v>
      </c>
    </row>
    <row r="4725" spans="2:12" x14ac:dyDescent="0.2">
      <c r="B4725" s="62" t="s">
        <v>986</v>
      </c>
      <c r="C4725" s="61" t="s">
        <v>499</v>
      </c>
      <c r="D4725" s="60">
        <v>1.1352100000000001</v>
      </c>
      <c r="E4725" s="59">
        <v>4.3236600000000003</v>
      </c>
      <c r="F4725" s="59">
        <v>7.4830500000000004</v>
      </c>
      <c r="G4725" s="56">
        <v>1469.09</v>
      </c>
      <c r="H4725" s="56">
        <v>1294.1199999999999</v>
      </c>
      <c r="I4725" s="58">
        <v>0.63916399999999995</v>
      </c>
      <c r="J4725" s="57">
        <v>0.56257800000000002</v>
      </c>
      <c r="K4725" s="56"/>
      <c r="L4725" s="56" t="s">
        <v>488</v>
      </c>
    </row>
    <row r="4726" spans="2:12" x14ac:dyDescent="0.2">
      <c r="B4726" s="62" t="s">
        <v>985</v>
      </c>
      <c r="C4726" s="61" t="s">
        <v>533</v>
      </c>
      <c r="D4726" s="60">
        <v>1.14242</v>
      </c>
      <c r="E4726" s="59">
        <v>4.3233100000000002</v>
      </c>
      <c r="F4726" s="59">
        <v>6.8391999999999999</v>
      </c>
      <c r="G4726" s="56">
        <v>1155.1099999999999</v>
      </c>
      <c r="H4726" s="56">
        <v>1011.1</v>
      </c>
      <c r="I4726" s="58">
        <v>0.54388400000000003</v>
      </c>
      <c r="J4726" s="57">
        <v>0.53425500000000004</v>
      </c>
      <c r="K4726" s="56"/>
      <c r="L4726" s="56" t="s">
        <v>488</v>
      </c>
    </row>
    <row r="4727" spans="2:12" x14ac:dyDescent="0.2">
      <c r="B4727" s="62" t="s">
        <v>984</v>
      </c>
      <c r="C4727" s="61" t="s">
        <v>533</v>
      </c>
      <c r="D4727" s="60">
        <v>1.06612</v>
      </c>
      <c r="E4727" s="59">
        <v>5.6557399999999998</v>
      </c>
      <c r="F4727" s="59">
        <v>8.0384799999999998</v>
      </c>
      <c r="G4727" s="56">
        <v>1684.53</v>
      </c>
      <c r="H4727" s="56">
        <v>1580.06</v>
      </c>
      <c r="I4727" s="58">
        <v>0.600499</v>
      </c>
      <c r="J4727" s="57">
        <v>0.59929200000000005</v>
      </c>
      <c r="K4727" s="56"/>
      <c r="L4727" s="56" t="s">
        <v>488</v>
      </c>
    </row>
    <row r="4728" spans="2:12" x14ac:dyDescent="0.2">
      <c r="B4728" s="62" t="s">
        <v>983</v>
      </c>
      <c r="C4728" s="61" t="s">
        <v>533</v>
      </c>
      <c r="D4728" s="60">
        <v>1.09762</v>
      </c>
      <c r="E4728" s="59">
        <v>4.8998799999999996</v>
      </c>
      <c r="F4728" s="59">
        <v>7.4124999999999996</v>
      </c>
      <c r="G4728" s="56">
        <v>1538.98</v>
      </c>
      <c r="H4728" s="56">
        <v>1402.12</v>
      </c>
      <c r="I4728" s="58">
        <v>0.58054799999999995</v>
      </c>
      <c r="J4728" s="57">
        <v>0.57219100000000001</v>
      </c>
      <c r="K4728" s="56"/>
      <c r="L4728" s="56" t="s">
        <v>488</v>
      </c>
    </row>
    <row r="4729" spans="2:12" x14ac:dyDescent="0.2">
      <c r="B4729" s="62" t="s">
        <v>982</v>
      </c>
      <c r="C4729" s="61" t="s">
        <v>533</v>
      </c>
      <c r="D4729" s="60">
        <v>1.03321</v>
      </c>
      <c r="E4729" s="59">
        <v>4.94123</v>
      </c>
      <c r="F4729" s="59">
        <v>7.8173700000000004</v>
      </c>
      <c r="G4729" s="56">
        <v>1898.85</v>
      </c>
      <c r="H4729" s="56">
        <v>1837.82</v>
      </c>
      <c r="I4729" s="58">
        <v>0.61296799999999996</v>
      </c>
      <c r="J4729" s="57">
        <v>0.62889799999999996</v>
      </c>
      <c r="K4729" s="56"/>
      <c r="L4729" s="56" t="s">
        <v>488</v>
      </c>
    </row>
    <row r="4730" spans="2:12" x14ac:dyDescent="0.2">
      <c r="B4730" s="62" t="s">
        <v>981</v>
      </c>
      <c r="C4730" s="61" t="s">
        <v>533</v>
      </c>
      <c r="D4730" s="60">
        <v>1.05735</v>
      </c>
      <c r="E4730" s="59">
        <v>5.6927399999999997</v>
      </c>
      <c r="F4730" s="59">
        <v>8.2399500000000003</v>
      </c>
      <c r="G4730" s="56">
        <v>1738.53</v>
      </c>
      <c r="H4730" s="56">
        <v>1644.24</v>
      </c>
      <c r="I4730" s="58">
        <v>0.601719</v>
      </c>
      <c r="J4730" s="57">
        <v>0.60693799999999998</v>
      </c>
      <c r="K4730" s="56"/>
      <c r="L4730" s="56" t="s">
        <v>488</v>
      </c>
    </row>
    <row r="4731" spans="2:12" x14ac:dyDescent="0.2">
      <c r="B4731" s="62" t="s">
        <v>980</v>
      </c>
      <c r="C4731" s="61" t="s">
        <v>533</v>
      </c>
      <c r="D4731" s="60">
        <v>1.3269</v>
      </c>
      <c r="E4731" s="59">
        <v>3.7504499999999998</v>
      </c>
      <c r="F4731" s="59">
        <v>5.2055300000000004</v>
      </c>
      <c r="G4731" s="56">
        <v>336.69600000000003</v>
      </c>
      <c r="H4731" s="56">
        <v>253.74700000000001</v>
      </c>
      <c r="I4731" s="58">
        <v>0.40022000000000002</v>
      </c>
      <c r="J4731" s="57">
        <v>0.39547300000000002</v>
      </c>
      <c r="K4731" s="56"/>
      <c r="L4731" s="56" t="s">
        <v>488</v>
      </c>
    </row>
    <row r="4732" spans="2:12" x14ac:dyDescent="0.2">
      <c r="B4732" s="62" t="s">
        <v>979</v>
      </c>
      <c r="C4732" s="61" t="s">
        <v>533</v>
      </c>
      <c r="D4732" s="60">
        <v>1.11832</v>
      </c>
      <c r="E4732" s="59">
        <v>5.9524999999999997</v>
      </c>
      <c r="F4732" s="59">
        <v>8.2550000000000008</v>
      </c>
      <c r="G4732" s="56">
        <v>1441.81</v>
      </c>
      <c r="H4732" s="56">
        <v>1289.26</v>
      </c>
      <c r="I4732" s="58">
        <v>0.51852200000000004</v>
      </c>
      <c r="J4732" s="57">
        <v>0.53456300000000001</v>
      </c>
      <c r="K4732" s="56"/>
      <c r="L4732" s="56" t="s">
        <v>488</v>
      </c>
    </row>
    <row r="4733" spans="2:12" x14ac:dyDescent="0.2">
      <c r="B4733" s="62" t="s">
        <v>978</v>
      </c>
      <c r="C4733" s="61" t="s">
        <v>533</v>
      </c>
      <c r="D4733" s="60">
        <v>1.0346299999999999</v>
      </c>
      <c r="E4733" s="59">
        <v>5.8583800000000004</v>
      </c>
      <c r="F4733" s="59">
        <v>6.6009599999999997</v>
      </c>
      <c r="G4733" s="56">
        <v>1760.41</v>
      </c>
      <c r="H4733" s="56">
        <v>1701.48</v>
      </c>
      <c r="I4733" s="58">
        <v>0.60406700000000002</v>
      </c>
      <c r="J4733" s="57">
        <v>0.62601899999999999</v>
      </c>
      <c r="K4733" s="56"/>
      <c r="L4733" s="56" t="s">
        <v>488</v>
      </c>
    </row>
    <row r="4734" spans="2:12" x14ac:dyDescent="0.2">
      <c r="B4734" s="62" t="s">
        <v>977</v>
      </c>
      <c r="C4734" s="61" t="s">
        <v>561</v>
      </c>
      <c r="D4734" s="60">
        <v>2.30999</v>
      </c>
      <c r="E4734" s="59">
        <v>2.6451899999999999</v>
      </c>
      <c r="F4734" s="59">
        <v>4.1454599999999999</v>
      </c>
      <c r="G4734" s="56">
        <v>0</v>
      </c>
      <c r="H4734" s="56">
        <v>0</v>
      </c>
      <c r="I4734" s="58">
        <v>0.20602400000000001</v>
      </c>
      <c r="J4734" s="57">
        <v>0.17264699999999999</v>
      </c>
      <c r="K4734" s="56"/>
      <c r="L4734" s="56" t="s">
        <v>488</v>
      </c>
    </row>
    <row r="4735" spans="2:12" x14ac:dyDescent="0.2">
      <c r="B4735" s="62" t="s">
        <v>976</v>
      </c>
      <c r="C4735" s="61" t="s">
        <v>561</v>
      </c>
      <c r="D4735" s="60">
        <v>2.3130999999999999</v>
      </c>
      <c r="E4735" s="59">
        <v>2.6451899999999999</v>
      </c>
      <c r="F4735" s="59">
        <v>4.1454599999999999</v>
      </c>
      <c r="G4735" s="56">
        <v>0</v>
      </c>
      <c r="H4735" s="56">
        <v>0</v>
      </c>
      <c r="I4735" s="58">
        <v>0.20494699999999999</v>
      </c>
      <c r="J4735" s="57">
        <v>0.17141999999999999</v>
      </c>
      <c r="K4735" s="56"/>
      <c r="L4735" s="56" t="s">
        <v>488</v>
      </c>
    </row>
    <row r="4736" spans="2:12" x14ac:dyDescent="0.2">
      <c r="B4736" s="62" t="s">
        <v>975</v>
      </c>
      <c r="C4736" s="61" t="s">
        <v>561</v>
      </c>
      <c r="D4736" s="60">
        <v>2.3130999999999999</v>
      </c>
      <c r="E4736" s="59">
        <v>2.6004800000000001</v>
      </c>
      <c r="F4736" s="59">
        <v>4.3037900000000002</v>
      </c>
      <c r="G4736" s="56">
        <v>0</v>
      </c>
      <c r="H4736" s="56">
        <v>0</v>
      </c>
      <c r="I4736" s="58">
        <v>0.204148</v>
      </c>
      <c r="J4736" s="57">
        <v>0.17141999999999999</v>
      </c>
      <c r="K4736" s="56"/>
      <c r="L4736" s="56" t="s">
        <v>488</v>
      </c>
    </row>
    <row r="4737" spans="2:12" x14ac:dyDescent="0.2">
      <c r="B4737" s="62" t="s">
        <v>974</v>
      </c>
      <c r="C4737" s="61" t="s">
        <v>798</v>
      </c>
      <c r="D4737" s="60">
        <v>1.39164</v>
      </c>
      <c r="E4737" s="59">
        <v>3.6595200000000001</v>
      </c>
      <c r="F4737" s="59">
        <v>4.8874700000000004</v>
      </c>
      <c r="G4737" s="56">
        <v>0</v>
      </c>
      <c r="H4737" s="56">
        <v>0</v>
      </c>
      <c r="I4737" s="58">
        <v>0.28776099999999999</v>
      </c>
      <c r="J4737" s="57">
        <v>0.330403</v>
      </c>
      <c r="K4737" s="56"/>
      <c r="L4737" s="56" t="s">
        <v>488</v>
      </c>
    </row>
    <row r="4738" spans="2:12" x14ac:dyDescent="0.2">
      <c r="B4738" s="62" t="s">
        <v>973</v>
      </c>
      <c r="C4738" s="61" t="s">
        <v>798</v>
      </c>
      <c r="D4738" s="60">
        <v>1.3345400000000001</v>
      </c>
      <c r="E4738" s="59">
        <v>3.85188</v>
      </c>
      <c r="F4738" s="59">
        <v>5.2412700000000001</v>
      </c>
      <c r="G4738" s="56">
        <v>644.51900000000001</v>
      </c>
      <c r="H4738" s="56">
        <v>482.95299999999997</v>
      </c>
      <c r="I4738" s="58">
        <v>0.31556800000000002</v>
      </c>
      <c r="J4738" s="57">
        <v>0.36034899999999997</v>
      </c>
      <c r="K4738" s="56"/>
      <c r="L4738" s="56" t="s">
        <v>488</v>
      </c>
    </row>
    <row r="4739" spans="2:12" x14ac:dyDescent="0.2">
      <c r="B4739" s="62" t="s">
        <v>972</v>
      </c>
      <c r="C4739" s="61" t="s">
        <v>798</v>
      </c>
      <c r="D4739" s="60">
        <v>1.4090800000000001</v>
      </c>
      <c r="E4739" s="59">
        <v>3.64676</v>
      </c>
      <c r="F4739" s="59">
        <v>4.8130300000000004</v>
      </c>
      <c r="G4739" s="56">
        <v>0</v>
      </c>
      <c r="H4739" s="56">
        <v>0</v>
      </c>
      <c r="I4739" s="58">
        <v>0.281053</v>
      </c>
      <c r="J4739" s="57">
        <v>0.32214300000000001</v>
      </c>
      <c r="K4739" s="56"/>
      <c r="L4739" s="56" t="s">
        <v>488</v>
      </c>
    </row>
    <row r="4740" spans="2:12" x14ac:dyDescent="0.2">
      <c r="B4740" s="62" t="s">
        <v>971</v>
      </c>
      <c r="C4740" s="61" t="s">
        <v>798</v>
      </c>
      <c r="D4740" s="60">
        <v>1.4137500000000001</v>
      </c>
      <c r="E4740" s="59">
        <v>3.63666</v>
      </c>
      <c r="F4740" s="59">
        <v>4.7634800000000004</v>
      </c>
      <c r="G4740" s="56">
        <v>0</v>
      </c>
      <c r="H4740" s="56">
        <v>0</v>
      </c>
      <c r="I4740" s="58">
        <v>0.27431899999999998</v>
      </c>
      <c r="J4740" s="57">
        <v>0.31919700000000001</v>
      </c>
      <c r="K4740" s="56"/>
      <c r="L4740" s="56" t="s">
        <v>488</v>
      </c>
    </row>
    <row r="4741" spans="2:12" x14ac:dyDescent="0.2">
      <c r="B4741" s="62" t="s">
        <v>970</v>
      </c>
      <c r="C4741" s="61" t="s">
        <v>798</v>
      </c>
      <c r="D4741" s="60">
        <v>1.38845</v>
      </c>
      <c r="E4741" s="59">
        <v>3.7892800000000002</v>
      </c>
      <c r="F4741" s="59">
        <v>4.7375299999999996</v>
      </c>
      <c r="G4741" s="56">
        <v>534.96699999999998</v>
      </c>
      <c r="H4741" s="56">
        <v>385.298</v>
      </c>
      <c r="I4741" s="58">
        <v>0.29273399999999999</v>
      </c>
      <c r="J4741" s="57">
        <v>0.33250299999999999</v>
      </c>
      <c r="K4741" s="56"/>
      <c r="L4741" s="56" t="s">
        <v>488</v>
      </c>
    </row>
    <row r="4742" spans="2:12" x14ac:dyDescent="0.2">
      <c r="B4742" s="62" t="s">
        <v>969</v>
      </c>
      <c r="C4742" s="61" t="s">
        <v>550</v>
      </c>
      <c r="D4742" s="60">
        <v>2.3941400000000002</v>
      </c>
      <c r="E4742" s="59">
        <v>2.8487200000000001</v>
      </c>
      <c r="F4742" s="59">
        <v>3.5858400000000001</v>
      </c>
      <c r="G4742" s="56">
        <v>0</v>
      </c>
      <c r="H4742" s="56">
        <v>0</v>
      </c>
      <c r="I4742" s="58">
        <v>0.148482</v>
      </c>
      <c r="J4742" s="57">
        <v>0.14746600000000001</v>
      </c>
      <c r="K4742" s="56"/>
      <c r="L4742" s="56" t="s">
        <v>488</v>
      </c>
    </row>
    <row r="4743" spans="2:12" x14ac:dyDescent="0.2">
      <c r="B4743" s="62" t="s">
        <v>968</v>
      </c>
      <c r="C4743" s="61" t="s">
        <v>533</v>
      </c>
      <c r="D4743" s="60">
        <v>1.92919</v>
      </c>
      <c r="E4743" s="59">
        <v>2.62</v>
      </c>
      <c r="F4743" s="59">
        <v>3.7857400000000001</v>
      </c>
      <c r="G4743" s="56">
        <v>0</v>
      </c>
      <c r="H4743" s="56">
        <v>0</v>
      </c>
      <c r="I4743" s="58">
        <v>0.16777600000000001</v>
      </c>
      <c r="J4743" s="57">
        <v>0.208065</v>
      </c>
      <c r="K4743" s="56"/>
      <c r="L4743" s="56" t="s">
        <v>488</v>
      </c>
    </row>
    <row r="4744" spans="2:12" x14ac:dyDescent="0.2">
      <c r="B4744" s="62" t="s">
        <v>967</v>
      </c>
      <c r="C4744" s="61" t="s">
        <v>537</v>
      </c>
      <c r="D4744" s="60">
        <v>1.97363</v>
      </c>
      <c r="E4744" s="59">
        <v>2.59389</v>
      </c>
      <c r="F4744" s="59">
        <v>3.74248</v>
      </c>
      <c r="G4744" s="56">
        <v>0</v>
      </c>
      <c r="H4744" s="56">
        <v>0</v>
      </c>
      <c r="I4744" s="58">
        <v>0.162965</v>
      </c>
      <c r="J4744" s="57">
        <v>0.202178</v>
      </c>
      <c r="K4744" s="56"/>
      <c r="L4744" s="56" t="s">
        <v>488</v>
      </c>
    </row>
    <row r="4745" spans="2:12" x14ac:dyDescent="0.2">
      <c r="B4745" s="62" t="s">
        <v>966</v>
      </c>
      <c r="C4745" s="61" t="s">
        <v>965</v>
      </c>
      <c r="D4745" s="60">
        <v>1.20458</v>
      </c>
      <c r="E4745" s="59">
        <v>2.9043600000000001</v>
      </c>
      <c r="F4745" s="59">
        <v>4.61538</v>
      </c>
      <c r="G4745" s="56">
        <v>0</v>
      </c>
      <c r="H4745" s="56">
        <v>0</v>
      </c>
      <c r="I4745" s="58">
        <v>0.31622800000000001</v>
      </c>
      <c r="J4745" s="57">
        <v>0.38934800000000003</v>
      </c>
      <c r="K4745" s="56"/>
      <c r="L4745" s="56" t="s">
        <v>488</v>
      </c>
    </row>
    <row r="4746" spans="2:12" x14ac:dyDescent="0.2">
      <c r="B4746" s="62" t="s">
        <v>964</v>
      </c>
      <c r="C4746" s="61" t="s">
        <v>529</v>
      </c>
      <c r="D4746" s="60">
        <v>2.2550500000000002</v>
      </c>
      <c r="E4746" s="59">
        <v>4.6993600000000004</v>
      </c>
      <c r="F4746" s="59">
        <v>5.04922</v>
      </c>
      <c r="G4746" s="56">
        <v>292.76799999999997</v>
      </c>
      <c r="H4746" s="56">
        <v>129.82900000000001</v>
      </c>
      <c r="I4746" s="58">
        <v>0.160914</v>
      </c>
      <c r="J4746" s="57">
        <v>0.125779</v>
      </c>
      <c r="K4746" s="56"/>
      <c r="L4746" s="56" t="s">
        <v>488</v>
      </c>
    </row>
    <row r="4747" spans="2:12" x14ac:dyDescent="0.2">
      <c r="B4747" s="62" t="s">
        <v>963</v>
      </c>
      <c r="C4747" s="61" t="s">
        <v>510</v>
      </c>
      <c r="D4747" s="60">
        <v>1.56158</v>
      </c>
      <c r="E4747" s="59">
        <v>3.4849100000000002</v>
      </c>
      <c r="F4747" s="59">
        <v>4.3407200000000001</v>
      </c>
      <c r="G4747" s="56">
        <v>0</v>
      </c>
      <c r="H4747" s="56">
        <v>0</v>
      </c>
      <c r="I4747" s="58">
        <v>0.25908799999999998</v>
      </c>
      <c r="J4747" s="57">
        <v>0.25629299999999999</v>
      </c>
      <c r="K4747" s="56"/>
      <c r="L4747" s="56" t="s">
        <v>488</v>
      </c>
    </row>
    <row r="4748" spans="2:12" x14ac:dyDescent="0.2">
      <c r="B4748" s="62" t="s">
        <v>962</v>
      </c>
      <c r="C4748" s="61" t="s">
        <v>708</v>
      </c>
      <c r="D4748" s="60">
        <v>1.57867</v>
      </c>
      <c r="E4748" s="59">
        <v>3.6056699999999999</v>
      </c>
      <c r="F4748" s="59">
        <v>4.2790100000000004</v>
      </c>
      <c r="G4748" s="56">
        <v>0</v>
      </c>
      <c r="H4748" s="56">
        <v>0</v>
      </c>
      <c r="I4748" s="58">
        <v>0.27472800000000003</v>
      </c>
      <c r="J4748" s="57">
        <v>0.25486500000000001</v>
      </c>
      <c r="K4748" s="56"/>
      <c r="L4748" s="56" t="s">
        <v>488</v>
      </c>
    </row>
    <row r="4749" spans="2:12" x14ac:dyDescent="0.2">
      <c r="B4749" s="62" t="s">
        <v>961</v>
      </c>
      <c r="C4749" s="61" t="s">
        <v>708</v>
      </c>
      <c r="D4749" s="60">
        <v>1.5597000000000001</v>
      </c>
      <c r="E4749" s="59">
        <v>3.5785300000000002</v>
      </c>
      <c r="F4749" s="59">
        <v>4.1217300000000003</v>
      </c>
      <c r="G4749" s="56">
        <v>0</v>
      </c>
      <c r="H4749" s="56">
        <v>0</v>
      </c>
      <c r="I4749" s="58">
        <v>0.18750700000000001</v>
      </c>
      <c r="J4749" s="57">
        <v>0.25647999999999999</v>
      </c>
      <c r="K4749" s="56"/>
      <c r="L4749" s="56" t="s">
        <v>488</v>
      </c>
    </row>
    <row r="4750" spans="2:12" x14ac:dyDescent="0.2">
      <c r="B4750" s="62" t="s">
        <v>960</v>
      </c>
      <c r="C4750" s="61" t="s">
        <v>798</v>
      </c>
      <c r="D4750" s="60">
        <v>0.93069599999999997</v>
      </c>
      <c r="E4750" s="59">
        <v>4.9349800000000004</v>
      </c>
      <c r="F4750" s="59">
        <v>5.9154499999999999</v>
      </c>
      <c r="G4750" s="56">
        <v>2062.52</v>
      </c>
      <c r="H4750" s="56">
        <v>2216.1</v>
      </c>
      <c r="I4750" s="58">
        <v>0.66614600000000002</v>
      </c>
      <c r="J4750" s="57">
        <v>0.66632800000000003</v>
      </c>
      <c r="K4750" s="56"/>
      <c r="L4750" s="56" t="s">
        <v>488</v>
      </c>
    </row>
    <row r="4751" spans="2:12" x14ac:dyDescent="0.2">
      <c r="B4751" s="62" t="s">
        <v>959</v>
      </c>
      <c r="C4751" s="61" t="s">
        <v>958</v>
      </c>
      <c r="D4751" s="60">
        <v>2.26451</v>
      </c>
      <c r="E4751" s="59">
        <v>2.5153500000000002</v>
      </c>
      <c r="F4751" s="59">
        <v>4.1173700000000002</v>
      </c>
      <c r="G4751" s="56">
        <v>0</v>
      </c>
      <c r="H4751" s="56">
        <v>0</v>
      </c>
      <c r="I4751" s="58">
        <v>0.18901200000000001</v>
      </c>
      <c r="J4751" s="57">
        <v>0.19794700000000001</v>
      </c>
      <c r="K4751" s="56"/>
      <c r="L4751" s="56" t="s">
        <v>488</v>
      </c>
    </row>
    <row r="4752" spans="2:12" x14ac:dyDescent="0.2">
      <c r="B4752" s="62" t="s">
        <v>957</v>
      </c>
      <c r="C4752" s="61" t="s">
        <v>510</v>
      </c>
      <c r="D4752" s="60">
        <v>1.9035899999999999</v>
      </c>
      <c r="E4752" s="59">
        <v>2.7452299999999998</v>
      </c>
      <c r="F4752" s="59">
        <v>2.9758599999999999</v>
      </c>
      <c r="G4752" s="56">
        <v>0</v>
      </c>
      <c r="H4752" s="56">
        <v>0</v>
      </c>
      <c r="I4752" s="58">
        <v>1.92599E-2</v>
      </c>
      <c r="J4752" s="57">
        <v>0.171571</v>
      </c>
      <c r="K4752" s="56"/>
      <c r="L4752" s="56" t="s">
        <v>488</v>
      </c>
    </row>
    <row r="4753" spans="2:12" x14ac:dyDescent="0.2">
      <c r="B4753" s="62" t="s">
        <v>956</v>
      </c>
      <c r="C4753" s="61" t="s">
        <v>531</v>
      </c>
      <c r="D4753" s="60">
        <v>1.9066000000000001</v>
      </c>
      <c r="E4753" s="59">
        <v>3.8279299999999998</v>
      </c>
      <c r="F4753" s="59">
        <v>4.6423300000000003</v>
      </c>
      <c r="G4753" s="56">
        <v>540.99300000000005</v>
      </c>
      <c r="H4753" s="56">
        <v>283.74799999999999</v>
      </c>
      <c r="I4753" s="58">
        <v>0.31405100000000002</v>
      </c>
      <c r="J4753" s="57">
        <v>0.24466099999999999</v>
      </c>
      <c r="K4753" s="56"/>
      <c r="L4753" s="56" t="s">
        <v>488</v>
      </c>
    </row>
    <row r="4754" spans="2:12" x14ac:dyDescent="0.2">
      <c r="B4754" s="62" t="s">
        <v>955</v>
      </c>
      <c r="C4754" s="61" t="s">
        <v>555</v>
      </c>
      <c r="D4754" s="60">
        <v>0.82203599999999999</v>
      </c>
      <c r="E4754" s="59">
        <v>6.0340100000000003</v>
      </c>
      <c r="F4754" s="59">
        <v>7.3299799999999999</v>
      </c>
      <c r="G4754" s="56">
        <v>2018.4</v>
      </c>
      <c r="H4754" s="56">
        <v>2455.37</v>
      </c>
      <c r="I4754" s="58">
        <v>0.68828199999999995</v>
      </c>
      <c r="J4754" s="57">
        <v>0.79523500000000003</v>
      </c>
      <c r="K4754" s="56"/>
      <c r="L4754" s="56" t="s">
        <v>488</v>
      </c>
    </row>
    <row r="4755" spans="2:12" x14ac:dyDescent="0.2">
      <c r="B4755" s="62" t="s">
        <v>954</v>
      </c>
      <c r="C4755" s="61" t="s">
        <v>499</v>
      </c>
      <c r="D4755" s="60">
        <v>1.61453</v>
      </c>
      <c r="E4755" s="59">
        <v>3.4360499999999998</v>
      </c>
      <c r="F4755" s="59">
        <v>4.2848199999999999</v>
      </c>
      <c r="G4755" s="56">
        <v>0</v>
      </c>
      <c r="H4755" s="56">
        <v>0</v>
      </c>
      <c r="I4755" s="58">
        <v>0.32980900000000002</v>
      </c>
      <c r="J4755" s="57">
        <v>0.27136700000000002</v>
      </c>
      <c r="K4755" s="56"/>
      <c r="L4755" s="56" t="s">
        <v>488</v>
      </c>
    </row>
    <row r="4756" spans="2:12" x14ac:dyDescent="0.2">
      <c r="B4756" s="62" t="s">
        <v>953</v>
      </c>
      <c r="C4756" s="61" t="s">
        <v>499</v>
      </c>
      <c r="D4756" s="60">
        <v>1.60097</v>
      </c>
      <c r="E4756" s="59">
        <v>3.44611</v>
      </c>
      <c r="F4756" s="59">
        <v>4.2982500000000003</v>
      </c>
      <c r="G4756" s="56">
        <v>0</v>
      </c>
      <c r="H4756" s="56">
        <v>0</v>
      </c>
      <c r="I4756" s="58">
        <v>0.33003900000000003</v>
      </c>
      <c r="J4756" s="57">
        <v>0.27439799999999998</v>
      </c>
      <c r="K4756" s="56"/>
      <c r="L4756" s="56" t="s">
        <v>488</v>
      </c>
    </row>
    <row r="4757" spans="2:12" x14ac:dyDescent="0.2">
      <c r="B4757" s="62" t="s">
        <v>952</v>
      </c>
      <c r="C4757" s="61" t="s">
        <v>951</v>
      </c>
      <c r="D4757" s="60">
        <v>1.0823</v>
      </c>
      <c r="E4757" s="59">
        <v>3.7806500000000001</v>
      </c>
      <c r="F4757" s="59">
        <v>9.3822799999999997</v>
      </c>
      <c r="G4757" s="56">
        <v>922.04700000000003</v>
      </c>
      <c r="H4757" s="56">
        <v>851.93200000000002</v>
      </c>
      <c r="I4757" s="58">
        <v>0.60270100000000004</v>
      </c>
      <c r="J4757" s="57">
        <v>0.52470700000000003</v>
      </c>
      <c r="K4757" s="56"/>
      <c r="L4757" s="56" t="s">
        <v>488</v>
      </c>
    </row>
    <row r="4758" spans="2:12" x14ac:dyDescent="0.2">
      <c r="B4758" s="62" t="s">
        <v>950</v>
      </c>
      <c r="C4758" s="61" t="s">
        <v>499</v>
      </c>
      <c r="D4758" s="60">
        <v>1.14958</v>
      </c>
      <c r="E4758" s="59">
        <v>3.9493</v>
      </c>
      <c r="F4758" s="59">
        <v>4.4955699999999998</v>
      </c>
      <c r="G4758" s="56">
        <v>350.06</v>
      </c>
      <c r="H4758" s="56">
        <v>304.51299999999998</v>
      </c>
      <c r="I4758" s="58">
        <v>0.27851999999999999</v>
      </c>
      <c r="J4758" s="57">
        <v>0.41652</v>
      </c>
      <c r="K4758" s="56"/>
      <c r="L4758" s="56" t="s">
        <v>488</v>
      </c>
    </row>
    <row r="4759" spans="2:12" x14ac:dyDescent="0.2">
      <c r="B4759" s="62" t="s">
        <v>949</v>
      </c>
      <c r="C4759" s="61" t="s">
        <v>798</v>
      </c>
      <c r="D4759" s="60">
        <v>1.29426</v>
      </c>
      <c r="E4759" s="59">
        <v>2.4801099999999998</v>
      </c>
      <c r="F4759" s="59">
        <v>4.5386499999999996</v>
      </c>
      <c r="G4759" s="56">
        <v>0</v>
      </c>
      <c r="H4759" s="56">
        <v>0</v>
      </c>
      <c r="I4759" s="58">
        <v>0.287993</v>
      </c>
      <c r="J4759" s="57">
        <v>0.32541799999999999</v>
      </c>
      <c r="K4759" s="56"/>
      <c r="L4759" s="56" t="s">
        <v>488</v>
      </c>
    </row>
    <row r="4760" spans="2:12" x14ac:dyDescent="0.2">
      <c r="B4760" s="62" t="s">
        <v>948</v>
      </c>
      <c r="C4760" s="61" t="s">
        <v>550</v>
      </c>
      <c r="D4760" s="60">
        <v>1.37083</v>
      </c>
      <c r="E4760" s="59">
        <v>4.6093200000000003</v>
      </c>
      <c r="F4760" s="59">
        <v>5.5114599999999996</v>
      </c>
      <c r="G4760" s="56">
        <v>655.226</v>
      </c>
      <c r="H4760" s="56">
        <v>477.97899999999998</v>
      </c>
      <c r="I4760" s="58">
        <v>0.28431099999999998</v>
      </c>
      <c r="J4760" s="57">
        <v>0.32950000000000002</v>
      </c>
      <c r="K4760" s="56"/>
      <c r="L4760" s="56" t="s">
        <v>488</v>
      </c>
    </row>
    <row r="4761" spans="2:12" x14ac:dyDescent="0.2">
      <c r="B4761" s="62" t="s">
        <v>947</v>
      </c>
      <c r="C4761" s="61" t="s">
        <v>798</v>
      </c>
      <c r="D4761" s="60">
        <v>1.1059000000000001</v>
      </c>
      <c r="E4761" s="59">
        <v>9.2946399999999993</v>
      </c>
      <c r="F4761" s="59">
        <v>9.8568599999999993</v>
      </c>
      <c r="G4761" s="56">
        <v>1262.48</v>
      </c>
      <c r="H4761" s="56">
        <v>1141.57</v>
      </c>
      <c r="I4761" s="58">
        <v>0.52230399999999999</v>
      </c>
      <c r="J4761" s="57">
        <v>0.51485599999999998</v>
      </c>
      <c r="K4761" s="56"/>
      <c r="L4761" s="56" t="s">
        <v>488</v>
      </c>
    </row>
    <row r="4762" spans="2:12" x14ac:dyDescent="0.2">
      <c r="B4762" s="62" t="s">
        <v>946</v>
      </c>
      <c r="C4762" s="61" t="s">
        <v>798</v>
      </c>
      <c r="D4762" s="60">
        <v>1.1013599999999999</v>
      </c>
      <c r="E4762" s="59">
        <v>9.3637499999999996</v>
      </c>
      <c r="F4762" s="59">
        <v>9.8931299999999993</v>
      </c>
      <c r="G4762" s="56">
        <v>1186.7</v>
      </c>
      <c r="H4762" s="56">
        <v>1077.48</v>
      </c>
      <c r="I4762" s="58">
        <v>0.48410399999999998</v>
      </c>
      <c r="J4762" s="57">
        <v>0.50205299999999997</v>
      </c>
      <c r="K4762" s="56"/>
      <c r="L4762" s="56" t="s">
        <v>730</v>
      </c>
    </row>
    <row r="4763" spans="2:12" x14ac:dyDescent="0.2">
      <c r="B4763" s="62" t="s">
        <v>945</v>
      </c>
      <c r="C4763" s="61" t="s">
        <v>495</v>
      </c>
      <c r="D4763" s="60">
        <v>1.2358499999999999</v>
      </c>
      <c r="E4763" s="59">
        <v>9.85365</v>
      </c>
      <c r="F4763" s="59">
        <v>10.14297</v>
      </c>
      <c r="G4763" s="56">
        <v>1206.27</v>
      </c>
      <c r="H4763" s="56">
        <v>976.06200000000001</v>
      </c>
      <c r="I4763" s="58">
        <v>0.48825200000000002</v>
      </c>
      <c r="J4763" s="57">
        <v>0.46337</v>
      </c>
      <c r="K4763" s="56"/>
      <c r="L4763" s="56" t="s">
        <v>730</v>
      </c>
    </row>
    <row r="4764" spans="2:12" x14ac:dyDescent="0.2">
      <c r="B4764" s="62" t="s">
        <v>944</v>
      </c>
      <c r="C4764" s="61" t="s">
        <v>495</v>
      </c>
      <c r="D4764" s="60">
        <v>1.5665100000000001</v>
      </c>
      <c r="E4764" s="59">
        <v>8.4045900000000007</v>
      </c>
      <c r="F4764" s="59">
        <v>8.6816499999999994</v>
      </c>
      <c r="G4764" s="56">
        <v>976.34199999999998</v>
      </c>
      <c r="H4764" s="56">
        <v>623.26599999999996</v>
      </c>
      <c r="I4764" s="58">
        <v>0.40183999999999997</v>
      </c>
      <c r="J4764" s="57">
        <v>0.30100900000000003</v>
      </c>
      <c r="K4764" s="56"/>
      <c r="L4764" s="56" t="s">
        <v>488</v>
      </c>
    </row>
    <row r="4765" spans="2:12" x14ac:dyDescent="0.2">
      <c r="B4765" s="62" t="s">
        <v>943</v>
      </c>
      <c r="C4765" s="61" t="s">
        <v>612</v>
      </c>
      <c r="D4765" s="60">
        <v>1.2697000000000001</v>
      </c>
      <c r="E4765" s="59">
        <v>9.3203800000000001</v>
      </c>
      <c r="F4765" s="59">
        <v>9.9639900000000008</v>
      </c>
      <c r="G4765" s="56">
        <v>1251.3499999999999</v>
      </c>
      <c r="H4765" s="56">
        <v>985.54499999999996</v>
      </c>
      <c r="I4765" s="58">
        <v>0.49883699999999997</v>
      </c>
      <c r="J4765" s="57">
        <v>0.45002900000000001</v>
      </c>
      <c r="K4765" s="56"/>
      <c r="L4765" s="56" t="s">
        <v>488</v>
      </c>
    </row>
    <row r="4766" spans="2:12" x14ac:dyDescent="0.2">
      <c r="B4766" s="62" t="s">
        <v>942</v>
      </c>
      <c r="C4766" s="61" t="s">
        <v>510</v>
      </c>
      <c r="D4766" s="60">
        <v>1.30772</v>
      </c>
      <c r="E4766" s="59">
        <v>9.7256300000000007</v>
      </c>
      <c r="F4766" s="59">
        <v>10.31194</v>
      </c>
      <c r="G4766" s="56">
        <v>1210.27</v>
      </c>
      <c r="H4766" s="56">
        <v>925.48099999999999</v>
      </c>
      <c r="I4766" s="58">
        <v>0.49880099999999999</v>
      </c>
      <c r="J4766" s="57">
        <v>0.43749199999999999</v>
      </c>
      <c r="K4766" s="56"/>
      <c r="L4766" s="56" t="s">
        <v>488</v>
      </c>
    </row>
    <row r="4767" spans="2:12" x14ac:dyDescent="0.2">
      <c r="B4767" s="62" t="s">
        <v>941</v>
      </c>
      <c r="C4767" s="61" t="s">
        <v>940</v>
      </c>
      <c r="D4767" s="60">
        <v>1.28139</v>
      </c>
      <c r="E4767" s="59">
        <v>8.1264099999999999</v>
      </c>
      <c r="F4767" s="59">
        <v>8.8702299999999994</v>
      </c>
      <c r="G4767" s="56">
        <v>1024.99</v>
      </c>
      <c r="H4767" s="56">
        <v>799.904</v>
      </c>
      <c r="I4767" s="58">
        <v>0.42231099999999999</v>
      </c>
      <c r="J4767" s="57">
        <v>0.41529300000000002</v>
      </c>
      <c r="K4767" s="56"/>
      <c r="L4767" s="56" t="s">
        <v>488</v>
      </c>
    </row>
    <row r="4768" spans="2:12" x14ac:dyDescent="0.2">
      <c r="B4768" s="62" t="s">
        <v>939</v>
      </c>
      <c r="C4768" s="61" t="s">
        <v>938</v>
      </c>
      <c r="D4768" s="60">
        <v>1.1064700000000001</v>
      </c>
      <c r="E4768" s="59">
        <v>7.4822100000000002</v>
      </c>
      <c r="F4768" s="59">
        <v>8.5800099999999997</v>
      </c>
      <c r="G4768" s="56">
        <v>1390.15</v>
      </c>
      <c r="H4768" s="56">
        <v>1256.3900000000001</v>
      </c>
      <c r="I4768" s="58">
        <v>0.50702000000000003</v>
      </c>
      <c r="J4768" s="57">
        <v>0.53473800000000005</v>
      </c>
      <c r="K4768" s="56"/>
      <c r="L4768" s="56" t="s">
        <v>488</v>
      </c>
    </row>
    <row r="4769" spans="2:12" x14ac:dyDescent="0.2">
      <c r="B4769" s="62" t="s">
        <v>937</v>
      </c>
      <c r="C4769" s="61" t="s">
        <v>550</v>
      </c>
      <c r="D4769" s="60">
        <v>2.1282100000000002</v>
      </c>
      <c r="E4769" s="59">
        <v>2.7243300000000001</v>
      </c>
      <c r="F4769" s="59">
        <v>3.5327500000000001</v>
      </c>
      <c r="G4769" s="56">
        <v>0</v>
      </c>
      <c r="H4769" s="56">
        <v>0</v>
      </c>
      <c r="I4769" s="58">
        <v>0.18939400000000001</v>
      </c>
      <c r="J4769" s="57">
        <v>0.20749699999999999</v>
      </c>
      <c r="K4769" s="56"/>
      <c r="L4769" s="56" t="s">
        <v>488</v>
      </c>
    </row>
    <row r="4770" spans="2:12" x14ac:dyDescent="0.2">
      <c r="B4770" s="62" t="s">
        <v>936</v>
      </c>
      <c r="C4770" s="61" t="s">
        <v>495</v>
      </c>
      <c r="D4770" s="60">
        <v>1.0685</v>
      </c>
      <c r="E4770" s="59">
        <v>8.01633</v>
      </c>
      <c r="F4770" s="59">
        <v>8.6499299999999995</v>
      </c>
      <c r="G4770" s="56">
        <v>1256.8</v>
      </c>
      <c r="H4770" s="56">
        <v>1176.23</v>
      </c>
      <c r="I4770" s="58">
        <v>0.54183099999999995</v>
      </c>
      <c r="J4770" s="57">
        <v>0.52361199999999997</v>
      </c>
      <c r="K4770" s="56"/>
      <c r="L4770" s="56" t="s">
        <v>488</v>
      </c>
    </row>
    <row r="4771" spans="2:12" x14ac:dyDescent="0.2">
      <c r="B4771" s="62" t="s">
        <v>935</v>
      </c>
      <c r="C4771" s="61" t="s">
        <v>499</v>
      </c>
      <c r="D4771" s="60">
        <v>1.2410000000000001</v>
      </c>
      <c r="E4771" s="59">
        <v>6.6505599999999996</v>
      </c>
      <c r="F4771" s="59">
        <v>7.0480900000000002</v>
      </c>
      <c r="G4771" s="56">
        <v>1050.45</v>
      </c>
      <c r="H4771" s="56">
        <v>846.45699999999999</v>
      </c>
      <c r="I4771" s="58">
        <v>0.45632</v>
      </c>
      <c r="J4771" s="57">
        <v>0.41683599999999998</v>
      </c>
      <c r="K4771" s="56"/>
      <c r="L4771" s="56" t="s">
        <v>488</v>
      </c>
    </row>
    <row r="4772" spans="2:12" x14ac:dyDescent="0.2">
      <c r="B4772" s="62" t="s">
        <v>934</v>
      </c>
      <c r="C4772" s="61" t="s">
        <v>499</v>
      </c>
      <c r="D4772" s="60">
        <v>1.17716</v>
      </c>
      <c r="E4772" s="59">
        <v>6.8310000000000004</v>
      </c>
      <c r="F4772" s="59">
        <v>7.1887699999999999</v>
      </c>
      <c r="G4772" s="56">
        <v>1176.96</v>
      </c>
      <c r="H4772" s="56">
        <v>999.83100000000002</v>
      </c>
      <c r="I4772" s="58">
        <v>0.49781700000000001</v>
      </c>
      <c r="J4772" s="57">
        <v>0.46301500000000001</v>
      </c>
      <c r="K4772" s="56"/>
      <c r="L4772" s="56" t="s">
        <v>488</v>
      </c>
    </row>
    <row r="4773" spans="2:12" x14ac:dyDescent="0.2">
      <c r="B4773" s="62" t="s">
        <v>933</v>
      </c>
      <c r="C4773" s="61" t="s">
        <v>499</v>
      </c>
      <c r="D4773" s="60">
        <v>1.1213299999999999</v>
      </c>
      <c r="E4773" s="59">
        <v>8.14175</v>
      </c>
      <c r="F4773" s="59">
        <v>8.7291899999999991</v>
      </c>
      <c r="G4773" s="56">
        <v>1259.3800000000001</v>
      </c>
      <c r="H4773" s="56">
        <v>1123.1099999999999</v>
      </c>
      <c r="I4773" s="58">
        <v>0.52698400000000001</v>
      </c>
      <c r="J4773" s="57">
        <v>0.50556100000000004</v>
      </c>
      <c r="K4773" s="56"/>
      <c r="L4773" s="56" t="s">
        <v>488</v>
      </c>
    </row>
    <row r="4774" spans="2:12" x14ac:dyDescent="0.2">
      <c r="B4774" s="62" t="s">
        <v>932</v>
      </c>
      <c r="C4774" s="61" t="s">
        <v>499</v>
      </c>
      <c r="D4774" s="60">
        <v>1.0545800000000001</v>
      </c>
      <c r="E4774" s="59">
        <v>8.8533799999999996</v>
      </c>
      <c r="F4774" s="59">
        <v>9.6272199999999994</v>
      </c>
      <c r="G4774" s="56">
        <v>1282.43</v>
      </c>
      <c r="H4774" s="56">
        <v>1216.05</v>
      </c>
      <c r="I4774" s="58">
        <v>0.56276899999999996</v>
      </c>
      <c r="J4774" s="57">
        <v>0.56159700000000001</v>
      </c>
      <c r="K4774" s="56"/>
      <c r="L4774" s="56" t="s">
        <v>488</v>
      </c>
    </row>
    <row r="4775" spans="2:12" x14ac:dyDescent="0.2">
      <c r="B4775" s="62" t="s">
        <v>931</v>
      </c>
      <c r="C4775" s="61" t="s">
        <v>510</v>
      </c>
      <c r="D4775" s="60">
        <v>1.5389299999999999</v>
      </c>
      <c r="E4775" s="59">
        <v>2.6207099999999999</v>
      </c>
      <c r="F4775" s="59">
        <v>4.9120799999999996</v>
      </c>
      <c r="G4775" s="56">
        <v>0</v>
      </c>
      <c r="H4775" s="56">
        <v>0</v>
      </c>
      <c r="I4775" s="58">
        <v>0.13883499999999999</v>
      </c>
      <c r="J4775" s="57">
        <v>0.249531</v>
      </c>
      <c r="K4775" s="56"/>
      <c r="L4775" s="56" t="s">
        <v>488</v>
      </c>
    </row>
    <row r="4776" spans="2:12" x14ac:dyDescent="0.2">
      <c r="B4776" s="62" t="s">
        <v>930</v>
      </c>
      <c r="C4776" s="61" t="s">
        <v>929</v>
      </c>
      <c r="D4776" s="60">
        <v>1.3435299999999999</v>
      </c>
      <c r="E4776" s="59">
        <v>4.7907599999999997</v>
      </c>
      <c r="F4776" s="59">
        <v>6.2207699999999999</v>
      </c>
      <c r="G4776" s="56">
        <v>1794.93</v>
      </c>
      <c r="H4776" s="56">
        <v>1335.98</v>
      </c>
      <c r="I4776" s="58">
        <v>0.59787500000000005</v>
      </c>
      <c r="J4776" s="57">
        <v>0.48691099999999998</v>
      </c>
      <c r="K4776" s="56"/>
      <c r="L4776" s="56" t="s">
        <v>488</v>
      </c>
    </row>
    <row r="4777" spans="2:12" x14ac:dyDescent="0.2">
      <c r="B4777" s="62" t="s">
        <v>928</v>
      </c>
      <c r="C4777" s="61" t="s">
        <v>495</v>
      </c>
      <c r="D4777" s="60">
        <v>1.24925</v>
      </c>
      <c r="E4777" s="59">
        <v>2.4996700000000001</v>
      </c>
      <c r="F4777" s="59">
        <v>4.6079699999999999</v>
      </c>
      <c r="G4777" s="56">
        <v>0</v>
      </c>
      <c r="H4777" s="56">
        <v>0</v>
      </c>
      <c r="I4777" s="58">
        <v>0.173406</v>
      </c>
      <c r="J4777" s="57">
        <v>0.34121299999999999</v>
      </c>
      <c r="K4777" s="56"/>
      <c r="L4777" s="56" t="s">
        <v>488</v>
      </c>
    </row>
    <row r="4778" spans="2:12" x14ac:dyDescent="0.2">
      <c r="B4778" s="62" t="s">
        <v>927</v>
      </c>
      <c r="C4778" s="61" t="s">
        <v>561</v>
      </c>
      <c r="D4778" s="60">
        <v>0.93669100000000005</v>
      </c>
      <c r="E4778" s="59">
        <v>4.63591</v>
      </c>
      <c r="F4778" s="59">
        <v>6.9166999999999996</v>
      </c>
      <c r="G4778" s="56">
        <v>1929.98</v>
      </c>
      <c r="H4778" s="56">
        <v>2060.4299999999998</v>
      </c>
      <c r="I4778" s="58">
        <v>0.70105300000000004</v>
      </c>
      <c r="J4778" s="57">
        <v>0.69227499999999997</v>
      </c>
      <c r="K4778" s="56"/>
      <c r="L4778" s="56" t="s">
        <v>488</v>
      </c>
    </row>
    <row r="4779" spans="2:12" x14ac:dyDescent="0.2">
      <c r="B4779" s="62" t="s">
        <v>926</v>
      </c>
      <c r="C4779" s="61" t="s">
        <v>502</v>
      </c>
      <c r="D4779" s="60">
        <v>1.1775100000000001</v>
      </c>
      <c r="E4779" s="59">
        <v>4.99085</v>
      </c>
      <c r="F4779" s="59">
        <v>5.8984300000000003</v>
      </c>
      <c r="G4779" s="56">
        <v>924.92600000000004</v>
      </c>
      <c r="H4779" s="56">
        <v>785.49599999999998</v>
      </c>
      <c r="I4779" s="58">
        <v>0.40531200000000001</v>
      </c>
      <c r="J4779" s="57">
        <v>0.44205</v>
      </c>
      <c r="K4779" s="56"/>
      <c r="L4779" s="56" t="s">
        <v>492</v>
      </c>
    </row>
    <row r="4780" spans="2:12" x14ac:dyDescent="0.2">
      <c r="B4780" s="62" t="s">
        <v>925</v>
      </c>
      <c r="C4780" s="61" t="s">
        <v>702</v>
      </c>
      <c r="D4780" s="60">
        <v>0.90329700000000002</v>
      </c>
      <c r="E4780" s="59">
        <v>6.8572100000000002</v>
      </c>
      <c r="F4780" s="59">
        <v>19.504349999999999</v>
      </c>
      <c r="G4780" s="56">
        <v>1794.02</v>
      </c>
      <c r="H4780" s="56">
        <v>1973.93</v>
      </c>
      <c r="I4780" s="58">
        <v>0.75497000000000003</v>
      </c>
      <c r="J4780" s="57">
        <v>0.82425099999999996</v>
      </c>
      <c r="K4780" s="56"/>
      <c r="L4780" s="56" t="s">
        <v>488</v>
      </c>
    </row>
    <row r="4781" spans="2:12" x14ac:dyDescent="0.2">
      <c r="B4781" s="62" t="s">
        <v>924</v>
      </c>
      <c r="C4781" s="61" t="s">
        <v>702</v>
      </c>
      <c r="D4781" s="60">
        <v>0.908856</v>
      </c>
      <c r="E4781" s="59">
        <v>6.7240099999999998</v>
      </c>
      <c r="F4781" s="59">
        <v>19.58558</v>
      </c>
      <c r="G4781" s="56">
        <v>1793.61</v>
      </c>
      <c r="H4781" s="56">
        <v>1987.15</v>
      </c>
      <c r="I4781" s="58">
        <v>0.75511499999999998</v>
      </c>
      <c r="J4781" s="57">
        <v>0.81809799999999999</v>
      </c>
      <c r="K4781" s="56"/>
      <c r="L4781" s="56" t="s">
        <v>488</v>
      </c>
    </row>
    <row r="4782" spans="2:12" x14ac:dyDescent="0.2">
      <c r="B4782" s="62" t="s">
        <v>923</v>
      </c>
      <c r="C4782" s="61" t="s">
        <v>702</v>
      </c>
      <c r="D4782" s="60">
        <v>0.90260200000000002</v>
      </c>
      <c r="E4782" s="59">
        <v>6.7106399999999997</v>
      </c>
      <c r="F4782" s="59">
        <v>19.616109999999999</v>
      </c>
      <c r="G4782" s="56">
        <v>1793.79</v>
      </c>
      <c r="H4782" s="56">
        <v>1985.82</v>
      </c>
      <c r="I4782" s="58">
        <v>0.75350499999999998</v>
      </c>
      <c r="J4782" s="57">
        <v>0.82458900000000002</v>
      </c>
      <c r="K4782" s="56"/>
      <c r="L4782" s="56" t="s">
        <v>488</v>
      </c>
    </row>
    <row r="4783" spans="2:12" x14ac:dyDescent="0.2">
      <c r="B4783" s="62" t="s">
        <v>922</v>
      </c>
      <c r="C4783" s="61" t="s">
        <v>499</v>
      </c>
      <c r="D4783" s="60">
        <v>1.10581</v>
      </c>
      <c r="E4783" s="59">
        <v>4.2014699999999996</v>
      </c>
      <c r="F4783" s="59">
        <v>7.1242299999999998</v>
      </c>
      <c r="G4783" s="56">
        <v>1119.31</v>
      </c>
      <c r="H4783" s="56">
        <v>1012.2</v>
      </c>
      <c r="I4783" s="58">
        <v>0.45347399999999999</v>
      </c>
      <c r="J4783" s="57">
        <v>0.49804799999999999</v>
      </c>
      <c r="K4783" s="56"/>
      <c r="L4783" s="56" t="s">
        <v>488</v>
      </c>
    </row>
    <row r="4784" spans="2:12" x14ac:dyDescent="0.2">
      <c r="B4784" s="62" t="s">
        <v>921</v>
      </c>
      <c r="C4784" s="61" t="s">
        <v>918</v>
      </c>
      <c r="D4784" s="60">
        <v>1.80392</v>
      </c>
      <c r="E4784" s="59">
        <v>4.0700500000000002</v>
      </c>
      <c r="F4784" s="59">
        <v>6.2354900000000004</v>
      </c>
      <c r="G4784" s="56">
        <v>1451.51</v>
      </c>
      <c r="H4784" s="56">
        <v>804.64099999999996</v>
      </c>
      <c r="I4784" s="58">
        <v>0.58968299999999996</v>
      </c>
      <c r="J4784" s="57">
        <v>0.33607300000000001</v>
      </c>
      <c r="K4784" s="56"/>
      <c r="L4784" s="56" t="s">
        <v>488</v>
      </c>
    </row>
    <row r="4785" spans="2:12" x14ac:dyDescent="0.2">
      <c r="B4785" s="62" t="s">
        <v>920</v>
      </c>
      <c r="C4785" s="61" t="s">
        <v>702</v>
      </c>
      <c r="D4785" s="60">
        <v>1.32883</v>
      </c>
      <c r="E4785" s="59">
        <v>4.02189</v>
      </c>
      <c r="F4785" s="59">
        <v>6.2923999999999998</v>
      </c>
      <c r="G4785" s="56">
        <v>1514.22</v>
      </c>
      <c r="H4785" s="56">
        <v>1139.52</v>
      </c>
      <c r="I4785" s="58">
        <v>0.588395</v>
      </c>
      <c r="J4785" s="57">
        <v>0.457675</v>
      </c>
      <c r="K4785" s="56"/>
      <c r="L4785" s="56" t="s">
        <v>488</v>
      </c>
    </row>
    <row r="4786" spans="2:12" x14ac:dyDescent="0.2">
      <c r="B4786" s="62" t="s">
        <v>919</v>
      </c>
      <c r="C4786" s="61" t="s">
        <v>918</v>
      </c>
      <c r="D4786" s="60">
        <v>1.26176</v>
      </c>
      <c r="E4786" s="59">
        <v>6.6458399999999997</v>
      </c>
      <c r="F4786" s="59">
        <v>19.516749999999998</v>
      </c>
      <c r="G4786" s="56">
        <v>1783.89</v>
      </c>
      <c r="H4786" s="56">
        <v>1413.81</v>
      </c>
      <c r="I4786" s="58">
        <v>0.75227500000000003</v>
      </c>
      <c r="J4786" s="57">
        <v>0.58875900000000003</v>
      </c>
      <c r="K4786" s="56"/>
      <c r="L4786" s="56" t="s">
        <v>488</v>
      </c>
    </row>
    <row r="4787" spans="2:12" x14ac:dyDescent="0.2">
      <c r="B4787" s="62" t="s">
        <v>917</v>
      </c>
      <c r="C4787" s="61" t="s">
        <v>499</v>
      </c>
      <c r="D4787" s="60">
        <v>1.0954200000000001</v>
      </c>
      <c r="E4787" s="59">
        <v>6.2551100000000002</v>
      </c>
      <c r="F4787" s="59">
        <v>7.4047499999999999</v>
      </c>
      <c r="G4787" s="56">
        <v>1112.5899999999999</v>
      </c>
      <c r="H4787" s="56">
        <v>1015.67</v>
      </c>
      <c r="I4787" s="58">
        <v>0.49809999999999999</v>
      </c>
      <c r="J4787" s="57">
        <v>0.51184300000000005</v>
      </c>
      <c r="K4787" s="56"/>
      <c r="L4787" s="56" t="s">
        <v>488</v>
      </c>
    </row>
    <row r="4788" spans="2:12" x14ac:dyDescent="0.2">
      <c r="B4788" s="62" t="s">
        <v>916</v>
      </c>
      <c r="C4788" s="61" t="s">
        <v>535</v>
      </c>
      <c r="D4788" s="60">
        <v>1.3962699999999999</v>
      </c>
      <c r="E4788" s="59">
        <v>8.8402399999999997</v>
      </c>
      <c r="F4788" s="59">
        <v>9.5027399999999993</v>
      </c>
      <c r="G4788" s="56">
        <v>1436.63</v>
      </c>
      <c r="H4788" s="56">
        <v>1028.9100000000001</v>
      </c>
      <c r="I4788" s="58">
        <v>0.569824</v>
      </c>
      <c r="J4788" s="57">
        <v>0.43732100000000002</v>
      </c>
      <c r="K4788" s="56"/>
      <c r="L4788" s="56" t="s">
        <v>488</v>
      </c>
    </row>
    <row r="4789" spans="2:12" x14ac:dyDescent="0.2">
      <c r="B4789" s="62" t="s">
        <v>915</v>
      </c>
      <c r="C4789" s="61" t="s">
        <v>550</v>
      </c>
      <c r="D4789" s="60">
        <v>0.69203700000000001</v>
      </c>
      <c r="E4789" s="59">
        <v>18.729510000000001</v>
      </c>
      <c r="F4789" s="59">
        <v>18.908639999999998</v>
      </c>
      <c r="G4789" s="56">
        <v>1307.3</v>
      </c>
      <c r="H4789" s="56">
        <v>1889.06</v>
      </c>
      <c r="I4789" s="58">
        <v>0.77824599999999999</v>
      </c>
      <c r="J4789" s="57">
        <v>1.10067</v>
      </c>
      <c r="K4789" s="56" t="s">
        <v>914</v>
      </c>
      <c r="L4789" s="56" t="s">
        <v>563</v>
      </c>
    </row>
    <row r="4790" spans="2:12" x14ac:dyDescent="0.2">
      <c r="B4790" s="62" t="s">
        <v>913</v>
      </c>
      <c r="C4790" s="61" t="s">
        <v>499</v>
      </c>
      <c r="D4790" s="60">
        <v>1.2820400000000001</v>
      </c>
      <c r="E4790" s="59">
        <v>6.0258700000000003</v>
      </c>
      <c r="F4790" s="59">
        <v>9.4285599999999992</v>
      </c>
      <c r="G4790" s="56">
        <v>1620.73</v>
      </c>
      <c r="H4790" s="56">
        <v>1264.18</v>
      </c>
      <c r="I4790" s="58">
        <v>0.57565200000000005</v>
      </c>
      <c r="J4790" s="57">
        <v>0.50678999999999996</v>
      </c>
      <c r="K4790" s="56"/>
      <c r="L4790" s="56" t="s">
        <v>488</v>
      </c>
    </row>
    <row r="4791" spans="2:12" x14ac:dyDescent="0.2">
      <c r="B4791" s="62" t="s">
        <v>912</v>
      </c>
      <c r="C4791" s="61" t="s">
        <v>499</v>
      </c>
      <c r="D4791" s="60">
        <v>1.31172</v>
      </c>
      <c r="E4791" s="59">
        <v>6.4019399999999997</v>
      </c>
      <c r="F4791" s="59">
        <v>9.1185100000000006</v>
      </c>
      <c r="G4791" s="56">
        <v>1589.78</v>
      </c>
      <c r="H4791" s="56">
        <v>1211.98</v>
      </c>
      <c r="I4791" s="58">
        <v>0.56956099999999998</v>
      </c>
      <c r="J4791" s="57">
        <v>0.490842</v>
      </c>
      <c r="K4791" s="56"/>
      <c r="L4791" s="56" t="s">
        <v>488</v>
      </c>
    </row>
    <row r="4792" spans="2:12" x14ac:dyDescent="0.2">
      <c r="B4792" s="62" t="s">
        <v>911</v>
      </c>
      <c r="C4792" s="61" t="s">
        <v>910</v>
      </c>
      <c r="D4792" s="60">
        <v>0.478412</v>
      </c>
      <c r="E4792" s="59">
        <v>4.9916200000000002</v>
      </c>
      <c r="F4792" s="59">
        <v>7.0794899999999998</v>
      </c>
      <c r="G4792" s="56">
        <v>3248.15</v>
      </c>
      <c r="H4792" s="56">
        <v>6789.44</v>
      </c>
      <c r="I4792" s="58">
        <v>0.70747800000000005</v>
      </c>
      <c r="J4792" s="57">
        <v>1.6144099999999999</v>
      </c>
      <c r="K4792" s="56"/>
      <c r="L4792" s="56" t="s">
        <v>488</v>
      </c>
    </row>
    <row r="4793" spans="2:12" x14ac:dyDescent="0.2">
      <c r="B4793" s="62" t="s">
        <v>909</v>
      </c>
      <c r="C4793" s="61" t="s">
        <v>510</v>
      </c>
      <c r="D4793" s="60">
        <v>1.1060000000000001</v>
      </c>
      <c r="E4793" s="59">
        <v>3.7292999999999998</v>
      </c>
      <c r="F4793" s="59">
        <v>4.8812699999999998</v>
      </c>
      <c r="G4793" s="56">
        <v>516.149</v>
      </c>
      <c r="H4793" s="56">
        <v>466.68299999999999</v>
      </c>
      <c r="I4793" s="58">
        <v>0.38850899999999999</v>
      </c>
      <c r="J4793" s="57">
        <v>0.44630599999999998</v>
      </c>
      <c r="K4793" s="56"/>
      <c r="L4793" s="56" t="s">
        <v>488</v>
      </c>
    </row>
    <row r="4794" spans="2:12" x14ac:dyDescent="0.2">
      <c r="B4794" s="62" t="s">
        <v>908</v>
      </c>
      <c r="C4794" s="61" t="s">
        <v>510</v>
      </c>
      <c r="D4794" s="60">
        <v>1.0142100000000001</v>
      </c>
      <c r="E4794" s="59">
        <v>4.0118799999999997</v>
      </c>
      <c r="F4794" s="59">
        <v>6.0847800000000003</v>
      </c>
      <c r="G4794" s="56">
        <v>1309.3499999999999</v>
      </c>
      <c r="H4794" s="56">
        <v>1291</v>
      </c>
      <c r="I4794" s="58">
        <v>0.58066300000000004</v>
      </c>
      <c r="J4794" s="57">
        <v>0.58650199999999997</v>
      </c>
      <c r="K4794" s="56"/>
      <c r="L4794" s="56" t="s">
        <v>488</v>
      </c>
    </row>
    <row r="4795" spans="2:12" x14ac:dyDescent="0.2">
      <c r="B4795" s="62" t="s">
        <v>907</v>
      </c>
      <c r="C4795" s="61" t="s">
        <v>510</v>
      </c>
      <c r="D4795" s="60">
        <v>1.0909199999999999</v>
      </c>
      <c r="E4795" s="59">
        <v>3.8792</v>
      </c>
      <c r="F4795" s="59">
        <v>5.6429799999999997</v>
      </c>
      <c r="G4795" s="56">
        <v>901.72199999999998</v>
      </c>
      <c r="H4795" s="56">
        <v>831.24900000000002</v>
      </c>
      <c r="I4795" s="58">
        <v>0.541516</v>
      </c>
      <c r="J4795" s="57">
        <v>0.51839299999999999</v>
      </c>
      <c r="K4795" s="56"/>
      <c r="L4795" s="56" t="s">
        <v>488</v>
      </c>
    </row>
    <row r="4796" spans="2:12" x14ac:dyDescent="0.2">
      <c r="B4796" s="62" t="s">
        <v>906</v>
      </c>
      <c r="C4796" s="61" t="s">
        <v>510</v>
      </c>
      <c r="D4796" s="60">
        <v>1.0847800000000001</v>
      </c>
      <c r="E4796" s="59">
        <v>3.87826</v>
      </c>
      <c r="F4796" s="59">
        <v>5.6354100000000003</v>
      </c>
      <c r="G4796" s="56">
        <v>905.01099999999997</v>
      </c>
      <c r="H4796" s="56">
        <v>829.58299999999997</v>
      </c>
      <c r="I4796" s="58">
        <v>0.533412</v>
      </c>
      <c r="J4796" s="57">
        <v>0.52171299999999998</v>
      </c>
      <c r="K4796" s="56"/>
      <c r="L4796" s="56" t="s">
        <v>488</v>
      </c>
    </row>
    <row r="4797" spans="2:12" x14ac:dyDescent="0.2">
      <c r="B4797" s="62" t="s">
        <v>905</v>
      </c>
      <c r="C4797" s="61" t="s">
        <v>495</v>
      </c>
      <c r="D4797" s="60">
        <v>1.26837</v>
      </c>
      <c r="E4797" s="59">
        <v>2.4423599999999999</v>
      </c>
      <c r="F4797" s="59">
        <v>4.6150500000000001</v>
      </c>
      <c r="G4797" s="56">
        <v>0</v>
      </c>
      <c r="H4797" s="56">
        <v>0</v>
      </c>
      <c r="I4797" s="58">
        <v>0.36291699999999999</v>
      </c>
      <c r="J4797" s="57">
        <v>0.38158900000000001</v>
      </c>
      <c r="K4797" s="56"/>
      <c r="L4797" s="56" t="s">
        <v>488</v>
      </c>
    </row>
    <row r="4798" spans="2:12" x14ac:dyDescent="0.2">
      <c r="B4798" s="62" t="s">
        <v>904</v>
      </c>
      <c r="C4798" s="61" t="s">
        <v>495</v>
      </c>
      <c r="D4798" s="60">
        <v>1.2504900000000001</v>
      </c>
      <c r="E4798" s="59">
        <v>3.1060400000000001</v>
      </c>
      <c r="F4798" s="59">
        <v>4.3015499999999998</v>
      </c>
      <c r="G4798" s="56">
        <v>0</v>
      </c>
      <c r="H4798" s="56">
        <v>0</v>
      </c>
      <c r="I4798" s="58">
        <v>0.472188</v>
      </c>
      <c r="J4798" s="57">
        <v>0.39823500000000001</v>
      </c>
      <c r="K4798" s="56"/>
      <c r="L4798" s="56" t="s">
        <v>488</v>
      </c>
    </row>
    <row r="4799" spans="2:12" x14ac:dyDescent="0.2">
      <c r="B4799" s="62" t="s">
        <v>903</v>
      </c>
      <c r="C4799" s="61" t="s">
        <v>550</v>
      </c>
      <c r="D4799" s="60">
        <v>0.76410900000000004</v>
      </c>
      <c r="E4799" s="59">
        <v>15.597630000000001</v>
      </c>
      <c r="F4799" s="59">
        <v>16.099450000000001</v>
      </c>
      <c r="G4799" s="56">
        <v>1471.1</v>
      </c>
      <c r="H4799" s="56">
        <v>1925.25</v>
      </c>
      <c r="I4799" s="58">
        <v>0.72505699999999995</v>
      </c>
      <c r="J4799" s="57">
        <v>1.0722100000000001</v>
      </c>
      <c r="K4799" s="56"/>
      <c r="L4799" s="56" t="s">
        <v>488</v>
      </c>
    </row>
    <row r="4800" spans="2:12" x14ac:dyDescent="0.2">
      <c r="B4800" s="62" t="s">
        <v>902</v>
      </c>
      <c r="C4800" s="61" t="s">
        <v>842</v>
      </c>
      <c r="D4800" s="60">
        <v>1.32579</v>
      </c>
      <c r="E4800" s="59">
        <v>3.97403</v>
      </c>
      <c r="F4800" s="59">
        <v>5.3311200000000003</v>
      </c>
      <c r="G4800" s="56">
        <v>1165.6099999999999</v>
      </c>
      <c r="H4800" s="56">
        <v>879.18100000000004</v>
      </c>
      <c r="I4800" s="58">
        <v>0.41030100000000003</v>
      </c>
      <c r="J4800" s="57">
        <v>0.401287</v>
      </c>
      <c r="K4800" s="56"/>
      <c r="L4800" s="56" t="s">
        <v>488</v>
      </c>
    </row>
    <row r="4801" spans="2:12" x14ac:dyDescent="0.2">
      <c r="B4801" s="62" t="s">
        <v>901</v>
      </c>
      <c r="C4801" s="61" t="s">
        <v>899</v>
      </c>
      <c r="D4801" s="60">
        <v>1.0885800000000001</v>
      </c>
      <c r="E4801" s="59">
        <v>3.3405900000000002</v>
      </c>
      <c r="F4801" s="59">
        <v>6.49709</v>
      </c>
      <c r="G4801" s="56">
        <v>0</v>
      </c>
      <c r="H4801" s="56">
        <v>0</v>
      </c>
      <c r="I4801" s="58">
        <v>0.57754399999999995</v>
      </c>
      <c r="J4801" s="57">
        <v>0.51863199999999998</v>
      </c>
      <c r="K4801" s="56"/>
      <c r="L4801" s="56" t="s">
        <v>488</v>
      </c>
    </row>
    <row r="4802" spans="2:12" x14ac:dyDescent="0.2">
      <c r="B4802" s="62" t="s">
        <v>900</v>
      </c>
      <c r="C4802" s="61" t="s">
        <v>899</v>
      </c>
      <c r="D4802" s="60">
        <v>0.84873600000000005</v>
      </c>
      <c r="E4802" s="59">
        <v>4.8452200000000003</v>
      </c>
      <c r="F4802" s="59">
        <v>7.7533899999999996</v>
      </c>
      <c r="G4802" s="56">
        <v>1818.03</v>
      </c>
      <c r="H4802" s="56">
        <v>2142.0500000000002</v>
      </c>
      <c r="I4802" s="58">
        <v>0.665076</v>
      </c>
      <c r="J4802" s="57">
        <v>0.761714</v>
      </c>
      <c r="K4802" s="56"/>
      <c r="L4802" s="56" t="s">
        <v>488</v>
      </c>
    </row>
    <row r="4803" spans="2:12" x14ac:dyDescent="0.2">
      <c r="B4803" s="62" t="s">
        <v>898</v>
      </c>
      <c r="C4803" s="61" t="s">
        <v>499</v>
      </c>
      <c r="D4803" s="60">
        <v>1.4545699999999999</v>
      </c>
      <c r="E4803" s="59">
        <v>2.9996299999999998</v>
      </c>
      <c r="F4803" s="59">
        <v>3.6682800000000002</v>
      </c>
      <c r="G4803" s="56">
        <v>0</v>
      </c>
      <c r="H4803" s="56">
        <v>0</v>
      </c>
      <c r="I4803" s="58">
        <v>0.105804</v>
      </c>
      <c r="J4803" s="57">
        <v>0.26428000000000001</v>
      </c>
      <c r="K4803" s="56"/>
      <c r="L4803" s="56" t="s">
        <v>488</v>
      </c>
    </row>
    <row r="4804" spans="2:12" x14ac:dyDescent="0.2">
      <c r="B4804" s="62" t="s">
        <v>897</v>
      </c>
      <c r="C4804" s="61" t="s">
        <v>499</v>
      </c>
      <c r="D4804" s="60">
        <v>0.84101800000000004</v>
      </c>
      <c r="E4804" s="59">
        <v>5.0896600000000003</v>
      </c>
      <c r="F4804" s="59">
        <v>6.6529100000000003</v>
      </c>
      <c r="G4804" s="56">
        <v>2582.79</v>
      </c>
      <c r="H4804" s="56">
        <v>3071.03</v>
      </c>
      <c r="I4804" s="58">
        <v>0.71654099999999998</v>
      </c>
      <c r="J4804" s="57">
        <v>0.84000600000000003</v>
      </c>
      <c r="K4804" s="56"/>
      <c r="L4804" s="56" t="s">
        <v>488</v>
      </c>
    </row>
    <row r="4805" spans="2:12" x14ac:dyDescent="0.2">
      <c r="B4805" s="62" t="s">
        <v>896</v>
      </c>
      <c r="C4805" s="61" t="s">
        <v>641</v>
      </c>
      <c r="D4805" s="60">
        <v>1.5429999999999999</v>
      </c>
      <c r="E4805" s="59">
        <v>4.1020700000000003</v>
      </c>
      <c r="F4805" s="59">
        <v>5.4192400000000003</v>
      </c>
      <c r="G4805" s="56">
        <v>559.83900000000006</v>
      </c>
      <c r="H4805" s="56">
        <v>362.82499999999999</v>
      </c>
      <c r="I4805" s="58">
        <v>0.29629899999999998</v>
      </c>
      <c r="J4805" s="57">
        <v>0.28626000000000001</v>
      </c>
      <c r="K4805" s="56"/>
      <c r="L4805" s="56" t="s">
        <v>488</v>
      </c>
    </row>
    <row r="4806" spans="2:12" x14ac:dyDescent="0.2">
      <c r="B4806" s="62" t="s">
        <v>895</v>
      </c>
      <c r="C4806" s="61" t="s">
        <v>641</v>
      </c>
      <c r="D4806" s="60">
        <v>1.5415399999999999</v>
      </c>
      <c r="E4806" s="59">
        <v>3.2113499999999999</v>
      </c>
      <c r="F4806" s="59">
        <v>5.1973000000000003</v>
      </c>
      <c r="G4806" s="56">
        <v>0</v>
      </c>
      <c r="H4806" s="56">
        <v>0</v>
      </c>
      <c r="I4806" s="58">
        <v>0.30299500000000001</v>
      </c>
      <c r="J4806" s="57">
        <v>0.29644199999999998</v>
      </c>
      <c r="K4806" s="56"/>
      <c r="L4806" s="56" t="s">
        <v>488</v>
      </c>
    </row>
    <row r="4807" spans="2:12" x14ac:dyDescent="0.2">
      <c r="B4807" s="62" t="s">
        <v>894</v>
      </c>
      <c r="C4807" s="61" t="s">
        <v>510</v>
      </c>
      <c r="D4807" s="60">
        <v>0.99786900000000001</v>
      </c>
      <c r="E4807" s="59">
        <v>5.88361</v>
      </c>
      <c r="F4807" s="59">
        <v>7.7288899999999998</v>
      </c>
      <c r="G4807" s="56">
        <v>1861.21</v>
      </c>
      <c r="H4807" s="56">
        <v>1865.18</v>
      </c>
      <c r="I4807" s="58">
        <v>0.61490599999999995</v>
      </c>
      <c r="J4807" s="57">
        <v>0.64806699999999995</v>
      </c>
      <c r="K4807" s="56"/>
      <c r="L4807" s="56" t="s">
        <v>488</v>
      </c>
    </row>
    <row r="4808" spans="2:12" x14ac:dyDescent="0.2">
      <c r="B4808" s="62" t="s">
        <v>893</v>
      </c>
      <c r="C4808" s="61" t="s">
        <v>499</v>
      </c>
      <c r="D4808" s="60">
        <v>1.09832</v>
      </c>
      <c r="E4808" s="59">
        <v>4.2879899999999997</v>
      </c>
      <c r="F4808" s="59">
        <v>6.2861599999999997</v>
      </c>
      <c r="G4808" s="56">
        <v>1726.08</v>
      </c>
      <c r="H4808" s="56">
        <v>1571.55</v>
      </c>
      <c r="I4808" s="58">
        <v>0.55496900000000005</v>
      </c>
      <c r="J4808" s="57">
        <v>0.60854600000000003</v>
      </c>
      <c r="K4808" s="56"/>
      <c r="L4808" s="56" t="s">
        <v>488</v>
      </c>
    </row>
    <row r="4809" spans="2:12" x14ac:dyDescent="0.2">
      <c r="B4809" s="62" t="s">
        <v>892</v>
      </c>
      <c r="C4809" s="61" t="s">
        <v>573</v>
      </c>
      <c r="D4809" s="60">
        <v>1.53471</v>
      </c>
      <c r="E4809" s="59">
        <v>3.1657299999999999</v>
      </c>
      <c r="F4809" s="59">
        <v>7.0922400000000003</v>
      </c>
      <c r="G4809" s="56">
        <v>0</v>
      </c>
      <c r="H4809" s="56">
        <v>0</v>
      </c>
      <c r="I4809" s="58">
        <v>0.30882700000000002</v>
      </c>
      <c r="J4809" s="57">
        <v>0.31698500000000002</v>
      </c>
      <c r="K4809" s="56"/>
      <c r="L4809" s="56" t="s">
        <v>488</v>
      </c>
    </row>
    <row r="4810" spans="2:12" x14ac:dyDescent="0.2">
      <c r="B4810" s="62" t="s">
        <v>891</v>
      </c>
      <c r="C4810" s="61" t="s">
        <v>890</v>
      </c>
      <c r="D4810" s="60">
        <v>1.58944</v>
      </c>
      <c r="E4810" s="59">
        <v>3.0368900000000001</v>
      </c>
      <c r="F4810" s="59">
        <v>7.0702800000000003</v>
      </c>
      <c r="G4810" s="56">
        <v>0</v>
      </c>
      <c r="H4810" s="56">
        <v>0</v>
      </c>
      <c r="I4810" s="58">
        <v>0.30760700000000002</v>
      </c>
      <c r="J4810" s="57">
        <v>0.30197499999999999</v>
      </c>
      <c r="K4810" s="56"/>
      <c r="L4810" s="56" t="s">
        <v>488</v>
      </c>
    </row>
    <row r="4811" spans="2:12" x14ac:dyDescent="0.2">
      <c r="B4811" s="62" t="s">
        <v>889</v>
      </c>
      <c r="C4811" s="61" t="s">
        <v>582</v>
      </c>
      <c r="D4811" s="60">
        <v>2.1389800000000001</v>
      </c>
      <c r="E4811" s="59">
        <v>2.5905499999999999</v>
      </c>
      <c r="F4811" s="59">
        <v>3.2934399999999999</v>
      </c>
      <c r="G4811" s="56">
        <v>0</v>
      </c>
      <c r="H4811" s="56">
        <v>0</v>
      </c>
      <c r="I4811" s="58">
        <v>0.11909599999999999</v>
      </c>
      <c r="J4811" s="57">
        <v>0.18216399999999999</v>
      </c>
      <c r="K4811" s="56"/>
      <c r="L4811" s="56" t="s">
        <v>488</v>
      </c>
    </row>
    <row r="4812" spans="2:12" x14ac:dyDescent="0.2">
      <c r="B4812" s="62" t="s">
        <v>888</v>
      </c>
      <c r="C4812" s="61" t="s">
        <v>558</v>
      </c>
      <c r="D4812" s="60">
        <v>2.2882400000000001</v>
      </c>
      <c r="E4812" s="59">
        <v>2.5043000000000002</v>
      </c>
      <c r="F4812" s="59">
        <v>3.2162000000000002</v>
      </c>
      <c r="G4812" s="56">
        <v>0</v>
      </c>
      <c r="H4812" s="56">
        <v>0</v>
      </c>
      <c r="I4812" s="58">
        <v>0.105694</v>
      </c>
      <c r="J4812" s="57">
        <v>0.16514400000000001</v>
      </c>
      <c r="K4812" s="56"/>
      <c r="L4812" s="56" t="s">
        <v>488</v>
      </c>
    </row>
    <row r="4813" spans="2:12" x14ac:dyDescent="0.2">
      <c r="B4813" s="62" t="s">
        <v>887</v>
      </c>
      <c r="C4813" s="61" t="s">
        <v>537</v>
      </c>
      <c r="D4813" s="60">
        <v>2.2541099999999998</v>
      </c>
      <c r="E4813" s="59">
        <v>2.5351400000000002</v>
      </c>
      <c r="F4813" s="59">
        <v>3.2479100000000001</v>
      </c>
      <c r="G4813" s="56">
        <v>0</v>
      </c>
      <c r="H4813" s="56">
        <v>0</v>
      </c>
      <c r="I4813" s="58">
        <v>0.11339</v>
      </c>
      <c r="J4813" s="57">
        <v>0.17005799999999999</v>
      </c>
      <c r="K4813" s="56"/>
      <c r="L4813" s="56" t="s">
        <v>488</v>
      </c>
    </row>
    <row r="4814" spans="2:12" x14ac:dyDescent="0.2">
      <c r="B4814" s="62" t="s">
        <v>886</v>
      </c>
      <c r="C4814" s="61" t="s">
        <v>885</v>
      </c>
      <c r="D4814" s="60">
        <v>1.4187700000000001</v>
      </c>
      <c r="E4814" s="59">
        <v>4.2929599999999999</v>
      </c>
      <c r="F4814" s="59">
        <v>7.2187999999999999</v>
      </c>
      <c r="G4814" s="56">
        <v>577.63</v>
      </c>
      <c r="H4814" s="56">
        <v>407.13499999999999</v>
      </c>
      <c r="I4814" s="58">
        <v>0.236983</v>
      </c>
      <c r="J4814" s="57">
        <v>0.34675099999999998</v>
      </c>
      <c r="K4814" s="56"/>
      <c r="L4814" s="56" t="s">
        <v>488</v>
      </c>
    </row>
    <row r="4815" spans="2:12" x14ac:dyDescent="0.2">
      <c r="B4815" s="62" t="s">
        <v>884</v>
      </c>
      <c r="C4815" s="61" t="s">
        <v>499</v>
      </c>
      <c r="D4815" s="60">
        <v>1.1747000000000001</v>
      </c>
      <c r="E4815" s="59">
        <v>3.9471799999999999</v>
      </c>
      <c r="F4815" s="59">
        <v>5.0440699999999996</v>
      </c>
      <c r="G4815" s="56">
        <v>979.77099999999996</v>
      </c>
      <c r="H4815" s="56">
        <v>834.06</v>
      </c>
      <c r="I4815" s="58">
        <v>0.54096200000000005</v>
      </c>
      <c r="J4815" s="57">
        <v>0.52328200000000002</v>
      </c>
      <c r="K4815" s="56"/>
      <c r="L4815" s="56" t="s">
        <v>488</v>
      </c>
    </row>
    <row r="4816" spans="2:12" x14ac:dyDescent="0.2">
      <c r="B4816" s="62" t="s">
        <v>883</v>
      </c>
      <c r="C4816" s="61" t="s">
        <v>502</v>
      </c>
      <c r="D4816" s="60">
        <v>0.82892500000000002</v>
      </c>
      <c r="E4816" s="59">
        <v>5.0185500000000003</v>
      </c>
      <c r="F4816" s="59">
        <v>11.26084</v>
      </c>
      <c r="G4816" s="56">
        <v>1806.09</v>
      </c>
      <c r="H4816" s="56">
        <v>2178.83</v>
      </c>
      <c r="I4816" s="58">
        <v>0.73506800000000005</v>
      </c>
      <c r="J4816" s="57">
        <v>0.82426600000000005</v>
      </c>
      <c r="K4816" s="56"/>
      <c r="L4816" s="56" t="s">
        <v>488</v>
      </c>
    </row>
    <row r="4817" spans="2:12" x14ac:dyDescent="0.2">
      <c r="B4817" s="62" t="s">
        <v>882</v>
      </c>
      <c r="C4817" s="61" t="s">
        <v>708</v>
      </c>
      <c r="D4817" s="60">
        <v>1.8935</v>
      </c>
      <c r="E4817" s="59">
        <v>3.5154800000000002</v>
      </c>
      <c r="F4817" s="59">
        <v>4.67713</v>
      </c>
      <c r="G4817" s="56">
        <v>0</v>
      </c>
      <c r="H4817" s="56">
        <v>0</v>
      </c>
      <c r="I4817" s="58">
        <v>0.25500299999999998</v>
      </c>
      <c r="J4817" s="57">
        <v>0.23522799999999999</v>
      </c>
      <c r="K4817" s="56"/>
      <c r="L4817" s="56" t="s">
        <v>488</v>
      </c>
    </row>
    <row r="4818" spans="2:12" x14ac:dyDescent="0.2">
      <c r="B4818" s="62" t="s">
        <v>881</v>
      </c>
      <c r="C4818" s="61" t="s">
        <v>880</v>
      </c>
      <c r="D4818" s="60">
        <v>2.43811</v>
      </c>
      <c r="E4818" s="59">
        <v>3.28878</v>
      </c>
      <c r="F4818" s="59">
        <v>3.8826399999999999</v>
      </c>
      <c r="G4818" s="56">
        <v>0</v>
      </c>
      <c r="H4818" s="56">
        <v>0</v>
      </c>
      <c r="I4818" s="58">
        <v>8.2366999999999996E-2</v>
      </c>
      <c r="J4818" s="57">
        <v>0.162524</v>
      </c>
      <c r="K4818" s="56"/>
      <c r="L4818" s="56" t="s">
        <v>488</v>
      </c>
    </row>
    <row r="4819" spans="2:12" x14ac:dyDescent="0.2">
      <c r="B4819" s="62" t="s">
        <v>879</v>
      </c>
      <c r="C4819" s="61" t="s">
        <v>878</v>
      </c>
      <c r="D4819" s="60">
        <v>2.4842499999999998</v>
      </c>
      <c r="E4819" s="59">
        <v>3.2473299999999998</v>
      </c>
      <c r="F4819" s="59">
        <v>3.9068700000000001</v>
      </c>
      <c r="G4819" s="56">
        <v>0</v>
      </c>
      <c r="H4819" s="56">
        <v>0</v>
      </c>
      <c r="I4819" s="58">
        <v>8.3712499999999995E-2</v>
      </c>
      <c r="J4819" s="57">
        <v>0.15795300000000001</v>
      </c>
      <c r="K4819" s="56"/>
      <c r="L4819" s="56" t="s">
        <v>488</v>
      </c>
    </row>
    <row r="4820" spans="2:12" x14ac:dyDescent="0.2">
      <c r="B4820" s="62" t="s">
        <v>877</v>
      </c>
      <c r="C4820" s="61" t="s">
        <v>495</v>
      </c>
      <c r="D4820" s="60">
        <v>1.62483</v>
      </c>
      <c r="E4820" s="59">
        <v>3.9226399999999999</v>
      </c>
      <c r="F4820" s="59">
        <v>4.9027399999999997</v>
      </c>
      <c r="G4820" s="56">
        <v>591.43399999999997</v>
      </c>
      <c r="H4820" s="56">
        <v>363.99700000000001</v>
      </c>
      <c r="I4820" s="58">
        <v>0.27653</v>
      </c>
      <c r="J4820" s="57">
        <v>0.28866999999999998</v>
      </c>
      <c r="K4820" s="56"/>
      <c r="L4820" s="56" t="s">
        <v>488</v>
      </c>
    </row>
    <row r="4821" spans="2:12" x14ac:dyDescent="0.2">
      <c r="B4821" s="62" t="s">
        <v>876</v>
      </c>
      <c r="C4821" s="61" t="s">
        <v>875</v>
      </c>
      <c r="D4821" s="60">
        <v>2.1014200000000001</v>
      </c>
      <c r="E4821" s="59">
        <v>3.0634399999999999</v>
      </c>
      <c r="F4821" s="59">
        <v>3.5863</v>
      </c>
      <c r="G4821" s="56">
        <v>0</v>
      </c>
      <c r="H4821" s="56">
        <v>0</v>
      </c>
      <c r="I4821" s="58">
        <v>0.109736</v>
      </c>
      <c r="J4821" s="57">
        <v>0.169043</v>
      </c>
      <c r="K4821" s="56"/>
      <c r="L4821" s="56" t="s">
        <v>488</v>
      </c>
    </row>
    <row r="4822" spans="2:12" x14ac:dyDescent="0.2">
      <c r="B4822" s="62" t="s">
        <v>874</v>
      </c>
      <c r="C4822" s="61" t="s">
        <v>499</v>
      </c>
      <c r="D4822" s="60">
        <v>1.339</v>
      </c>
      <c r="E4822" s="59">
        <v>4.5408900000000001</v>
      </c>
      <c r="F4822" s="59">
        <v>5.5261100000000001</v>
      </c>
      <c r="G4822" s="56">
        <v>1366.58</v>
      </c>
      <c r="H4822" s="56">
        <v>1020.6</v>
      </c>
      <c r="I4822" s="58">
        <v>0.594638</v>
      </c>
      <c r="J4822" s="57">
        <v>0.446573</v>
      </c>
      <c r="K4822" s="56"/>
      <c r="L4822" s="56" t="s">
        <v>488</v>
      </c>
    </row>
    <row r="4823" spans="2:12" x14ac:dyDescent="0.2">
      <c r="B4823" s="62" t="s">
        <v>873</v>
      </c>
      <c r="C4823" s="61" t="s">
        <v>499</v>
      </c>
      <c r="D4823" s="60">
        <v>1.339</v>
      </c>
      <c r="E4823" s="59">
        <v>4.5408900000000001</v>
      </c>
      <c r="F4823" s="59">
        <v>5.5261100000000001</v>
      </c>
      <c r="G4823" s="56">
        <v>1366.58</v>
      </c>
      <c r="H4823" s="56">
        <v>1020.6</v>
      </c>
      <c r="I4823" s="58">
        <v>0.59604000000000001</v>
      </c>
      <c r="J4823" s="57">
        <v>0.446573</v>
      </c>
      <c r="K4823" s="56"/>
      <c r="L4823" s="56" t="s">
        <v>488</v>
      </c>
    </row>
    <row r="4824" spans="2:12" x14ac:dyDescent="0.2">
      <c r="B4824" s="62" t="s">
        <v>872</v>
      </c>
      <c r="C4824" s="61" t="s">
        <v>871</v>
      </c>
      <c r="D4824" s="60">
        <v>1.53796</v>
      </c>
      <c r="E4824" s="59">
        <v>2.5091199999999998</v>
      </c>
      <c r="F4824" s="59">
        <v>4.0942999999999996</v>
      </c>
      <c r="G4824" s="56">
        <v>0</v>
      </c>
      <c r="H4824" s="56">
        <v>0</v>
      </c>
      <c r="I4824" s="58">
        <v>0.21140200000000001</v>
      </c>
      <c r="J4824" s="57">
        <v>0.27754200000000001</v>
      </c>
      <c r="K4824" s="56"/>
      <c r="L4824" s="56" t="s">
        <v>488</v>
      </c>
    </row>
    <row r="4825" spans="2:12" x14ac:dyDescent="0.2">
      <c r="B4825" s="62" t="s">
        <v>870</v>
      </c>
      <c r="C4825" s="61" t="s">
        <v>625</v>
      </c>
      <c r="D4825" s="60">
        <v>1.10762</v>
      </c>
      <c r="E4825" s="59">
        <v>7.9203700000000001</v>
      </c>
      <c r="F4825" s="59">
        <v>8.6262299999999996</v>
      </c>
      <c r="G4825" s="56">
        <v>850.86</v>
      </c>
      <c r="H4825" s="56">
        <v>768.18700000000001</v>
      </c>
      <c r="I4825" s="58">
        <v>0.407032</v>
      </c>
      <c r="J4825" s="57">
        <v>0.52106399999999997</v>
      </c>
      <c r="K4825" s="56"/>
      <c r="L4825" s="56" t="s">
        <v>492</v>
      </c>
    </row>
    <row r="4826" spans="2:12" x14ac:dyDescent="0.2">
      <c r="B4826" s="62" t="s">
        <v>869</v>
      </c>
      <c r="C4826" s="61" t="s">
        <v>502</v>
      </c>
      <c r="D4826" s="60">
        <v>1.4126000000000001</v>
      </c>
      <c r="E4826" s="59">
        <v>4.56447</v>
      </c>
      <c r="F4826" s="59">
        <v>5.2622099999999996</v>
      </c>
      <c r="G4826" s="56">
        <v>550.03899999999999</v>
      </c>
      <c r="H4826" s="56">
        <v>389.38200000000001</v>
      </c>
      <c r="I4826" s="58">
        <v>0.28729700000000002</v>
      </c>
      <c r="J4826" s="57">
        <v>0.35410599999999998</v>
      </c>
      <c r="K4826" s="56"/>
      <c r="L4826" s="56" t="s">
        <v>488</v>
      </c>
    </row>
    <row r="4827" spans="2:12" x14ac:dyDescent="0.2">
      <c r="B4827" s="62" t="s">
        <v>868</v>
      </c>
      <c r="C4827" s="61" t="s">
        <v>499</v>
      </c>
      <c r="D4827" s="60">
        <v>1.38666</v>
      </c>
      <c r="E4827" s="59">
        <v>2.7818200000000002</v>
      </c>
      <c r="F4827" s="59">
        <v>5.1942500000000003</v>
      </c>
      <c r="G4827" s="56">
        <v>0</v>
      </c>
      <c r="H4827" s="56">
        <v>0</v>
      </c>
      <c r="I4827" s="58">
        <v>0.29827100000000001</v>
      </c>
      <c r="J4827" s="57">
        <v>0.34746199999999999</v>
      </c>
      <c r="K4827" s="56"/>
      <c r="L4827" s="56" t="s">
        <v>492</v>
      </c>
    </row>
    <row r="4828" spans="2:12" x14ac:dyDescent="0.2">
      <c r="B4828" s="62" t="s">
        <v>867</v>
      </c>
      <c r="C4828" s="61" t="s">
        <v>499</v>
      </c>
      <c r="D4828" s="60">
        <v>1.7212700000000001</v>
      </c>
      <c r="E4828" s="59">
        <v>2.50509</v>
      </c>
      <c r="F4828" s="59">
        <v>4.0188600000000001</v>
      </c>
      <c r="G4828" s="56">
        <v>0</v>
      </c>
      <c r="H4828" s="56">
        <v>0</v>
      </c>
      <c r="I4828" s="58">
        <v>9.4665799999999994E-2</v>
      </c>
      <c r="J4828" s="57">
        <v>0.24209900000000001</v>
      </c>
      <c r="K4828" s="56"/>
      <c r="L4828" s="56" t="s">
        <v>492</v>
      </c>
    </row>
    <row r="4829" spans="2:12" x14ac:dyDescent="0.2">
      <c r="B4829" s="62" t="s">
        <v>866</v>
      </c>
      <c r="C4829" s="61" t="s">
        <v>499</v>
      </c>
      <c r="D4829" s="60">
        <v>1.56619</v>
      </c>
      <c r="E4829" s="59">
        <v>3.0577700000000001</v>
      </c>
      <c r="F4829" s="59">
        <v>3.7609400000000002</v>
      </c>
      <c r="G4829" s="56">
        <v>0</v>
      </c>
      <c r="H4829" s="56">
        <v>0</v>
      </c>
      <c r="I4829" s="58">
        <v>0.17066000000000001</v>
      </c>
      <c r="J4829" s="57">
        <v>0.26223299999999999</v>
      </c>
      <c r="K4829" s="56"/>
      <c r="L4829" s="56" t="s">
        <v>488</v>
      </c>
    </row>
    <row r="4830" spans="2:12" x14ac:dyDescent="0.2">
      <c r="B4830" s="62" t="s">
        <v>865</v>
      </c>
      <c r="C4830" s="61" t="s">
        <v>864</v>
      </c>
      <c r="D4830" s="60">
        <v>2.1670699999999998</v>
      </c>
      <c r="E4830" s="59">
        <v>3.4586299999999999</v>
      </c>
      <c r="F4830" s="59">
        <v>4.7477999999999998</v>
      </c>
      <c r="G4830" s="56">
        <v>0</v>
      </c>
      <c r="H4830" s="56">
        <v>0</v>
      </c>
      <c r="I4830" s="58">
        <v>0.19835</v>
      </c>
      <c r="J4830" s="57">
        <v>0.18024799999999999</v>
      </c>
      <c r="K4830" s="56"/>
      <c r="L4830" s="56" t="s">
        <v>488</v>
      </c>
    </row>
    <row r="4831" spans="2:12" x14ac:dyDescent="0.2">
      <c r="B4831" s="62" t="s">
        <v>863</v>
      </c>
      <c r="C4831" s="61" t="s">
        <v>510</v>
      </c>
      <c r="D4831" s="60">
        <v>1.7889900000000001</v>
      </c>
      <c r="E4831" s="59">
        <v>2.4035899999999999</v>
      </c>
      <c r="F4831" s="59">
        <v>3.1415299999999999</v>
      </c>
      <c r="G4831" s="56">
        <v>0</v>
      </c>
      <c r="H4831" s="56">
        <v>0</v>
      </c>
      <c r="I4831" s="58">
        <v>6.83E-2</v>
      </c>
      <c r="J4831" s="57">
        <v>0.18265300000000001</v>
      </c>
      <c r="K4831" s="56"/>
      <c r="L4831" s="56" t="s">
        <v>488</v>
      </c>
    </row>
    <row r="4832" spans="2:12" x14ac:dyDescent="0.2">
      <c r="B4832" s="62" t="s">
        <v>862</v>
      </c>
      <c r="C4832" s="61" t="s">
        <v>859</v>
      </c>
      <c r="D4832" s="60">
        <v>3.2840199999999999</v>
      </c>
      <c r="E4832" s="59">
        <v>2.5484</v>
      </c>
      <c r="F4832" s="59">
        <v>4.2818899999999998</v>
      </c>
      <c r="G4832" s="56">
        <v>0</v>
      </c>
      <c r="H4832" s="56">
        <v>0</v>
      </c>
      <c r="I4832" s="58">
        <v>0.191353</v>
      </c>
      <c r="J4832" s="57">
        <v>0.120383</v>
      </c>
      <c r="K4832" s="56"/>
      <c r="L4832" s="56" t="s">
        <v>488</v>
      </c>
    </row>
    <row r="4833" spans="2:12" x14ac:dyDescent="0.2">
      <c r="B4833" s="62" t="s">
        <v>861</v>
      </c>
      <c r="C4833" s="61" t="s">
        <v>533</v>
      </c>
      <c r="D4833" s="60">
        <v>1.18998</v>
      </c>
      <c r="E4833" s="59">
        <v>3.8477700000000001</v>
      </c>
      <c r="F4833" s="59">
        <v>6.10947</v>
      </c>
      <c r="G4833" s="56">
        <v>400.209</v>
      </c>
      <c r="H4833" s="56">
        <v>336.31700000000001</v>
      </c>
      <c r="I4833" s="58">
        <v>0.41230600000000001</v>
      </c>
      <c r="J4833" s="57">
        <v>0.43922699999999998</v>
      </c>
      <c r="K4833" s="56"/>
      <c r="L4833" s="56" t="s">
        <v>488</v>
      </c>
    </row>
    <row r="4834" spans="2:12" x14ac:dyDescent="0.2">
      <c r="B4834" s="62" t="s">
        <v>860</v>
      </c>
      <c r="C4834" s="61" t="s">
        <v>859</v>
      </c>
      <c r="D4834" s="60">
        <v>1.2168099999999999</v>
      </c>
      <c r="E4834" s="59">
        <v>3.7727900000000001</v>
      </c>
      <c r="F4834" s="59">
        <v>6.0941799999999997</v>
      </c>
      <c r="G4834" s="56">
        <v>370.98399999999998</v>
      </c>
      <c r="H4834" s="56">
        <v>304.88099999999997</v>
      </c>
      <c r="I4834" s="58">
        <v>0.411497</v>
      </c>
      <c r="J4834" s="57">
        <v>0.42518499999999998</v>
      </c>
      <c r="K4834" s="56"/>
      <c r="L4834" s="56" t="s">
        <v>488</v>
      </c>
    </row>
    <row r="4835" spans="2:12" x14ac:dyDescent="0.2">
      <c r="B4835" s="62" t="s">
        <v>858</v>
      </c>
      <c r="C4835" s="61" t="s">
        <v>857</v>
      </c>
      <c r="D4835" s="60">
        <v>2.6845599999999998</v>
      </c>
      <c r="E4835" s="59">
        <v>6.9172500000000001</v>
      </c>
      <c r="F4835" s="59">
        <v>8.3884100000000004</v>
      </c>
      <c r="G4835" s="56">
        <v>1142.47</v>
      </c>
      <c r="H4835" s="56">
        <v>425.56900000000002</v>
      </c>
      <c r="I4835" s="58">
        <v>0.41465000000000002</v>
      </c>
      <c r="J4835" s="57">
        <v>0.19841600000000001</v>
      </c>
      <c r="K4835" s="56"/>
      <c r="L4835" s="56" t="s">
        <v>488</v>
      </c>
    </row>
    <row r="4836" spans="2:12" x14ac:dyDescent="0.2">
      <c r="B4836" s="62" t="s">
        <v>856</v>
      </c>
      <c r="C4836" s="61" t="s">
        <v>502</v>
      </c>
      <c r="D4836" s="60">
        <v>0.99124100000000004</v>
      </c>
      <c r="E4836" s="59">
        <v>5.3331999999999997</v>
      </c>
      <c r="F4836" s="59">
        <v>7.5072599999999996</v>
      </c>
      <c r="G4836" s="56">
        <v>1851.7</v>
      </c>
      <c r="H4836" s="56">
        <v>1868.06</v>
      </c>
      <c r="I4836" s="58">
        <v>0.60228199999999998</v>
      </c>
      <c r="J4836" s="57">
        <v>0.62132699999999996</v>
      </c>
      <c r="K4836" s="56"/>
      <c r="L4836" s="56" t="s">
        <v>488</v>
      </c>
    </row>
    <row r="4837" spans="2:12" x14ac:dyDescent="0.2">
      <c r="B4837" s="62" t="s">
        <v>855</v>
      </c>
      <c r="C4837" s="61" t="s">
        <v>708</v>
      </c>
      <c r="D4837" s="60">
        <v>1.0611699999999999</v>
      </c>
      <c r="E4837" s="59">
        <v>4.6660500000000003</v>
      </c>
      <c r="F4837" s="59">
        <v>6.6385500000000004</v>
      </c>
      <c r="G4837" s="56">
        <v>1372.68</v>
      </c>
      <c r="H4837" s="56">
        <v>1293.55</v>
      </c>
      <c r="I4837" s="58">
        <v>0.51037100000000002</v>
      </c>
      <c r="J4837" s="57">
        <v>0.52278899999999995</v>
      </c>
      <c r="K4837" s="56"/>
      <c r="L4837" s="56" t="s">
        <v>488</v>
      </c>
    </row>
    <row r="4838" spans="2:12" x14ac:dyDescent="0.2">
      <c r="B4838" s="62" t="s">
        <v>854</v>
      </c>
      <c r="C4838" s="61" t="s">
        <v>499</v>
      </c>
      <c r="D4838" s="60">
        <v>1.5245500000000001</v>
      </c>
      <c r="E4838" s="59">
        <v>3.1326499999999999</v>
      </c>
      <c r="F4838" s="59">
        <v>5.1755300000000002</v>
      </c>
      <c r="G4838" s="56">
        <v>0</v>
      </c>
      <c r="H4838" s="56">
        <v>0</v>
      </c>
      <c r="I4838" s="58">
        <v>0.27698299999999998</v>
      </c>
      <c r="J4838" s="57">
        <v>0.30230400000000002</v>
      </c>
      <c r="K4838" s="56"/>
      <c r="L4838" s="56" t="s">
        <v>488</v>
      </c>
    </row>
    <row r="4839" spans="2:12" x14ac:dyDescent="0.2">
      <c r="B4839" s="62" t="s">
        <v>853</v>
      </c>
      <c r="C4839" s="61" t="s">
        <v>553</v>
      </c>
      <c r="D4839" s="60">
        <v>1.0518099999999999</v>
      </c>
      <c r="E4839" s="59">
        <v>4.2534099999999997</v>
      </c>
      <c r="F4839" s="59">
        <v>5.5677899999999996</v>
      </c>
      <c r="G4839" s="56">
        <v>1320.27</v>
      </c>
      <c r="H4839" s="56">
        <v>1255.24</v>
      </c>
      <c r="I4839" s="58">
        <v>0.44467299999999998</v>
      </c>
      <c r="J4839" s="57">
        <v>0.52331499999999997</v>
      </c>
      <c r="K4839" s="56"/>
      <c r="L4839" s="56" t="s">
        <v>488</v>
      </c>
    </row>
    <row r="4840" spans="2:12" x14ac:dyDescent="0.2">
      <c r="B4840" s="62" t="s">
        <v>852</v>
      </c>
      <c r="C4840" s="61" t="s">
        <v>553</v>
      </c>
      <c r="D4840" s="60">
        <v>1.2003699999999999</v>
      </c>
      <c r="E4840" s="59">
        <v>2.7231299999999998</v>
      </c>
      <c r="F4840" s="59">
        <v>4.8340300000000003</v>
      </c>
      <c r="G4840" s="56">
        <v>0</v>
      </c>
      <c r="H4840" s="56">
        <v>0</v>
      </c>
      <c r="I4840" s="58">
        <v>0.244335</v>
      </c>
      <c r="J4840" s="57">
        <v>0.39768199999999998</v>
      </c>
      <c r="K4840" s="56"/>
      <c r="L4840" s="56" t="s">
        <v>488</v>
      </c>
    </row>
    <row r="4841" spans="2:12" x14ac:dyDescent="0.2">
      <c r="B4841" s="62" t="s">
        <v>851</v>
      </c>
      <c r="C4841" s="61" t="s">
        <v>499</v>
      </c>
      <c r="D4841" s="60">
        <v>2.7668300000000001</v>
      </c>
      <c r="E4841" s="59">
        <v>2.7957800000000002</v>
      </c>
      <c r="F4841" s="59">
        <v>4.3713600000000001</v>
      </c>
      <c r="G4841" s="56">
        <v>0</v>
      </c>
      <c r="H4841" s="56">
        <v>0</v>
      </c>
      <c r="I4841" s="58">
        <v>0.127108</v>
      </c>
      <c r="J4841" s="57">
        <v>0.13176299999999999</v>
      </c>
      <c r="K4841" s="56"/>
      <c r="L4841" s="56" t="s">
        <v>624</v>
      </c>
    </row>
    <row r="4842" spans="2:12" x14ac:dyDescent="0.2">
      <c r="B4842" s="62" t="s">
        <v>850</v>
      </c>
      <c r="C4842" s="61" t="s">
        <v>849</v>
      </c>
      <c r="D4842" s="60">
        <v>1.81978</v>
      </c>
      <c r="E4842" s="59">
        <v>3.6537299999999999</v>
      </c>
      <c r="F4842" s="59">
        <v>5.1419899999999998</v>
      </c>
      <c r="G4842" s="56">
        <v>0</v>
      </c>
      <c r="H4842" s="56">
        <v>0</v>
      </c>
      <c r="I4842" s="58">
        <v>0.14999100000000001</v>
      </c>
      <c r="J4842" s="57">
        <v>0.22564699999999999</v>
      </c>
      <c r="K4842" s="56"/>
      <c r="L4842" s="56" t="s">
        <v>492</v>
      </c>
    </row>
    <row r="4843" spans="2:12" x14ac:dyDescent="0.2">
      <c r="B4843" s="62" t="s">
        <v>848</v>
      </c>
      <c r="C4843" s="61" t="s">
        <v>847</v>
      </c>
      <c r="D4843" s="60">
        <v>1.45522</v>
      </c>
      <c r="E4843" s="59">
        <v>3.7244100000000002</v>
      </c>
      <c r="F4843" s="59">
        <v>4.5925000000000002</v>
      </c>
      <c r="G4843" s="56">
        <v>280.68700000000001</v>
      </c>
      <c r="H4843" s="56">
        <v>192.88300000000001</v>
      </c>
      <c r="I4843" s="58">
        <v>0.419437</v>
      </c>
      <c r="J4843" s="57">
        <v>0.31946999999999998</v>
      </c>
      <c r="K4843" s="56"/>
      <c r="L4843" s="56" t="s">
        <v>488</v>
      </c>
    </row>
    <row r="4844" spans="2:12" x14ac:dyDescent="0.2">
      <c r="B4844" s="62" t="s">
        <v>846</v>
      </c>
      <c r="C4844" s="61" t="s">
        <v>507</v>
      </c>
      <c r="D4844" s="60">
        <v>1.5103599999999999</v>
      </c>
      <c r="E4844" s="59">
        <v>3.46915</v>
      </c>
      <c r="F4844" s="59">
        <v>4.3234000000000004</v>
      </c>
      <c r="G4844" s="56">
        <v>0</v>
      </c>
      <c r="H4844" s="56">
        <v>0</v>
      </c>
      <c r="I4844" s="58">
        <v>0.327627</v>
      </c>
      <c r="J4844" s="57">
        <v>0.330482</v>
      </c>
      <c r="K4844" s="56"/>
      <c r="L4844" s="56" t="s">
        <v>488</v>
      </c>
    </row>
    <row r="4845" spans="2:12" x14ac:dyDescent="0.2">
      <c r="B4845" s="62" t="s">
        <v>845</v>
      </c>
      <c r="C4845" s="61" t="s">
        <v>507</v>
      </c>
      <c r="D4845" s="60">
        <v>1.2905599999999999</v>
      </c>
      <c r="E4845" s="59">
        <v>4.1391900000000001</v>
      </c>
      <c r="F4845" s="59">
        <v>5.7484099999999998</v>
      </c>
      <c r="G4845" s="56">
        <v>1103.3900000000001</v>
      </c>
      <c r="H4845" s="56">
        <v>854.97</v>
      </c>
      <c r="I4845" s="58">
        <v>0.491371</v>
      </c>
      <c r="J4845" s="57">
        <v>0.44584499999999999</v>
      </c>
      <c r="K4845" s="56"/>
      <c r="L4845" s="56" t="s">
        <v>488</v>
      </c>
    </row>
    <row r="4846" spans="2:12" x14ac:dyDescent="0.2">
      <c r="B4846" s="62" t="s">
        <v>844</v>
      </c>
      <c r="C4846" s="61" t="s">
        <v>499</v>
      </c>
      <c r="D4846" s="60">
        <v>0.43145499999999998</v>
      </c>
      <c r="E4846" s="59">
        <v>11.42638</v>
      </c>
      <c r="F4846" s="59">
        <v>13.74391</v>
      </c>
      <c r="G4846" s="56">
        <v>1985.36</v>
      </c>
      <c r="H4846" s="56">
        <v>4601.55</v>
      </c>
      <c r="I4846" s="58">
        <v>0.86019599999999996</v>
      </c>
      <c r="J4846" s="57">
        <v>1.90893</v>
      </c>
      <c r="K4846" s="56"/>
      <c r="L4846" s="56" t="s">
        <v>488</v>
      </c>
    </row>
    <row r="4847" spans="2:12" x14ac:dyDescent="0.2">
      <c r="B4847" s="62" t="s">
        <v>843</v>
      </c>
      <c r="C4847" s="61" t="s">
        <v>842</v>
      </c>
      <c r="D4847" s="60">
        <v>0.92508400000000002</v>
      </c>
      <c r="E4847" s="59">
        <v>4.1314599999999997</v>
      </c>
      <c r="F4847" s="59">
        <v>7.41561</v>
      </c>
      <c r="G4847" s="56">
        <v>1378.66</v>
      </c>
      <c r="H4847" s="56">
        <v>1490.31</v>
      </c>
      <c r="I4847" s="58">
        <v>0.52486999999999995</v>
      </c>
      <c r="J4847" s="57">
        <v>0.635216</v>
      </c>
      <c r="K4847" s="56"/>
      <c r="L4847" s="56" t="s">
        <v>488</v>
      </c>
    </row>
    <row r="4848" spans="2:12" x14ac:dyDescent="0.2">
      <c r="B4848" s="62" t="s">
        <v>841</v>
      </c>
      <c r="C4848" s="61" t="s">
        <v>499</v>
      </c>
      <c r="D4848" s="60">
        <v>1.5978399999999999</v>
      </c>
      <c r="E4848" s="59">
        <v>3.3285399999999998</v>
      </c>
      <c r="F4848" s="59">
        <v>4.5587</v>
      </c>
      <c r="G4848" s="56">
        <v>0</v>
      </c>
      <c r="H4848" s="56">
        <v>0</v>
      </c>
      <c r="I4848" s="58">
        <v>0.26736799999999999</v>
      </c>
      <c r="J4848" s="57">
        <v>0.284779</v>
      </c>
      <c r="K4848" s="56"/>
      <c r="L4848" s="56" t="s">
        <v>488</v>
      </c>
    </row>
    <row r="4849" spans="2:12" x14ac:dyDescent="0.2">
      <c r="B4849" s="62" t="s">
        <v>840</v>
      </c>
      <c r="C4849" s="61" t="s">
        <v>499</v>
      </c>
      <c r="D4849" s="60">
        <v>1.6518200000000001</v>
      </c>
      <c r="E4849" s="59">
        <v>3.1097899999999998</v>
      </c>
      <c r="F4849" s="59">
        <v>4.5121900000000004</v>
      </c>
      <c r="G4849" s="56">
        <v>0</v>
      </c>
      <c r="H4849" s="56">
        <v>0</v>
      </c>
      <c r="I4849" s="58">
        <v>0.21782599999999999</v>
      </c>
      <c r="J4849" s="57">
        <v>0.26525199999999999</v>
      </c>
      <c r="K4849" s="56"/>
      <c r="L4849" s="56" t="s">
        <v>488</v>
      </c>
    </row>
    <row r="4850" spans="2:12" x14ac:dyDescent="0.2">
      <c r="B4850" s="62" t="s">
        <v>839</v>
      </c>
      <c r="C4850" s="61" t="s">
        <v>499</v>
      </c>
      <c r="D4850" s="60">
        <v>1.07267</v>
      </c>
      <c r="E4850" s="59">
        <v>5.5977899999999998</v>
      </c>
      <c r="F4850" s="59">
        <v>6.5759499999999997</v>
      </c>
      <c r="G4850" s="56">
        <v>1613.63</v>
      </c>
      <c r="H4850" s="56">
        <v>1504.31</v>
      </c>
      <c r="I4850" s="58">
        <v>0.611375</v>
      </c>
      <c r="J4850" s="57">
        <v>0.61786700000000006</v>
      </c>
      <c r="K4850" s="56"/>
      <c r="L4850" s="56" t="s">
        <v>488</v>
      </c>
    </row>
    <row r="4851" spans="2:12" x14ac:dyDescent="0.2">
      <c r="B4851" s="62" t="s">
        <v>838</v>
      </c>
      <c r="C4851" s="61" t="s">
        <v>510</v>
      </c>
      <c r="D4851" s="60">
        <v>1.8264800000000001</v>
      </c>
      <c r="E4851" s="59">
        <v>3.1011099999999998</v>
      </c>
      <c r="F4851" s="59">
        <v>4.1836399999999996</v>
      </c>
      <c r="G4851" s="56">
        <v>0</v>
      </c>
      <c r="H4851" s="56">
        <v>0</v>
      </c>
      <c r="I4851" s="58">
        <v>0.244977</v>
      </c>
      <c r="J4851" s="57">
        <v>0.20172999999999999</v>
      </c>
      <c r="K4851" s="56"/>
      <c r="L4851" s="56" t="s">
        <v>488</v>
      </c>
    </row>
    <row r="4852" spans="2:12" x14ac:dyDescent="0.2">
      <c r="B4852" s="62" t="s">
        <v>837</v>
      </c>
      <c r="C4852" s="61" t="s">
        <v>550</v>
      </c>
      <c r="D4852" s="60">
        <v>2.1541800000000002</v>
      </c>
      <c r="E4852" s="59">
        <v>3.0735700000000001</v>
      </c>
      <c r="F4852" s="59">
        <v>4.3795700000000002</v>
      </c>
      <c r="G4852" s="56">
        <v>0</v>
      </c>
      <c r="H4852" s="56">
        <v>0</v>
      </c>
      <c r="I4852" s="58">
        <v>0.25087799999999999</v>
      </c>
      <c r="J4852" s="57">
        <v>0.18883900000000001</v>
      </c>
      <c r="K4852" s="56"/>
      <c r="L4852" s="56" t="s">
        <v>488</v>
      </c>
    </row>
    <row r="4853" spans="2:12" x14ac:dyDescent="0.2">
      <c r="B4853" s="62" t="s">
        <v>836</v>
      </c>
      <c r="C4853" s="61" t="s">
        <v>495</v>
      </c>
      <c r="D4853" s="60">
        <v>1.7427299999999999</v>
      </c>
      <c r="E4853" s="59">
        <v>3.1696800000000001</v>
      </c>
      <c r="F4853" s="59">
        <v>4.1309199999999997</v>
      </c>
      <c r="G4853" s="56">
        <v>0</v>
      </c>
      <c r="H4853" s="56">
        <v>0</v>
      </c>
      <c r="I4853" s="58">
        <v>0.24445700000000001</v>
      </c>
      <c r="J4853" s="57">
        <v>0.21571000000000001</v>
      </c>
      <c r="K4853" s="56"/>
      <c r="L4853" s="56" t="s">
        <v>488</v>
      </c>
    </row>
    <row r="4854" spans="2:12" x14ac:dyDescent="0.2">
      <c r="B4854" s="62" t="s">
        <v>835</v>
      </c>
      <c r="C4854" s="61" t="s">
        <v>550</v>
      </c>
      <c r="D4854" s="60">
        <v>1.90195</v>
      </c>
      <c r="E4854" s="59">
        <v>2.88368</v>
      </c>
      <c r="F4854" s="59">
        <v>3.8274400000000002</v>
      </c>
      <c r="G4854" s="56">
        <v>0</v>
      </c>
      <c r="H4854" s="56">
        <v>0</v>
      </c>
      <c r="I4854" s="58">
        <v>0.23877699999999999</v>
      </c>
      <c r="J4854" s="57">
        <v>0.241564</v>
      </c>
      <c r="K4854" s="56"/>
      <c r="L4854" s="56" t="s">
        <v>488</v>
      </c>
    </row>
    <row r="4855" spans="2:12" x14ac:dyDescent="0.2">
      <c r="B4855" s="62" t="s">
        <v>834</v>
      </c>
      <c r="C4855" s="61" t="s">
        <v>499</v>
      </c>
      <c r="D4855" s="60">
        <v>0.499</v>
      </c>
      <c r="E4855" s="59">
        <v>12.487640000000001</v>
      </c>
      <c r="F4855" s="59">
        <v>15.20269</v>
      </c>
      <c r="G4855" s="56">
        <v>1825.7</v>
      </c>
      <c r="H4855" s="56">
        <v>3658.71</v>
      </c>
      <c r="I4855" s="58">
        <v>0.79952800000000002</v>
      </c>
      <c r="J4855" s="57">
        <v>1.5887800000000001</v>
      </c>
      <c r="K4855" s="56"/>
      <c r="L4855" s="56" t="s">
        <v>488</v>
      </c>
    </row>
    <row r="4856" spans="2:12" x14ac:dyDescent="0.2">
      <c r="B4856" s="62" t="s">
        <v>833</v>
      </c>
      <c r="C4856" s="61" t="s">
        <v>531</v>
      </c>
      <c r="D4856" s="60">
        <v>2.2157300000000002</v>
      </c>
      <c r="E4856" s="59">
        <v>2.84382</v>
      </c>
      <c r="F4856" s="59">
        <v>3.3120699999999998</v>
      </c>
      <c r="G4856" s="56">
        <v>0</v>
      </c>
      <c r="H4856" s="56">
        <v>0</v>
      </c>
      <c r="I4856" s="58">
        <v>0.11616</v>
      </c>
      <c r="J4856" s="57">
        <v>0.194078</v>
      </c>
      <c r="K4856" s="56"/>
      <c r="L4856" s="56" t="s">
        <v>488</v>
      </c>
    </row>
    <row r="4857" spans="2:12" x14ac:dyDescent="0.2">
      <c r="B4857" s="62" t="s">
        <v>832</v>
      </c>
      <c r="C4857" s="61" t="s">
        <v>531</v>
      </c>
      <c r="D4857" s="60">
        <v>2.1991999999999998</v>
      </c>
      <c r="E4857" s="59">
        <v>2.8420200000000002</v>
      </c>
      <c r="F4857" s="59">
        <v>3.31847</v>
      </c>
      <c r="G4857" s="56">
        <v>0</v>
      </c>
      <c r="H4857" s="56">
        <v>0</v>
      </c>
      <c r="I4857" s="58">
        <v>0.116164</v>
      </c>
      <c r="J4857" s="57">
        <v>0.19847300000000001</v>
      </c>
      <c r="K4857" s="56"/>
      <c r="L4857" s="56" t="s">
        <v>488</v>
      </c>
    </row>
    <row r="4858" spans="2:12" x14ac:dyDescent="0.2">
      <c r="B4858" s="62" t="s">
        <v>831</v>
      </c>
      <c r="C4858" s="61" t="s">
        <v>531</v>
      </c>
      <c r="D4858" s="60">
        <v>2.1916699999999998</v>
      </c>
      <c r="E4858" s="59">
        <v>2.8481299999999998</v>
      </c>
      <c r="F4858" s="59">
        <v>3.3380999999999998</v>
      </c>
      <c r="G4858" s="56">
        <v>0</v>
      </c>
      <c r="H4858" s="56">
        <v>0</v>
      </c>
      <c r="I4858" s="58">
        <v>0.115814</v>
      </c>
      <c r="J4858" s="57">
        <v>0.19891700000000001</v>
      </c>
      <c r="K4858" s="56"/>
      <c r="L4858" s="56" t="s">
        <v>488</v>
      </c>
    </row>
    <row r="4859" spans="2:12" x14ac:dyDescent="0.2">
      <c r="B4859" s="62" t="s">
        <v>830</v>
      </c>
      <c r="C4859" s="61" t="s">
        <v>531</v>
      </c>
      <c r="D4859" s="60">
        <v>2.3015300000000001</v>
      </c>
      <c r="E4859" s="59">
        <v>2.7450100000000002</v>
      </c>
      <c r="F4859" s="59">
        <v>3.3091400000000002</v>
      </c>
      <c r="G4859" s="56">
        <v>0</v>
      </c>
      <c r="H4859" s="56">
        <v>0</v>
      </c>
      <c r="I4859" s="58">
        <v>0.11695800000000001</v>
      </c>
      <c r="J4859" s="57">
        <v>0.16802700000000001</v>
      </c>
      <c r="K4859" s="56"/>
      <c r="L4859" s="56" t="s">
        <v>488</v>
      </c>
    </row>
    <row r="4860" spans="2:12" x14ac:dyDescent="0.2">
      <c r="B4860" s="62" t="s">
        <v>829</v>
      </c>
      <c r="C4860" s="61" t="s">
        <v>828</v>
      </c>
      <c r="D4860" s="60">
        <v>1.4914499999999999</v>
      </c>
      <c r="E4860" s="59">
        <v>3.2131599999999998</v>
      </c>
      <c r="F4860" s="59">
        <v>6.6717000000000004</v>
      </c>
      <c r="G4860" s="56">
        <v>0</v>
      </c>
      <c r="H4860" s="56">
        <v>0</v>
      </c>
      <c r="I4860" s="58">
        <v>0.41525600000000001</v>
      </c>
      <c r="J4860" s="57">
        <v>0.36985600000000002</v>
      </c>
      <c r="K4860" s="56"/>
      <c r="L4860" s="56" t="s">
        <v>488</v>
      </c>
    </row>
    <row r="4861" spans="2:12" x14ac:dyDescent="0.2">
      <c r="B4861" s="62" t="s">
        <v>827</v>
      </c>
      <c r="C4861" s="61" t="s">
        <v>499</v>
      </c>
      <c r="D4861" s="60">
        <v>0.70952300000000001</v>
      </c>
      <c r="E4861" s="59">
        <v>5.8190900000000001</v>
      </c>
      <c r="F4861" s="59">
        <v>7.4535099999999996</v>
      </c>
      <c r="G4861" s="56">
        <v>2370.9299999999998</v>
      </c>
      <c r="H4861" s="56">
        <v>3341.58</v>
      </c>
      <c r="I4861" s="58">
        <v>0.75248099999999996</v>
      </c>
      <c r="J4861" s="57">
        <v>1.0071099999999999</v>
      </c>
      <c r="K4861" s="56"/>
      <c r="L4861" s="56" t="s">
        <v>488</v>
      </c>
    </row>
    <row r="4862" spans="2:12" x14ac:dyDescent="0.2">
      <c r="B4862" s="62" t="s">
        <v>826</v>
      </c>
      <c r="C4862" s="61" t="s">
        <v>550</v>
      </c>
      <c r="D4862" s="60">
        <v>1.3807799999999999</v>
      </c>
      <c r="E4862" s="59">
        <v>4.6601900000000001</v>
      </c>
      <c r="F4862" s="59">
        <v>5.2786299999999997</v>
      </c>
      <c r="G4862" s="56">
        <v>606.10699999999997</v>
      </c>
      <c r="H4862" s="56">
        <v>438.96100000000001</v>
      </c>
      <c r="I4862" s="58">
        <v>0.33198899999999998</v>
      </c>
      <c r="J4862" s="57">
        <v>0.36320200000000002</v>
      </c>
      <c r="K4862" s="56"/>
      <c r="L4862" s="56" t="s">
        <v>488</v>
      </c>
    </row>
    <row r="4863" spans="2:12" x14ac:dyDescent="0.2">
      <c r="B4863" s="62" t="s">
        <v>825</v>
      </c>
      <c r="C4863" s="61" t="s">
        <v>708</v>
      </c>
      <c r="D4863" s="60">
        <v>1.89856</v>
      </c>
      <c r="E4863" s="59">
        <v>2.4308100000000001</v>
      </c>
      <c r="F4863" s="59">
        <v>2.6078299999999999</v>
      </c>
      <c r="G4863" s="56">
        <v>0</v>
      </c>
      <c r="H4863" s="56">
        <v>0</v>
      </c>
      <c r="I4863" s="58">
        <v>1.15196E-2</v>
      </c>
      <c r="J4863" s="57">
        <v>0.16697300000000001</v>
      </c>
      <c r="K4863" s="56"/>
      <c r="L4863" s="56" t="s">
        <v>488</v>
      </c>
    </row>
    <row r="4864" spans="2:12" x14ac:dyDescent="0.2">
      <c r="B4864" s="62" t="s">
        <v>824</v>
      </c>
      <c r="C4864" s="61" t="s">
        <v>502</v>
      </c>
      <c r="D4864" s="60">
        <v>0.28720800000000002</v>
      </c>
      <c r="E4864" s="59">
        <v>10.758459999999999</v>
      </c>
      <c r="F4864" s="59">
        <v>13.17229</v>
      </c>
      <c r="G4864" s="56">
        <v>1817.06</v>
      </c>
      <c r="H4864" s="56">
        <v>6326.62</v>
      </c>
      <c r="I4864" s="58">
        <v>0.88208799999999998</v>
      </c>
      <c r="J4864" s="57">
        <v>3.0217100000000001</v>
      </c>
      <c r="K4864" s="56"/>
      <c r="L4864" s="56" t="s">
        <v>823</v>
      </c>
    </row>
    <row r="4865" spans="2:12" x14ac:dyDescent="0.2">
      <c r="B4865" s="62" t="s">
        <v>822</v>
      </c>
      <c r="C4865" s="61" t="s">
        <v>821</v>
      </c>
      <c r="D4865" s="60">
        <v>1.0347900000000001</v>
      </c>
      <c r="E4865" s="59">
        <v>3.17631</v>
      </c>
      <c r="F4865" s="59">
        <v>4.9715499999999997</v>
      </c>
      <c r="G4865" s="56">
        <v>0</v>
      </c>
      <c r="H4865" s="56">
        <v>0</v>
      </c>
      <c r="I4865" s="58">
        <v>0.44627099999999997</v>
      </c>
      <c r="J4865" s="57">
        <v>0.541292</v>
      </c>
      <c r="K4865" s="56"/>
      <c r="L4865" s="56" t="s">
        <v>488</v>
      </c>
    </row>
    <row r="4866" spans="2:12" x14ac:dyDescent="0.2">
      <c r="B4866" s="62" t="s">
        <v>820</v>
      </c>
      <c r="C4866" s="61" t="s">
        <v>502</v>
      </c>
      <c r="D4866" s="60">
        <v>1.0818300000000001</v>
      </c>
      <c r="E4866" s="59">
        <v>4.3301999999999996</v>
      </c>
      <c r="F4866" s="59">
        <v>5.1362899999999998</v>
      </c>
      <c r="G4866" s="56">
        <v>813.81799999999998</v>
      </c>
      <c r="H4866" s="56">
        <v>752.26099999999997</v>
      </c>
      <c r="I4866" s="58">
        <v>0.42576599999999998</v>
      </c>
      <c r="J4866" s="57">
        <v>0.51609700000000003</v>
      </c>
      <c r="K4866" s="56"/>
      <c r="L4866" s="56" t="s">
        <v>488</v>
      </c>
    </row>
    <row r="4867" spans="2:12" x14ac:dyDescent="0.2">
      <c r="B4867" s="62" t="s">
        <v>819</v>
      </c>
      <c r="C4867" s="61" t="s">
        <v>558</v>
      </c>
      <c r="D4867" s="60">
        <v>1.25424</v>
      </c>
      <c r="E4867" s="59">
        <v>5.1199199999999996</v>
      </c>
      <c r="F4867" s="59">
        <v>5.4813000000000001</v>
      </c>
      <c r="G4867" s="56">
        <v>1689.2</v>
      </c>
      <c r="H4867" s="56">
        <v>1346.79</v>
      </c>
      <c r="I4867" s="58">
        <v>0.596611</v>
      </c>
      <c r="J4867" s="57">
        <v>0.49420599999999998</v>
      </c>
      <c r="K4867" s="56"/>
      <c r="L4867" s="56" t="s">
        <v>488</v>
      </c>
    </row>
    <row r="4868" spans="2:12" x14ac:dyDescent="0.2">
      <c r="B4868" s="62" t="s">
        <v>818</v>
      </c>
      <c r="C4868" s="61" t="s">
        <v>537</v>
      </c>
      <c r="D4868" s="60">
        <v>1.2417899999999999</v>
      </c>
      <c r="E4868" s="59">
        <v>5.1074799999999998</v>
      </c>
      <c r="F4868" s="59">
        <v>5.4844499999999998</v>
      </c>
      <c r="G4868" s="56">
        <v>1649.95</v>
      </c>
      <c r="H4868" s="56">
        <v>1328.68</v>
      </c>
      <c r="I4868" s="58">
        <v>0.59606400000000004</v>
      </c>
      <c r="J4868" s="57">
        <v>0.49979000000000001</v>
      </c>
      <c r="K4868" s="56"/>
      <c r="L4868" s="56" t="s">
        <v>488</v>
      </c>
    </row>
    <row r="4869" spans="2:12" x14ac:dyDescent="0.2">
      <c r="B4869" s="62" t="s">
        <v>817</v>
      </c>
      <c r="C4869" s="61" t="s">
        <v>541</v>
      </c>
      <c r="D4869" s="60">
        <v>1.1423300000000001</v>
      </c>
      <c r="E4869" s="59">
        <v>5.0332800000000004</v>
      </c>
      <c r="F4869" s="59">
        <v>5.5100100000000003</v>
      </c>
      <c r="G4869" s="56">
        <v>1727.92</v>
      </c>
      <c r="H4869" s="56">
        <v>1512.62</v>
      </c>
      <c r="I4869" s="58">
        <v>0.59508700000000003</v>
      </c>
      <c r="J4869" s="57">
        <v>0.55386000000000002</v>
      </c>
      <c r="K4869" s="56"/>
      <c r="L4869" s="56" t="s">
        <v>488</v>
      </c>
    </row>
    <row r="4870" spans="2:12" x14ac:dyDescent="0.2">
      <c r="B4870" s="62" t="s">
        <v>816</v>
      </c>
      <c r="C4870" s="61" t="s">
        <v>569</v>
      </c>
      <c r="D4870" s="60">
        <v>1.03399</v>
      </c>
      <c r="E4870" s="59">
        <v>3.8136100000000002</v>
      </c>
      <c r="F4870" s="59">
        <v>5.2765399999999998</v>
      </c>
      <c r="G4870" s="56">
        <v>424.63799999999998</v>
      </c>
      <c r="H4870" s="56">
        <v>410.68</v>
      </c>
      <c r="I4870" s="58">
        <v>0.44046200000000002</v>
      </c>
      <c r="J4870" s="57">
        <v>0.47070299999999998</v>
      </c>
      <c r="K4870" s="56"/>
      <c r="L4870" s="56" t="s">
        <v>488</v>
      </c>
    </row>
    <row r="4871" spans="2:12" x14ac:dyDescent="0.2">
      <c r="B4871" s="62" t="s">
        <v>815</v>
      </c>
      <c r="C4871" s="61" t="s">
        <v>569</v>
      </c>
      <c r="D4871" s="60">
        <v>1.0360400000000001</v>
      </c>
      <c r="E4871" s="59">
        <v>4.0522400000000003</v>
      </c>
      <c r="F4871" s="59">
        <v>4.49594</v>
      </c>
      <c r="G4871" s="56">
        <v>791.1</v>
      </c>
      <c r="H4871" s="56">
        <v>763.57899999999995</v>
      </c>
      <c r="I4871" s="58">
        <v>0.40853899999999999</v>
      </c>
      <c r="J4871" s="57">
        <v>0.470086</v>
      </c>
      <c r="K4871" s="56"/>
      <c r="L4871" s="56" t="s">
        <v>488</v>
      </c>
    </row>
    <row r="4872" spans="2:12" x14ac:dyDescent="0.2">
      <c r="B4872" s="62" t="s">
        <v>814</v>
      </c>
      <c r="C4872" s="61" t="s">
        <v>569</v>
      </c>
      <c r="D4872" s="60">
        <v>1.01112</v>
      </c>
      <c r="E4872" s="59">
        <v>3.9389500000000002</v>
      </c>
      <c r="F4872" s="59">
        <v>4.4336900000000004</v>
      </c>
      <c r="G4872" s="56">
        <v>844.98199999999997</v>
      </c>
      <c r="H4872" s="56">
        <v>835.68700000000001</v>
      </c>
      <c r="I4872" s="58">
        <v>0.42255399999999999</v>
      </c>
      <c r="J4872" s="57">
        <v>0.49207499999999998</v>
      </c>
      <c r="K4872" s="56"/>
      <c r="L4872" s="56" t="s">
        <v>488</v>
      </c>
    </row>
    <row r="4873" spans="2:12" x14ac:dyDescent="0.2">
      <c r="B4873" s="62" t="s">
        <v>813</v>
      </c>
      <c r="C4873" s="61" t="s">
        <v>499</v>
      </c>
      <c r="D4873" s="60">
        <v>1.3484</v>
      </c>
      <c r="E4873" s="59">
        <v>4.2077499999999999</v>
      </c>
      <c r="F4873" s="59">
        <v>7.7214099999999997</v>
      </c>
      <c r="G4873" s="56">
        <v>1049.1500000000001</v>
      </c>
      <c r="H4873" s="56">
        <v>778.072</v>
      </c>
      <c r="I4873" s="58">
        <v>0.50409400000000004</v>
      </c>
      <c r="J4873" s="57">
        <v>0.40374700000000002</v>
      </c>
      <c r="K4873" s="56"/>
      <c r="L4873" s="56" t="s">
        <v>488</v>
      </c>
    </row>
    <row r="4874" spans="2:12" x14ac:dyDescent="0.2">
      <c r="B4874" s="62" t="s">
        <v>812</v>
      </c>
      <c r="C4874" s="61" t="s">
        <v>495</v>
      </c>
      <c r="D4874" s="60">
        <v>1.7582</v>
      </c>
      <c r="E4874" s="59">
        <v>2.86382</v>
      </c>
      <c r="F4874" s="59">
        <v>3.1655099999999998</v>
      </c>
      <c r="G4874" s="56">
        <v>0</v>
      </c>
      <c r="H4874" s="56">
        <v>0</v>
      </c>
      <c r="I4874" s="58">
        <v>7.6264399999999996E-2</v>
      </c>
      <c r="J4874" s="57">
        <v>0.20499200000000001</v>
      </c>
      <c r="K4874" s="56"/>
      <c r="L4874" s="56" t="s">
        <v>488</v>
      </c>
    </row>
    <row r="4875" spans="2:12" x14ac:dyDescent="0.2">
      <c r="B4875" s="62" t="s">
        <v>811</v>
      </c>
      <c r="C4875" s="61" t="s">
        <v>495</v>
      </c>
      <c r="D4875" s="60">
        <v>1.7377499999999999</v>
      </c>
      <c r="E4875" s="59">
        <v>2.6737299999999999</v>
      </c>
      <c r="F4875" s="59">
        <v>3.24837</v>
      </c>
      <c r="G4875" s="56">
        <v>0</v>
      </c>
      <c r="H4875" s="56">
        <v>0</v>
      </c>
      <c r="I4875" s="58">
        <v>7.2852100000000003E-2</v>
      </c>
      <c r="J4875" s="57">
        <v>0.212119</v>
      </c>
      <c r="K4875" s="56"/>
      <c r="L4875" s="56" t="s">
        <v>488</v>
      </c>
    </row>
    <row r="4876" spans="2:12" x14ac:dyDescent="0.2">
      <c r="B4876" s="62" t="s">
        <v>810</v>
      </c>
      <c r="C4876" s="61" t="s">
        <v>535</v>
      </c>
      <c r="D4876" s="60">
        <v>2.23889</v>
      </c>
      <c r="E4876" s="59">
        <v>2.5585300000000002</v>
      </c>
      <c r="F4876" s="59">
        <v>3.2778700000000001</v>
      </c>
      <c r="G4876" s="56">
        <v>0</v>
      </c>
      <c r="H4876" s="56">
        <v>0</v>
      </c>
      <c r="I4876" s="58">
        <v>0.11225</v>
      </c>
      <c r="J4876" s="57">
        <v>0.17027500000000001</v>
      </c>
      <c r="K4876" s="56"/>
      <c r="L4876" s="56" t="s">
        <v>488</v>
      </c>
    </row>
    <row r="4877" spans="2:12" x14ac:dyDescent="0.2">
      <c r="B4877" s="62" t="s">
        <v>809</v>
      </c>
      <c r="C4877" s="61" t="s">
        <v>708</v>
      </c>
      <c r="D4877" s="60">
        <v>0.47963699999999998</v>
      </c>
      <c r="E4877" s="59">
        <v>13.129770000000001</v>
      </c>
      <c r="F4877" s="59">
        <v>15.0723</v>
      </c>
      <c r="G4877" s="56">
        <v>2072.2800000000002</v>
      </c>
      <c r="H4877" s="56">
        <v>4320.53</v>
      </c>
      <c r="I4877" s="58">
        <v>0.81836900000000001</v>
      </c>
      <c r="J4877" s="57">
        <v>1.6671199999999999</v>
      </c>
      <c r="K4877" s="56"/>
      <c r="L4877" s="56" t="s">
        <v>488</v>
      </c>
    </row>
    <row r="4878" spans="2:12" x14ac:dyDescent="0.2">
      <c r="B4878" s="62" t="s">
        <v>808</v>
      </c>
      <c r="C4878" s="61" t="s">
        <v>806</v>
      </c>
      <c r="D4878" s="60">
        <v>2.3761399999999999</v>
      </c>
      <c r="E4878" s="59">
        <v>3.67279</v>
      </c>
      <c r="F4878" s="59">
        <v>5.6662400000000002</v>
      </c>
      <c r="G4878" s="56">
        <v>0</v>
      </c>
      <c r="H4878" s="56">
        <v>0</v>
      </c>
      <c r="I4878" s="58">
        <v>0.19766</v>
      </c>
      <c r="J4878" s="57">
        <v>0.14891699999999999</v>
      </c>
      <c r="K4878" s="56"/>
      <c r="L4878" s="56" t="s">
        <v>492</v>
      </c>
    </row>
    <row r="4879" spans="2:12" x14ac:dyDescent="0.2">
      <c r="B4879" s="62" t="s">
        <v>807</v>
      </c>
      <c r="C4879" s="61" t="s">
        <v>806</v>
      </c>
      <c r="D4879" s="60">
        <v>2.3749500000000001</v>
      </c>
      <c r="E4879" s="59">
        <v>3.67394</v>
      </c>
      <c r="F4879" s="59">
        <v>5.6734299999999998</v>
      </c>
      <c r="G4879" s="56">
        <v>0</v>
      </c>
      <c r="H4879" s="56">
        <v>0</v>
      </c>
      <c r="I4879" s="58">
        <v>0.198745</v>
      </c>
      <c r="J4879" s="57">
        <v>0.150672</v>
      </c>
      <c r="K4879" s="56"/>
      <c r="L4879" s="56" t="s">
        <v>624</v>
      </c>
    </row>
    <row r="4880" spans="2:12" x14ac:dyDescent="0.2">
      <c r="B4880" s="62" t="s">
        <v>805</v>
      </c>
      <c r="C4880" s="61" t="s">
        <v>499</v>
      </c>
      <c r="D4880" s="60">
        <v>1.07724</v>
      </c>
      <c r="E4880" s="59">
        <v>5.4111500000000001</v>
      </c>
      <c r="F4880" s="59">
        <v>6.2197800000000001</v>
      </c>
      <c r="G4880" s="56">
        <v>1152.07</v>
      </c>
      <c r="H4880" s="56">
        <v>1069.47</v>
      </c>
      <c r="I4880" s="58">
        <v>0.523146</v>
      </c>
      <c r="J4880" s="57">
        <v>0.52837599999999996</v>
      </c>
      <c r="K4880" s="56"/>
      <c r="L4880" s="56" t="s">
        <v>488</v>
      </c>
    </row>
    <row r="4881" spans="2:12" x14ac:dyDescent="0.2">
      <c r="B4881" s="62" t="s">
        <v>804</v>
      </c>
      <c r="C4881" s="61" t="s">
        <v>632</v>
      </c>
      <c r="D4881" s="60">
        <v>2.3169900000000001</v>
      </c>
      <c r="E4881" s="59">
        <v>2.7860999999999998</v>
      </c>
      <c r="F4881" s="59">
        <v>3.8759800000000002</v>
      </c>
      <c r="G4881" s="56">
        <v>0</v>
      </c>
      <c r="H4881" s="56">
        <v>0</v>
      </c>
      <c r="I4881" s="58">
        <v>0.31244300000000003</v>
      </c>
      <c r="J4881" s="57">
        <v>0.17837700000000001</v>
      </c>
      <c r="K4881" s="56"/>
      <c r="L4881" s="56" t="s">
        <v>488</v>
      </c>
    </row>
    <row r="4882" spans="2:12" x14ac:dyDescent="0.2">
      <c r="B4882" s="62" t="s">
        <v>803</v>
      </c>
      <c r="C4882" s="61" t="s">
        <v>531</v>
      </c>
      <c r="D4882" s="60">
        <v>3.19434</v>
      </c>
      <c r="E4882" s="59">
        <v>3.75922</v>
      </c>
      <c r="F4882" s="59">
        <v>3.9533800000000001</v>
      </c>
      <c r="G4882" s="56">
        <v>64.032499999999999</v>
      </c>
      <c r="H4882" s="56">
        <v>20.0456</v>
      </c>
      <c r="I4882" s="58">
        <v>9.5063700000000001E-2</v>
      </c>
      <c r="J4882" s="57">
        <v>9.0753899999999998E-2</v>
      </c>
      <c r="K4882" s="56"/>
      <c r="L4882" s="56" t="s">
        <v>730</v>
      </c>
    </row>
    <row r="4883" spans="2:12" x14ac:dyDescent="0.2">
      <c r="B4883" s="62" t="s">
        <v>802</v>
      </c>
      <c r="C4883" s="61" t="s">
        <v>550</v>
      </c>
      <c r="D4883" s="60">
        <v>1.77813</v>
      </c>
      <c r="E4883" s="59">
        <v>2.9076499999999998</v>
      </c>
      <c r="F4883" s="59">
        <v>3.8862199999999998</v>
      </c>
      <c r="G4883" s="56">
        <v>0</v>
      </c>
      <c r="H4883" s="56">
        <v>0</v>
      </c>
      <c r="I4883" s="58">
        <v>0.13613600000000001</v>
      </c>
      <c r="J4883" s="57">
        <v>0.22611500000000001</v>
      </c>
      <c r="K4883" s="56"/>
      <c r="L4883" s="56" t="s">
        <v>488</v>
      </c>
    </row>
    <row r="4884" spans="2:12" x14ac:dyDescent="0.2">
      <c r="B4884" s="62" t="s">
        <v>801</v>
      </c>
      <c r="C4884" s="61" t="s">
        <v>499</v>
      </c>
      <c r="D4884" s="60">
        <v>1.5109399999999999</v>
      </c>
      <c r="E4884" s="59">
        <v>3.8028300000000002</v>
      </c>
      <c r="F4884" s="59">
        <v>4.4215400000000002</v>
      </c>
      <c r="G4884" s="56">
        <v>233.15199999999999</v>
      </c>
      <c r="H4884" s="56">
        <v>154.309</v>
      </c>
      <c r="I4884" s="58">
        <v>0.249808</v>
      </c>
      <c r="J4884" s="57">
        <v>0.28301300000000001</v>
      </c>
      <c r="K4884" s="56"/>
      <c r="L4884" s="56" t="s">
        <v>488</v>
      </c>
    </row>
    <row r="4885" spans="2:12" x14ac:dyDescent="0.2">
      <c r="B4885" s="62" t="s">
        <v>800</v>
      </c>
      <c r="C4885" s="61" t="s">
        <v>625</v>
      </c>
      <c r="D4885" s="60">
        <v>1.8194300000000001</v>
      </c>
      <c r="E4885" s="59">
        <v>2.99465</v>
      </c>
      <c r="F4885" s="59">
        <v>4.2533700000000003</v>
      </c>
      <c r="G4885" s="56">
        <v>0</v>
      </c>
      <c r="H4885" s="56">
        <v>0</v>
      </c>
      <c r="I4885" s="58">
        <v>0.15529799999999999</v>
      </c>
      <c r="J4885" s="57">
        <v>0.239871</v>
      </c>
      <c r="K4885" s="56"/>
      <c r="L4885" s="56" t="s">
        <v>488</v>
      </c>
    </row>
    <row r="4886" spans="2:12" x14ac:dyDescent="0.2">
      <c r="B4886" s="62" t="s">
        <v>799</v>
      </c>
      <c r="C4886" s="61" t="s">
        <v>798</v>
      </c>
      <c r="D4886" s="60">
        <v>1.0705</v>
      </c>
      <c r="E4886" s="59">
        <v>4.3304400000000003</v>
      </c>
      <c r="F4886" s="59">
        <v>5.8279300000000003</v>
      </c>
      <c r="G4886" s="56">
        <v>1167.05</v>
      </c>
      <c r="H4886" s="56">
        <v>1090.19</v>
      </c>
      <c r="I4886" s="58">
        <v>0.51549299999999998</v>
      </c>
      <c r="J4886" s="57">
        <v>0.53566499999999995</v>
      </c>
      <c r="K4886" s="56"/>
      <c r="L4886" s="56" t="s">
        <v>488</v>
      </c>
    </row>
    <row r="4887" spans="2:12" x14ac:dyDescent="0.2">
      <c r="B4887" s="62" t="s">
        <v>797</v>
      </c>
      <c r="C4887" s="61" t="s">
        <v>796</v>
      </c>
      <c r="D4887" s="60">
        <v>1.7370699999999999</v>
      </c>
      <c r="E4887" s="59">
        <v>2.52772</v>
      </c>
      <c r="F4887" s="59">
        <v>3.3616199999999998</v>
      </c>
      <c r="G4887" s="56">
        <v>0</v>
      </c>
      <c r="H4887" s="56">
        <v>0</v>
      </c>
      <c r="I4887" s="58">
        <v>9.6420000000000006E-2</v>
      </c>
      <c r="J4887" s="57">
        <v>0.21168600000000001</v>
      </c>
      <c r="K4887" s="56"/>
      <c r="L4887" s="56" t="s">
        <v>488</v>
      </c>
    </row>
    <row r="4888" spans="2:12" x14ac:dyDescent="0.2">
      <c r="B4888" s="62" t="s">
        <v>795</v>
      </c>
      <c r="C4888" s="61" t="s">
        <v>794</v>
      </c>
      <c r="D4888" s="60">
        <v>1.7464200000000001</v>
      </c>
      <c r="E4888" s="59">
        <v>2.5284900000000001</v>
      </c>
      <c r="F4888" s="59">
        <v>3.3534299999999999</v>
      </c>
      <c r="G4888" s="56">
        <v>0</v>
      </c>
      <c r="H4888" s="56">
        <v>0</v>
      </c>
      <c r="I4888" s="58">
        <v>9.5351699999999998E-2</v>
      </c>
      <c r="J4888" s="57">
        <v>0.210309</v>
      </c>
      <c r="K4888" s="56"/>
      <c r="L4888" s="56" t="s">
        <v>488</v>
      </c>
    </row>
    <row r="4889" spans="2:12" x14ac:dyDescent="0.2">
      <c r="B4889" s="62" t="s">
        <v>793</v>
      </c>
      <c r="C4889" s="61" t="s">
        <v>792</v>
      </c>
      <c r="D4889" s="60">
        <v>1.79254</v>
      </c>
      <c r="E4889" s="59">
        <v>2.4717600000000002</v>
      </c>
      <c r="F4889" s="59">
        <v>3.30647</v>
      </c>
      <c r="G4889" s="56">
        <v>0</v>
      </c>
      <c r="H4889" s="56">
        <v>0</v>
      </c>
      <c r="I4889" s="58">
        <v>9.1908000000000004E-2</v>
      </c>
      <c r="J4889" s="57">
        <v>0.20169300000000001</v>
      </c>
      <c r="K4889" s="56"/>
      <c r="L4889" s="56" t="s">
        <v>488</v>
      </c>
    </row>
    <row r="4890" spans="2:12" x14ac:dyDescent="0.2">
      <c r="B4890" s="62" t="s">
        <v>791</v>
      </c>
      <c r="C4890" s="61" t="s">
        <v>790</v>
      </c>
      <c r="D4890" s="60">
        <v>1.7675000000000001</v>
      </c>
      <c r="E4890" s="59">
        <v>2.5211600000000001</v>
      </c>
      <c r="F4890" s="59">
        <v>3.33426</v>
      </c>
      <c r="G4890" s="56">
        <v>0</v>
      </c>
      <c r="H4890" s="56">
        <v>0</v>
      </c>
      <c r="I4890" s="58">
        <v>9.2208499999999999E-2</v>
      </c>
      <c r="J4890" s="57">
        <v>0.20613200000000001</v>
      </c>
      <c r="K4890" s="56"/>
      <c r="L4890" s="56" t="s">
        <v>488</v>
      </c>
    </row>
    <row r="4891" spans="2:12" x14ac:dyDescent="0.2">
      <c r="B4891" s="62" t="s">
        <v>789</v>
      </c>
      <c r="C4891" s="61" t="s">
        <v>788</v>
      </c>
      <c r="D4891" s="60">
        <v>1.7668200000000001</v>
      </c>
      <c r="E4891" s="59">
        <v>2.4807299999999999</v>
      </c>
      <c r="F4891" s="59">
        <v>3.3180000000000001</v>
      </c>
      <c r="G4891" s="56">
        <v>0</v>
      </c>
      <c r="H4891" s="56">
        <v>0</v>
      </c>
      <c r="I4891" s="58">
        <v>9.05947E-2</v>
      </c>
      <c r="J4891" s="57">
        <v>0.20530899999999999</v>
      </c>
      <c r="K4891" s="56"/>
      <c r="L4891" s="56" t="s">
        <v>488</v>
      </c>
    </row>
    <row r="4892" spans="2:12" x14ac:dyDescent="0.2">
      <c r="B4892" s="62" t="s">
        <v>787</v>
      </c>
      <c r="C4892" s="61" t="s">
        <v>786</v>
      </c>
      <c r="D4892" s="60">
        <v>2.2633800000000002</v>
      </c>
      <c r="E4892" s="59">
        <v>2.4418299999999999</v>
      </c>
      <c r="F4892" s="59">
        <v>2.74525</v>
      </c>
      <c r="G4892" s="56">
        <v>0</v>
      </c>
      <c r="H4892" s="56">
        <v>0</v>
      </c>
      <c r="I4892" s="58">
        <v>0.239483</v>
      </c>
      <c r="J4892" s="57">
        <v>0.14144499999999999</v>
      </c>
      <c r="K4892" s="56"/>
      <c r="L4892" s="56" t="s">
        <v>488</v>
      </c>
    </row>
    <row r="4893" spans="2:12" x14ac:dyDescent="0.2">
      <c r="B4893" s="62" t="s">
        <v>785</v>
      </c>
      <c r="C4893" s="61" t="s">
        <v>708</v>
      </c>
      <c r="D4893" s="60">
        <v>1.0241</v>
      </c>
      <c r="E4893" s="59">
        <v>3.9357500000000001</v>
      </c>
      <c r="F4893" s="59">
        <v>6.7739799999999999</v>
      </c>
      <c r="G4893" s="56">
        <v>1437.08</v>
      </c>
      <c r="H4893" s="56">
        <v>1403.25</v>
      </c>
      <c r="I4893" s="58">
        <v>0.59274800000000005</v>
      </c>
      <c r="J4893" s="57">
        <v>0.56250699999999998</v>
      </c>
      <c r="K4893" s="56"/>
      <c r="L4893" s="56" t="s">
        <v>488</v>
      </c>
    </row>
    <row r="4894" spans="2:12" x14ac:dyDescent="0.2">
      <c r="B4894" s="62" t="s">
        <v>784</v>
      </c>
      <c r="C4894" s="61" t="s">
        <v>510</v>
      </c>
      <c r="D4894" s="60">
        <v>1.76383</v>
      </c>
      <c r="E4894" s="59">
        <v>3.7097099999999998</v>
      </c>
      <c r="F4894" s="59">
        <v>4.64581</v>
      </c>
      <c r="G4894" s="56">
        <v>0</v>
      </c>
      <c r="H4894" s="56">
        <v>0</v>
      </c>
      <c r="I4894" s="58">
        <v>0.29230499999999998</v>
      </c>
      <c r="J4894" s="57">
        <v>0.26276899999999997</v>
      </c>
      <c r="K4894" s="56"/>
      <c r="L4894" s="56" t="s">
        <v>488</v>
      </c>
    </row>
    <row r="4895" spans="2:12" x14ac:dyDescent="0.2">
      <c r="B4895" s="62" t="s">
        <v>783</v>
      </c>
      <c r="C4895" s="61" t="s">
        <v>510</v>
      </c>
      <c r="D4895" s="60">
        <v>1.82012</v>
      </c>
      <c r="E4895" s="59">
        <v>3.83765</v>
      </c>
      <c r="F4895" s="59">
        <v>4.9953000000000003</v>
      </c>
      <c r="G4895" s="56">
        <v>612.322</v>
      </c>
      <c r="H4895" s="56">
        <v>353.69099999999997</v>
      </c>
      <c r="I4895" s="58">
        <v>0.26601000000000002</v>
      </c>
      <c r="J4895" s="57">
        <v>0.244201</v>
      </c>
      <c r="K4895" s="56"/>
      <c r="L4895" s="56" t="s">
        <v>488</v>
      </c>
    </row>
    <row r="4896" spans="2:12" x14ac:dyDescent="0.2">
      <c r="B4896" s="62" t="s">
        <v>782</v>
      </c>
      <c r="C4896" s="61" t="s">
        <v>510</v>
      </c>
      <c r="D4896" s="60">
        <v>1.7312399999999999</v>
      </c>
      <c r="E4896" s="59">
        <v>3.7983099999999999</v>
      </c>
      <c r="F4896" s="59">
        <v>4.9541000000000004</v>
      </c>
      <c r="G4896" s="56">
        <v>574.17700000000002</v>
      </c>
      <c r="H4896" s="56">
        <v>325.52800000000002</v>
      </c>
      <c r="I4896" s="58">
        <v>0.29155900000000001</v>
      </c>
      <c r="J4896" s="57">
        <v>0.26995000000000002</v>
      </c>
      <c r="K4896" s="56"/>
      <c r="L4896" s="56" t="s">
        <v>488</v>
      </c>
    </row>
    <row r="4897" spans="2:12" x14ac:dyDescent="0.2">
      <c r="B4897" s="62" t="s">
        <v>781</v>
      </c>
      <c r="C4897" s="61" t="s">
        <v>499</v>
      </c>
      <c r="D4897" s="60">
        <v>0.96420700000000004</v>
      </c>
      <c r="E4897" s="59">
        <v>6.7780800000000001</v>
      </c>
      <c r="F4897" s="59">
        <v>8.7490000000000006</v>
      </c>
      <c r="G4897" s="56">
        <v>1636.35</v>
      </c>
      <c r="H4897" s="56">
        <v>1697.09</v>
      </c>
      <c r="I4897" s="58">
        <v>0.59024699999999997</v>
      </c>
      <c r="J4897" s="57">
        <v>0.67366899999999996</v>
      </c>
      <c r="K4897" s="56"/>
      <c r="L4897" s="56" t="s">
        <v>488</v>
      </c>
    </row>
    <row r="4898" spans="2:12" x14ac:dyDescent="0.2">
      <c r="B4898" s="62" t="s">
        <v>780</v>
      </c>
      <c r="C4898" s="61" t="s">
        <v>495</v>
      </c>
      <c r="D4898" s="60">
        <v>0.838059</v>
      </c>
      <c r="E4898" s="59">
        <v>7.54223</v>
      </c>
      <c r="F4898" s="59">
        <v>9.2364499999999996</v>
      </c>
      <c r="G4898" s="56">
        <v>1564.78</v>
      </c>
      <c r="H4898" s="56">
        <v>1867.14</v>
      </c>
      <c r="I4898" s="58">
        <v>0.59702</v>
      </c>
      <c r="J4898" s="57">
        <v>0.79175499999999999</v>
      </c>
      <c r="K4898" s="56"/>
      <c r="L4898" s="56" t="s">
        <v>488</v>
      </c>
    </row>
    <row r="4899" spans="2:12" x14ac:dyDescent="0.2">
      <c r="B4899" s="62" t="s">
        <v>779</v>
      </c>
      <c r="C4899" s="61" t="s">
        <v>502</v>
      </c>
      <c r="D4899" s="60">
        <v>0.98738899999999996</v>
      </c>
      <c r="E4899" s="59">
        <v>6.7753199999999998</v>
      </c>
      <c r="F4899" s="59">
        <v>7.7911299999999999</v>
      </c>
      <c r="G4899" s="56">
        <v>1581.59</v>
      </c>
      <c r="H4899" s="56">
        <v>1601.79</v>
      </c>
      <c r="I4899" s="58">
        <v>0.56791899999999995</v>
      </c>
      <c r="J4899" s="57">
        <v>0.63883000000000001</v>
      </c>
      <c r="K4899" s="56"/>
      <c r="L4899" s="56" t="s">
        <v>488</v>
      </c>
    </row>
    <row r="4900" spans="2:12" x14ac:dyDescent="0.2">
      <c r="B4900" s="62" t="s">
        <v>778</v>
      </c>
      <c r="C4900" s="61" t="s">
        <v>708</v>
      </c>
      <c r="D4900" s="60">
        <v>1.0062899999999999</v>
      </c>
      <c r="E4900" s="59">
        <v>6.25474</v>
      </c>
      <c r="F4900" s="59">
        <v>8.1752199999999995</v>
      </c>
      <c r="G4900" s="56">
        <v>1580.97</v>
      </c>
      <c r="H4900" s="56">
        <v>1571.09</v>
      </c>
      <c r="I4900" s="58">
        <v>0.56916599999999995</v>
      </c>
      <c r="J4900" s="57">
        <v>0.61188100000000001</v>
      </c>
      <c r="K4900" s="56"/>
      <c r="L4900" s="56" t="s">
        <v>488</v>
      </c>
    </row>
    <row r="4901" spans="2:12" x14ac:dyDescent="0.2">
      <c r="B4901" s="62" t="s">
        <v>777</v>
      </c>
      <c r="C4901" s="61" t="s">
        <v>776</v>
      </c>
      <c r="D4901" s="60">
        <v>1.15313</v>
      </c>
      <c r="E4901" s="59">
        <v>6.4429800000000004</v>
      </c>
      <c r="F4901" s="59">
        <v>8.3012899999999998</v>
      </c>
      <c r="G4901" s="56">
        <v>1176.7</v>
      </c>
      <c r="H4901" s="56">
        <v>1020.44</v>
      </c>
      <c r="I4901" s="58">
        <v>0.47510000000000002</v>
      </c>
      <c r="J4901" s="57">
        <v>0.47481499999999999</v>
      </c>
      <c r="K4901" s="56"/>
      <c r="L4901" s="56" t="s">
        <v>492</v>
      </c>
    </row>
    <row r="4902" spans="2:12" x14ac:dyDescent="0.2">
      <c r="B4902" s="62" t="s">
        <v>775</v>
      </c>
      <c r="C4902" s="61" t="s">
        <v>529</v>
      </c>
      <c r="D4902" s="60">
        <v>1.25603</v>
      </c>
      <c r="E4902" s="59">
        <v>3.8321800000000001</v>
      </c>
      <c r="F4902" s="59">
        <v>6.7891899999999996</v>
      </c>
      <c r="G4902" s="56">
        <v>587.91600000000005</v>
      </c>
      <c r="H4902" s="56">
        <v>468.07400000000001</v>
      </c>
      <c r="I4902" s="58">
        <v>0.31101000000000001</v>
      </c>
      <c r="J4902" s="57">
        <v>0.38419199999999998</v>
      </c>
      <c r="K4902" s="56"/>
      <c r="L4902" s="56" t="s">
        <v>492</v>
      </c>
    </row>
    <row r="4903" spans="2:12" x14ac:dyDescent="0.2">
      <c r="B4903" s="62" t="s">
        <v>774</v>
      </c>
      <c r="C4903" s="61" t="s">
        <v>510</v>
      </c>
      <c r="D4903" s="60">
        <v>1.54037</v>
      </c>
      <c r="E4903" s="59">
        <v>2.5184799999999998</v>
      </c>
      <c r="F4903" s="59">
        <v>3.8126500000000001</v>
      </c>
      <c r="G4903" s="56">
        <v>0</v>
      </c>
      <c r="H4903" s="56">
        <v>0</v>
      </c>
      <c r="I4903" s="58">
        <v>0.17870900000000001</v>
      </c>
      <c r="J4903" s="57">
        <v>0.25680999999999998</v>
      </c>
      <c r="K4903" s="56"/>
      <c r="L4903" s="56" t="s">
        <v>488</v>
      </c>
    </row>
    <row r="4904" spans="2:12" x14ac:dyDescent="0.2">
      <c r="B4904" s="62" t="s">
        <v>773</v>
      </c>
      <c r="C4904" s="61" t="s">
        <v>550</v>
      </c>
      <c r="D4904" s="60">
        <v>1.1370899999999999</v>
      </c>
      <c r="E4904" s="59">
        <v>3.8252199999999998</v>
      </c>
      <c r="F4904" s="59">
        <v>4.4481000000000002</v>
      </c>
      <c r="G4904" s="56">
        <v>521.52200000000005</v>
      </c>
      <c r="H4904" s="56">
        <v>458.64699999999999</v>
      </c>
      <c r="I4904" s="58">
        <v>0.53383400000000003</v>
      </c>
      <c r="J4904" s="57">
        <v>0.47937999999999997</v>
      </c>
      <c r="K4904" s="56"/>
      <c r="L4904" s="56" t="s">
        <v>488</v>
      </c>
    </row>
    <row r="4905" spans="2:12" x14ac:dyDescent="0.2">
      <c r="B4905" s="62" t="s">
        <v>772</v>
      </c>
      <c r="C4905" s="61" t="s">
        <v>616</v>
      </c>
      <c r="D4905" s="60">
        <v>2.6405799999999999</v>
      </c>
      <c r="E4905" s="59">
        <v>2.9587699999999999</v>
      </c>
      <c r="F4905" s="59">
        <v>3.82212</v>
      </c>
      <c r="G4905" s="56">
        <v>0</v>
      </c>
      <c r="H4905" s="56">
        <v>0</v>
      </c>
      <c r="I4905" s="58">
        <v>0.13639899999999999</v>
      </c>
      <c r="J4905" s="57">
        <v>0.16491500000000001</v>
      </c>
      <c r="K4905" s="56"/>
      <c r="L4905" s="56" t="s">
        <v>624</v>
      </c>
    </row>
    <row r="4906" spans="2:12" x14ac:dyDescent="0.2">
      <c r="B4906" s="62" t="s">
        <v>771</v>
      </c>
      <c r="C4906" s="61" t="s">
        <v>616</v>
      </c>
      <c r="D4906" s="60">
        <v>3.07979</v>
      </c>
      <c r="E4906" s="59">
        <v>3.36666</v>
      </c>
      <c r="F4906" s="59">
        <v>6.2741600000000002</v>
      </c>
      <c r="G4906" s="56">
        <v>0</v>
      </c>
      <c r="H4906" s="56">
        <v>0</v>
      </c>
      <c r="I4906" s="58">
        <v>0.15621699999999999</v>
      </c>
      <c r="J4906" s="57">
        <v>0.14951900000000001</v>
      </c>
      <c r="K4906" s="56"/>
      <c r="L4906" s="56" t="s">
        <v>624</v>
      </c>
    </row>
    <row r="4907" spans="2:12" x14ac:dyDescent="0.2">
      <c r="B4907" s="62" t="s">
        <v>770</v>
      </c>
      <c r="C4907" s="61" t="s">
        <v>616</v>
      </c>
      <c r="D4907" s="60">
        <v>2.9624799999999998</v>
      </c>
      <c r="E4907" s="59">
        <v>2.7161499999999998</v>
      </c>
      <c r="F4907" s="59">
        <v>4.4161299999999999</v>
      </c>
      <c r="G4907" s="56">
        <v>0</v>
      </c>
      <c r="H4907" s="56">
        <v>0</v>
      </c>
      <c r="I4907" s="58">
        <v>0.29056700000000002</v>
      </c>
      <c r="J4907" s="57">
        <v>0.15915899999999999</v>
      </c>
      <c r="K4907" s="56"/>
      <c r="L4907" s="56" t="s">
        <v>488</v>
      </c>
    </row>
    <row r="4908" spans="2:12" x14ac:dyDescent="0.2">
      <c r="B4908" s="62" t="s">
        <v>769</v>
      </c>
      <c r="C4908" s="61" t="s">
        <v>708</v>
      </c>
      <c r="D4908" s="60">
        <v>1.19852</v>
      </c>
      <c r="E4908" s="59">
        <v>4.0361599999999997</v>
      </c>
      <c r="F4908" s="59">
        <v>4.67624</v>
      </c>
      <c r="G4908" s="56">
        <v>191.47200000000001</v>
      </c>
      <c r="H4908" s="56">
        <v>159.75700000000001</v>
      </c>
      <c r="I4908" s="58">
        <v>0.28767100000000001</v>
      </c>
      <c r="J4908" s="57">
        <v>0.38020399999999999</v>
      </c>
      <c r="K4908" s="56"/>
      <c r="L4908" s="56" t="s">
        <v>488</v>
      </c>
    </row>
    <row r="4909" spans="2:12" x14ac:dyDescent="0.2">
      <c r="B4909" s="62" t="s">
        <v>768</v>
      </c>
      <c r="C4909" s="61" t="s">
        <v>499</v>
      </c>
      <c r="D4909" s="60">
        <v>1.0394300000000001</v>
      </c>
      <c r="E4909" s="59">
        <v>3.4803299999999999</v>
      </c>
      <c r="F4909" s="59">
        <v>4.6663600000000001</v>
      </c>
      <c r="G4909" s="56">
        <v>0</v>
      </c>
      <c r="H4909" s="56">
        <v>0</v>
      </c>
      <c r="I4909" s="58">
        <v>0.459818</v>
      </c>
      <c r="J4909" s="57">
        <v>0.53055699999999995</v>
      </c>
      <c r="K4909" s="56"/>
      <c r="L4909" s="56" t="s">
        <v>488</v>
      </c>
    </row>
    <row r="4910" spans="2:12" x14ac:dyDescent="0.2">
      <c r="B4910" s="62" t="s">
        <v>767</v>
      </c>
      <c r="C4910" s="61" t="s">
        <v>510</v>
      </c>
      <c r="D4910" s="60">
        <v>1.0303199999999999</v>
      </c>
      <c r="E4910" s="59">
        <v>3.53484</v>
      </c>
      <c r="F4910" s="59">
        <v>4.62568</v>
      </c>
      <c r="G4910" s="56">
        <v>0</v>
      </c>
      <c r="H4910" s="56">
        <v>0</v>
      </c>
      <c r="I4910" s="58">
        <v>0.45937800000000001</v>
      </c>
      <c r="J4910" s="57">
        <v>0.52616600000000002</v>
      </c>
      <c r="K4910" s="56"/>
      <c r="L4910" s="56" t="s">
        <v>488</v>
      </c>
    </row>
    <row r="4911" spans="2:12" x14ac:dyDescent="0.2">
      <c r="B4911" s="62" t="s">
        <v>766</v>
      </c>
      <c r="C4911" s="61" t="s">
        <v>499</v>
      </c>
      <c r="D4911" s="60">
        <v>1.03932</v>
      </c>
      <c r="E4911" s="59">
        <v>3.63496</v>
      </c>
      <c r="F4911" s="59">
        <v>5.6199399999999997</v>
      </c>
      <c r="G4911" s="56">
        <v>0</v>
      </c>
      <c r="H4911" s="56">
        <v>0</v>
      </c>
      <c r="I4911" s="58">
        <v>0.47060600000000002</v>
      </c>
      <c r="J4911" s="57">
        <v>0.53190000000000004</v>
      </c>
      <c r="K4911" s="56"/>
      <c r="L4911" s="56" t="s">
        <v>488</v>
      </c>
    </row>
    <row r="4912" spans="2:12" x14ac:dyDescent="0.2">
      <c r="B4912" s="62" t="s">
        <v>765</v>
      </c>
      <c r="C4912" s="61" t="s">
        <v>499</v>
      </c>
      <c r="D4912" s="60">
        <v>0.96117300000000006</v>
      </c>
      <c r="E4912" s="59">
        <v>9.6618399999999998</v>
      </c>
      <c r="F4912" s="59">
        <v>10.700989999999999</v>
      </c>
      <c r="G4912" s="56">
        <v>1250.71</v>
      </c>
      <c r="H4912" s="56">
        <v>1301.24</v>
      </c>
      <c r="I4912" s="58">
        <v>0.62667899999999999</v>
      </c>
      <c r="J4912" s="57">
        <v>0.64714000000000005</v>
      </c>
      <c r="K4912" s="56"/>
      <c r="L4912" s="56" t="s">
        <v>488</v>
      </c>
    </row>
    <row r="4913" spans="2:12" x14ac:dyDescent="0.2">
      <c r="B4913" s="62" t="s">
        <v>764</v>
      </c>
      <c r="C4913" s="61" t="s">
        <v>499</v>
      </c>
      <c r="D4913" s="60">
        <v>1.28321</v>
      </c>
      <c r="E4913" s="59">
        <v>3.1997800000000001</v>
      </c>
      <c r="F4913" s="59">
        <v>5.3364500000000001</v>
      </c>
      <c r="G4913" s="56">
        <v>0</v>
      </c>
      <c r="H4913" s="56">
        <v>0</v>
      </c>
      <c r="I4913" s="58">
        <v>0.25115900000000002</v>
      </c>
      <c r="J4913" s="57">
        <v>0.34915499999999999</v>
      </c>
      <c r="K4913" s="56"/>
      <c r="L4913" s="56" t="s">
        <v>492</v>
      </c>
    </row>
    <row r="4914" spans="2:12" x14ac:dyDescent="0.2">
      <c r="B4914" s="62" t="s">
        <v>763</v>
      </c>
      <c r="C4914" s="61" t="s">
        <v>499</v>
      </c>
      <c r="D4914" s="60">
        <v>1.32951</v>
      </c>
      <c r="E4914" s="59">
        <v>3.3888699999999998</v>
      </c>
      <c r="F4914" s="59">
        <v>4.7812700000000001</v>
      </c>
      <c r="G4914" s="56">
        <v>0</v>
      </c>
      <c r="H4914" s="56">
        <v>0</v>
      </c>
      <c r="I4914" s="58">
        <v>0.19635</v>
      </c>
      <c r="J4914" s="57">
        <v>0.34475499999999998</v>
      </c>
      <c r="K4914" s="56"/>
      <c r="L4914" s="56" t="s">
        <v>488</v>
      </c>
    </row>
    <row r="4915" spans="2:12" x14ac:dyDescent="0.2">
      <c r="B4915" s="62" t="s">
        <v>762</v>
      </c>
      <c r="C4915" s="61" t="s">
        <v>499</v>
      </c>
      <c r="D4915" s="60">
        <v>1.22095</v>
      </c>
      <c r="E4915" s="59">
        <v>4.0340999999999996</v>
      </c>
      <c r="F4915" s="59">
        <v>5.0787800000000001</v>
      </c>
      <c r="G4915" s="56">
        <v>532.52099999999996</v>
      </c>
      <c r="H4915" s="56">
        <v>436.15499999999997</v>
      </c>
      <c r="I4915" s="58">
        <v>0.33529300000000001</v>
      </c>
      <c r="J4915" s="57">
        <v>0.40023500000000001</v>
      </c>
      <c r="K4915" s="56"/>
      <c r="L4915" s="56" t="s">
        <v>488</v>
      </c>
    </row>
    <row r="4916" spans="2:12" x14ac:dyDescent="0.2">
      <c r="B4916" s="62" t="s">
        <v>761</v>
      </c>
      <c r="C4916" s="61" t="s">
        <v>499</v>
      </c>
      <c r="D4916" s="60">
        <v>1.2945199999999999</v>
      </c>
      <c r="E4916" s="59">
        <v>3.9464100000000002</v>
      </c>
      <c r="F4916" s="59">
        <v>5.0439800000000004</v>
      </c>
      <c r="G4916" s="56">
        <v>613.87400000000002</v>
      </c>
      <c r="H4916" s="56">
        <v>474.21</v>
      </c>
      <c r="I4916" s="58">
        <v>0.35997000000000001</v>
      </c>
      <c r="J4916" s="57">
        <v>0.36607600000000001</v>
      </c>
      <c r="K4916" s="56"/>
      <c r="L4916" s="56" t="s">
        <v>488</v>
      </c>
    </row>
    <row r="4917" spans="2:12" x14ac:dyDescent="0.2">
      <c r="B4917" s="62" t="s">
        <v>760</v>
      </c>
      <c r="C4917" s="61" t="s">
        <v>499</v>
      </c>
      <c r="D4917" s="60">
        <v>1.7560199999999999</v>
      </c>
      <c r="E4917" s="59">
        <v>3.3625400000000001</v>
      </c>
      <c r="F4917" s="59">
        <v>3.7214399999999999</v>
      </c>
      <c r="G4917" s="56">
        <v>0</v>
      </c>
      <c r="H4917" s="56">
        <v>0</v>
      </c>
      <c r="I4917" s="58">
        <v>0.12006799999999999</v>
      </c>
      <c r="J4917" s="57">
        <v>0.202012</v>
      </c>
      <c r="K4917" s="56"/>
      <c r="L4917" s="56" t="s">
        <v>488</v>
      </c>
    </row>
    <row r="4918" spans="2:12" x14ac:dyDescent="0.2">
      <c r="B4918" s="62" t="s">
        <v>759</v>
      </c>
      <c r="C4918" s="61" t="s">
        <v>550</v>
      </c>
      <c r="D4918" s="60">
        <v>1.12294</v>
      </c>
      <c r="E4918" s="59">
        <v>4.0241699999999998</v>
      </c>
      <c r="F4918" s="59">
        <v>5.6464100000000004</v>
      </c>
      <c r="G4918" s="56">
        <v>1684</v>
      </c>
      <c r="H4918" s="56">
        <v>1499.63</v>
      </c>
      <c r="I4918" s="58">
        <v>0.46186100000000002</v>
      </c>
      <c r="J4918" s="57">
        <v>0.61701899999999998</v>
      </c>
      <c r="K4918" s="56"/>
      <c r="L4918" s="56" t="s">
        <v>488</v>
      </c>
    </row>
    <row r="4919" spans="2:12" x14ac:dyDescent="0.2">
      <c r="B4919" s="62" t="s">
        <v>758</v>
      </c>
      <c r="C4919" s="61" t="s">
        <v>550</v>
      </c>
      <c r="D4919" s="60">
        <v>1.2259</v>
      </c>
      <c r="E4919" s="59">
        <v>3.5821700000000001</v>
      </c>
      <c r="F4919" s="59">
        <v>4.91899</v>
      </c>
      <c r="G4919" s="56">
        <v>0</v>
      </c>
      <c r="H4919" s="56">
        <v>0</v>
      </c>
      <c r="I4919" s="58">
        <v>0.42968699999999999</v>
      </c>
      <c r="J4919" s="57">
        <v>0.52701399999999998</v>
      </c>
      <c r="K4919" s="56"/>
      <c r="L4919" s="56" t="s">
        <v>488</v>
      </c>
    </row>
    <row r="4920" spans="2:12" x14ac:dyDescent="0.2">
      <c r="B4920" s="62" t="s">
        <v>757</v>
      </c>
      <c r="C4920" s="61" t="s">
        <v>756</v>
      </c>
      <c r="D4920" s="60">
        <v>1.7077199999999999</v>
      </c>
      <c r="E4920" s="59">
        <v>4.0019400000000003</v>
      </c>
      <c r="F4920" s="59">
        <v>4.9420900000000003</v>
      </c>
      <c r="G4920" s="56">
        <v>710.31700000000001</v>
      </c>
      <c r="H4920" s="56">
        <v>415.94499999999999</v>
      </c>
      <c r="I4920" s="58">
        <v>0.39813599999999999</v>
      </c>
      <c r="J4920" s="57">
        <v>0.33627899999999999</v>
      </c>
      <c r="K4920" s="56"/>
      <c r="L4920" s="56" t="s">
        <v>488</v>
      </c>
    </row>
    <row r="4921" spans="2:12" x14ac:dyDescent="0.2">
      <c r="B4921" s="62" t="s">
        <v>755</v>
      </c>
      <c r="C4921" s="61" t="s">
        <v>510</v>
      </c>
      <c r="D4921" s="60">
        <v>1.20746</v>
      </c>
      <c r="E4921" s="59">
        <v>3.2296200000000002</v>
      </c>
      <c r="F4921" s="59">
        <v>5.7838099999999999</v>
      </c>
      <c r="G4921" s="56">
        <v>0</v>
      </c>
      <c r="H4921" s="56">
        <v>0</v>
      </c>
      <c r="I4921" s="58">
        <v>0.33241700000000002</v>
      </c>
      <c r="J4921" s="57">
        <v>0.392841</v>
      </c>
      <c r="K4921" s="56"/>
      <c r="L4921" s="56" t="s">
        <v>488</v>
      </c>
    </row>
    <row r="4922" spans="2:12" x14ac:dyDescent="0.2">
      <c r="B4922" s="62" t="s">
        <v>754</v>
      </c>
      <c r="C4922" s="61" t="s">
        <v>499</v>
      </c>
      <c r="D4922" s="60">
        <v>1.30047</v>
      </c>
      <c r="E4922" s="59">
        <v>3.1939799999999998</v>
      </c>
      <c r="F4922" s="59">
        <v>3.5784799999999999</v>
      </c>
      <c r="G4922" s="56">
        <v>0</v>
      </c>
      <c r="H4922" s="56">
        <v>0</v>
      </c>
      <c r="I4922" s="58">
        <v>0.15232200000000001</v>
      </c>
      <c r="J4922" s="57">
        <v>0.33179500000000001</v>
      </c>
      <c r="K4922" s="56"/>
      <c r="L4922" s="56" t="s">
        <v>488</v>
      </c>
    </row>
    <row r="4923" spans="2:12" x14ac:dyDescent="0.2">
      <c r="B4923" s="62" t="s">
        <v>753</v>
      </c>
      <c r="C4923" s="61" t="s">
        <v>535</v>
      </c>
      <c r="D4923" s="60">
        <v>1.2421</v>
      </c>
      <c r="E4923" s="59">
        <v>5.0999600000000003</v>
      </c>
      <c r="F4923" s="59">
        <v>5.9881799999999998</v>
      </c>
      <c r="G4923" s="56">
        <v>1860.15</v>
      </c>
      <c r="H4923" s="56">
        <v>1497.59</v>
      </c>
      <c r="I4923" s="58">
        <v>0.66805000000000003</v>
      </c>
      <c r="J4923" s="57">
        <v>0.52543300000000004</v>
      </c>
      <c r="K4923" s="56"/>
      <c r="L4923" s="56" t="s">
        <v>488</v>
      </c>
    </row>
    <row r="4924" spans="2:12" x14ac:dyDescent="0.2">
      <c r="B4924" s="62" t="s">
        <v>752</v>
      </c>
      <c r="C4924" s="61" t="s">
        <v>550</v>
      </c>
      <c r="D4924" s="60">
        <v>1.59832</v>
      </c>
      <c r="E4924" s="59">
        <v>4.2181699999999998</v>
      </c>
      <c r="F4924" s="59">
        <v>4.8723700000000001</v>
      </c>
      <c r="G4924" s="56">
        <v>562.35400000000004</v>
      </c>
      <c r="H4924" s="56">
        <v>351.84100000000001</v>
      </c>
      <c r="I4924" s="58">
        <v>0.25164599999999998</v>
      </c>
      <c r="J4924" s="57">
        <v>0.30932900000000002</v>
      </c>
      <c r="K4924" s="56"/>
      <c r="L4924" s="56" t="s">
        <v>492</v>
      </c>
    </row>
    <row r="4925" spans="2:12" x14ac:dyDescent="0.2">
      <c r="B4925" s="62" t="s">
        <v>751</v>
      </c>
      <c r="C4925" s="61" t="s">
        <v>579</v>
      </c>
      <c r="D4925" s="60">
        <v>1.26071</v>
      </c>
      <c r="E4925" s="59">
        <v>6.5422700000000003</v>
      </c>
      <c r="F4925" s="59">
        <v>7.4258600000000001</v>
      </c>
      <c r="G4925" s="56">
        <v>1356.91</v>
      </c>
      <c r="H4925" s="56">
        <v>1076.31</v>
      </c>
      <c r="I4925" s="58">
        <v>0.52577499999999999</v>
      </c>
      <c r="J4925" s="57">
        <v>0.48296</v>
      </c>
      <c r="K4925" s="56"/>
      <c r="L4925" s="56" t="s">
        <v>488</v>
      </c>
    </row>
    <row r="4926" spans="2:12" x14ac:dyDescent="0.2">
      <c r="B4926" s="62" t="s">
        <v>750</v>
      </c>
      <c r="C4926" s="61" t="s">
        <v>612</v>
      </c>
      <c r="D4926" s="60">
        <v>1.1251599999999999</v>
      </c>
      <c r="E4926" s="59">
        <v>5.7934999999999999</v>
      </c>
      <c r="F4926" s="59">
        <v>6.0270299999999999</v>
      </c>
      <c r="G4926" s="56">
        <v>1213.51</v>
      </c>
      <c r="H4926" s="56">
        <v>1078.51</v>
      </c>
      <c r="I4926" s="58">
        <v>0.52521499999999999</v>
      </c>
      <c r="J4926" s="57">
        <v>0.52169600000000005</v>
      </c>
      <c r="K4926" s="56"/>
      <c r="L4926" s="56" t="s">
        <v>488</v>
      </c>
    </row>
    <row r="4927" spans="2:12" x14ac:dyDescent="0.2">
      <c r="B4927" s="62" t="s">
        <v>749</v>
      </c>
      <c r="C4927" s="61" t="s">
        <v>747</v>
      </c>
      <c r="D4927" s="60">
        <v>3.9130400000000001</v>
      </c>
      <c r="E4927" s="59">
        <v>4.3492100000000002</v>
      </c>
      <c r="F4927" s="59">
        <v>4.97966</v>
      </c>
      <c r="G4927" s="56">
        <v>686.298</v>
      </c>
      <c r="H4927" s="56">
        <v>175.387</v>
      </c>
      <c r="I4927" s="58">
        <v>0.33120500000000003</v>
      </c>
      <c r="J4927" s="57">
        <v>0.11253199999999999</v>
      </c>
      <c r="K4927" s="56"/>
      <c r="L4927" s="56" t="s">
        <v>488</v>
      </c>
    </row>
    <row r="4928" spans="2:12" x14ac:dyDescent="0.2">
      <c r="B4928" s="62" t="s">
        <v>748</v>
      </c>
      <c r="C4928" s="61" t="s">
        <v>747</v>
      </c>
      <c r="D4928" s="60">
        <v>3.5984799999999999</v>
      </c>
      <c r="E4928" s="59">
        <v>2.4029500000000001</v>
      </c>
      <c r="F4928" s="59">
        <v>4.0527699999999998</v>
      </c>
      <c r="G4928" s="56">
        <v>0</v>
      </c>
      <c r="H4928" s="56">
        <v>0</v>
      </c>
      <c r="I4928" s="58">
        <v>0.24601200000000001</v>
      </c>
      <c r="J4928" s="57">
        <v>0.123261</v>
      </c>
      <c r="K4928" s="56"/>
      <c r="L4928" s="56" t="s">
        <v>488</v>
      </c>
    </row>
    <row r="4929" spans="2:12" x14ac:dyDescent="0.2">
      <c r="B4929" s="62" t="s">
        <v>746</v>
      </c>
      <c r="C4929" s="61" t="s">
        <v>745</v>
      </c>
      <c r="D4929" s="60">
        <v>2.9635199999999999</v>
      </c>
      <c r="E4929" s="59">
        <v>3.1201099999999999</v>
      </c>
      <c r="F4929" s="59">
        <v>3.8139400000000001</v>
      </c>
      <c r="G4929" s="56">
        <v>0</v>
      </c>
      <c r="H4929" s="56">
        <v>0</v>
      </c>
      <c r="I4929" s="58">
        <v>0.18664500000000001</v>
      </c>
      <c r="J4929" s="57">
        <v>0.115843</v>
      </c>
      <c r="K4929" s="56"/>
      <c r="L4929" s="56" t="s">
        <v>492</v>
      </c>
    </row>
    <row r="4930" spans="2:12" x14ac:dyDescent="0.2">
      <c r="B4930" s="62" t="s">
        <v>744</v>
      </c>
      <c r="C4930" s="61" t="s">
        <v>526</v>
      </c>
      <c r="D4930" s="60">
        <v>1.3123800000000001</v>
      </c>
      <c r="E4930" s="59">
        <v>7.3017700000000003</v>
      </c>
      <c r="F4930" s="59">
        <v>7.4367900000000002</v>
      </c>
      <c r="G4930" s="56">
        <v>1462.85</v>
      </c>
      <c r="H4930" s="56">
        <v>1114.6600000000001</v>
      </c>
      <c r="I4930" s="58">
        <v>0.71408000000000005</v>
      </c>
      <c r="J4930" s="57">
        <v>0.46498099999999998</v>
      </c>
      <c r="K4930" s="56"/>
      <c r="L4930" s="56" t="s">
        <v>488</v>
      </c>
    </row>
    <row r="4931" spans="2:12" x14ac:dyDescent="0.2">
      <c r="B4931" s="62" t="s">
        <v>743</v>
      </c>
      <c r="C4931" s="61" t="s">
        <v>502</v>
      </c>
      <c r="D4931" s="60">
        <v>1.4247099999999999</v>
      </c>
      <c r="E4931" s="59">
        <v>4.1983199999999998</v>
      </c>
      <c r="F4931" s="59">
        <v>4.5885300000000004</v>
      </c>
      <c r="G4931" s="56">
        <v>289.40699999999998</v>
      </c>
      <c r="H4931" s="56">
        <v>203.13399999999999</v>
      </c>
      <c r="I4931" s="58">
        <v>0.18674299999999999</v>
      </c>
      <c r="J4931" s="57">
        <v>0.32248900000000003</v>
      </c>
      <c r="K4931" s="56"/>
      <c r="L4931" s="56" t="s">
        <v>488</v>
      </c>
    </row>
    <row r="4932" spans="2:12" x14ac:dyDescent="0.2">
      <c r="B4932" s="62" t="s">
        <v>742</v>
      </c>
      <c r="C4932" s="61" t="s">
        <v>641</v>
      </c>
      <c r="D4932" s="60">
        <v>2.1794799999999999</v>
      </c>
      <c r="E4932" s="59">
        <v>3.1076100000000002</v>
      </c>
      <c r="F4932" s="59">
        <v>3.9271500000000001</v>
      </c>
      <c r="G4932" s="56">
        <v>0</v>
      </c>
      <c r="H4932" s="56">
        <v>0</v>
      </c>
      <c r="I4932" s="58">
        <v>7.9575900000000005E-2</v>
      </c>
      <c r="J4932" s="57">
        <v>0.14008499999999999</v>
      </c>
      <c r="K4932" s="56"/>
      <c r="L4932" s="56" t="s">
        <v>488</v>
      </c>
    </row>
    <row r="4933" spans="2:12" x14ac:dyDescent="0.2">
      <c r="B4933" s="62" t="s">
        <v>741</v>
      </c>
      <c r="C4933" s="61" t="s">
        <v>579</v>
      </c>
      <c r="D4933" s="60">
        <v>2.2185700000000002</v>
      </c>
      <c r="E4933" s="59">
        <v>3.0291199999999998</v>
      </c>
      <c r="F4933" s="59">
        <v>3.8618299999999999</v>
      </c>
      <c r="G4933" s="56">
        <v>0</v>
      </c>
      <c r="H4933" s="56">
        <v>0</v>
      </c>
      <c r="I4933" s="58">
        <v>7.4828099999999995E-2</v>
      </c>
      <c r="J4933" s="57">
        <v>0.13485800000000001</v>
      </c>
      <c r="K4933" s="56"/>
      <c r="L4933" s="56" t="s">
        <v>488</v>
      </c>
    </row>
    <row r="4934" spans="2:12" x14ac:dyDescent="0.2">
      <c r="B4934" s="62" t="s">
        <v>740</v>
      </c>
      <c r="C4934" s="61" t="s">
        <v>533</v>
      </c>
      <c r="D4934" s="60">
        <v>2.01362</v>
      </c>
      <c r="E4934" s="59">
        <v>3.1867399999999999</v>
      </c>
      <c r="F4934" s="59">
        <v>4.6477599999999999</v>
      </c>
      <c r="G4934" s="56">
        <v>0</v>
      </c>
      <c r="H4934" s="56">
        <v>0</v>
      </c>
      <c r="I4934" s="58">
        <v>0.28560999999999998</v>
      </c>
      <c r="J4934" s="57">
        <v>0.20974000000000001</v>
      </c>
      <c r="K4934" s="56"/>
      <c r="L4934" s="56" t="s">
        <v>488</v>
      </c>
    </row>
    <row r="4935" spans="2:12" x14ac:dyDescent="0.2">
      <c r="B4935" s="62" t="s">
        <v>739</v>
      </c>
      <c r="C4935" s="61" t="s">
        <v>537</v>
      </c>
      <c r="D4935" s="60">
        <v>2.0615199999999998</v>
      </c>
      <c r="E4935" s="59">
        <v>3.1381600000000001</v>
      </c>
      <c r="F4935" s="59">
        <v>4.6042300000000003</v>
      </c>
      <c r="G4935" s="56">
        <v>0</v>
      </c>
      <c r="H4935" s="56">
        <v>0</v>
      </c>
      <c r="I4935" s="58">
        <v>0.28197</v>
      </c>
      <c r="J4935" s="57">
        <v>0.203181</v>
      </c>
      <c r="K4935" s="56"/>
      <c r="L4935" s="56" t="s">
        <v>488</v>
      </c>
    </row>
    <row r="4936" spans="2:12" x14ac:dyDescent="0.2">
      <c r="B4936" s="62" t="s">
        <v>738</v>
      </c>
      <c r="C4936" s="61" t="s">
        <v>625</v>
      </c>
      <c r="D4936" s="60">
        <v>1.46553</v>
      </c>
      <c r="E4936" s="59">
        <v>3.5162300000000002</v>
      </c>
      <c r="F4936" s="59">
        <v>4.4528100000000004</v>
      </c>
      <c r="G4936" s="56">
        <v>0</v>
      </c>
      <c r="H4936" s="56">
        <v>0</v>
      </c>
      <c r="I4936" s="58">
        <v>0.32578699999999999</v>
      </c>
      <c r="J4936" s="57">
        <v>0.34155000000000002</v>
      </c>
      <c r="K4936" s="56"/>
      <c r="L4936" s="56" t="s">
        <v>492</v>
      </c>
    </row>
    <row r="4937" spans="2:12" x14ac:dyDescent="0.2">
      <c r="B4937" s="62" t="s">
        <v>737</v>
      </c>
      <c r="C4937" s="61" t="s">
        <v>499</v>
      </c>
      <c r="D4937" s="60">
        <v>2.21305</v>
      </c>
      <c r="E4937" s="59">
        <v>3.5434100000000002</v>
      </c>
      <c r="F4937" s="59">
        <v>4.0422799999999999</v>
      </c>
      <c r="G4937" s="56">
        <v>0</v>
      </c>
      <c r="H4937" s="56">
        <v>0</v>
      </c>
      <c r="I4937" s="58">
        <v>0.27335700000000002</v>
      </c>
      <c r="J4937" s="57">
        <v>0.22831000000000001</v>
      </c>
      <c r="K4937" s="56"/>
      <c r="L4937" s="56" t="s">
        <v>488</v>
      </c>
    </row>
    <row r="4938" spans="2:12" x14ac:dyDescent="0.2">
      <c r="B4938" s="62" t="s">
        <v>736</v>
      </c>
      <c r="C4938" s="61" t="s">
        <v>735</v>
      </c>
      <c r="D4938" s="60">
        <v>1.3698600000000001</v>
      </c>
      <c r="E4938" s="59">
        <v>4.8380799999999997</v>
      </c>
      <c r="F4938" s="59">
        <v>7.3166099999999998</v>
      </c>
      <c r="G4938" s="56">
        <v>910.029</v>
      </c>
      <c r="H4938" s="56">
        <v>664.32299999999998</v>
      </c>
      <c r="I4938" s="58">
        <v>0.42903400000000003</v>
      </c>
      <c r="J4938" s="57">
        <v>0.41497600000000001</v>
      </c>
      <c r="K4938" s="56"/>
      <c r="L4938" s="56" t="s">
        <v>488</v>
      </c>
    </row>
    <row r="4939" spans="2:12" x14ac:dyDescent="0.2">
      <c r="B4939" s="62" t="s">
        <v>734</v>
      </c>
      <c r="C4939" s="61" t="s">
        <v>495</v>
      </c>
      <c r="D4939" s="60">
        <v>1.34283</v>
      </c>
      <c r="E4939" s="59">
        <v>2.5552800000000002</v>
      </c>
      <c r="F4939" s="59">
        <v>4.4942799999999998</v>
      </c>
      <c r="G4939" s="56">
        <v>0</v>
      </c>
      <c r="H4939" s="56">
        <v>0</v>
      </c>
      <c r="I4939" s="58">
        <v>7.2900499999999993E-2</v>
      </c>
      <c r="J4939" s="57">
        <v>0.29002</v>
      </c>
      <c r="K4939" s="56"/>
      <c r="L4939" s="56" t="s">
        <v>488</v>
      </c>
    </row>
    <row r="4940" spans="2:12" x14ac:dyDescent="0.2">
      <c r="B4940" s="62" t="s">
        <v>733</v>
      </c>
      <c r="C4940" s="61" t="s">
        <v>499</v>
      </c>
      <c r="D4940" s="60">
        <v>1.1275200000000001</v>
      </c>
      <c r="E4940" s="59">
        <v>4.0550699999999997</v>
      </c>
      <c r="F4940" s="59">
        <v>5.2085100000000004</v>
      </c>
      <c r="G4940" s="56">
        <v>1297.9000000000001</v>
      </c>
      <c r="H4940" s="56">
        <v>1151.1099999999999</v>
      </c>
      <c r="I4940" s="58">
        <v>0.55019600000000002</v>
      </c>
      <c r="J4940" s="57">
        <v>0.55062699999999998</v>
      </c>
      <c r="K4940" s="56"/>
      <c r="L4940" s="56" t="s">
        <v>488</v>
      </c>
    </row>
    <row r="4941" spans="2:12" x14ac:dyDescent="0.2">
      <c r="B4941" s="62" t="s">
        <v>732</v>
      </c>
      <c r="C4941" s="61" t="s">
        <v>731</v>
      </c>
      <c r="D4941" s="60">
        <v>1.6752199999999999</v>
      </c>
      <c r="E4941" s="59">
        <v>2.5905999999999998</v>
      </c>
      <c r="F4941" s="59">
        <v>4.0706600000000002</v>
      </c>
      <c r="G4941" s="56">
        <v>0</v>
      </c>
      <c r="H4941" s="56">
        <v>0</v>
      </c>
      <c r="I4941" s="58">
        <v>0.216973</v>
      </c>
      <c r="J4941" s="57">
        <v>0.27983400000000003</v>
      </c>
      <c r="K4941" s="56"/>
      <c r="L4941" s="56" t="s">
        <v>730</v>
      </c>
    </row>
    <row r="4942" spans="2:12" x14ac:dyDescent="0.2">
      <c r="B4942" s="62" t="s">
        <v>729</v>
      </c>
      <c r="C4942" s="61" t="s">
        <v>625</v>
      </c>
      <c r="D4942" s="60">
        <v>2.2286800000000002</v>
      </c>
      <c r="E4942" s="59">
        <v>2.98909</v>
      </c>
      <c r="F4942" s="59">
        <v>3.6094400000000002</v>
      </c>
      <c r="G4942" s="56">
        <v>0</v>
      </c>
      <c r="H4942" s="56">
        <v>0</v>
      </c>
      <c r="I4942" s="58">
        <v>0.11325300000000001</v>
      </c>
      <c r="J4942" s="57">
        <v>0.155364</v>
      </c>
      <c r="K4942" s="56"/>
      <c r="L4942" s="56" t="s">
        <v>488</v>
      </c>
    </row>
    <row r="4943" spans="2:12" x14ac:dyDescent="0.2">
      <c r="B4943" s="62" t="s">
        <v>728</v>
      </c>
      <c r="C4943" s="61" t="s">
        <v>550</v>
      </c>
      <c r="D4943" s="60">
        <v>1.5719399999999999</v>
      </c>
      <c r="E4943" s="59">
        <v>3.2871000000000001</v>
      </c>
      <c r="F4943" s="59">
        <v>5.8335600000000003</v>
      </c>
      <c r="G4943" s="56">
        <v>0</v>
      </c>
      <c r="H4943" s="56">
        <v>0</v>
      </c>
      <c r="I4943" s="58">
        <v>0.31270700000000001</v>
      </c>
      <c r="J4943" s="57">
        <v>0.327708</v>
      </c>
      <c r="K4943" s="56"/>
      <c r="L4943" s="56" t="s">
        <v>488</v>
      </c>
    </row>
    <row r="4944" spans="2:12" x14ac:dyDescent="0.2">
      <c r="B4944" s="62" t="s">
        <v>727</v>
      </c>
      <c r="C4944" s="61" t="s">
        <v>625</v>
      </c>
      <c r="D4944" s="60">
        <v>1.9685299999999999</v>
      </c>
      <c r="E4944" s="59">
        <v>3.0073699999999999</v>
      </c>
      <c r="F4944" s="59">
        <v>3.7314799999999999</v>
      </c>
      <c r="G4944" s="56">
        <v>0</v>
      </c>
      <c r="H4944" s="56">
        <v>0</v>
      </c>
      <c r="I4944" s="58">
        <v>0.123916</v>
      </c>
      <c r="J4944" s="57">
        <v>0.17593900000000001</v>
      </c>
      <c r="K4944" s="56"/>
      <c r="L4944" s="56" t="s">
        <v>488</v>
      </c>
    </row>
    <row r="4945" spans="2:12" x14ac:dyDescent="0.2">
      <c r="B4945" s="62" t="s">
        <v>726</v>
      </c>
      <c r="C4945" s="61" t="s">
        <v>612</v>
      </c>
      <c r="D4945" s="60">
        <v>1.04955</v>
      </c>
      <c r="E4945" s="59">
        <v>4.0300799999999999</v>
      </c>
      <c r="F4945" s="59">
        <v>6.8888600000000002</v>
      </c>
      <c r="G4945" s="56">
        <v>699.48900000000003</v>
      </c>
      <c r="H4945" s="56">
        <v>666.46799999999996</v>
      </c>
      <c r="I4945" s="58">
        <v>0.42100399999999999</v>
      </c>
      <c r="J4945" s="57">
        <v>0.51836899999999997</v>
      </c>
      <c r="K4945" s="56"/>
      <c r="L4945" s="56" t="s">
        <v>488</v>
      </c>
    </row>
    <row r="4946" spans="2:12" x14ac:dyDescent="0.2">
      <c r="B4946" s="62" t="s">
        <v>725</v>
      </c>
      <c r="C4946" s="61" t="s">
        <v>499</v>
      </c>
      <c r="D4946" s="60">
        <v>1.2313400000000001</v>
      </c>
      <c r="E4946" s="59">
        <v>3.97085</v>
      </c>
      <c r="F4946" s="59">
        <v>13.71017</v>
      </c>
      <c r="G4946" s="56">
        <v>1300.22</v>
      </c>
      <c r="H4946" s="56">
        <v>1055.94</v>
      </c>
      <c r="I4946" s="58">
        <v>0.54172500000000001</v>
      </c>
      <c r="J4946" s="57">
        <v>0.49687100000000001</v>
      </c>
      <c r="K4946" s="56"/>
      <c r="L4946" s="56" t="s">
        <v>488</v>
      </c>
    </row>
    <row r="4947" spans="2:12" x14ac:dyDescent="0.2">
      <c r="B4947" s="62" t="s">
        <v>724</v>
      </c>
      <c r="C4947" s="61" t="s">
        <v>531</v>
      </c>
      <c r="D4947" s="60">
        <v>1.27965</v>
      </c>
      <c r="E4947" s="59">
        <v>3.0520399999999999</v>
      </c>
      <c r="F4947" s="59">
        <v>8.2132500000000004</v>
      </c>
      <c r="G4947" s="56">
        <v>0</v>
      </c>
      <c r="H4947" s="56">
        <v>0</v>
      </c>
      <c r="I4947" s="58">
        <v>0.50221899999999997</v>
      </c>
      <c r="J4947" s="57">
        <v>0.42928300000000003</v>
      </c>
      <c r="K4947" s="56"/>
      <c r="L4947" s="56" t="s">
        <v>488</v>
      </c>
    </row>
    <row r="4948" spans="2:12" x14ac:dyDescent="0.2">
      <c r="B4948" s="62" t="s">
        <v>723</v>
      </c>
      <c r="C4948" s="61" t="s">
        <v>499</v>
      </c>
      <c r="D4948" s="60">
        <v>0.98518799999999995</v>
      </c>
      <c r="E4948" s="59">
        <v>5.0236299999999998</v>
      </c>
      <c r="F4948" s="59">
        <v>6.4532999999999996</v>
      </c>
      <c r="G4948" s="56">
        <v>2082.9</v>
      </c>
      <c r="H4948" s="56">
        <v>2114.21</v>
      </c>
      <c r="I4948" s="58">
        <v>0.65075799999999995</v>
      </c>
      <c r="J4948" s="57">
        <v>0.65975700000000004</v>
      </c>
      <c r="K4948" s="56"/>
      <c r="L4948" s="56" t="s">
        <v>488</v>
      </c>
    </row>
    <row r="4949" spans="2:12" x14ac:dyDescent="0.2">
      <c r="B4949" s="62" t="s">
        <v>722</v>
      </c>
      <c r="C4949" s="61" t="s">
        <v>499</v>
      </c>
      <c r="D4949" s="60">
        <v>0.80400300000000002</v>
      </c>
      <c r="E4949" s="59">
        <v>9.2345400000000009</v>
      </c>
      <c r="F4949" s="59">
        <v>10.1844</v>
      </c>
      <c r="G4949" s="56">
        <v>2158.86</v>
      </c>
      <c r="H4949" s="56">
        <v>2685.14</v>
      </c>
      <c r="I4949" s="58">
        <v>0.76345399999999997</v>
      </c>
      <c r="J4949" s="57">
        <v>0.899501</v>
      </c>
      <c r="K4949" s="56"/>
      <c r="L4949" s="56" t="s">
        <v>488</v>
      </c>
    </row>
    <row r="4950" spans="2:12" x14ac:dyDescent="0.2">
      <c r="B4950" s="62" t="s">
        <v>721</v>
      </c>
      <c r="C4950" s="61" t="s">
        <v>502</v>
      </c>
      <c r="D4950" s="60">
        <v>0.97729100000000002</v>
      </c>
      <c r="E4950" s="59">
        <v>5.9208299999999996</v>
      </c>
      <c r="F4950" s="59">
        <v>7.6284900000000002</v>
      </c>
      <c r="G4950" s="56">
        <v>1804.56</v>
      </c>
      <c r="H4950" s="56">
        <v>1846.49</v>
      </c>
      <c r="I4950" s="58">
        <v>0.623556</v>
      </c>
      <c r="J4950" s="57">
        <v>0.63196799999999997</v>
      </c>
      <c r="K4950" s="56"/>
      <c r="L4950" s="56" t="s">
        <v>488</v>
      </c>
    </row>
    <row r="4951" spans="2:12" x14ac:dyDescent="0.2">
      <c r="B4951" s="62" t="s">
        <v>720</v>
      </c>
      <c r="C4951" s="61" t="s">
        <v>550</v>
      </c>
      <c r="D4951" s="60">
        <v>2.1711100000000001</v>
      </c>
      <c r="E4951" s="59">
        <v>3.5925799999999999</v>
      </c>
      <c r="F4951" s="59">
        <v>5.0425199999999997</v>
      </c>
      <c r="G4951" s="56">
        <v>0</v>
      </c>
      <c r="H4951" s="56">
        <v>0</v>
      </c>
      <c r="I4951" s="58">
        <v>0.366595</v>
      </c>
      <c r="J4951" s="57">
        <v>0.21617400000000001</v>
      </c>
      <c r="K4951" s="56"/>
      <c r="L4951" s="56" t="s">
        <v>488</v>
      </c>
    </row>
    <row r="4952" spans="2:12" x14ac:dyDescent="0.2">
      <c r="B4952" s="62" t="s">
        <v>719</v>
      </c>
      <c r="C4952" s="61" t="s">
        <v>537</v>
      </c>
      <c r="D4952" s="60">
        <v>1.5924400000000001</v>
      </c>
      <c r="E4952" s="59">
        <v>6.5066800000000002</v>
      </c>
      <c r="F4952" s="59">
        <v>6.8777799999999996</v>
      </c>
      <c r="G4952" s="56">
        <v>1329.79</v>
      </c>
      <c r="H4952" s="56">
        <v>835.06299999999999</v>
      </c>
      <c r="I4952" s="58">
        <v>0.59735499999999997</v>
      </c>
      <c r="J4952" s="57">
        <v>0.358097</v>
      </c>
      <c r="K4952" s="56"/>
      <c r="L4952" s="56" t="s">
        <v>488</v>
      </c>
    </row>
    <row r="4953" spans="2:12" x14ac:dyDescent="0.2">
      <c r="B4953" s="62" t="s">
        <v>718</v>
      </c>
      <c r="C4953" s="61" t="s">
        <v>612</v>
      </c>
      <c r="D4953" s="60">
        <v>1.7748200000000001</v>
      </c>
      <c r="E4953" s="59">
        <v>2.4459499999999998</v>
      </c>
      <c r="F4953" s="59">
        <v>3.4098700000000002</v>
      </c>
      <c r="G4953" s="56">
        <v>0</v>
      </c>
      <c r="H4953" s="56">
        <v>0</v>
      </c>
      <c r="I4953" s="58">
        <v>7.40373E-2</v>
      </c>
      <c r="J4953" s="57">
        <v>0.18975500000000001</v>
      </c>
      <c r="K4953" s="56"/>
      <c r="L4953" s="56" t="s">
        <v>488</v>
      </c>
    </row>
    <row r="4954" spans="2:12" x14ac:dyDescent="0.2">
      <c r="B4954" s="62" t="s">
        <v>717</v>
      </c>
      <c r="C4954" s="61" t="s">
        <v>510</v>
      </c>
      <c r="D4954" s="60">
        <v>1.9419500000000001</v>
      </c>
      <c r="E4954" s="59">
        <v>5.80783</v>
      </c>
      <c r="F4954" s="59">
        <v>6.1290399999999998</v>
      </c>
      <c r="G4954" s="56">
        <v>299.625</v>
      </c>
      <c r="H4954" s="56">
        <v>154.291</v>
      </c>
      <c r="I4954" s="58">
        <v>0.13967499999999999</v>
      </c>
      <c r="J4954" s="57">
        <v>0.169937</v>
      </c>
      <c r="K4954" s="56"/>
      <c r="L4954" s="56" t="s">
        <v>492</v>
      </c>
    </row>
    <row r="4955" spans="2:12" x14ac:dyDescent="0.2">
      <c r="B4955" s="62" t="s">
        <v>716</v>
      </c>
      <c r="C4955" s="61" t="s">
        <v>708</v>
      </c>
      <c r="D4955" s="60">
        <v>1.3312200000000001</v>
      </c>
      <c r="E4955" s="59">
        <v>9.0994600000000005</v>
      </c>
      <c r="F4955" s="59">
        <v>9.7175700000000003</v>
      </c>
      <c r="G4955" s="56">
        <v>1249.92</v>
      </c>
      <c r="H4955" s="56">
        <v>938.92399999999998</v>
      </c>
      <c r="I4955" s="58">
        <v>0.47742299999999999</v>
      </c>
      <c r="J4955" s="57">
        <v>0.43362299999999998</v>
      </c>
      <c r="K4955" s="56"/>
      <c r="L4955" s="56" t="s">
        <v>488</v>
      </c>
    </row>
    <row r="4956" spans="2:12" x14ac:dyDescent="0.2">
      <c r="B4956" s="62" t="s">
        <v>715</v>
      </c>
      <c r="C4956" s="61" t="s">
        <v>714</v>
      </c>
      <c r="D4956" s="60">
        <v>0.79483400000000004</v>
      </c>
      <c r="E4956" s="59">
        <v>18.906110000000002</v>
      </c>
      <c r="F4956" s="59">
        <v>21.492170000000002</v>
      </c>
      <c r="G4956" s="56">
        <v>1055.43</v>
      </c>
      <c r="H4956" s="56">
        <v>1327.86</v>
      </c>
      <c r="I4956" s="58">
        <v>0.63031800000000004</v>
      </c>
      <c r="J4956" s="57">
        <v>0.88673500000000005</v>
      </c>
      <c r="K4956" s="56"/>
      <c r="L4956" s="56" t="s">
        <v>624</v>
      </c>
    </row>
    <row r="4957" spans="2:12" x14ac:dyDescent="0.2">
      <c r="B4957" s="62" t="s">
        <v>713</v>
      </c>
      <c r="C4957" s="61" t="s">
        <v>712</v>
      </c>
      <c r="D4957" s="60">
        <v>1.15967</v>
      </c>
      <c r="E4957" s="59">
        <v>4.7031999999999998</v>
      </c>
      <c r="F4957" s="59">
        <v>5.8738400000000004</v>
      </c>
      <c r="G4957" s="56">
        <v>2511.86</v>
      </c>
      <c r="H4957" s="56">
        <v>2166</v>
      </c>
      <c r="I4957" s="58">
        <v>0.64928799999999998</v>
      </c>
      <c r="J4957" s="57">
        <v>0.62836000000000003</v>
      </c>
      <c r="K4957" s="56"/>
      <c r="L4957" s="56" t="s">
        <v>488</v>
      </c>
    </row>
    <row r="4958" spans="2:12" x14ac:dyDescent="0.2">
      <c r="B4958" s="62" t="s">
        <v>711</v>
      </c>
      <c r="C4958" s="61" t="s">
        <v>710</v>
      </c>
      <c r="D4958" s="60">
        <v>0.74226999999999999</v>
      </c>
      <c r="E4958" s="59">
        <v>4.7993199999999998</v>
      </c>
      <c r="F4958" s="59">
        <v>5.9963300000000004</v>
      </c>
      <c r="G4958" s="56">
        <v>2618.62</v>
      </c>
      <c r="H4958" s="56">
        <v>3527.86</v>
      </c>
      <c r="I4958" s="58">
        <v>0.64988999999999997</v>
      </c>
      <c r="J4958" s="57">
        <v>0.98854600000000004</v>
      </c>
      <c r="K4958" s="56"/>
      <c r="L4958" s="56" t="s">
        <v>488</v>
      </c>
    </row>
    <row r="4959" spans="2:12" x14ac:dyDescent="0.2">
      <c r="B4959" s="62" t="s">
        <v>709</v>
      </c>
      <c r="C4959" s="61" t="s">
        <v>708</v>
      </c>
      <c r="D4959" s="60">
        <v>1.3601799999999999</v>
      </c>
      <c r="E4959" s="59">
        <v>2.5240499999999999</v>
      </c>
      <c r="F4959" s="59">
        <v>3.48706</v>
      </c>
      <c r="G4959" s="56">
        <v>0</v>
      </c>
      <c r="H4959" s="56">
        <v>0</v>
      </c>
      <c r="I4959" s="58">
        <v>0.10542799999999999</v>
      </c>
      <c r="J4959" s="57">
        <v>0.30346800000000002</v>
      </c>
      <c r="K4959" s="56"/>
      <c r="L4959" s="56" t="s">
        <v>488</v>
      </c>
    </row>
    <row r="4960" spans="2:12" x14ac:dyDescent="0.2">
      <c r="B4960" s="62" t="s">
        <v>707</v>
      </c>
      <c r="C4960" s="61" t="s">
        <v>625</v>
      </c>
      <c r="D4960" s="60">
        <v>1.6094200000000001</v>
      </c>
      <c r="E4960" s="59">
        <v>4.5524100000000001</v>
      </c>
      <c r="F4960" s="59">
        <v>6.2553099999999997</v>
      </c>
      <c r="G4960" s="56">
        <v>801.04100000000005</v>
      </c>
      <c r="H4960" s="56">
        <v>497.72</v>
      </c>
      <c r="I4960" s="58">
        <v>0.36434699999999998</v>
      </c>
      <c r="J4960" s="57">
        <v>0.33405899999999999</v>
      </c>
      <c r="K4960" s="56"/>
      <c r="L4960" s="56" t="s">
        <v>488</v>
      </c>
    </row>
    <row r="4961" spans="2:12" x14ac:dyDescent="0.2">
      <c r="B4961" s="62" t="s">
        <v>706</v>
      </c>
      <c r="C4961" s="61" t="s">
        <v>625</v>
      </c>
      <c r="D4961" s="60">
        <v>1.5862099999999999</v>
      </c>
      <c r="E4961" s="59">
        <v>4.9764499999999998</v>
      </c>
      <c r="F4961" s="59">
        <v>7.2497100000000003</v>
      </c>
      <c r="G4961" s="56">
        <v>714.17899999999997</v>
      </c>
      <c r="H4961" s="56">
        <v>450.24200000000002</v>
      </c>
      <c r="I4961" s="58">
        <v>0.381828</v>
      </c>
      <c r="J4961" s="57">
        <v>0.34298800000000002</v>
      </c>
      <c r="K4961" s="56" t="s">
        <v>698</v>
      </c>
      <c r="L4961" s="56" t="s">
        <v>563</v>
      </c>
    </row>
    <row r="4962" spans="2:12" x14ac:dyDescent="0.2">
      <c r="B4962" s="62" t="s">
        <v>705</v>
      </c>
      <c r="C4962" s="61" t="s">
        <v>625</v>
      </c>
      <c r="D4962" s="60">
        <v>3.1539600000000001</v>
      </c>
      <c r="E4962" s="59">
        <v>2.7336100000000001</v>
      </c>
      <c r="F4962" s="59">
        <v>3.5056400000000001</v>
      </c>
      <c r="G4962" s="56">
        <v>0</v>
      </c>
      <c r="H4962" s="56">
        <v>0</v>
      </c>
      <c r="I4962" s="58">
        <v>0.24870300000000001</v>
      </c>
      <c r="J4962" s="57">
        <v>0.157361</v>
      </c>
      <c r="K4962" s="56"/>
      <c r="L4962" s="56" t="s">
        <v>488</v>
      </c>
    </row>
    <row r="4963" spans="2:12" x14ac:dyDescent="0.2">
      <c r="B4963" s="62" t="s">
        <v>704</v>
      </c>
      <c r="C4963" s="61" t="s">
        <v>587</v>
      </c>
      <c r="D4963" s="60">
        <v>1.50434</v>
      </c>
      <c r="E4963" s="59">
        <v>4.1813200000000004</v>
      </c>
      <c r="F4963" s="59">
        <v>4.7984600000000004</v>
      </c>
      <c r="G4963" s="56">
        <v>347.25200000000001</v>
      </c>
      <c r="H4963" s="56">
        <v>230.833</v>
      </c>
      <c r="I4963" s="58">
        <v>0.16820499999999999</v>
      </c>
      <c r="J4963" s="57">
        <v>0.29163800000000001</v>
      </c>
      <c r="K4963" s="56"/>
      <c r="L4963" s="56" t="s">
        <v>488</v>
      </c>
    </row>
    <row r="4964" spans="2:12" x14ac:dyDescent="0.2">
      <c r="B4964" s="62" t="s">
        <v>703</v>
      </c>
      <c r="C4964" s="61" t="s">
        <v>702</v>
      </c>
      <c r="D4964" s="60">
        <v>0.55494600000000005</v>
      </c>
      <c r="E4964" s="59">
        <v>5.70059</v>
      </c>
      <c r="F4964" s="59">
        <v>17.82348</v>
      </c>
      <c r="G4964" s="56">
        <v>2032.41</v>
      </c>
      <c r="H4964" s="56">
        <v>3662.36</v>
      </c>
      <c r="I4964" s="58">
        <v>0.77824800000000005</v>
      </c>
      <c r="J4964" s="57">
        <v>1.38575</v>
      </c>
      <c r="K4964" s="56"/>
      <c r="L4964" s="56" t="s">
        <v>488</v>
      </c>
    </row>
    <row r="4965" spans="2:12" x14ac:dyDescent="0.2">
      <c r="B4965" s="62" t="s">
        <v>701</v>
      </c>
      <c r="C4965" s="61" t="s">
        <v>558</v>
      </c>
      <c r="D4965" s="60">
        <v>1.19557</v>
      </c>
      <c r="E4965" s="59">
        <v>4.1415699999999998</v>
      </c>
      <c r="F4965" s="59">
        <v>6.9833400000000001</v>
      </c>
      <c r="G4965" s="56">
        <v>1890.79</v>
      </c>
      <c r="H4965" s="56">
        <v>1581.5</v>
      </c>
      <c r="I4965" s="58">
        <v>0.65095599999999998</v>
      </c>
      <c r="J4965" s="57">
        <v>0.54806600000000005</v>
      </c>
      <c r="K4965" s="56"/>
      <c r="L4965" s="56" t="s">
        <v>488</v>
      </c>
    </row>
    <row r="4966" spans="2:12" x14ac:dyDescent="0.2">
      <c r="B4966" s="62" t="s">
        <v>700</v>
      </c>
      <c r="C4966" s="61" t="s">
        <v>625</v>
      </c>
      <c r="D4966" s="60">
        <v>1.5943000000000001</v>
      </c>
      <c r="E4966" s="59">
        <v>3.7481599999999999</v>
      </c>
      <c r="F4966" s="59">
        <v>6.3137400000000001</v>
      </c>
      <c r="G4966" s="56">
        <v>706.12400000000002</v>
      </c>
      <c r="H4966" s="56">
        <v>442.90600000000001</v>
      </c>
      <c r="I4966" s="58">
        <v>0.361707</v>
      </c>
      <c r="J4966" s="57">
        <v>0.33995599999999998</v>
      </c>
      <c r="K4966" s="56"/>
      <c r="L4966" s="56" t="s">
        <v>488</v>
      </c>
    </row>
    <row r="4967" spans="2:12" x14ac:dyDescent="0.2">
      <c r="B4967" s="62" t="s">
        <v>699</v>
      </c>
      <c r="C4967" s="61" t="s">
        <v>625</v>
      </c>
      <c r="D4967" s="60">
        <v>1.5737300000000001</v>
      </c>
      <c r="E4967" s="59">
        <v>5.0789999999999997</v>
      </c>
      <c r="F4967" s="59">
        <v>7.3687100000000001</v>
      </c>
      <c r="G4967" s="56">
        <v>711.85799999999995</v>
      </c>
      <c r="H4967" s="56">
        <v>452.33699999999999</v>
      </c>
      <c r="I4967" s="58">
        <v>0.386853</v>
      </c>
      <c r="J4967" s="57">
        <v>0.34913300000000003</v>
      </c>
      <c r="K4967" s="56" t="s">
        <v>698</v>
      </c>
      <c r="L4967" s="56" t="s">
        <v>563</v>
      </c>
    </row>
    <row r="4968" spans="2:12" x14ac:dyDescent="0.2">
      <c r="B4968" s="62" t="s">
        <v>697</v>
      </c>
      <c r="C4968" s="61" t="s">
        <v>510</v>
      </c>
      <c r="D4968" s="60">
        <v>1.15665</v>
      </c>
      <c r="E4968" s="59">
        <v>3.00875</v>
      </c>
      <c r="F4968" s="59">
        <v>6.3543200000000004</v>
      </c>
      <c r="G4968" s="56">
        <v>0</v>
      </c>
      <c r="H4968" s="56">
        <v>0</v>
      </c>
      <c r="I4968" s="58">
        <v>0.40936099999999997</v>
      </c>
      <c r="J4968" s="57">
        <v>0.46401700000000001</v>
      </c>
      <c r="K4968" s="56"/>
      <c r="L4968" s="56" t="s">
        <v>488</v>
      </c>
    </row>
    <row r="4969" spans="2:12" x14ac:dyDescent="0.2">
      <c r="B4969" s="62" t="s">
        <v>696</v>
      </c>
      <c r="C4969" s="61" t="s">
        <v>499</v>
      </c>
      <c r="D4969" s="60">
        <v>1.15876</v>
      </c>
      <c r="E4969" s="59">
        <v>3.8723700000000001</v>
      </c>
      <c r="F4969" s="59">
        <v>7.7613399999999997</v>
      </c>
      <c r="G4969" s="56">
        <v>1259.03</v>
      </c>
      <c r="H4969" s="56">
        <v>1086.53</v>
      </c>
      <c r="I4969" s="58">
        <v>0.47243200000000002</v>
      </c>
      <c r="J4969" s="57">
        <v>0.50537399999999999</v>
      </c>
      <c r="K4969" s="56"/>
      <c r="L4969" s="56" t="s">
        <v>488</v>
      </c>
    </row>
    <row r="4970" spans="2:12" x14ac:dyDescent="0.2">
      <c r="B4970" s="62" t="s">
        <v>695</v>
      </c>
      <c r="C4970" s="61" t="s">
        <v>694</v>
      </c>
      <c r="D4970" s="60">
        <v>1.09565</v>
      </c>
      <c r="E4970" s="59">
        <v>3.4341499999999998</v>
      </c>
      <c r="F4970" s="59">
        <v>5.9773899999999998</v>
      </c>
      <c r="G4970" s="56">
        <v>0</v>
      </c>
      <c r="H4970" s="56">
        <v>0</v>
      </c>
      <c r="I4970" s="58">
        <v>0.41045599999999999</v>
      </c>
      <c r="J4970" s="57">
        <v>0.47240900000000002</v>
      </c>
      <c r="K4970" s="56"/>
      <c r="L4970" s="56" t="s">
        <v>488</v>
      </c>
    </row>
    <row r="4971" spans="2:12" x14ac:dyDescent="0.2">
      <c r="B4971" s="62" t="s">
        <v>693</v>
      </c>
      <c r="C4971" s="61" t="s">
        <v>692</v>
      </c>
      <c r="D4971" s="60">
        <v>1.11694</v>
      </c>
      <c r="E4971" s="59">
        <v>3.3419599999999998</v>
      </c>
      <c r="F4971" s="59">
        <v>5.8879700000000001</v>
      </c>
      <c r="G4971" s="56">
        <v>0</v>
      </c>
      <c r="H4971" s="56">
        <v>0</v>
      </c>
      <c r="I4971" s="58">
        <v>0.395144</v>
      </c>
      <c r="J4971" s="57">
        <v>0.45728999999999997</v>
      </c>
      <c r="K4971" s="56"/>
      <c r="L4971" s="56" t="s">
        <v>488</v>
      </c>
    </row>
    <row r="4972" spans="2:12" x14ac:dyDescent="0.2">
      <c r="B4972" s="62" t="s">
        <v>691</v>
      </c>
      <c r="C4972" s="61" t="s">
        <v>690</v>
      </c>
      <c r="D4972" s="60">
        <v>1.1677900000000001</v>
      </c>
      <c r="E4972" s="59">
        <v>3.2869100000000002</v>
      </c>
      <c r="F4972" s="59">
        <v>6.1146599999999998</v>
      </c>
      <c r="G4972" s="56">
        <v>0</v>
      </c>
      <c r="H4972" s="56">
        <v>0</v>
      </c>
      <c r="I4972" s="58">
        <v>0.40318399999999999</v>
      </c>
      <c r="J4972" s="57">
        <v>0.44765700000000003</v>
      </c>
      <c r="K4972" s="56"/>
      <c r="L4972" s="56" t="s">
        <v>488</v>
      </c>
    </row>
    <row r="4973" spans="2:12" x14ac:dyDescent="0.2">
      <c r="B4973" s="62" t="s">
        <v>689</v>
      </c>
      <c r="C4973" s="61" t="s">
        <v>510</v>
      </c>
      <c r="D4973" s="60">
        <v>1.11585</v>
      </c>
      <c r="E4973" s="59">
        <v>2.6276099999999998</v>
      </c>
      <c r="F4973" s="59">
        <v>5.21305</v>
      </c>
      <c r="G4973" s="56">
        <v>0</v>
      </c>
      <c r="H4973" s="56">
        <v>0</v>
      </c>
      <c r="I4973" s="58">
        <v>0.315334</v>
      </c>
      <c r="J4973" s="57">
        <v>0.42924099999999998</v>
      </c>
      <c r="K4973" s="56"/>
      <c r="L4973" s="56" t="s">
        <v>488</v>
      </c>
    </row>
    <row r="4974" spans="2:12" x14ac:dyDescent="0.2">
      <c r="B4974" s="62" t="s">
        <v>688</v>
      </c>
      <c r="C4974" s="61" t="s">
        <v>687</v>
      </c>
      <c r="D4974" s="60">
        <v>1.84239</v>
      </c>
      <c r="E4974" s="59">
        <v>5.5746399999999996</v>
      </c>
      <c r="F4974" s="59">
        <v>5.8484800000000003</v>
      </c>
      <c r="G4974" s="56">
        <v>1199.48</v>
      </c>
      <c r="H4974" s="56">
        <v>651.04200000000003</v>
      </c>
      <c r="I4974" s="58">
        <v>0.58564700000000003</v>
      </c>
      <c r="J4974" s="57">
        <v>0.30144100000000001</v>
      </c>
      <c r="K4974" s="56"/>
      <c r="L4974" s="56" t="s">
        <v>488</v>
      </c>
    </row>
    <row r="4975" spans="2:12" x14ac:dyDescent="0.2">
      <c r="B4975" s="62" t="s">
        <v>686</v>
      </c>
      <c r="C4975" s="61" t="s">
        <v>607</v>
      </c>
      <c r="D4975" s="60">
        <v>3.6370100000000001</v>
      </c>
      <c r="E4975" s="59">
        <v>2.5879799999999999</v>
      </c>
      <c r="F4975" s="59">
        <v>3.7200899999999999</v>
      </c>
      <c r="G4975" s="56">
        <v>0</v>
      </c>
      <c r="H4975" s="56">
        <v>0</v>
      </c>
      <c r="I4975" s="58">
        <v>0.218027</v>
      </c>
      <c r="J4975" s="57">
        <v>0.132298</v>
      </c>
      <c r="K4975" s="56"/>
      <c r="L4975" s="56" t="s">
        <v>488</v>
      </c>
    </row>
    <row r="4976" spans="2:12" x14ac:dyDescent="0.2">
      <c r="B4976" s="62" t="s">
        <v>685</v>
      </c>
      <c r="C4976" s="61" t="s">
        <v>684</v>
      </c>
      <c r="D4976" s="60">
        <v>1.97485</v>
      </c>
      <c r="E4976" s="59">
        <v>3.3286199999999999</v>
      </c>
      <c r="F4976" s="59">
        <v>4.4418300000000004</v>
      </c>
      <c r="G4976" s="56">
        <v>0</v>
      </c>
      <c r="H4976" s="56">
        <v>0</v>
      </c>
      <c r="I4976" s="58">
        <v>0.293161</v>
      </c>
      <c r="J4976" s="57">
        <v>0.23611099999999999</v>
      </c>
      <c r="K4976" s="56"/>
      <c r="L4976" s="56" t="s">
        <v>488</v>
      </c>
    </row>
    <row r="4977" spans="2:12" x14ac:dyDescent="0.2">
      <c r="B4977" s="62" t="s">
        <v>683</v>
      </c>
      <c r="C4977" s="61" t="s">
        <v>625</v>
      </c>
      <c r="D4977" s="60">
        <v>1.2544500000000001</v>
      </c>
      <c r="E4977" s="59">
        <v>4.0422599999999997</v>
      </c>
      <c r="F4977" s="59">
        <v>9.0604200000000006</v>
      </c>
      <c r="G4977" s="56">
        <v>1337.23</v>
      </c>
      <c r="H4977" s="56">
        <v>1065.99</v>
      </c>
      <c r="I4977" s="58">
        <v>0.51419599999999999</v>
      </c>
      <c r="J4977" s="57">
        <v>0.51400100000000004</v>
      </c>
      <c r="K4977" s="56"/>
      <c r="L4977" s="56" t="s">
        <v>488</v>
      </c>
    </row>
    <row r="4978" spans="2:12" x14ac:dyDescent="0.2">
      <c r="B4978" s="62" t="s">
        <v>682</v>
      </c>
      <c r="C4978" s="61" t="s">
        <v>625</v>
      </c>
      <c r="D4978" s="60">
        <v>1.2541899999999999</v>
      </c>
      <c r="E4978" s="59">
        <v>4.2388300000000001</v>
      </c>
      <c r="F4978" s="59">
        <v>8.9855199999999993</v>
      </c>
      <c r="G4978" s="56">
        <v>1352.31</v>
      </c>
      <c r="H4978" s="56">
        <v>1078.23</v>
      </c>
      <c r="I4978" s="58">
        <v>0.51596799999999998</v>
      </c>
      <c r="J4978" s="57">
        <v>0.51403799999999999</v>
      </c>
      <c r="K4978" s="56"/>
      <c r="L4978" s="56" t="s">
        <v>488</v>
      </c>
    </row>
    <row r="4979" spans="2:12" x14ac:dyDescent="0.2">
      <c r="B4979" s="62" t="s">
        <v>681</v>
      </c>
      <c r="C4979" s="61" t="s">
        <v>499</v>
      </c>
      <c r="D4979" s="60">
        <v>1.7329399999999999</v>
      </c>
      <c r="E4979" s="59">
        <v>2.6886100000000002</v>
      </c>
      <c r="F4979" s="59">
        <v>3.8151799999999998</v>
      </c>
      <c r="G4979" s="56">
        <v>0</v>
      </c>
      <c r="H4979" s="56">
        <v>0</v>
      </c>
      <c r="I4979" s="58">
        <v>0.22253200000000001</v>
      </c>
      <c r="J4979" s="57">
        <v>0.27857300000000002</v>
      </c>
      <c r="K4979" s="56"/>
      <c r="L4979" s="56" t="s">
        <v>488</v>
      </c>
    </row>
    <row r="4980" spans="2:12" x14ac:dyDescent="0.2">
      <c r="B4980" s="62" t="s">
        <v>680</v>
      </c>
      <c r="C4980" s="61" t="s">
        <v>499</v>
      </c>
      <c r="D4980" s="60">
        <v>0.78770899999999999</v>
      </c>
      <c r="E4980" s="59">
        <v>5.9961399999999996</v>
      </c>
      <c r="F4980" s="59">
        <v>9.1086899999999993</v>
      </c>
      <c r="G4980" s="56">
        <v>2160.9899999999998</v>
      </c>
      <c r="H4980" s="56">
        <v>2743.39</v>
      </c>
      <c r="I4980" s="58">
        <v>0.68641099999999999</v>
      </c>
      <c r="J4980" s="57">
        <v>0.91235100000000002</v>
      </c>
      <c r="K4980" s="56"/>
      <c r="L4980" s="56" t="s">
        <v>488</v>
      </c>
    </row>
    <row r="4981" spans="2:12" x14ac:dyDescent="0.2">
      <c r="B4981" s="62" t="s">
        <v>679</v>
      </c>
      <c r="C4981" s="61" t="s">
        <v>678</v>
      </c>
      <c r="D4981" s="60">
        <v>1.7684800000000001</v>
      </c>
      <c r="E4981" s="59">
        <v>4.2377000000000002</v>
      </c>
      <c r="F4981" s="59">
        <v>5.4637500000000001</v>
      </c>
      <c r="G4981" s="56">
        <v>480.14400000000001</v>
      </c>
      <c r="H4981" s="56">
        <v>271.50099999999998</v>
      </c>
      <c r="I4981" s="58">
        <v>0.29979</v>
      </c>
      <c r="J4981" s="57">
        <v>0.28859099999999999</v>
      </c>
      <c r="K4981" s="56"/>
      <c r="L4981" s="56" t="s">
        <v>488</v>
      </c>
    </row>
    <row r="4982" spans="2:12" x14ac:dyDescent="0.2">
      <c r="B4982" s="62" t="s">
        <v>677</v>
      </c>
      <c r="C4982" s="61" t="s">
        <v>550</v>
      </c>
      <c r="D4982" s="60">
        <v>1.2225999999999999</v>
      </c>
      <c r="E4982" s="59">
        <v>5.5297799999999997</v>
      </c>
      <c r="F4982" s="59">
        <v>6.8401300000000003</v>
      </c>
      <c r="G4982" s="56">
        <v>1764.84</v>
      </c>
      <c r="H4982" s="56">
        <v>1443.52</v>
      </c>
      <c r="I4982" s="58">
        <v>0.52891999999999995</v>
      </c>
      <c r="J4982" s="57">
        <v>0.56754000000000004</v>
      </c>
      <c r="K4982" s="56"/>
      <c r="L4982" s="56" t="s">
        <v>488</v>
      </c>
    </row>
    <row r="4983" spans="2:12" x14ac:dyDescent="0.2">
      <c r="B4983" s="62" t="s">
        <v>676</v>
      </c>
      <c r="C4983" s="61" t="s">
        <v>550</v>
      </c>
      <c r="D4983" s="60">
        <v>1.24427</v>
      </c>
      <c r="E4983" s="59">
        <v>5.4160199999999996</v>
      </c>
      <c r="F4983" s="59">
        <v>6.8361200000000002</v>
      </c>
      <c r="G4983" s="56">
        <v>1712.71</v>
      </c>
      <c r="H4983" s="56">
        <v>1376.5</v>
      </c>
      <c r="I4983" s="58">
        <v>0.52347600000000005</v>
      </c>
      <c r="J4983" s="57">
        <v>0.5554</v>
      </c>
      <c r="K4983" s="56"/>
      <c r="L4983" s="56" t="s">
        <v>488</v>
      </c>
    </row>
    <row r="4984" spans="2:12" x14ac:dyDescent="0.2">
      <c r="B4984" s="62" t="s">
        <v>675</v>
      </c>
      <c r="C4984" s="61" t="s">
        <v>550</v>
      </c>
      <c r="D4984" s="60">
        <v>1.3073300000000001</v>
      </c>
      <c r="E4984" s="59">
        <v>3.8026399999999998</v>
      </c>
      <c r="F4984" s="59">
        <v>5.7195099999999996</v>
      </c>
      <c r="G4984" s="56">
        <v>1437.58</v>
      </c>
      <c r="H4984" s="56">
        <v>1099.6300000000001</v>
      </c>
      <c r="I4984" s="58">
        <v>0.49305199999999999</v>
      </c>
      <c r="J4984" s="57">
        <v>0.51495500000000005</v>
      </c>
      <c r="K4984" s="56"/>
      <c r="L4984" s="56" t="s">
        <v>488</v>
      </c>
    </row>
    <row r="4985" spans="2:12" x14ac:dyDescent="0.2">
      <c r="B4985" s="62" t="s">
        <v>674</v>
      </c>
      <c r="C4985" s="61" t="s">
        <v>550</v>
      </c>
      <c r="D4985" s="60">
        <v>1.2752300000000001</v>
      </c>
      <c r="E4985" s="59">
        <v>4.8761700000000001</v>
      </c>
      <c r="F4985" s="59">
        <v>6.6374599999999999</v>
      </c>
      <c r="G4985" s="56">
        <v>1598.32</v>
      </c>
      <c r="H4985" s="56">
        <v>1253.3599999999999</v>
      </c>
      <c r="I4985" s="58">
        <v>0.50855499999999998</v>
      </c>
      <c r="J4985" s="57">
        <v>0.53590599999999999</v>
      </c>
      <c r="K4985" s="56"/>
      <c r="L4985" s="56" t="s">
        <v>488</v>
      </c>
    </row>
    <row r="4986" spans="2:12" x14ac:dyDescent="0.2">
      <c r="B4986" s="62" t="s">
        <v>673</v>
      </c>
      <c r="C4986" s="61" t="s">
        <v>550</v>
      </c>
      <c r="D4986" s="60">
        <v>1.25407</v>
      </c>
      <c r="E4986" s="59">
        <v>5.1549800000000001</v>
      </c>
      <c r="F4986" s="59">
        <v>6.7915700000000001</v>
      </c>
      <c r="G4986" s="56">
        <v>1753.62</v>
      </c>
      <c r="H4986" s="56">
        <v>1398.34</v>
      </c>
      <c r="I4986" s="58">
        <v>0.52326899999999998</v>
      </c>
      <c r="J4986" s="57">
        <v>0.547929</v>
      </c>
      <c r="K4986" s="56"/>
      <c r="L4986" s="56" t="s">
        <v>488</v>
      </c>
    </row>
    <row r="4987" spans="2:12" x14ac:dyDescent="0.2">
      <c r="B4987" s="62" t="s">
        <v>672</v>
      </c>
      <c r="C4987" s="61" t="s">
        <v>489</v>
      </c>
      <c r="D4987" s="60">
        <v>1.5853200000000001</v>
      </c>
      <c r="E4987" s="59">
        <v>3.59836</v>
      </c>
      <c r="F4987" s="59">
        <v>4.6371599999999997</v>
      </c>
      <c r="G4987" s="56">
        <v>0</v>
      </c>
      <c r="H4987" s="56">
        <v>0</v>
      </c>
      <c r="I4987" s="58">
        <v>0.20133400000000001</v>
      </c>
      <c r="J4987" s="57">
        <v>0.31576399999999999</v>
      </c>
      <c r="K4987" s="56"/>
      <c r="L4987" s="56" t="s">
        <v>488</v>
      </c>
    </row>
    <row r="4988" spans="2:12" x14ac:dyDescent="0.2">
      <c r="B4988" s="62" t="s">
        <v>671</v>
      </c>
      <c r="C4988" s="61" t="s">
        <v>537</v>
      </c>
      <c r="D4988" s="60">
        <v>2.2401</v>
      </c>
      <c r="E4988" s="59">
        <v>2.8578000000000001</v>
      </c>
      <c r="F4988" s="59">
        <v>3.35521</v>
      </c>
      <c r="G4988" s="56">
        <v>0</v>
      </c>
      <c r="H4988" s="56">
        <v>0</v>
      </c>
      <c r="I4988" s="58">
        <v>0.12274500000000001</v>
      </c>
      <c r="J4988" s="57">
        <v>0.197493</v>
      </c>
      <c r="K4988" s="56"/>
      <c r="L4988" s="56" t="s">
        <v>488</v>
      </c>
    </row>
    <row r="4989" spans="2:12" x14ac:dyDescent="0.2">
      <c r="B4989" s="62" t="s">
        <v>670</v>
      </c>
      <c r="C4989" s="61" t="s">
        <v>669</v>
      </c>
      <c r="D4989" s="60">
        <v>1.4811700000000001</v>
      </c>
      <c r="E4989" s="59">
        <v>4.1401000000000003</v>
      </c>
      <c r="F4989" s="59">
        <v>6.3772200000000003</v>
      </c>
      <c r="G4989" s="56">
        <v>1289.19</v>
      </c>
      <c r="H4989" s="56">
        <v>870.38699999999994</v>
      </c>
      <c r="I4989" s="58">
        <v>0.46201999999999999</v>
      </c>
      <c r="J4989" s="57">
        <v>0.38995400000000002</v>
      </c>
      <c r="K4989" s="56"/>
      <c r="L4989" s="56" t="s">
        <v>492</v>
      </c>
    </row>
    <row r="4990" spans="2:12" x14ac:dyDescent="0.2">
      <c r="B4990" s="62" t="s">
        <v>668</v>
      </c>
      <c r="C4990" s="61" t="s">
        <v>499</v>
      </c>
      <c r="D4990" s="60">
        <v>0.69142099999999995</v>
      </c>
      <c r="E4990" s="59">
        <v>5.7057799999999999</v>
      </c>
      <c r="F4990" s="59">
        <v>11.86103</v>
      </c>
      <c r="G4990" s="56">
        <v>2057.5</v>
      </c>
      <c r="H4990" s="56">
        <v>2975.75</v>
      </c>
      <c r="I4990" s="58">
        <v>0.80328999999999995</v>
      </c>
      <c r="J4990" s="57">
        <v>1.1096299999999999</v>
      </c>
      <c r="K4990" s="56"/>
      <c r="L4990" s="56" t="s">
        <v>488</v>
      </c>
    </row>
    <row r="4991" spans="2:12" x14ac:dyDescent="0.2">
      <c r="B4991" s="62" t="s">
        <v>667</v>
      </c>
      <c r="C4991" s="61" t="s">
        <v>499</v>
      </c>
      <c r="D4991" s="60">
        <v>1.00681</v>
      </c>
      <c r="E4991" s="59">
        <v>3.9430499999999999</v>
      </c>
      <c r="F4991" s="59">
        <v>7.4457899999999997</v>
      </c>
      <c r="G4991" s="56">
        <v>1204.1600000000001</v>
      </c>
      <c r="H4991" s="56">
        <v>1196.01</v>
      </c>
      <c r="I4991" s="58">
        <v>0.56277900000000003</v>
      </c>
      <c r="J4991" s="57">
        <v>0.57675699999999996</v>
      </c>
      <c r="K4991" s="56"/>
      <c r="L4991" s="56" t="s">
        <v>488</v>
      </c>
    </row>
    <row r="4992" spans="2:12" x14ac:dyDescent="0.2">
      <c r="B4992" s="62" t="s">
        <v>666</v>
      </c>
      <c r="C4992" s="61" t="s">
        <v>510</v>
      </c>
      <c r="D4992" s="60">
        <v>1.50972</v>
      </c>
      <c r="E4992" s="59">
        <v>2.7883399999999998</v>
      </c>
      <c r="F4992" s="59">
        <v>3.73773</v>
      </c>
      <c r="G4992" s="56">
        <v>0</v>
      </c>
      <c r="H4992" s="56">
        <v>0</v>
      </c>
      <c r="I4992" s="58">
        <v>0.16164100000000001</v>
      </c>
      <c r="J4992" s="57">
        <v>0.26188800000000001</v>
      </c>
      <c r="K4992" s="56"/>
      <c r="L4992" s="56" t="s">
        <v>488</v>
      </c>
    </row>
    <row r="4993" spans="2:12" x14ac:dyDescent="0.2">
      <c r="B4993" s="62" t="s">
        <v>665</v>
      </c>
      <c r="C4993" s="61" t="s">
        <v>529</v>
      </c>
      <c r="D4993" s="60">
        <v>1.9004099999999999</v>
      </c>
      <c r="E4993" s="59">
        <v>3.0381200000000002</v>
      </c>
      <c r="F4993" s="59">
        <v>3.5998199999999998</v>
      </c>
      <c r="G4993" s="56">
        <v>0</v>
      </c>
      <c r="H4993" s="56">
        <v>0</v>
      </c>
      <c r="I4993" s="58">
        <v>0.16500799999999999</v>
      </c>
      <c r="J4993" s="57">
        <v>0.192445</v>
      </c>
      <c r="K4993" s="56"/>
      <c r="L4993" s="56" t="s">
        <v>488</v>
      </c>
    </row>
    <row r="4994" spans="2:12" x14ac:dyDescent="0.2">
      <c r="B4994" s="62" t="s">
        <v>664</v>
      </c>
      <c r="C4994" s="61" t="s">
        <v>499</v>
      </c>
      <c r="D4994" s="60">
        <v>1.1171</v>
      </c>
      <c r="E4994" s="59">
        <v>5.2836699999999999</v>
      </c>
      <c r="F4994" s="59">
        <v>8.1218000000000004</v>
      </c>
      <c r="G4994" s="56">
        <v>1009.65</v>
      </c>
      <c r="H4994" s="56">
        <v>903.81200000000001</v>
      </c>
      <c r="I4994" s="58">
        <v>0.43737399999999999</v>
      </c>
      <c r="J4994" s="57">
        <v>0.49941400000000002</v>
      </c>
      <c r="K4994" s="56"/>
      <c r="L4994" s="56" t="s">
        <v>488</v>
      </c>
    </row>
    <row r="4995" spans="2:12" x14ac:dyDescent="0.2">
      <c r="B4995" s="62" t="s">
        <v>663</v>
      </c>
      <c r="C4995" s="61" t="s">
        <v>499</v>
      </c>
      <c r="D4995" s="60">
        <v>1.07643</v>
      </c>
      <c r="E4995" s="59">
        <v>10.307079999999999</v>
      </c>
      <c r="F4995" s="59">
        <v>12.18249</v>
      </c>
      <c r="G4995" s="56">
        <v>1317.25</v>
      </c>
      <c r="H4995" s="56">
        <v>1223.73</v>
      </c>
      <c r="I4995" s="58">
        <v>0.50415699999999997</v>
      </c>
      <c r="J4995" s="57">
        <v>0.59641900000000003</v>
      </c>
      <c r="K4995" s="56"/>
      <c r="L4995" s="56" t="s">
        <v>488</v>
      </c>
    </row>
    <row r="4996" spans="2:12" x14ac:dyDescent="0.2">
      <c r="B4996" s="62" t="s">
        <v>662</v>
      </c>
      <c r="C4996" s="61" t="s">
        <v>499</v>
      </c>
      <c r="D4996" s="60">
        <v>1.29132</v>
      </c>
      <c r="E4996" s="59">
        <v>4.3124900000000004</v>
      </c>
      <c r="F4996" s="59">
        <v>8.4612300000000005</v>
      </c>
      <c r="G4996" s="56">
        <v>1070.5999999999999</v>
      </c>
      <c r="H4996" s="56">
        <v>829.07500000000005</v>
      </c>
      <c r="I4996" s="58">
        <v>0.41651100000000002</v>
      </c>
      <c r="J4996" s="57">
        <v>0.44028200000000001</v>
      </c>
      <c r="K4996" s="56" t="s">
        <v>661</v>
      </c>
      <c r="L4996" s="56" t="s">
        <v>563</v>
      </c>
    </row>
    <row r="4997" spans="2:12" x14ac:dyDescent="0.2">
      <c r="B4997" s="62" t="s">
        <v>660</v>
      </c>
      <c r="C4997" s="61" t="s">
        <v>499</v>
      </c>
      <c r="D4997" s="60">
        <v>0.69820000000000004</v>
      </c>
      <c r="E4997" s="59">
        <v>8.8914600000000004</v>
      </c>
      <c r="F4997" s="59">
        <v>13.27914</v>
      </c>
      <c r="G4997" s="56">
        <v>1812.98</v>
      </c>
      <c r="H4997" s="56">
        <v>2596.64</v>
      </c>
      <c r="I4997" s="58">
        <v>0.75528700000000004</v>
      </c>
      <c r="J4997" s="57">
        <v>1.0746800000000001</v>
      </c>
      <c r="K4997" s="56"/>
      <c r="L4997" s="56" t="s">
        <v>492</v>
      </c>
    </row>
    <row r="4998" spans="2:12" x14ac:dyDescent="0.2">
      <c r="B4998" s="62" t="s">
        <v>659</v>
      </c>
      <c r="C4998" s="61" t="s">
        <v>499</v>
      </c>
      <c r="D4998" s="60">
        <v>1.19814</v>
      </c>
      <c r="E4998" s="59">
        <v>4.9474499999999999</v>
      </c>
      <c r="F4998" s="59">
        <v>8.6926500000000004</v>
      </c>
      <c r="G4998" s="56">
        <v>1201.0899999999999</v>
      </c>
      <c r="H4998" s="56">
        <v>1002.46</v>
      </c>
      <c r="I4998" s="58">
        <v>0.501525</v>
      </c>
      <c r="J4998" s="57">
        <v>0.50542699999999996</v>
      </c>
      <c r="K4998" s="56"/>
      <c r="L4998" s="56" t="s">
        <v>488</v>
      </c>
    </row>
    <row r="4999" spans="2:12" x14ac:dyDescent="0.2">
      <c r="B4999" s="62" t="s">
        <v>658</v>
      </c>
      <c r="C4999" s="61" t="s">
        <v>499</v>
      </c>
      <c r="D4999" s="60">
        <v>1.7870600000000001</v>
      </c>
      <c r="E4999" s="59">
        <v>3.63618</v>
      </c>
      <c r="F4999" s="59">
        <v>4.57585</v>
      </c>
      <c r="G4999" s="56">
        <v>0</v>
      </c>
      <c r="H4999" s="56">
        <v>0</v>
      </c>
      <c r="I4999" s="58">
        <v>0.15510299999999999</v>
      </c>
      <c r="J4999" s="57">
        <v>0.22949800000000001</v>
      </c>
      <c r="K4999" s="56"/>
      <c r="L4999" s="56" t="s">
        <v>488</v>
      </c>
    </row>
    <row r="5000" spans="2:12" x14ac:dyDescent="0.2">
      <c r="B5000" s="62" t="s">
        <v>657</v>
      </c>
      <c r="C5000" s="61" t="s">
        <v>510</v>
      </c>
      <c r="D5000" s="60">
        <v>1.4205399999999999</v>
      </c>
      <c r="E5000" s="59">
        <v>3.19828</v>
      </c>
      <c r="F5000" s="59">
        <v>4.0096299999999996</v>
      </c>
      <c r="G5000" s="56">
        <v>0</v>
      </c>
      <c r="H5000" s="56">
        <v>0</v>
      </c>
      <c r="I5000" s="58">
        <v>0.361844</v>
      </c>
      <c r="J5000" s="57">
        <v>0.34954600000000002</v>
      </c>
      <c r="K5000" s="56"/>
      <c r="L5000" s="56" t="s">
        <v>488</v>
      </c>
    </row>
    <row r="5001" spans="2:12" x14ac:dyDescent="0.2">
      <c r="B5001" s="62" t="s">
        <v>656</v>
      </c>
      <c r="C5001" s="61" t="s">
        <v>612</v>
      </c>
      <c r="D5001" s="60">
        <v>1.0142100000000001</v>
      </c>
      <c r="E5001" s="59">
        <v>3.9201299999999999</v>
      </c>
      <c r="F5001" s="59">
        <v>4.7832499999999998</v>
      </c>
      <c r="G5001" s="56">
        <v>922.03099999999995</v>
      </c>
      <c r="H5001" s="56">
        <v>909.11599999999999</v>
      </c>
      <c r="I5001" s="58">
        <v>0.467698</v>
      </c>
      <c r="J5001" s="57">
        <v>0.55480399999999996</v>
      </c>
      <c r="K5001" s="56"/>
      <c r="L5001" s="56" t="s">
        <v>488</v>
      </c>
    </row>
    <row r="5002" spans="2:12" x14ac:dyDescent="0.2">
      <c r="B5002" s="62" t="s">
        <v>655</v>
      </c>
      <c r="C5002" s="61" t="s">
        <v>502</v>
      </c>
      <c r="D5002" s="60">
        <v>0.718001</v>
      </c>
      <c r="E5002" s="59">
        <v>6.77637</v>
      </c>
      <c r="F5002" s="59">
        <v>10.899929999999999</v>
      </c>
      <c r="G5002" s="56">
        <v>2207.34</v>
      </c>
      <c r="H5002" s="56">
        <v>3074.28</v>
      </c>
      <c r="I5002" s="58">
        <v>0.80852999999999997</v>
      </c>
      <c r="J5002" s="57">
        <v>1.0467200000000001</v>
      </c>
      <c r="K5002" s="56"/>
      <c r="L5002" s="56" t="s">
        <v>488</v>
      </c>
    </row>
    <row r="5003" spans="2:12" x14ac:dyDescent="0.2">
      <c r="B5003" s="62" t="s">
        <v>654</v>
      </c>
      <c r="C5003" s="61" t="s">
        <v>502</v>
      </c>
      <c r="D5003" s="60">
        <v>1.77298</v>
      </c>
      <c r="E5003" s="59">
        <v>3.5825</v>
      </c>
      <c r="F5003" s="59">
        <v>4.2229000000000001</v>
      </c>
      <c r="G5003" s="56">
        <v>0</v>
      </c>
      <c r="H5003" s="56">
        <v>0</v>
      </c>
      <c r="I5003" s="58">
        <v>0.42501499999999998</v>
      </c>
      <c r="J5003" s="57">
        <v>0.25292300000000001</v>
      </c>
      <c r="K5003" s="56"/>
      <c r="L5003" s="56" t="s">
        <v>488</v>
      </c>
    </row>
    <row r="5004" spans="2:12" x14ac:dyDescent="0.2">
      <c r="B5004" s="62" t="s">
        <v>653</v>
      </c>
      <c r="C5004" s="61" t="s">
        <v>499</v>
      </c>
      <c r="D5004" s="60">
        <v>0.44875799999999999</v>
      </c>
      <c r="E5004" s="59">
        <v>8.9401499999999992</v>
      </c>
      <c r="F5004" s="59">
        <v>11.910550000000001</v>
      </c>
      <c r="G5004" s="56">
        <v>2177.71</v>
      </c>
      <c r="H5004" s="56">
        <v>4852.76</v>
      </c>
      <c r="I5004" s="58">
        <v>0.83958299999999997</v>
      </c>
      <c r="J5004" s="57">
        <v>1.7929200000000001</v>
      </c>
      <c r="K5004" s="56"/>
      <c r="L5004" s="56" t="s">
        <v>488</v>
      </c>
    </row>
    <row r="5005" spans="2:12" x14ac:dyDescent="0.2">
      <c r="B5005" s="62" t="s">
        <v>652</v>
      </c>
      <c r="C5005" s="61" t="s">
        <v>529</v>
      </c>
      <c r="D5005" s="60">
        <v>2.01112</v>
      </c>
      <c r="E5005" s="59">
        <v>2.5983900000000002</v>
      </c>
      <c r="F5005" s="59">
        <v>3.9450699999999999</v>
      </c>
      <c r="G5005" s="56">
        <v>0</v>
      </c>
      <c r="H5005" s="56">
        <v>0</v>
      </c>
      <c r="I5005" s="58">
        <v>0.146837</v>
      </c>
      <c r="J5005" s="57">
        <v>0.18874199999999999</v>
      </c>
      <c r="K5005" s="56"/>
      <c r="L5005" s="56" t="s">
        <v>488</v>
      </c>
    </row>
    <row r="5006" spans="2:12" x14ac:dyDescent="0.2">
      <c r="B5006" s="62" t="s">
        <v>651</v>
      </c>
      <c r="C5006" s="61" t="s">
        <v>529</v>
      </c>
      <c r="D5006" s="60">
        <v>1.7754099999999999</v>
      </c>
      <c r="E5006" s="59">
        <v>3.4645199999999998</v>
      </c>
      <c r="F5006" s="59">
        <v>5.2771400000000002</v>
      </c>
      <c r="G5006" s="56">
        <v>0</v>
      </c>
      <c r="H5006" s="56">
        <v>0</v>
      </c>
      <c r="I5006" s="58">
        <v>0.28450799999999998</v>
      </c>
      <c r="J5006" s="57">
        <v>0.26507700000000001</v>
      </c>
      <c r="K5006" s="56"/>
      <c r="L5006" s="56" t="s">
        <v>488</v>
      </c>
    </row>
    <row r="5007" spans="2:12" x14ac:dyDescent="0.2">
      <c r="B5007" s="62" t="s">
        <v>650</v>
      </c>
      <c r="C5007" s="61" t="s">
        <v>548</v>
      </c>
      <c r="D5007" s="60">
        <v>1.50868</v>
      </c>
      <c r="E5007" s="59">
        <v>4.9469799999999999</v>
      </c>
      <c r="F5007" s="59">
        <v>5.7576200000000002</v>
      </c>
      <c r="G5007" s="56">
        <v>513.02800000000002</v>
      </c>
      <c r="H5007" s="56">
        <v>332.65300000000002</v>
      </c>
      <c r="I5007" s="58">
        <v>0.339055</v>
      </c>
      <c r="J5007" s="57">
        <v>0.30689100000000002</v>
      </c>
      <c r="K5007" s="56"/>
      <c r="L5007" s="56" t="s">
        <v>488</v>
      </c>
    </row>
    <row r="5008" spans="2:12" x14ac:dyDescent="0.2">
      <c r="B5008" s="62" t="s">
        <v>649</v>
      </c>
      <c r="C5008" s="61" t="s">
        <v>548</v>
      </c>
      <c r="D5008" s="60">
        <v>1.54223</v>
      </c>
      <c r="E5008" s="59">
        <v>5.14</v>
      </c>
      <c r="F5008" s="59">
        <v>7.4553900000000004</v>
      </c>
      <c r="G5008" s="56">
        <v>674.74900000000002</v>
      </c>
      <c r="H5008" s="56">
        <v>447.245</v>
      </c>
      <c r="I5008" s="58">
        <v>0.240589</v>
      </c>
      <c r="J5008" s="57">
        <v>0.29495300000000002</v>
      </c>
      <c r="K5008" s="56"/>
      <c r="L5008" s="56" t="s">
        <v>488</v>
      </c>
    </row>
    <row r="5009" spans="2:12" x14ac:dyDescent="0.2">
      <c r="B5009" s="62" t="s">
        <v>648</v>
      </c>
      <c r="C5009" s="61" t="s">
        <v>495</v>
      </c>
      <c r="D5009" s="60">
        <v>1.1473100000000001</v>
      </c>
      <c r="E5009" s="59">
        <v>4.34741</v>
      </c>
      <c r="F5009" s="59">
        <v>5.8599100000000002</v>
      </c>
      <c r="G5009" s="56">
        <v>1360.97</v>
      </c>
      <c r="H5009" s="56">
        <v>1186.23</v>
      </c>
      <c r="I5009" s="58">
        <v>0.52360300000000004</v>
      </c>
      <c r="J5009" s="57">
        <v>0.454652</v>
      </c>
      <c r="K5009" s="56"/>
      <c r="L5009" s="56" t="s">
        <v>488</v>
      </c>
    </row>
    <row r="5010" spans="2:12" x14ac:dyDescent="0.2">
      <c r="B5010" s="62" t="s">
        <v>647</v>
      </c>
      <c r="C5010" s="61" t="s">
        <v>510</v>
      </c>
      <c r="D5010" s="60">
        <v>1.53914</v>
      </c>
      <c r="E5010" s="59">
        <v>3.2204100000000002</v>
      </c>
      <c r="F5010" s="59">
        <v>3.8797700000000002</v>
      </c>
      <c r="G5010" s="56">
        <v>0</v>
      </c>
      <c r="H5010" s="56">
        <v>0</v>
      </c>
      <c r="I5010" s="58">
        <v>0.15203</v>
      </c>
      <c r="J5010" s="57">
        <v>0.24354799999999999</v>
      </c>
      <c r="K5010" s="56"/>
      <c r="L5010" s="56" t="s">
        <v>488</v>
      </c>
    </row>
    <row r="5011" spans="2:12" x14ac:dyDescent="0.2">
      <c r="B5011" s="62" t="s">
        <v>646</v>
      </c>
      <c r="C5011" s="61" t="s">
        <v>502</v>
      </c>
      <c r="D5011" s="60">
        <v>1.47604</v>
      </c>
      <c r="E5011" s="59">
        <v>3.9875600000000002</v>
      </c>
      <c r="F5011" s="59">
        <v>5.44503</v>
      </c>
      <c r="G5011" s="56">
        <v>430.79899999999998</v>
      </c>
      <c r="H5011" s="56">
        <v>291.86099999999999</v>
      </c>
      <c r="I5011" s="58">
        <v>0.36753599999999997</v>
      </c>
      <c r="J5011" s="57">
        <v>0.335397</v>
      </c>
      <c r="K5011" s="56"/>
      <c r="L5011" s="56" t="s">
        <v>492</v>
      </c>
    </row>
    <row r="5012" spans="2:12" x14ac:dyDescent="0.2">
      <c r="B5012" s="62" t="s">
        <v>645</v>
      </c>
      <c r="C5012" s="61" t="s">
        <v>579</v>
      </c>
      <c r="D5012" s="60">
        <v>1.65801</v>
      </c>
      <c r="E5012" s="59">
        <v>4.6102100000000004</v>
      </c>
      <c r="F5012" s="59">
        <v>5.5201900000000004</v>
      </c>
      <c r="G5012" s="56">
        <v>543.48599999999999</v>
      </c>
      <c r="H5012" s="56">
        <v>327.79500000000002</v>
      </c>
      <c r="I5012" s="58">
        <v>0.243529</v>
      </c>
      <c r="J5012" s="57">
        <v>0.27276499999999998</v>
      </c>
      <c r="K5012" s="56"/>
      <c r="L5012" s="56" t="s">
        <v>488</v>
      </c>
    </row>
    <row r="5013" spans="2:12" x14ac:dyDescent="0.2">
      <c r="B5013" s="62" t="s">
        <v>644</v>
      </c>
      <c r="C5013" s="61" t="s">
        <v>507</v>
      </c>
      <c r="D5013" s="60">
        <v>0.68352100000000005</v>
      </c>
      <c r="E5013" s="59">
        <v>8.4760899999999992</v>
      </c>
      <c r="F5013" s="59">
        <v>13.69253</v>
      </c>
      <c r="G5013" s="56">
        <v>1956.06</v>
      </c>
      <c r="H5013" s="56">
        <v>2861.73</v>
      </c>
      <c r="I5013" s="58">
        <v>0.76209199999999999</v>
      </c>
      <c r="J5013" s="57">
        <v>1.0995600000000001</v>
      </c>
      <c r="K5013" s="56"/>
      <c r="L5013" s="56" t="s">
        <v>488</v>
      </c>
    </row>
    <row r="5014" spans="2:12" x14ac:dyDescent="0.2">
      <c r="B5014" s="62" t="s">
        <v>643</v>
      </c>
      <c r="C5014" s="61" t="s">
        <v>537</v>
      </c>
      <c r="D5014" s="60">
        <v>0.858047</v>
      </c>
      <c r="E5014" s="59">
        <v>7.5261699999999996</v>
      </c>
      <c r="F5014" s="59">
        <v>8.234</v>
      </c>
      <c r="G5014" s="56">
        <v>2247.77</v>
      </c>
      <c r="H5014" s="56">
        <v>2619.64</v>
      </c>
      <c r="I5014" s="58">
        <v>0.74860300000000002</v>
      </c>
      <c r="J5014" s="57">
        <v>0.82897699999999996</v>
      </c>
      <c r="K5014" s="56"/>
      <c r="L5014" s="56" t="s">
        <v>488</v>
      </c>
    </row>
    <row r="5015" spans="2:12" x14ac:dyDescent="0.2">
      <c r="B5015" s="62" t="s">
        <v>642</v>
      </c>
      <c r="C5015" s="61" t="s">
        <v>641</v>
      </c>
      <c r="D5015" s="60">
        <v>1.07399</v>
      </c>
      <c r="E5015" s="59">
        <v>7.0876299999999999</v>
      </c>
      <c r="F5015" s="59">
        <v>7.9010100000000003</v>
      </c>
      <c r="G5015" s="56">
        <v>1513.16</v>
      </c>
      <c r="H5015" s="56">
        <v>1408.92</v>
      </c>
      <c r="I5015" s="58">
        <v>0.62284499999999998</v>
      </c>
      <c r="J5015" s="57">
        <v>0.57879800000000003</v>
      </c>
      <c r="K5015" s="56"/>
      <c r="L5015" s="56" t="s">
        <v>488</v>
      </c>
    </row>
    <row r="5016" spans="2:12" x14ac:dyDescent="0.2">
      <c r="B5016" s="62" t="s">
        <v>640</v>
      </c>
      <c r="C5016" s="61" t="s">
        <v>579</v>
      </c>
      <c r="D5016" s="60">
        <v>1.00356</v>
      </c>
      <c r="E5016" s="59">
        <v>5.8386699999999996</v>
      </c>
      <c r="F5016" s="59">
        <v>6.9161200000000003</v>
      </c>
      <c r="G5016" s="56">
        <v>1965.42</v>
      </c>
      <c r="H5016" s="56">
        <v>1958.44</v>
      </c>
      <c r="I5016" s="58">
        <v>0.64558800000000005</v>
      </c>
      <c r="J5016" s="57">
        <v>0.64611600000000002</v>
      </c>
      <c r="K5016" s="56"/>
      <c r="L5016" s="56" t="s">
        <v>488</v>
      </c>
    </row>
    <row r="5017" spans="2:12" x14ac:dyDescent="0.2">
      <c r="B5017" s="62" t="s">
        <v>639</v>
      </c>
      <c r="C5017" s="61" t="s">
        <v>499</v>
      </c>
      <c r="D5017" s="60">
        <v>1.44519</v>
      </c>
      <c r="E5017" s="59">
        <v>3.71515</v>
      </c>
      <c r="F5017" s="59">
        <v>4.4965999999999999</v>
      </c>
      <c r="G5017" s="56">
        <v>0</v>
      </c>
      <c r="H5017" s="56">
        <v>0</v>
      </c>
      <c r="I5017" s="58">
        <v>0.26572299999999999</v>
      </c>
      <c r="J5017" s="57">
        <v>0.30230800000000002</v>
      </c>
      <c r="K5017" s="56"/>
      <c r="L5017" s="56" t="s">
        <v>488</v>
      </c>
    </row>
    <row r="5018" spans="2:12" x14ac:dyDescent="0.2">
      <c r="B5018" s="62" t="s">
        <v>638</v>
      </c>
      <c r="C5018" s="61" t="s">
        <v>499</v>
      </c>
      <c r="D5018" s="60">
        <v>1.43286</v>
      </c>
      <c r="E5018" s="59">
        <v>3.5662400000000001</v>
      </c>
      <c r="F5018" s="59">
        <v>4.4218700000000002</v>
      </c>
      <c r="G5018" s="56">
        <v>0</v>
      </c>
      <c r="H5018" s="56">
        <v>0</v>
      </c>
      <c r="I5018" s="58">
        <v>0.25333</v>
      </c>
      <c r="J5018" s="57">
        <v>0.30896800000000002</v>
      </c>
      <c r="K5018" s="56"/>
      <c r="L5018" s="56" t="s">
        <v>488</v>
      </c>
    </row>
    <row r="5019" spans="2:12" x14ac:dyDescent="0.2">
      <c r="B5019" s="62" t="s">
        <v>637</v>
      </c>
      <c r="C5019" s="61" t="s">
        <v>502</v>
      </c>
      <c r="D5019" s="60">
        <v>0.403891</v>
      </c>
      <c r="E5019" s="59">
        <v>13.00592</v>
      </c>
      <c r="F5019" s="59">
        <v>37.318129999999996</v>
      </c>
      <c r="G5019" s="56">
        <v>1674.26</v>
      </c>
      <c r="H5019" s="56">
        <v>4145.32</v>
      </c>
      <c r="I5019" s="58">
        <v>0.86944900000000003</v>
      </c>
      <c r="J5019" s="57">
        <v>2.0642900000000002</v>
      </c>
      <c r="K5019" s="56" t="s">
        <v>636</v>
      </c>
      <c r="L5019" s="56" t="s">
        <v>563</v>
      </c>
    </row>
    <row r="5020" spans="2:12" x14ac:dyDescent="0.2">
      <c r="B5020" s="62" t="s">
        <v>635</v>
      </c>
      <c r="C5020" s="61" t="s">
        <v>499</v>
      </c>
      <c r="D5020" s="60">
        <v>0.92007300000000003</v>
      </c>
      <c r="E5020" s="59">
        <v>2.66866</v>
      </c>
      <c r="F5020" s="59">
        <v>13.5427</v>
      </c>
      <c r="G5020" s="56">
        <v>0</v>
      </c>
      <c r="H5020" s="56">
        <v>0</v>
      </c>
      <c r="I5020" s="58">
        <v>0.51975400000000005</v>
      </c>
      <c r="J5020" s="57">
        <v>0.66909300000000005</v>
      </c>
      <c r="K5020" s="56"/>
      <c r="L5020" s="56" t="s">
        <v>488</v>
      </c>
    </row>
    <row r="5021" spans="2:12" x14ac:dyDescent="0.2">
      <c r="B5021" s="62" t="s">
        <v>634</v>
      </c>
      <c r="C5021" s="61" t="s">
        <v>510</v>
      </c>
      <c r="D5021" s="60">
        <v>1.23437</v>
      </c>
      <c r="E5021" s="59">
        <v>4.5952400000000004</v>
      </c>
      <c r="F5021" s="59">
        <v>5.7635899999999998</v>
      </c>
      <c r="G5021" s="56">
        <v>1043.77</v>
      </c>
      <c r="H5021" s="56">
        <v>845.59100000000001</v>
      </c>
      <c r="I5021" s="58">
        <v>0.400335</v>
      </c>
      <c r="J5021" s="57">
        <v>0.434506</v>
      </c>
      <c r="K5021" s="56"/>
      <c r="L5021" s="56" t="s">
        <v>488</v>
      </c>
    </row>
    <row r="5022" spans="2:12" x14ac:dyDescent="0.2">
      <c r="B5022" s="62" t="s">
        <v>633</v>
      </c>
      <c r="C5022" s="61" t="s">
        <v>632</v>
      </c>
      <c r="D5022" s="60">
        <v>1.6815599999999999</v>
      </c>
      <c r="E5022" s="59">
        <v>2.5063499999999999</v>
      </c>
      <c r="F5022" s="59">
        <v>2.9309699999999999</v>
      </c>
      <c r="G5022" s="56">
        <v>0</v>
      </c>
      <c r="H5022" s="56">
        <v>0</v>
      </c>
      <c r="I5022" s="58">
        <v>3.0647000000000001E-2</v>
      </c>
      <c r="J5022" s="57">
        <v>0.196464</v>
      </c>
      <c r="K5022" s="56"/>
      <c r="L5022" s="56" t="s">
        <v>488</v>
      </c>
    </row>
    <row r="5023" spans="2:12" x14ac:dyDescent="0.2">
      <c r="B5023" s="62" t="s">
        <v>631</v>
      </c>
      <c r="C5023" s="61" t="s">
        <v>541</v>
      </c>
      <c r="D5023" s="60">
        <v>1.82361</v>
      </c>
      <c r="E5023" s="59">
        <v>2.9315000000000002</v>
      </c>
      <c r="F5023" s="59">
        <v>3.6351200000000001</v>
      </c>
      <c r="G5023" s="56">
        <v>0</v>
      </c>
      <c r="H5023" s="56">
        <v>0</v>
      </c>
      <c r="I5023" s="58">
        <v>0.115053</v>
      </c>
      <c r="J5023" s="57">
        <v>0.20500199999999999</v>
      </c>
      <c r="K5023" s="56"/>
      <c r="L5023" s="56" t="s">
        <v>488</v>
      </c>
    </row>
    <row r="5024" spans="2:12" x14ac:dyDescent="0.2">
      <c r="B5024" s="62" t="s">
        <v>630</v>
      </c>
      <c r="C5024" s="61" t="s">
        <v>582</v>
      </c>
      <c r="D5024" s="60">
        <v>1.8950400000000001</v>
      </c>
      <c r="E5024" s="59">
        <v>2.8816099999999998</v>
      </c>
      <c r="F5024" s="59">
        <v>3.5962900000000002</v>
      </c>
      <c r="G5024" s="56">
        <v>0</v>
      </c>
      <c r="H5024" s="56">
        <v>0</v>
      </c>
      <c r="I5024" s="58">
        <v>0.111092</v>
      </c>
      <c r="J5024" s="57">
        <v>0.19220799999999999</v>
      </c>
      <c r="K5024" s="56"/>
      <c r="L5024" s="56" t="s">
        <v>488</v>
      </c>
    </row>
    <row r="5025" spans="2:12" x14ac:dyDescent="0.2">
      <c r="B5025" s="62" t="s">
        <v>629</v>
      </c>
      <c r="C5025" s="61" t="s">
        <v>550</v>
      </c>
      <c r="D5025" s="60">
        <v>0.68892799999999998</v>
      </c>
      <c r="E5025" s="59">
        <v>14.41981</v>
      </c>
      <c r="F5025" s="59">
        <v>17.653590000000001</v>
      </c>
      <c r="G5025" s="56">
        <v>1717.58</v>
      </c>
      <c r="H5025" s="56">
        <v>2493.11</v>
      </c>
      <c r="I5025" s="58">
        <v>0.767011</v>
      </c>
      <c r="J5025" s="57">
        <v>1.0822400000000001</v>
      </c>
      <c r="K5025" s="56"/>
      <c r="L5025" s="56" t="s">
        <v>488</v>
      </c>
    </row>
    <row r="5026" spans="2:12" x14ac:dyDescent="0.2">
      <c r="B5026" s="62" t="s">
        <v>628</v>
      </c>
      <c r="C5026" s="61" t="s">
        <v>550</v>
      </c>
      <c r="D5026" s="60">
        <v>0.87988299999999997</v>
      </c>
      <c r="E5026" s="59">
        <v>5.7672600000000003</v>
      </c>
      <c r="F5026" s="59">
        <v>7.81236</v>
      </c>
      <c r="G5026" s="56">
        <v>1959.57</v>
      </c>
      <c r="H5026" s="56">
        <v>2227.08</v>
      </c>
      <c r="I5026" s="58">
        <v>0.68892500000000001</v>
      </c>
      <c r="J5026" s="57">
        <v>0.76008900000000001</v>
      </c>
      <c r="K5026" s="56"/>
      <c r="L5026" s="56" t="s">
        <v>488</v>
      </c>
    </row>
    <row r="5027" spans="2:12" x14ac:dyDescent="0.2">
      <c r="B5027" s="62" t="s">
        <v>627</v>
      </c>
      <c r="C5027" s="61" t="s">
        <v>499</v>
      </c>
      <c r="D5027" s="60">
        <v>1.2626299999999999</v>
      </c>
      <c r="E5027" s="59">
        <v>3.71285</v>
      </c>
      <c r="F5027" s="59">
        <v>5.1583800000000002</v>
      </c>
      <c r="G5027" s="56">
        <v>0</v>
      </c>
      <c r="H5027" s="56">
        <v>0</v>
      </c>
      <c r="I5027" s="58">
        <v>0.28195399999999998</v>
      </c>
      <c r="J5027" s="57">
        <v>0.374699</v>
      </c>
      <c r="K5027" s="56"/>
      <c r="L5027" s="56" t="s">
        <v>488</v>
      </c>
    </row>
    <row r="5028" spans="2:12" x14ac:dyDescent="0.2">
      <c r="B5028" s="62" t="s">
        <v>626</v>
      </c>
      <c r="C5028" s="61" t="s">
        <v>625</v>
      </c>
      <c r="D5028" s="60">
        <v>0.76738600000000001</v>
      </c>
      <c r="E5028" s="59">
        <v>11.11992</v>
      </c>
      <c r="F5028" s="59">
        <v>12.003729999999999</v>
      </c>
      <c r="G5028" s="56">
        <v>1468.31</v>
      </c>
      <c r="H5028" s="56">
        <v>1913.4</v>
      </c>
      <c r="I5028" s="58">
        <v>0.61027600000000004</v>
      </c>
      <c r="J5028" s="57">
        <v>0.88313799999999998</v>
      </c>
      <c r="K5028" s="56"/>
      <c r="L5028" s="56" t="s">
        <v>624</v>
      </c>
    </row>
    <row r="5029" spans="2:12" x14ac:dyDescent="0.2">
      <c r="B5029" s="62" t="s">
        <v>623</v>
      </c>
      <c r="C5029" s="61" t="s">
        <v>622</v>
      </c>
      <c r="D5029" s="60">
        <v>1.4477899999999999</v>
      </c>
      <c r="E5029" s="59">
        <v>3.0498500000000002</v>
      </c>
      <c r="F5029" s="59">
        <v>3.58243</v>
      </c>
      <c r="G5029" s="56">
        <v>0</v>
      </c>
      <c r="H5029" s="56">
        <v>0</v>
      </c>
      <c r="I5029" s="58">
        <v>0.267175</v>
      </c>
      <c r="J5029" s="57">
        <v>0.31783099999999997</v>
      </c>
      <c r="K5029" s="56"/>
      <c r="L5029" s="56" t="s">
        <v>488</v>
      </c>
    </row>
    <row r="5030" spans="2:12" x14ac:dyDescent="0.2">
      <c r="B5030" s="62" t="s">
        <v>621</v>
      </c>
      <c r="C5030" s="61" t="s">
        <v>499</v>
      </c>
      <c r="D5030" s="60">
        <v>0.49390600000000001</v>
      </c>
      <c r="E5030" s="59">
        <v>13.284509999999999</v>
      </c>
      <c r="F5030" s="59">
        <v>14.431150000000001</v>
      </c>
      <c r="G5030" s="56">
        <v>1506.58</v>
      </c>
      <c r="H5030" s="56">
        <v>3050.33</v>
      </c>
      <c r="I5030" s="58">
        <v>0.78265300000000004</v>
      </c>
      <c r="J5030" s="57">
        <v>1.60202</v>
      </c>
      <c r="K5030" s="56"/>
      <c r="L5030" s="56" t="s">
        <v>488</v>
      </c>
    </row>
    <row r="5031" spans="2:12" x14ac:dyDescent="0.2">
      <c r="B5031" s="62" t="s">
        <v>620</v>
      </c>
      <c r="C5031" s="61" t="s">
        <v>499</v>
      </c>
      <c r="D5031" s="60">
        <v>0.80564599999999997</v>
      </c>
      <c r="E5031" s="59">
        <v>7.6659499999999996</v>
      </c>
      <c r="F5031" s="59">
        <v>9.0977300000000003</v>
      </c>
      <c r="G5031" s="56">
        <v>1740.49</v>
      </c>
      <c r="H5031" s="56">
        <v>2160.36</v>
      </c>
      <c r="I5031" s="58">
        <v>0.61687099999999995</v>
      </c>
      <c r="J5031" s="57">
        <v>0.82332399999999994</v>
      </c>
      <c r="K5031" s="56"/>
      <c r="L5031" s="56" t="s">
        <v>488</v>
      </c>
    </row>
    <row r="5032" spans="2:12" x14ac:dyDescent="0.2">
      <c r="B5032" s="62" t="s">
        <v>619</v>
      </c>
      <c r="C5032" s="61" t="s">
        <v>499</v>
      </c>
      <c r="D5032" s="60">
        <v>0.95787500000000003</v>
      </c>
      <c r="E5032" s="59">
        <v>6.34877</v>
      </c>
      <c r="F5032" s="59">
        <v>9.7453199999999995</v>
      </c>
      <c r="G5032" s="56">
        <v>1631.47</v>
      </c>
      <c r="H5032" s="56">
        <v>1703.22</v>
      </c>
      <c r="I5032" s="58">
        <v>0.59090299999999996</v>
      </c>
      <c r="J5032" s="57">
        <v>0.66725900000000005</v>
      </c>
      <c r="K5032" s="56"/>
      <c r="L5032" s="56" t="s">
        <v>492</v>
      </c>
    </row>
    <row r="5033" spans="2:12" x14ac:dyDescent="0.2">
      <c r="B5033" s="62" t="s">
        <v>618</v>
      </c>
      <c r="C5033" s="61" t="s">
        <v>499</v>
      </c>
      <c r="D5033" s="60">
        <v>0.97543299999999999</v>
      </c>
      <c r="E5033" s="59">
        <v>7.0523100000000003</v>
      </c>
      <c r="F5033" s="59">
        <v>10.69502</v>
      </c>
      <c r="G5033" s="56">
        <v>1501.28</v>
      </c>
      <c r="H5033" s="56">
        <v>1539.09</v>
      </c>
      <c r="I5033" s="58">
        <v>0.60945300000000002</v>
      </c>
      <c r="J5033" s="57">
        <v>0.66750600000000004</v>
      </c>
      <c r="K5033" s="56"/>
      <c r="L5033" s="56" t="s">
        <v>492</v>
      </c>
    </row>
    <row r="5034" spans="2:12" x14ac:dyDescent="0.2">
      <c r="B5034" s="62" t="s">
        <v>617</v>
      </c>
      <c r="C5034" s="61" t="s">
        <v>616</v>
      </c>
      <c r="D5034" s="60">
        <v>1.849</v>
      </c>
      <c r="E5034" s="59">
        <v>6.4577600000000004</v>
      </c>
      <c r="F5034" s="59">
        <v>7.0471599999999999</v>
      </c>
      <c r="G5034" s="56">
        <v>1745.59</v>
      </c>
      <c r="H5034" s="56">
        <v>944.07</v>
      </c>
      <c r="I5034" s="58">
        <v>0.61476200000000003</v>
      </c>
      <c r="J5034" s="57">
        <v>0.36552099999999998</v>
      </c>
      <c r="K5034" s="56"/>
      <c r="L5034" s="56" t="s">
        <v>488</v>
      </c>
    </row>
    <row r="5035" spans="2:12" x14ac:dyDescent="0.2">
      <c r="B5035" s="62" t="s">
        <v>615</v>
      </c>
      <c r="C5035" s="61" t="s">
        <v>614</v>
      </c>
      <c r="D5035" s="60">
        <v>2.7647900000000001</v>
      </c>
      <c r="E5035" s="59">
        <v>6.9426500000000004</v>
      </c>
      <c r="F5035" s="59">
        <v>7.63314</v>
      </c>
      <c r="G5035" s="56">
        <v>1176.73</v>
      </c>
      <c r="H5035" s="56">
        <v>425.61200000000002</v>
      </c>
      <c r="I5035" s="58">
        <v>0.436031</v>
      </c>
      <c r="J5035" s="57">
        <v>0.18748400000000001</v>
      </c>
      <c r="K5035" s="56"/>
      <c r="L5035" s="56" t="s">
        <v>488</v>
      </c>
    </row>
    <row r="5036" spans="2:12" x14ac:dyDescent="0.2">
      <c r="B5036" s="62" t="s">
        <v>613</v>
      </c>
      <c r="C5036" s="61" t="s">
        <v>612</v>
      </c>
      <c r="D5036" s="60">
        <v>1.16974</v>
      </c>
      <c r="E5036" s="59">
        <v>3.6495700000000002</v>
      </c>
      <c r="F5036" s="59">
        <v>4.1688200000000002</v>
      </c>
      <c r="G5036" s="56">
        <v>0</v>
      </c>
      <c r="H5036" s="56">
        <v>0</v>
      </c>
      <c r="I5036" s="58">
        <v>0.36998599999999998</v>
      </c>
      <c r="J5036" s="57">
        <v>0.46787899999999999</v>
      </c>
      <c r="K5036" s="56"/>
      <c r="L5036" s="56" t="s">
        <v>488</v>
      </c>
    </row>
    <row r="5037" spans="2:12" x14ac:dyDescent="0.2">
      <c r="B5037" s="62" t="s">
        <v>611</v>
      </c>
      <c r="C5037" s="61" t="s">
        <v>499</v>
      </c>
      <c r="D5037" s="60">
        <v>1.3240499999999999</v>
      </c>
      <c r="E5037" s="59">
        <v>3.9510100000000001</v>
      </c>
      <c r="F5037" s="59">
        <v>5.22384</v>
      </c>
      <c r="G5037" s="56">
        <v>640.54899999999998</v>
      </c>
      <c r="H5037" s="56">
        <v>483.779</v>
      </c>
      <c r="I5037" s="58">
        <v>0.35672799999999999</v>
      </c>
      <c r="J5037" s="57">
        <v>0.359371</v>
      </c>
      <c r="K5037" s="56"/>
      <c r="L5037" s="56" t="s">
        <v>488</v>
      </c>
    </row>
    <row r="5038" spans="2:12" x14ac:dyDescent="0.2">
      <c r="B5038" s="62" t="s">
        <v>610</v>
      </c>
      <c r="C5038" s="61" t="s">
        <v>550</v>
      </c>
      <c r="D5038" s="60">
        <v>1.2059299999999999</v>
      </c>
      <c r="E5038" s="59">
        <v>8.0658700000000003</v>
      </c>
      <c r="F5038" s="59">
        <v>8.3257999999999992</v>
      </c>
      <c r="G5038" s="56">
        <v>1143.31</v>
      </c>
      <c r="H5038" s="56">
        <v>948.07600000000002</v>
      </c>
      <c r="I5038" s="58">
        <v>0.47683900000000001</v>
      </c>
      <c r="J5038" s="57">
        <v>0.440832</v>
      </c>
      <c r="K5038" s="56"/>
      <c r="L5038" s="56" t="s">
        <v>488</v>
      </c>
    </row>
    <row r="5039" spans="2:12" x14ac:dyDescent="0.2">
      <c r="B5039" s="62" t="s">
        <v>609</v>
      </c>
      <c r="C5039" s="61" t="s">
        <v>495</v>
      </c>
      <c r="D5039" s="60">
        <v>1.23434</v>
      </c>
      <c r="E5039" s="59">
        <v>3.9588399999999999</v>
      </c>
      <c r="F5039" s="59">
        <v>5.3449799999999996</v>
      </c>
      <c r="G5039" s="56">
        <v>671.57899999999995</v>
      </c>
      <c r="H5039" s="56">
        <v>544.08000000000004</v>
      </c>
      <c r="I5039" s="58">
        <v>0.39991700000000002</v>
      </c>
      <c r="J5039" s="57">
        <v>0.39660899999999999</v>
      </c>
      <c r="K5039" s="56"/>
      <c r="L5039" s="56" t="s">
        <v>488</v>
      </c>
    </row>
    <row r="5040" spans="2:12" x14ac:dyDescent="0.2">
      <c r="B5040" s="62" t="s">
        <v>608</v>
      </c>
      <c r="C5040" s="61" t="s">
        <v>607</v>
      </c>
      <c r="D5040" s="60">
        <v>3.21652</v>
      </c>
      <c r="E5040" s="59">
        <v>2.7989099999999998</v>
      </c>
      <c r="F5040" s="59">
        <v>3.2649400000000002</v>
      </c>
      <c r="G5040" s="56">
        <v>0</v>
      </c>
      <c r="H5040" s="56">
        <v>0</v>
      </c>
      <c r="I5040" s="58">
        <v>0.22222900000000001</v>
      </c>
      <c r="J5040" s="57">
        <v>0.152083</v>
      </c>
      <c r="K5040" s="56"/>
      <c r="L5040" s="56" t="s">
        <v>488</v>
      </c>
    </row>
    <row r="5041" spans="2:12" x14ac:dyDescent="0.2">
      <c r="B5041" s="62" t="s">
        <v>606</v>
      </c>
      <c r="C5041" s="61" t="s">
        <v>605</v>
      </c>
      <c r="D5041" s="60">
        <v>1.7405900000000001</v>
      </c>
      <c r="E5041" s="59">
        <v>2.90422</v>
      </c>
      <c r="F5041" s="59">
        <v>5.4539299999999997</v>
      </c>
      <c r="G5041" s="56">
        <v>0</v>
      </c>
      <c r="H5041" s="56">
        <v>0</v>
      </c>
      <c r="I5041" s="58">
        <v>0.38692599999999999</v>
      </c>
      <c r="J5041" s="57">
        <v>0.32166099999999997</v>
      </c>
      <c r="K5041" s="56"/>
      <c r="L5041" s="56" t="s">
        <v>488</v>
      </c>
    </row>
    <row r="5042" spans="2:12" x14ac:dyDescent="0.2">
      <c r="B5042" s="62" t="s">
        <v>604</v>
      </c>
      <c r="C5042" s="61" t="s">
        <v>507</v>
      </c>
      <c r="D5042" s="60">
        <v>1.2826</v>
      </c>
      <c r="E5042" s="59">
        <v>4.4404000000000003</v>
      </c>
      <c r="F5042" s="59">
        <v>5.3462399999999999</v>
      </c>
      <c r="G5042" s="56">
        <v>1282.44</v>
      </c>
      <c r="H5042" s="56">
        <v>999.87800000000004</v>
      </c>
      <c r="I5042" s="58">
        <v>0.50530399999999998</v>
      </c>
      <c r="J5042" s="57">
        <v>0.44567499999999999</v>
      </c>
      <c r="K5042" s="56"/>
      <c r="L5042" s="56" t="s">
        <v>488</v>
      </c>
    </row>
    <row r="5043" spans="2:12" x14ac:dyDescent="0.2">
      <c r="B5043" s="62" t="s">
        <v>603</v>
      </c>
      <c r="C5043" s="61" t="s">
        <v>502</v>
      </c>
      <c r="D5043" s="60">
        <v>1.4094899999999999</v>
      </c>
      <c r="E5043" s="59">
        <v>3.5417100000000001</v>
      </c>
      <c r="F5043" s="59">
        <v>5.3014999999999999</v>
      </c>
      <c r="G5043" s="56">
        <v>0</v>
      </c>
      <c r="H5043" s="56">
        <v>0</v>
      </c>
      <c r="I5043" s="58">
        <v>0.30298399999999998</v>
      </c>
      <c r="J5043" s="57">
        <v>0.32093500000000003</v>
      </c>
      <c r="K5043" s="56"/>
      <c r="L5043" s="56" t="s">
        <v>492</v>
      </c>
    </row>
    <row r="5044" spans="2:12" x14ac:dyDescent="0.2">
      <c r="B5044" s="62" t="s">
        <v>602</v>
      </c>
      <c r="C5044" s="61" t="s">
        <v>601</v>
      </c>
      <c r="D5044" s="60">
        <v>3.8490500000000001</v>
      </c>
      <c r="E5044" s="59">
        <v>3.4889999999999999</v>
      </c>
      <c r="F5044" s="59">
        <v>4.0400299999999998</v>
      </c>
      <c r="G5044" s="56">
        <v>0</v>
      </c>
      <c r="H5044" s="56">
        <v>0</v>
      </c>
      <c r="I5044" s="58">
        <v>0.11509800000000001</v>
      </c>
      <c r="J5044" s="57">
        <v>0.100284</v>
      </c>
      <c r="K5044" s="56"/>
      <c r="L5044" s="56" t="s">
        <v>492</v>
      </c>
    </row>
    <row r="5045" spans="2:12" x14ac:dyDescent="0.2">
      <c r="B5045" s="62" t="s">
        <v>600</v>
      </c>
      <c r="C5045" s="61" t="s">
        <v>599</v>
      </c>
      <c r="D5045" s="60">
        <v>3.8755199999999999</v>
      </c>
      <c r="E5045" s="59">
        <v>3.26187</v>
      </c>
      <c r="F5045" s="59">
        <v>4.5495099999999997</v>
      </c>
      <c r="G5045" s="56">
        <v>0</v>
      </c>
      <c r="H5045" s="56">
        <v>0</v>
      </c>
      <c r="I5045" s="58">
        <v>0.13871700000000001</v>
      </c>
      <c r="J5045" s="57">
        <v>9.90983E-2</v>
      </c>
      <c r="K5045" s="56"/>
      <c r="L5045" s="56" t="s">
        <v>492</v>
      </c>
    </row>
    <row r="5046" spans="2:12" x14ac:dyDescent="0.2">
      <c r="B5046" s="62" t="s">
        <v>598</v>
      </c>
      <c r="C5046" s="61" t="s">
        <v>597</v>
      </c>
      <c r="D5046" s="60">
        <v>3.8692299999999999</v>
      </c>
      <c r="E5046" s="59">
        <v>2.4304199999999998</v>
      </c>
      <c r="F5046" s="59">
        <v>3.4799699999999998</v>
      </c>
      <c r="G5046" s="56">
        <v>0</v>
      </c>
      <c r="H5046" s="56">
        <v>0</v>
      </c>
      <c r="I5046" s="58">
        <v>7.7522900000000006E-2</v>
      </c>
      <c r="J5046" s="57">
        <v>9.9521200000000004E-2</v>
      </c>
      <c r="K5046" s="56"/>
      <c r="L5046" s="56" t="s">
        <v>492</v>
      </c>
    </row>
    <row r="5047" spans="2:12" x14ac:dyDescent="0.2">
      <c r="B5047" s="62" t="s">
        <v>596</v>
      </c>
      <c r="C5047" s="61" t="s">
        <v>502</v>
      </c>
      <c r="D5047" s="60">
        <v>1.1707399999999999</v>
      </c>
      <c r="E5047" s="59">
        <v>5.7004200000000003</v>
      </c>
      <c r="F5047" s="59">
        <v>6.7882199999999999</v>
      </c>
      <c r="G5047" s="56">
        <v>1307.96</v>
      </c>
      <c r="H5047" s="56">
        <v>1117.2</v>
      </c>
      <c r="I5047" s="58">
        <v>0.537026</v>
      </c>
      <c r="J5047" s="57">
        <v>0.50228099999999998</v>
      </c>
      <c r="K5047" s="56"/>
      <c r="L5047" s="56" t="s">
        <v>488</v>
      </c>
    </row>
    <row r="5048" spans="2:12" x14ac:dyDescent="0.2">
      <c r="B5048" s="62" t="s">
        <v>595</v>
      </c>
      <c r="C5048" s="61" t="s">
        <v>594</v>
      </c>
      <c r="D5048" s="60">
        <v>1.0276799999999999</v>
      </c>
      <c r="E5048" s="59">
        <v>3.8077399999999999</v>
      </c>
      <c r="F5048" s="59">
        <v>7.1060600000000003</v>
      </c>
      <c r="G5048" s="56">
        <v>1373.13</v>
      </c>
      <c r="H5048" s="56">
        <v>1336.15</v>
      </c>
      <c r="I5048" s="58">
        <v>0.56868200000000002</v>
      </c>
      <c r="J5048" s="57">
        <v>0.58341900000000002</v>
      </c>
      <c r="K5048" s="56"/>
      <c r="L5048" s="56" t="s">
        <v>488</v>
      </c>
    </row>
    <row r="5049" spans="2:12" x14ac:dyDescent="0.2">
      <c r="B5049" s="62" t="s">
        <v>593</v>
      </c>
      <c r="C5049" s="61" t="s">
        <v>502</v>
      </c>
      <c r="D5049" s="60">
        <v>0.62663000000000002</v>
      </c>
      <c r="E5049" s="59">
        <v>8.2829499999999996</v>
      </c>
      <c r="F5049" s="59">
        <v>10.33934</v>
      </c>
      <c r="G5049" s="56">
        <v>2147.37</v>
      </c>
      <c r="H5049" s="56">
        <v>3426.85</v>
      </c>
      <c r="I5049" s="58">
        <v>0.77527999999999997</v>
      </c>
      <c r="J5049" s="57">
        <v>1.2501599999999999</v>
      </c>
      <c r="K5049" s="56"/>
      <c r="L5049" s="56" t="s">
        <v>488</v>
      </c>
    </row>
    <row r="5050" spans="2:12" x14ac:dyDescent="0.2">
      <c r="B5050" s="62" t="s">
        <v>592</v>
      </c>
      <c r="C5050" s="61" t="s">
        <v>502</v>
      </c>
      <c r="D5050" s="60">
        <v>0.67154499999999995</v>
      </c>
      <c r="E5050" s="59">
        <v>7.7587099999999998</v>
      </c>
      <c r="F5050" s="59">
        <v>10.01013</v>
      </c>
      <c r="G5050" s="56">
        <v>2146.19</v>
      </c>
      <c r="H5050" s="56">
        <v>3195.9</v>
      </c>
      <c r="I5050" s="58">
        <v>0.76794499999999999</v>
      </c>
      <c r="J5050" s="57">
        <v>1.14381</v>
      </c>
      <c r="K5050" s="56"/>
      <c r="L5050" s="56" t="s">
        <v>488</v>
      </c>
    </row>
    <row r="5051" spans="2:12" x14ac:dyDescent="0.2">
      <c r="B5051" s="62" t="s">
        <v>591</v>
      </c>
      <c r="C5051" s="61" t="s">
        <v>499</v>
      </c>
      <c r="D5051" s="60">
        <v>1.3721699999999999</v>
      </c>
      <c r="E5051" s="59">
        <v>3.33867</v>
      </c>
      <c r="F5051" s="59">
        <v>4.9625300000000001</v>
      </c>
      <c r="G5051" s="56">
        <v>0</v>
      </c>
      <c r="H5051" s="56">
        <v>0</v>
      </c>
      <c r="I5051" s="58">
        <v>0.35342400000000002</v>
      </c>
      <c r="J5051" s="57">
        <v>0.35992000000000002</v>
      </c>
      <c r="K5051" s="56"/>
      <c r="L5051" s="56" t="s">
        <v>488</v>
      </c>
    </row>
    <row r="5052" spans="2:12" x14ac:dyDescent="0.2">
      <c r="B5052" s="62" t="s">
        <v>590</v>
      </c>
      <c r="C5052" s="61" t="s">
        <v>555</v>
      </c>
      <c r="D5052" s="60">
        <v>1.21651</v>
      </c>
      <c r="E5052" s="59">
        <v>4.2328099999999997</v>
      </c>
      <c r="F5052" s="59">
        <v>5.1145800000000001</v>
      </c>
      <c r="G5052" s="56">
        <v>806.96400000000006</v>
      </c>
      <c r="H5052" s="56">
        <v>663.34500000000003</v>
      </c>
      <c r="I5052" s="58">
        <v>0.52070799999999995</v>
      </c>
      <c r="J5052" s="57">
        <v>0.458756</v>
      </c>
      <c r="K5052" s="56"/>
      <c r="L5052" s="56" t="s">
        <v>488</v>
      </c>
    </row>
    <row r="5053" spans="2:12" x14ac:dyDescent="0.2">
      <c r="B5053" s="62" t="s">
        <v>589</v>
      </c>
      <c r="C5053" s="61" t="s">
        <v>529</v>
      </c>
      <c r="D5053" s="60">
        <v>2.0628199999999999</v>
      </c>
      <c r="E5053" s="59">
        <v>3.0973299999999999</v>
      </c>
      <c r="F5053" s="59">
        <v>3.40448</v>
      </c>
      <c r="G5053" s="56">
        <v>0</v>
      </c>
      <c r="H5053" s="56">
        <v>0</v>
      </c>
      <c r="I5053" s="58">
        <v>0.114687</v>
      </c>
      <c r="J5053" s="57">
        <v>0.179813</v>
      </c>
      <c r="K5053" s="56"/>
      <c r="L5053" s="56" t="s">
        <v>488</v>
      </c>
    </row>
    <row r="5054" spans="2:12" x14ac:dyDescent="0.2">
      <c r="B5054" s="62" t="s">
        <v>588</v>
      </c>
      <c r="C5054" s="61" t="s">
        <v>587</v>
      </c>
      <c r="D5054" s="60">
        <v>2.48068</v>
      </c>
      <c r="E5054" s="59">
        <v>2.8142499999999999</v>
      </c>
      <c r="F5054" s="59">
        <v>3.7064499999999998</v>
      </c>
      <c r="G5054" s="56">
        <v>0</v>
      </c>
      <c r="H5054" s="56">
        <v>0</v>
      </c>
      <c r="I5054" s="58">
        <v>0.25168000000000001</v>
      </c>
      <c r="J5054" s="57">
        <v>0.1593</v>
      </c>
      <c r="K5054" s="56"/>
      <c r="L5054" s="56" t="s">
        <v>488</v>
      </c>
    </row>
    <row r="5055" spans="2:12" x14ac:dyDescent="0.2">
      <c r="B5055" s="62" t="s">
        <v>586</v>
      </c>
      <c r="C5055" s="61" t="s">
        <v>499</v>
      </c>
      <c r="D5055" s="60">
        <v>1.2448600000000001</v>
      </c>
      <c r="E5055" s="59">
        <v>3.56751</v>
      </c>
      <c r="F5055" s="59">
        <v>5.0825500000000003</v>
      </c>
      <c r="G5055" s="56">
        <v>0</v>
      </c>
      <c r="H5055" s="56">
        <v>0</v>
      </c>
      <c r="I5055" s="58">
        <v>0.41070800000000002</v>
      </c>
      <c r="J5055" s="57">
        <v>0.40444600000000003</v>
      </c>
      <c r="K5055" s="56"/>
      <c r="L5055" s="56" t="s">
        <v>488</v>
      </c>
    </row>
    <row r="5056" spans="2:12" x14ac:dyDescent="0.2">
      <c r="B5056" s="62" t="s">
        <v>585</v>
      </c>
      <c r="C5056" s="61" t="s">
        <v>531</v>
      </c>
      <c r="D5056" s="60">
        <v>1.2893300000000001</v>
      </c>
      <c r="E5056" s="59">
        <v>3.4373399999999998</v>
      </c>
      <c r="F5056" s="59">
        <v>6.9064699999999997</v>
      </c>
      <c r="G5056" s="56">
        <v>0</v>
      </c>
      <c r="H5056" s="56">
        <v>0</v>
      </c>
      <c r="I5056" s="58">
        <v>0.264075</v>
      </c>
      <c r="J5056" s="57">
        <v>0.368788</v>
      </c>
      <c r="K5056" s="56"/>
      <c r="L5056" s="56" t="s">
        <v>492</v>
      </c>
    </row>
    <row r="5057" spans="2:12" x14ac:dyDescent="0.2">
      <c r="B5057" s="62" t="s">
        <v>584</v>
      </c>
      <c r="C5057" s="61" t="s">
        <v>541</v>
      </c>
      <c r="D5057" s="60">
        <v>1.24349</v>
      </c>
      <c r="E5057" s="59">
        <v>3.4571800000000001</v>
      </c>
      <c r="F5057" s="59">
        <v>5.9185400000000001</v>
      </c>
      <c r="G5057" s="56">
        <v>0</v>
      </c>
      <c r="H5057" s="56">
        <v>0</v>
      </c>
      <c r="I5057" s="58">
        <v>0.25180999999999998</v>
      </c>
      <c r="J5057" s="57">
        <v>0.37912000000000001</v>
      </c>
      <c r="K5057" s="56"/>
      <c r="L5057" s="56" t="s">
        <v>492</v>
      </c>
    </row>
    <row r="5058" spans="2:12" x14ac:dyDescent="0.2">
      <c r="B5058" s="62" t="s">
        <v>583</v>
      </c>
      <c r="C5058" s="61" t="s">
        <v>582</v>
      </c>
      <c r="D5058" s="60">
        <v>1.33144</v>
      </c>
      <c r="E5058" s="59">
        <v>4.3263699999999998</v>
      </c>
      <c r="F5058" s="59">
        <v>5.3292999999999999</v>
      </c>
      <c r="G5058" s="56">
        <v>467.53300000000002</v>
      </c>
      <c r="H5058" s="56">
        <v>351.149</v>
      </c>
      <c r="I5058" s="58">
        <v>0.28059400000000001</v>
      </c>
      <c r="J5058" s="57">
        <v>0.34315400000000001</v>
      </c>
      <c r="K5058" s="56"/>
      <c r="L5058" s="56" t="s">
        <v>492</v>
      </c>
    </row>
    <row r="5059" spans="2:12" x14ac:dyDescent="0.2">
      <c r="B5059" s="62" t="s">
        <v>581</v>
      </c>
      <c r="C5059" s="61" t="s">
        <v>535</v>
      </c>
      <c r="D5059" s="60">
        <v>1.3571800000000001</v>
      </c>
      <c r="E5059" s="59">
        <v>4.4125500000000004</v>
      </c>
      <c r="F5059" s="59">
        <v>5.2868300000000001</v>
      </c>
      <c r="G5059" s="56">
        <v>488.67200000000003</v>
      </c>
      <c r="H5059" s="56">
        <v>360.06299999999999</v>
      </c>
      <c r="I5059" s="58">
        <v>0.28872100000000001</v>
      </c>
      <c r="J5059" s="57">
        <v>0.33903699999999998</v>
      </c>
      <c r="K5059" s="56"/>
      <c r="L5059" s="56" t="s">
        <v>492</v>
      </c>
    </row>
    <row r="5060" spans="2:12" x14ac:dyDescent="0.2">
      <c r="B5060" s="62" t="s">
        <v>580</v>
      </c>
      <c r="C5060" s="61" t="s">
        <v>579</v>
      </c>
      <c r="D5060" s="60">
        <v>1.03183</v>
      </c>
      <c r="E5060" s="59">
        <v>4.5736400000000001</v>
      </c>
      <c r="F5060" s="59">
        <v>5.6596399999999996</v>
      </c>
      <c r="G5060" s="56">
        <v>1303.32</v>
      </c>
      <c r="H5060" s="56">
        <v>1263.1099999999999</v>
      </c>
      <c r="I5060" s="58">
        <v>0.63313600000000003</v>
      </c>
      <c r="J5060" s="57">
        <v>0.586781</v>
      </c>
      <c r="K5060" s="56"/>
      <c r="L5060" s="56" t="s">
        <v>488</v>
      </c>
    </row>
    <row r="5061" spans="2:12" x14ac:dyDescent="0.2">
      <c r="B5061" s="62" t="s">
        <v>578</v>
      </c>
      <c r="C5061" s="61" t="s">
        <v>577</v>
      </c>
      <c r="D5061" s="60">
        <v>2.0422600000000002</v>
      </c>
      <c r="E5061" s="59">
        <v>2.4951599999999998</v>
      </c>
      <c r="F5061" s="59">
        <v>5.14656</v>
      </c>
      <c r="G5061" s="56">
        <v>0</v>
      </c>
      <c r="H5061" s="56">
        <v>0</v>
      </c>
      <c r="I5061" s="58">
        <v>0.19709299999999999</v>
      </c>
      <c r="J5061" s="57">
        <v>0.173878</v>
      </c>
      <c r="K5061" s="56"/>
      <c r="L5061" s="56" t="s">
        <v>488</v>
      </c>
    </row>
    <row r="5062" spans="2:12" x14ac:dyDescent="0.2">
      <c r="B5062" s="62" t="s">
        <v>576</v>
      </c>
      <c r="C5062" s="61" t="s">
        <v>575</v>
      </c>
      <c r="D5062" s="60">
        <v>1.9974099999999999</v>
      </c>
      <c r="E5062" s="59">
        <v>2.5026999999999999</v>
      </c>
      <c r="F5062" s="59">
        <v>5.1512200000000004</v>
      </c>
      <c r="G5062" s="56">
        <v>0</v>
      </c>
      <c r="H5062" s="56">
        <v>0</v>
      </c>
      <c r="I5062" s="58">
        <v>0.19423599999999999</v>
      </c>
      <c r="J5062" s="57">
        <v>0.17885400000000001</v>
      </c>
      <c r="K5062" s="56"/>
      <c r="L5062" s="56" t="s">
        <v>488</v>
      </c>
    </row>
    <row r="5063" spans="2:12" x14ac:dyDescent="0.2">
      <c r="B5063" s="62" t="s">
        <v>574</v>
      </c>
      <c r="C5063" s="61" t="s">
        <v>573</v>
      </c>
      <c r="D5063" s="60">
        <v>2.0113500000000002</v>
      </c>
      <c r="E5063" s="59">
        <v>2.5000399999999998</v>
      </c>
      <c r="F5063" s="59">
        <v>5.1466399999999997</v>
      </c>
      <c r="G5063" s="56">
        <v>0</v>
      </c>
      <c r="H5063" s="56">
        <v>0</v>
      </c>
      <c r="I5063" s="58">
        <v>0.19594</v>
      </c>
      <c r="J5063" s="57">
        <v>0.177533</v>
      </c>
      <c r="K5063" s="56"/>
      <c r="L5063" s="56" t="s">
        <v>488</v>
      </c>
    </row>
    <row r="5064" spans="2:12" x14ac:dyDescent="0.2">
      <c r="B5064" s="62" t="s">
        <v>572</v>
      </c>
      <c r="C5064" s="61" t="s">
        <v>555</v>
      </c>
      <c r="D5064" s="60">
        <v>1.20729</v>
      </c>
      <c r="E5064" s="59">
        <v>3.3081299999999998</v>
      </c>
      <c r="F5064" s="59">
        <v>7.31541</v>
      </c>
      <c r="G5064" s="56">
        <v>0</v>
      </c>
      <c r="H5064" s="56">
        <v>0</v>
      </c>
      <c r="I5064" s="58">
        <v>0.28200799999999998</v>
      </c>
      <c r="J5064" s="57">
        <v>0.39896900000000002</v>
      </c>
      <c r="K5064" s="56"/>
      <c r="L5064" s="56" t="s">
        <v>488</v>
      </c>
    </row>
    <row r="5065" spans="2:12" x14ac:dyDescent="0.2">
      <c r="B5065" s="62" t="s">
        <v>571</v>
      </c>
      <c r="C5065" s="61" t="s">
        <v>495</v>
      </c>
      <c r="D5065" s="60">
        <v>2.14228</v>
      </c>
      <c r="E5065" s="59">
        <v>2.6000399999999999</v>
      </c>
      <c r="F5065" s="59">
        <v>3.4618000000000002</v>
      </c>
      <c r="G5065" s="56">
        <v>0</v>
      </c>
      <c r="H5065" s="56">
        <v>0</v>
      </c>
      <c r="I5065" s="58">
        <v>0.19061900000000001</v>
      </c>
      <c r="J5065" s="57">
        <v>0.162885</v>
      </c>
      <c r="K5065" s="56"/>
      <c r="L5065" s="56" t="s">
        <v>488</v>
      </c>
    </row>
    <row r="5066" spans="2:12" x14ac:dyDescent="0.2">
      <c r="B5066" s="62" t="s">
        <v>570</v>
      </c>
      <c r="C5066" s="61" t="s">
        <v>569</v>
      </c>
      <c r="D5066" s="60">
        <v>1.03468</v>
      </c>
      <c r="E5066" s="59">
        <v>4.8179999999999996</v>
      </c>
      <c r="F5066" s="59">
        <v>5.6482000000000001</v>
      </c>
      <c r="G5066" s="56">
        <v>1089.69</v>
      </c>
      <c r="H5066" s="56">
        <v>1053.17</v>
      </c>
      <c r="I5066" s="58">
        <v>0.54413699999999998</v>
      </c>
      <c r="J5066" s="57">
        <v>0.49186000000000002</v>
      </c>
      <c r="K5066" s="56"/>
      <c r="L5066" s="56" t="s">
        <v>488</v>
      </c>
    </row>
    <row r="5067" spans="2:12" x14ac:dyDescent="0.2">
      <c r="B5067" s="62" t="s">
        <v>568</v>
      </c>
      <c r="C5067" s="61" t="s">
        <v>567</v>
      </c>
      <c r="D5067" s="60">
        <v>1.40405</v>
      </c>
      <c r="E5067" s="59">
        <v>3.12391</v>
      </c>
      <c r="F5067" s="59">
        <v>5.4131499999999999</v>
      </c>
      <c r="G5067" s="56">
        <v>0</v>
      </c>
      <c r="H5067" s="56">
        <v>0</v>
      </c>
      <c r="I5067" s="58">
        <v>0.13081999999999999</v>
      </c>
      <c r="J5067" s="57">
        <v>0.213086</v>
      </c>
      <c r="K5067" s="56"/>
      <c r="L5067" s="56" t="s">
        <v>488</v>
      </c>
    </row>
    <row r="5068" spans="2:12" x14ac:dyDescent="0.2">
      <c r="B5068" s="62" t="s">
        <v>566</v>
      </c>
      <c r="C5068" s="61" t="s">
        <v>499</v>
      </c>
      <c r="D5068" s="60">
        <v>0.76545099999999999</v>
      </c>
      <c r="E5068" s="59">
        <v>5.2385299999999999</v>
      </c>
      <c r="F5068" s="59">
        <v>8.24038</v>
      </c>
      <c r="G5068" s="56">
        <v>2527.27</v>
      </c>
      <c r="H5068" s="56">
        <v>3301.67</v>
      </c>
      <c r="I5068" s="58">
        <v>0.78294600000000003</v>
      </c>
      <c r="J5068" s="57">
        <v>0.95815799999999995</v>
      </c>
      <c r="K5068" s="56"/>
      <c r="L5068" s="56" t="s">
        <v>488</v>
      </c>
    </row>
    <row r="5069" spans="2:12" x14ac:dyDescent="0.2">
      <c r="B5069" s="62" t="s">
        <v>565</v>
      </c>
      <c r="C5069" s="61" t="s">
        <v>499</v>
      </c>
      <c r="D5069" s="60">
        <v>0.36193199999999998</v>
      </c>
      <c r="E5069" s="59">
        <v>11.068429999999999</v>
      </c>
      <c r="F5069" s="59">
        <v>16.90888</v>
      </c>
      <c r="G5069" s="56">
        <v>1790.4</v>
      </c>
      <c r="H5069" s="56">
        <v>4946.7700000000004</v>
      </c>
      <c r="I5069" s="58">
        <v>0.88056999999999996</v>
      </c>
      <c r="J5069" s="57">
        <v>2.4012799999999999</v>
      </c>
      <c r="K5069" s="56" t="s">
        <v>564</v>
      </c>
      <c r="L5069" s="56" t="s">
        <v>563</v>
      </c>
    </row>
    <row r="5070" spans="2:12" x14ac:dyDescent="0.2">
      <c r="B5070" s="62" t="s">
        <v>562</v>
      </c>
      <c r="C5070" s="61" t="s">
        <v>561</v>
      </c>
      <c r="D5070" s="60">
        <v>1.5477099999999999</v>
      </c>
      <c r="E5070" s="59">
        <v>2.5364800000000001</v>
      </c>
      <c r="F5070" s="59">
        <v>4.2489800000000004</v>
      </c>
      <c r="G5070" s="56">
        <v>0</v>
      </c>
      <c r="H5070" s="56">
        <v>0</v>
      </c>
      <c r="I5070" s="58">
        <v>0.185554</v>
      </c>
      <c r="J5070" s="57">
        <v>0.25003399999999998</v>
      </c>
      <c r="K5070" s="56"/>
      <c r="L5070" s="56" t="s">
        <v>488</v>
      </c>
    </row>
    <row r="5071" spans="2:12" x14ac:dyDescent="0.2">
      <c r="B5071" s="62" t="s">
        <v>560</v>
      </c>
      <c r="C5071" s="61" t="s">
        <v>535</v>
      </c>
      <c r="D5071" s="60">
        <v>1.71671</v>
      </c>
      <c r="E5071" s="59">
        <v>2.5964399999999999</v>
      </c>
      <c r="F5071" s="59">
        <v>4.3067399999999996</v>
      </c>
      <c r="G5071" s="56">
        <v>0</v>
      </c>
      <c r="H5071" s="56">
        <v>0</v>
      </c>
      <c r="I5071" s="58">
        <v>0.18621499999999999</v>
      </c>
      <c r="J5071" s="57">
        <v>0.23560200000000001</v>
      </c>
      <c r="K5071" s="56"/>
      <c r="L5071" s="56" t="s">
        <v>488</v>
      </c>
    </row>
    <row r="5072" spans="2:12" x14ac:dyDescent="0.2">
      <c r="B5072" s="62" t="s">
        <v>559</v>
      </c>
      <c r="C5072" s="61" t="s">
        <v>558</v>
      </c>
      <c r="D5072" s="60">
        <v>1.75217</v>
      </c>
      <c r="E5072" s="59">
        <v>2.6486299999999998</v>
      </c>
      <c r="F5072" s="59">
        <v>4.3526499999999997</v>
      </c>
      <c r="G5072" s="56">
        <v>0</v>
      </c>
      <c r="H5072" s="56">
        <v>0</v>
      </c>
      <c r="I5072" s="58">
        <v>0.19199099999999999</v>
      </c>
      <c r="J5072" s="57">
        <v>0.22892000000000001</v>
      </c>
      <c r="K5072" s="56"/>
      <c r="L5072" s="56" t="s">
        <v>488</v>
      </c>
    </row>
    <row r="5073" spans="2:12" x14ac:dyDescent="0.2">
      <c r="B5073" s="62" t="s">
        <v>557</v>
      </c>
      <c r="C5073" s="61" t="s">
        <v>537</v>
      </c>
      <c r="D5073" s="60">
        <v>1.6937800000000001</v>
      </c>
      <c r="E5073" s="59">
        <v>2.61713</v>
      </c>
      <c r="F5073" s="59">
        <v>4.7169400000000001</v>
      </c>
      <c r="G5073" s="56">
        <v>0</v>
      </c>
      <c r="H5073" s="56">
        <v>0</v>
      </c>
      <c r="I5073" s="58">
        <v>0.20954700000000001</v>
      </c>
      <c r="J5073" s="57">
        <v>0.246167</v>
      </c>
      <c r="K5073" s="56"/>
      <c r="L5073" s="56" t="s">
        <v>488</v>
      </c>
    </row>
    <row r="5074" spans="2:12" x14ac:dyDescent="0.2">
      <c r="B5074" s="62" t="s">
        <v>556</v>
      </c>
      <c r="C5074" s="61" t="s">
        <v>555</v>
      </c>
      <c r="D5074" s="60">
        <v>1.56535</v>
      </c>
      <c r="E5074" s="59">
        <v>4.0290299999999997</v>
      </c>
      <c r="F5074" s="59">
        <v>4.4965000000000002</v>
      </c>
      <c r="G5074" s="56">
        <v>252.47800000000001</v>
      </c>
      <c r="H5074" s="56">
        <v>161.291</v>
      </c>
      <c r="I5074" s="58">
        <v>0.240894</v>
      </c>
      <c r="J5074" s="57">
        <v>0.21824299999999999</v>
      </c>
      <c r="K5074" s="56"/>
      <c r="L5074" s="56" t="s">
        <v>488</v>
      </c>
    </row>
    <row r="5075" spans="2:12" x14ac:dyDescent="0.2">
      <c r="B5075" s="62" t="s">
        <v>554</v>
      </c>
      <c r="C5075" s="61" t="s">
        <v>553</v>
      </c>
      <c r="D5075" s="60">
        <v>0.86576799999999998</v>
      </c>
      <c r="E5075" s="59">
        <v>8.1209900000000008</v>
      </c>
      <c r="F5075" s="59">
        <v>9.5610999999999997</v>
      </c>
      <c r="G5075" s="56">
        <v>1546.69</v>
      </c>
      <c r="H5075" s="56">
        <v>1786.49</v>
      </c>
      <c r="I5075" s="58">
        <v>0.69096999999999997</v>
      </c>
      <c r="J5075" s="57">
        <v>0.75700699999999999</v>
      </c>
      <c r="K5075" s="56"/>
      <c r="L5075" s="56" t="s">
        <v>488</v>
      </c>
    </row>
    <row r="5076" spans="2:12" x14ac:dyDescent="0.2">
      <c r="B5076" s="62" t="s">
        <v>552</v>
      </c>
      <c r="C5076" s="61" t="s">
        <v>550</v>
      </c>
      <c r="D5076" s="60">
        <v>1.1015699999999999</v>
      </c>
      <c r="E5076" s="59">
        <v>3.9563600000000001</v>
      </c>
      <c r="F5076" s="59">
        <v>5.1952999999999996</v>
      </c>
      <c r="G5076" s="56">
        <v>689.29300000000001</v>
      </c>
      <c r="H5076" s="56">
        <v>634.17200000000003</v>
      </c>
      <c r="I5076" s="58">
        <v>0.41278900000000002</v>
      </c>
      <c r="J5076" s="57">
        <v>0.476767</v>
      </c>
      <c r="K5076" s="56"/>
      <c r="L5076" s="56" t="s">
        <v>488</v>
      </c>
    </row>
    <row r="5077" spans="2:12" x14ac:dyDescent="0.2">
      <c r="B5077" s="62" t="s">
        <v>551</v>
      </c>
      <c r="C5077" s="61" t="s">
        <v>550</v>
      </c>
      <c r="D5077" s="60">
        <v>1.0869200000000001</v>
      </c>
      <c r="E5077" s="59">
        <v>3.89608</v>
      </c>
      <c r="F5077" s="59">
        <v>5.1158900000000003</v>
      </c>
      <c r="G5077" s="56">
        <v>645.80499999999995</v>
      </c>
      <c r="H5077" s="56">
        <v>586.26</v>
      </c>
      <c r="I5077" s="58">
        <v>0.41699399999999998</v>
      </c>
      <c r="J5077" s="57">
        <v>0.487904</v>
      </c>
      <c r="K5077" s="56"/>
      <c r="L5077" s="56" t="s">
        <v>488</v>
      </c>
    </row>
    <row r="5078" spans="2:12" x14ac:dyDescent="0.2">
      <c r="B5078" s="62" t="s">
        <v>549</v>
      </c>
      <c r="C5078" s="61" t="s">
        <v>548</v>
      </c>
      <c r="D5078" s="60">
        <v>0.92484900000000003</v>
      </c>
      <c r="E5078" s="59">
        <v>5.3558500000000002</v>
      </c>
      <c r="F5078" s="59">
        <v>6.9973799999999997</v>
      </c>
      <c r="G5078" s="56">
        <v>1095.05</v>
      </c>
      <c r="H5078" s="56">
        <v>1184.03</v>
      </c>
      <c r="I5078" s="58">
        <v>0.57926100000000003</v>
      </c>
      <c r="J5078" s="57">
        <v>0.64837699999999998</v>
      </c>
      <c r="K5078" s="56"/>
      <c r="L5078" s="56" t="s">
        <v>488</v>
      </c>
    </row>
    <row r="5079" spans="2:12" x14ac:dyDescent="0.2">
      <c r="B5079" s="62" t="s">
        <v>547</v>
      </c>
      <c r="C5079" s="61" t="s">
        <v>546</v>
      </c>
      <c r="D5079" s="60">
        <v>2.1825999999999999</v>
      </c>
      <c r="E5079" s="59">
        <v>3.1993499999999999</v>
      </c>
      <c r="F5079" s="59">
        <v>4.7096099999999996</v>
      </c>
      <c r="G5079" s="56">
        <v>0</v>
      </c>
      <c r="H5079" s="56">
        <v>0</v>
      </c>
      <c r="I5079" s="58">
        <v>0.34592499999999998</v>
      </c>
      <c r="J5079" s="57">
        <v>0.233677</v>
      </c>
      <c r="K5079" s="56"/>
      <c r="L5079" s="56" t="s">
        <v>488</v>
      </c>
    </row>
    <row r="5080" spans="2:12" x14ac:dyDescent="0.2">
      <c r="B5080" s="62" t="s">
        <v>545</v>
      </c>
      <c r="C5080" s="61" t="s">
        <v>537</v>
      </c>
      <c r="D5080" s="60">
        <v>2.39493</v>
      </c>
      <c r="E5080" s="59">
        <v>2.7747299999999999</v>
      </c>
      <c r="F5080" s="59">
        <v>4.3933</v>
      </c>
      <c r="G5080" s="56">
        <v>0</v>
      </c>
      <c r="H5080" s="56">
        <v>0</v>
      </c>
      <c r="I5080" s="58">
        <v>0.108796</v>
      </c>
      <c r="J5080" s="57">
        <v>0.151254</v>
      </c>
      <c r="K5080" s="56"/>
      <c r="L5080" s="56" t="s">
        <v>488</v>
      </c>
    </row>
    <row r="5081" spans="2:12" x14ac:dyDescent="0.2">
      <c r="B5081" s="62" t="s">
        <v>544</v>
      </c>
      <c r="C5081" s="61" t="s">
        <v>535</v>
      </c>
      <c r="D5081" s="60">
        <v>2.36761</v>
      </c>
      <c r="E5081" s="59">
        <v>2.7621500000000001</v>
      </c>
      <c r="F5081" s="59">
        <v>4.3848200000000004</v>
      </c>
      <c r="G5081" s="56">
        <v>0</v>
      </c>
      <c r="H5081" s="56">
        <v>0</v>
      </c>
      <c r="I5081" s="58">
        <v>0.10870100000000001</v>
      </c>
      <c r="J5081" s="57">
        <v>0.15287200000000001</v>
      </c>
      <c r="K5081" s="56"/>
      <c r="L5081" s="56" t="s">
        <v>488</v>
      </c>
    </row>
    <row r="5082" spans="2:12" x14ac:dyDescent="0.2">
      <c r="B5082" s="62" t="s">
        <v>543</v>
      </c>
      <c r="C5082" s="61" t="s">
        <v>531</v>
      </c>
      <c r="D5082" s="60">
        <v>2.2765399999999998</v>
      </c>
      <c r="E5082" s="59">
        <v>2.73604</v>
      </c>
      <c r="F5082" s="59">
        <v>4.4331699999999996</v>
      </c>
      <c r="G5082" s="56">
        <v>0</v>
      </c>
      <c r="H5082" s="56">
        <v>0</v>
      </c>
      <c r="I5082" s="58">
        <v>0.110821</v>
      </c>
      <c r="J5082" s="57">
        <v>0.16200300000000001</v>
      </c>
      <c r="K5082" s="56"/>
      <c r="L5082" s="56" t="s">
        <v>488</v>
      </c>
    </row>
    <row r="5083" spans="2:12" x14ac:dyDescent="0.2">
      <c r="B5083" s="62" t="s">
        <v>542</v>
      </c>
      <c r="C5083" s="61" t="s">
        <v>541</v>
      </c>
      <c r="D5083" s="60">
        <v>2.1798999999999999</v>
      </c>
      <c r="E5083" s="59">
        <v>2.7041900000000001</v>
      </c>
      <c r="F5083" s="59">
        <v>4.3893700000000004</v>
      </c>
      <c r="G5083" s="56">
        <v>0</v>
      </c>
      <c r="H5083" s="56">
        <v>0</v>
      </c>
      <c r="I5083" s="58">
        <v>0.109571</v>
      </c>
      <c r="J5083" s="57">
        <v>0.171708</v>
      </c>
      <c r="K5083" s="56"/>
      <c r="L5083" s="56" t="s">
        <v>488</v>
      </c>
    </row>
    <row r="5084" spans="2:12" x14ac:dyDescent="0.2">
      <c r="B5084" s="62" t="s">
        <v>540</v>
      </c>
      <c r="C5084" s="61" t="s">
        <v>510</v>
      </c>
      <c r="D5084" s="60">
        <v>1.1020300000000001</v>
      </c>
      <c r="E5084" s="59">
        <v>4.1188900000000004</v>
      </c>
      <c r="F5084" s="59">
        <v>5.4364100000000004</v>
      </c>
      <c r="G5084" s="56">
        <v>1099.18</v>
      </c>
      <c r="H5084" s="56">
        <v>997.41099999999994</v>
      </c>
      <c r="I5084" s="58">
        <v>0.46360600000000002</v>
      </c>
      <c r="J5084" s="57">
        <v>0.47053099999999998</v>
      </c>
      <c r="K5084" s="56"/>
      <c r="L5084" s="56" t="s">
        <v>488</v>
      </c>
    </row>
    <row r="5085" spans="2:12" x14ac:dyDescent="0.2">
      <c r="B5085" s="62" t="s">
        <v>539</v>
      </c>
      <c r="C5085" s="61" t="s">
        <v>531</v>
      </c>
      <c r="D5085" s="60">
        <v>1.3563400000000001</v>
      </c>
      <c r="E5085" s="59">
        <v>3.1795599999999999</v>
      </c>
      <c r="F5085" s="59">
        <v>5.0132500000000002</v>
      </c>
      <c r="G5085" s="56">
        <v>0</v>
      </c>
      <c r="H5085" s="56">
        <v>0</v>
      </c>
      <c r="I5085" s="58">
        <v>0.414516</v>
      </c>
      <c r="J5085" s="57">
        <v>0.41676800000000003</v>
      </c>
      <c r="K5085" s="56"/>
      <c r="L5085" s="56" t="s">
        <v>488</v>
      </c>
    </row>
    <row r="5086" spans="2:12" x14ac:dyDescent="0.2">
      <c r="B5086" s="62" t="s">
        <v>538</v>
      </c>
      <c r="C5086" s="61" t="s">
        <v>537</v>
      </c>
      <c r="D5086" s="60">
        <v>1.2587900000000001</v>
      </c>
      <c r="E5086" s="59">
        <v>4.73515</v>
      </c>
      <c r="F5086" s="59">
        <v>6.86808</v>
      </c>
      <c r="G5086" s="56">
        <v>1360.78</v>
      </c>
      <c r="H5086" s="56">
        <v>1081.02</v>
      </c>
      <c r="I5086" s="58">
        <v>0.53765300000000005</v>
      </c>
      <c r="J5086" s="57">
        <v>0.454737</v>
      </c>
      <c r="K5086" s="56"/>
      <c r="L5086" s="56" t="s">
        <v>488</v>
      </c>
    </row>
    <row r="5087" spans="2:12" x14ac:dyDescent="0.2">
      <c r="B5087" s="62" t="s">
        <v>536</v>
      </c>
      <c r="C5087" s="61" t="s">
        <v>535</v>
      </c>
      <c r="D5087" s="60">
        <v>1.25559</v>
      </c>
      <c r="E5087" s="59">
        <v>4.7623800000000003</v>
      </c>
      <c r="F5087" s="59">
        <v>6.8572800000000003</v>
      </c>
      <c r="G5087" s="56">
        <v>1341.45</v>
      </c>
      <c r="H5087" s="56">
        <v>1068.3800000000001</v>
      </c>
      <c r="I5087" s="58">
        <v>0.53900899999999996</v>
      </c>
      <c r="J5087" s="57">
        <v>0.45547799999999999</v>
      </c>
      <c r="K5087" s="56"/>
      <c r="L5087" s="56" t="s">
        <v>488</v>
      </c>
    </row>
    <row r="5088" spans="2:12" x14ac:dyDescent="0.2">
      <c r="B5088" s="62" t="s">
        <v>534</v>
      </c>
      <c r="C5088" s="61" t="s">
        <v>533</v>
      </c>
      <c r="D5088" s="60">
        <v>1.2492000000000001</v>
      </c>
      <c r="E5088" s="59">
        <v>4.77027</v>
      </c>
      <c r="F5088" s="59">
        <v>6.8210899999999999</v>
      </c>
      <c r="G5088" s="56">
        <v>1371.84</v>
      </c>
      <c r="H5088" s="56">
        <v>1098.17</v>
      </c>
      <c r="I5088" s="58">
        <v>0.53792200000000001</v>
      </c>
      <c r="J5088" s="57">
        <v>0.45822000000000002</v>
      </c>
      <c r="K5088" s="56"/>
      <c r="L5088" s="56" t="s">
        <v>488</v>
      </c>
    </row>
    <row r="5089" spans="2:12" x14ac:dyDescent="0.2">
      <c r="B5089" s="62" t="s">
        <v>532</v>
      </c>
      <c r="C5089" s="61" t="s">
        <v>531</v>
      </c>
      <c r="D5089" s="60">
        <v>1.21505</v>
      </c>
      <c r="E5089" s="59">
        <v>4.7982899999999997</v>
      </c>
      <c r="F5089" s="59">
        <v>6.88408</v>
      </c>
      <c r="G5089" s="56">
        <v>1395.59</v>
      </c>
      <c r="H5089" s="56">
        <v>1148.5899999999999</v>
      </c>
      <c r="I5089" s="58">
        <v>0.53852299999999997</v>
      </c>
      <c r="J5089" s="57">
        <v>0.475547</v>
      </c>
      <c r="K5089" s="56"/>
      <c r="L5089" s="56" t="s">
        <v>488</v>
      </c>
    </row>
    <row r="5090" spans="2:12" x14ac:dyDescent="0.2">
      <c r="B5090" s="62" t="s">
        <v>530</v>
      </c>
      <c r="C5090" s="61" t="s">
        <v>529</v>
      </c>
      <c r="D5090" s="60">
        <v>1.6571199999999999</v>
      </c>
      <c r="E5090" s="59">
        <v>2.4497399999999998</v>
      </c>
      <c r="F5090" s="59">
        <v>3.1554600000000002</v>
      </c>
      <c r="G5090" s="56">
        <v>0</v>
      </c>
      <c r="H5090" s="56">
        <v>0</v>
      </c>
      <c r="I5090" s="58">
        <v>4.1851199999999998E-2</v>
      </c>
      <c r="J5090" s="57">
        <v>0.195711</v>
      </c>
      <c r="K5090" s="56"/>
      <c r="L5090" s="56" t="s">
        <v>488</v>
      </c>
    </row>
    <row r="5091" spans="2:12" x14ac:dyDescent="0.2">
      <c r="B5091" s="62" t="s">
        <v>528</v>
      </c>
      <c r="C5091" s="61" t="s">
        <v>526</v>
      </c>
      <c r="D5091" s="60">
        <v>1.91164</v>
      </c>
      <c r="E5091" s="59">
        <v>2.41066</v>
      </c>
      <c r="F5091" s="59">
        <v>4.55863</v>
      </c>
      <c r="G5091" s="56">
        <v>0</v>
      </c>
      <c r="H5091" s="56">
        <v>0</v>
      </c>
      <c r="I5091" s="58">
        <v>0.227626</v>
      </c>
      <c r="J5091" s="57">
        <v>0.20038</v>
      </c>
      <c r="K5091" s="56"/>
      <c r="L5091" s="56" t="s">
        <v>488</v>
      </c>
    </row>
    <row r="5092" spans="2:12" x14ac:dyDescent="0.2">
      <c r="B5092" s="62" t="s">
        <v>527</v>
      </c>
      <c r="C5092" s="61" t="s">
        <v>526</v>
      </c>
      <c r="D5092" s="60">
        <v>0.88569200000000003</v>
      </c>
      <c r="E5092" s="59">
        <v>5.5588300000000004</v>
      </c>
      <c r="F5092" s="59">
        <v>8.8483800000000006</v>
      </c>
      <c r="G5092" s="56">
        <v>1718.25</v>
      </c>
      <c r="H5092" s="56">
        <v>1940.01</v>
      </c>
      <c r="I5092" s="58">
        <v>0.673898</v>
      </c>
      <c r="J5092" s="57">
        <v>0.71329100000000001</v>
      </c>
      <c r="K5092" s="56"/>
      <c r="L5092" s="56" t="s">
        <v>488</v>
      </c>
    </row>
    <row r="5093" spans="2:12" x14ac:dyDescent="0.2">
      <c r="B5093" s="62" t="s">
        <v>525</v>
      </c>
      <c r="C5093" s="61" t="s">
        <v>495</v>
      </c>
      <c r="D5093" s="60">
        <v>1.33917</v>
      </c>
      <c r="E5093" s="59">
        <v>3.5791200000000001</v>
      </c>
      <c r="F5093" s="59">
        <v>5.3289099999999996</v>
      </c>
      <c r="G5093" s="56">
        <v>0</v>
      </c>
      <c r="H5093" s="56">
        <v>0</v>
      </c>
      <c r="I5093" s="58">
        <v>0.27989700000000001</v>
      </c>
      <c r="J5093" s="57">
        <v>0.31473899999999999</v>
      </c>
      <c r="K5093" s="56"/>
      <c r="L5093" s="56" t="s">
        <v>488</v>
      </c>
    </row>
    <row r="5094" spans="2:12" x14ac:dyDescent="0.2">
      <c r="B5094" s="62" t="s">
        <v>524</v>
      </c>
      <c r="C5094" s="61" t="s">
        <v>523</v>
      </c>
      <c r="D5094" s="60">
        <v>0.79905099999999996</v>
      </c>
      <c r="E5094" s="59">
        <v>6.8372299999999999</v>
      </c>
      <c r="F5094" s="59">
        <v>12.80978</v>
      </c>
      <c r="G5094" s="56">
        <v>1905.16</v>
      </c>
      <c r="H5094" s="56">
        <v>2384.27</v>
      </c>
      <c r="I5094" s="58">
        <v>0.75890100000000005</v>
      </c>
      <c r="J5094" s="57">
        <v>0.89870300000000003</v>
      </c>
      <c r="K5094" s="56"/>
      <c r="L5094" s="56" t="s">
        <v>488</v>
      </c>
    </row>
    <row r="5095" spans="2:12" x14ac:dyDescent="0.2">
      <c r="B5095" s="62" t="s">
        <v>522</v>
      </c>
      <c r="C5095" s="61" t="s">
        <v>495</v>
      </c>
      <c r="D5095" s="60">
        <v>1.32203</v>
      </c>
      <c r="E5095" s="59">
        <v>3.3429700000000002</v>
      </c>
      <c r="F5095" s="59">
        <v>5.4164099999999999</v>
      </c>
      <c r="G5095" s="56">
        <v>0</v>
      </c>
      <c r="H5095" s="56">
        <v>0</v>
      </c>
      <c r="I5095" s="58">
        <v>0.355767</v>
      </c>
      <c r="J5095" s="57">
        <v>0.38287900000000002</v>
      </c>
      <c r="K5095" s="56"/>
      <c r="L5095" s="56" t="s">
        <v>488</v>
      </c>
    </row>
    <row r="5096" spans="2:12" x14ac:dyDescent="0.2">
      <c r="B5096" s="62" t="s">
        <v>521</v>
      </c>
      <c r="C5096" s="61" t="s">
        <v>520</v>
      </c>
      <c r="D5096" s="60">
        <v>1.1099699999999999</v>
      </c>
      <c r="E5096" s="59">
        <v>3.49261</v>
      </c>
      <c r="F5096" s="59">
        <v>4.3458899999999998</v>
      </c>
      <c r="G5096" s="56">
        <v>0</v>
      </c>
      <c r="H5096" s="56">
        <v>0</v>
      </c>
      <c r="I5096" s="58">
        <v>0.170319</v>
      </c>
      <c r="J5096" s="57">
        <v>0.39195400000000002</v>
      </c>
      <c r="K5096" s="56"/>
      <c r="L5096" s="56" t="s">
        <v>488</v>
      </c>
    </row>
    <row r="5097" spans="2:12" x14ac:dyDescent="0.2">
      <c r="B5097" s="62" t="s">
        <v>519</v>
      </c>
      <c r="C5097" s="61" t="s">
        <v>510</v>
      </c>
      <c r="D5097" s="60">
        <v>1.45241</v>
      </c>
      <c r="E5097" s="59">
        <v>2.6337199999999998</v>
      </c>
      <c r="F5097" s="59">
        <v>3.81019</v>
      </c>
      <c r="G5097" s="56">
        <v>0</v>
      </c>
      <c r="H5097" s="56">
        <v>0</v>
      </c>
      <c r="I5097" s="58">
        <v>0.124667</v>
      </c>
      <c r="J5097" s="57">
        <v>0.26555499999999999</v>
      </c>
      <c r="K5097" s="56"/>
      <c r="L5097" s="56" t="s">
        <v>488</v>
      </c>
    </row>
    <row r="5098" spans="2:12" x14ac:dyDescent="0.2">
      <c r="B5098" s="62" t="s">
        <v>518</v>
      </c>
      <c r="C5098" s="61" t="s">
        <v>502</v>
      </c>
      <c r="D5098" s="60">
        <v>1.2258199999999999</v>
      </c>
      <c r="E5098" s="59">
        <v>3.4242900000000001</v>
      </c>
      <c r="F5098" s="59">
        <v>5.2787699999999997</v>
      </c>
      <c r="G5098" s="56">
        <v>0</v>
      </c>
      <c r="H5098" s="56">
        <v>0</v>
      </c>
      <c r="I5098" s="58">
        <v>0.43483899999999998</v>
      </c>
      <c r="J5098" s="57">
        <v>0.46907799999999999</v>
      </c>
      <c r="K5098" s="56"/>
      <c r="L5098" s="56" t="s">
        <v>488</v>
      </c>
    </row>
    <row r="5099" spans="2:12" x14ac:dyDescent="0.2">
      <c r="B5099" s="62" t="s">
        <v>517</v>
      </c>
      <c r="C5099" s="61" t="s">
        <v>502</v>
      </c>
      <c r="D5099" s="60">
        <v>1.2252700000000001</v>
      </c>
      <c r="E5099" s="59">
        <v>3.3657300000000001</v>
      </c>
      <c r="F5099" s="59">
        <v>5.27888</v>
      </c>
      <c r="G5099" s="56">
        <v>0</v>
      </c>
      <c r="H5099" s="56">
        <v>0</v>
      </c>
      <c r="I5099" s="58">
        <v>0.440886</v>
      </c>
      <c r="J5099" s="57">
        <v>0.46929300000000002</v>
      </c>
      <c r="K5099" s="56"/>
      <c r="L5099" s="56" t="s">
        <v>488</v>
      </c>
    </row>
    <row r="5100" spans="2:12" x14ac:dyDescent="0.2">
      <c r="B5100" s="62" t="s">
        <v>516</v>
      </c>
      <c r="C5100" s="61" t="s">
        <v>502</v>
      </c>
      <c r="D5100" s="60">
        <v>1.2258500000000001</v>
      </c>
      <c r="E5100" s="59">
        <v>3.3189099999999998</v>
      </c>
      <c r="F5100" s="59">
        <v>5.2907799999999998</v>
      </c>
      <c r="G5100" s="56">
        <v>0</v>
      </c>
      <c r="H5100" s="56">
        <v>0</v>
      </c>
      <c r="I5100" s="58">
        <v>0.43891000000000002</v>
      </c>
      <c r="J5100" s="57">
        <v>0.469746</v>
      </c>
      <c r="K5100" s="56"/>
      <c r="L5100" s="56" t="s">
        <v>488</v>
      </c>
    </row>
    <row r="5101" spans="2:12" x14ac:dyDescent="0.2">
      <c r="B5101" s="62" t="s">
        <v>515</v>
      </c>
      <c r="C5101" s="61" t="s">
        <v>502</v>
      </c>
      <c r="D5101" s="60">
        <v>0.78296500000000002</v>
      </c>
      <c r="E5101" s="59">
        <v>5.5858400000000001</v>
      </c>
      <c r="F5101" s="59">
        <v>7.0778299999999996</v>
      </c>
      <c r="G5101" s="56">
        <v>2207.66</v>
      </c>
      <c r="H5101" s="56">
        <v>2819.61</v>
      </c>
      <c r="I5101" s="58">
        <v>0.74339</v>
      </c>
      <c r="J5101" s="57">
        <v>0.89796699999999996</v>
      </c>
      <c r="K5101" s="56"/>
      <c r="L5101" s="56" t="s">
        <v>488</v>
      </c>
    </row>
    <row r="5102" spans="2:12" x14ac:dyDescent="0.2">
      <c r="B5102" s="62" t="s">
        <v>514</v>
      </c>
      <c r="C5102" s="61" t="s">
        <v>502</v>
      </c>
      <c r="D5102" s="60">
        <v>0.96980500000000003</v>
      </c>
      <c r="E5102" s="59">
        <v>3.9573</v>
      </c>
      <c r="F5102" s="59">
        <v>5.8159799999999997</v>
      </c>
      <c r="G5102" s="56">
        <v>1183.5899999999999</v>
      </c>
      <c r="H5102" s="56">
        <v>1220.44</v>
      </c>
      <c r="I5102" s="58">
        <v>0.628521</v>
      </c>
      <c r="J5102" s="57">
        <v>0.65370799999999996</v>
      </c>
      <c r="K5102" s="56"/>
      <c r="L5102" s="56" t="s">
        <v>488</v>
      </c>
    </row>
    <row r="5103" spans="2:12" x14ac:dyDescent="0.2">
      <c r="B5103" s="62" t="s">
        <v>513</v>
      </c>
      <c r="C5103" s="61" t="s">
        <v>510</v>
      </c>
      <c r="D5103" s="60">
        <v>0.99972099999999997</v>
      </c>
      <c r="E5103" s="59">
        <v>4.2870400000000002</v>
      </c>
      <c r="F5103" s="59">
        <v>4.9863</v>
      </c>
      <c r="G5103" s="56">
        <v>725.846</v>
      </c>
      <c r="H5103" s="56">
        <v>726.04899999999998</v>
      </c>
      <c r="I5103" s="58">
        <v>0.38788800000000001</v>
      </c>
      <c r="J5103" s="57">
        <v>0.55103199999999997</v>
      </c>
      <c r="K5103" s="56"/>
      <c r="L5103" s="56" t="s">
        <v>488</v>
      </c>
    </row>
    <row r="5104" spans="2:12" x14ac:dyDescent="0.2">
      <c r="B5104" s="62" t="s">
        <v>512</v>
      </c>
      <c r="C5104" s="61" t="s">
        <v>510</v>
      </c>
      <c r="D5104" s="60">
        <v>0.95298099999999997</v>
      </c>
      <c r="E5104" s="59">
        <v>3.8062</v>
      </c>
      <c r="F5104" s="59">
        <v>4.97187</v>
      </c>
      <c r="G5104" s="56">
        <v>673.19100000000003</v>
      </c>
      <c r="H5104" s="56">
        <v>706.40599999999995</v>
      </c>
      <c r="I5104" s="58">
        <v>0.493921</v>
      </c>
      <c r="J5104" s="57">
        <v>0.59488099999999999</v>
      </c>
      <c r="K5104" s="56"/>
      <c r="L5104" s="56" t="s">
        <v>488</v>
      </c>
    </row>
    <row r="5105" spans="2:12" x14ac:dyDescent="0.2">
      <c r="B5105" s="62" t="s">
        <v>511</v>
      </c>
      <c r="C5105" s="61" t="s">
        <v>510</v>
      </c>
      <c r="D5105" s="60">
        <v>0.92738799999999999</v>
      </c>
      <c r="E5105" s="59">
        <v>5.8844500000000002</v>
      </c>
      <c r="F5105" s="59">
        <v>9.1539699999999993</v>
      </c>
      <c r="G5105" s="56">
        <v>1302.95</v>
      </c>
      <c r="H5105" s="56">
        <v>1404.97</v>
      </c>
      <c r="I5105" s="58">
        <v>0.59186300000000003</v>
      </c>
      <c r="J5105" s="57">
        <v>0.63330399999999998</v>
      </c>
      <c r="K5105" s="56"/>
      <c r="L5105" s="56" t="s">
        <v>488</v>
      </c>
    </row>
    <row r="5106" spans="2:12" x14ac:dyDescent="0.2">
      <c r="B5106" s="62" t="s">
        <v>509</v>
      </c>
      <c r="C5106" s="61" t="s">
        <v>502</v>
      </c>
      <c r="D5106" s="60">
        <v>0.63101499999999999</v>
      </c>
      <c r="E5106" s="59">
        <v>7.9658800000000003</v>
      </c>
      <c r="F5106" s="59">
        <v>9.3282000000000007</v>
      </c>
      <c r="G5106" s="56">
        <v>2346.15</v>
      </c>
      <c r="H5106" s="56">
        <v>3718.05</v>
      </c>
      <c r="I5106" s="58">
        <v>0.80906500000000003</v>
      </c>
      <c r="J5106" s="57">
        <v>1.1975499999999999</v>
      </c>
      <c r="K5106" s="56"/>
      <c r="L5106" s="56" t="s">
        <v>488</v>
      </c>
    </row>
    <row r="5107" spans="2:12" x14ac:dyDescent="0.2">
      <c r="B5107" s="62" t="s">
        <v>508</v>
      </c>
      <c r="C5107" s="61" t="s">
        <v>507</v>
      </c>
      <c r="D5107" s="60">
        <v>1.7028399999999999</v>
      </c>
      <c r="E5107" s="59">
        <v>3.1789000000000001</v>
      </c>
      <c r="F5107" s="59">
        <v>4.9346100000000002</v>
      </c>
      <c r="G5107" s="56">
        <v>0</v>
      </c>
      <c r="H5107" s="56">
        <v>0</v>
      </c>
      <c r="I5107" s="58">
        <v>0.29634700000000003</v>
      </c>
      <c r="J5107" s="57">
        <v>0.26588000000000001</v>
      </c>
      <c r="K5107" s="56"/>
      <c r="L5107" s="56" t="s">
        <v>488</v>
      </c>
    </row>
    <row r="5108" spans="2:12" x14ac:dyDescent="0.2">
      <c r="B5108" s="62" t="s">
        <v>506</v>
      </c>
      <c r="C5108" s="61" t="s">
        <v>505</v>
      </c>
      <c r="D5108" s="60">
        <v>0.57949799999999996</v>
      </c>
      <c r="E5108" s="59">
        <v>6.0289299999999999</v>
      </c>
      <c r="F5108" s="59">
        <v>15.447979999999999</v>
      </c>
      <c r="G5108" s="56">
        <v>1968.4</v>
      </c>
      <c r="H5108" s="56">
        <v>3396.73</v>
      </c>
      <c r="I5108" s="58">
        <v>0.817631</v>
      </c>
      <c r="J5108" s="57">
        <v>1.33501</v>
      </c>
      <c r="K5108" s="56"/>
      <c r="L5108" s="56" t="s">
        <v>488</v>
      </c>
    </row>
    <row r="5109" spans="2:12" x14ac:dyDescent="0.2">
      <c r="B5109" s="62" t="s">
        <v>504</v>
      </c>
      <c r="C5109" s="61" t="s">
        <v>499</v>
      </c>
      <c r="D5109" s="60">
        <v>0.78129599999999999</v>
      </c>
      <c r="E5109" s="59">
        <v>6.7435999999999998</v>
      </c>
      <c r="F5109" s="59">
        <v>16.392810000000001</v>
      </c>
      <c r="G5109" s="56">
        <v>1734.12</v>
      </c>
      <c r="H5109" s="56">
        <v>2219.5500000000002</v>
      </c>
      <c r="I5109" s="58">
        <v>0.78673300000000002</v>
      </c>
      <c r="J5109" s="57">
        <v>0.93466300000000002</v>
      </c>
      <c r="K5109" s="56"/>
      <c r="L5109" s="56" t="s">
        <v>488</v>
      </c>
    </row>
    <row r="5110" spans="2:12" x14ac:dyDescent="0.2">
      <c r="B5110" s="62" t="s">
        <v>503</v>
      </c>
      <c r="C5110" s="61" t="s">
        <v>502</v>
      </c>
      <c r="D5110" s="60">
        <v>1.2889200000000001</v>
      </c>
      <c r="E5110" s="59">
        <v>4.9153900000000004</v>
      </c>
      <c r="F5110" s="59">
        <v>5.9099000000000004</v>
      </c>
      <c r="G5110" s="56">
        <v>950.11599999999999</v>
      </c>
      <c r="H5110" s="56">
        <v>737.14</v>
      </c>
      <c r="I5110" s="58">
        <v>0.483796</v>
      </c>
      <c r="J5110" s="57">
        <v>0.409555</v>
      </c>
      <c r="K5110" s="56"/>
      <c r="L5110" s="56" t="s">
        <v>488</v>
      </c>
    </row>
    <row r="5111" spans="2:12" x14ac:dyDescent="0.2">
      <c r="B5111" s="62" t="s">
        <v>501</v>
      </c>
      <c r="C5111" s="61" t="s">
        <v>499</v>
      </c>
      <c r="D5111" s="60">
        <v>1.65404</v>
      </c>
      <c r="E5111" s="59">
        <v>2.59565</v>
      </c>
      <c r="F5111" s="59">
        <v>3.16473</v>
      </c>
      <c r="G5111" s="56">
        <v>0</v>
      </c>
      <c r="H5111" s="56">
        <v>0</v>
      </c>
      <c r="I5111" s="58">
        <v>0.11593199999999999</v>
      </c>
      <c r="J5111" s="57">
        <v>0.25936599999999999</v>
      </c>
      <c r="K5111" s="56"/>
      <c r="L5111" s="56" t="s">
        <v>488</v>
      </c>
    </row>
    <row r="5112" spans="2:12" x14ac:dyDescent="0.2">
      <c r="B5112" s="62" t="s">
        <v>500</v>
      </c>
      <c r="C5112" s="61" t="s">
        <v>499</v>
      </c>
      <c r="D5112" s="60">
        <v>1.68506</v>
      </c>
      <c r="E5112" s="59">
        <v>2.6627100000000001</v>
      </c>
      <c r="F5112" s="59">
        <v>3.19455</v>
      </c>
      <c r="G5112" s="56">
        <v>0</v>
      </c>
      <c r="H5112" s="56">
        <v>0</v>
      </c>
      <c r="I5112" s="58">
        <v>0.10649400000000001</v>
      </c>
      <c r="J5112" s="57">
        <v>0.251305</v>
      </c>
      <c r="K5112" s="56"/>
      <c r="L5112" s="56" t="s">
        <v>488</v>
      </c>
    </row>
    <row r="5113" spans="2:12" x14ac:dyDescent="0.2">
      <c r="B5113" s="62" t="s">
        <v>498</v>
      </c>
      <c r="C5113" s="61" t="s">
        <v>493</v>
      </c>
      <c r="D5113" s="60">
        <v>0.77864900000000004</v>
      </c>
      <c r="E5113" s="59">
        <v>3.9805600000000001</v>
      </c>
      <c r="F5113" s="59">
        <v>5.7911099999999998</v>
      </c>
      <c r="G5113" s="56">
        <v>2269.83</v>
      </c>
      <c r="H5113" s="56">
        <v>2915.09</v>
      </c>
      <c r="I5113" s="58">
        <v>0.60680000000000001</v>
      </c>
      <c r="J5113" s="57">
        <v>0.93015800000000004</v>
      </c>
      <c r="K5113" s="56"/>
      <c r="L5113" s="56" t="s">
        <v>492</v>
      </c>
    </row>
    <row r="5114" spans="2:12" x14ac:dyDescent="0.2">
      <c r="B5114" s="62" t="s">
        <v>497</v>
      </c>
      <c r="C5114" s="61" t="s">
        <v>495</v>
      </c>
      <c r="D5114" s="60">
        <v>0.94672299999999998</v>
      </c>
      <c r="E5114" s="59">
        <v>3.8198400000000001</v>
      </c>
      <c r="F5114" s="59">
        <v>5.7028299999999996</v>
      </c>
      <c r="G5114" s="56">
        <v>2067.15</v>
      </c>
      <c r="H5114" s="56">
        <v>2183.48</v>
      </c>
      <c r="I5114" s="58">
        <v>0.60240199999999999</v>
      </c>
      <c r="J5114" s="57">
        <v>0.75112100000000004</v>
      </c>
      <c r="K5114" s="56"/>
      <c r="L5114" s="56" t="s">
        <v>492</v>
      </c>
    </row>
    <row r="5115" spans="2:12" x14ac:dyDescent="0.2">
      <c r="B5115" s="62" t="s">
        <v>496</v>
      </c>
      <c r="C5115" s="61" t="s">
        <v>495</v>
      </c>
      <c r="D5115" s="60">
        <v>1.08175</v>
      </c>
      <c r="E5115" s="59">
        <v>3.6975799999999999</v>
      </c>
      <c r="F5115" s="59">
        <v>5.7842700000000002</v>
      </c>
      <c r="G5115" s="56">
        <v>0</v>
      </c>
      <c r="H5115" s="56">
        <v>0</v>
      </c>
      <c r="I5115" s="58">
        <v>0.63257399999999997</v>
      </c>
      <c r="J5115" s="57">
        <v>0.65606399999999998</v>
      </c>
      <c r="K5115" s="56"/>
      <c r="L5115" s="56" t="s">
        <v>492</v>
      </c>
    </row>
    <row r="5116" spans="2:12" x14ac:dyDescent="0.2">
      <c r="B5116" s="62" t="s">
        <v>494</v>
      </c>
      <c r="C5116" s="61" t="s">
        <v>493</v>
      </c>
      <c r="D5116" s="60">
        <v>0.92837499999999995</v>
      </c>
      <c r="E5116" s="59">
        <v>3.6442800000000002</v>
      </c>
      <c r="F5116" s="59">
        <v>5.7299800000000003</v>
      </c>
      <c r="G5116" s="56">
        <v>0</v>
      </c>
      <c r="H5116" s="56">
        <v>0</v>
      </c>
      <c r="I5116" s="58">
        <v>0.57288600000000001</v>
      </c>
      <c r="J5116" s="57">
        <v>0.75264900000000001</v>
      </c>
      <c r="K5116" s="56"/>
      <c r="L5116" s="56" t="s">
        <v>492</v>
      </c>
    </row>
    <row r="5117" spans="2:12" x14ac:dyDescent="0.2">
      <c r="B5117" s="62" t="s">
        <v>491</v>
      </c>
      <c r="C5117" s="61" t="s">
        <v>489</v>
      </c>
      <c r="D5117" s="60">
        <v>1.3061799999999999</v>
      </c>
      <c r="E5117" s="59">
        <v>3.6887599999999998</v>
      </c>
      <c r="F5117" s="59">
        <v>4.6236300000000004</v>
      </c>
      <c r="G5117" s="56">
        <v>0</v>
      </c>
      <c r="H5117" s="56">
        <v>0</v>
      </c>
      <c r="I5117" s="58">
        <v>0.41683100000000001</v>
      </c>
      <c r="J5117" s="57">
        <v>0.40969499999999998</v>
      </c>
      <c r="K5117" s="56"/>
      <c r="L5117" s="56" t="s">
        <v>488</v>
      </c>
    </row>
    <row r="5118" spans="2:12" x14ac:dyDescent="0.2">
      <c r="B5118" s="55" t="s">
        <v>490</v>
      </c>
      <c r="C5118" s="54" t="s">
        <v>489</v>
      </c>
      <c r="D5118" s="53">
        <v>1.07775</v>
      </c>
      <c r="E5118" s="52">
        <v>3.9211</v>
      </c>
      <c r="F5118" s="52">
        <v>4.9080700000000004</v>
      </c>
      <c r="G5118" s="49">
        <v>1002.98</v>
      </c>
      <c r="H5118" s="49">
        <v>930.63300000000004</v>
      </c>
      <c r="I5118" s="51">
        <v>0.45255299999999998</v>
      </c>
      <c r="J5118" s="50">
        <v>0.56734499999999999</v>
      </c>
      <c r="K5118" s="49"/>
      <c r="L5118" s="49" t="s">
        <v>488</v>
      </c>
    </row>
  </sheetData>
  <autoFilter ref="B9:L5118" xr:uid="{00000000-0009-0000-0000-000000000000}">
    <sortState xmlns:xlrd2="http://schemas.microsoft.com/office/spreadsheetml/2017/richdata2" ref="B9:L5117">
      <sortCondition ref="B8:B5117"/>
    </sortState>
  </autoFilter>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4DB2-04C0-CE44-8B9E-BFAEEBF27ADC}">
  <dimension ref="B1:I72"/>
  <sheetViews>
    <sheetView topLeftCell="A29" zoomScale="114" zoomScaleNormal="70" zoomScalePageLayoutView="70" workbookViewId="0">
      <selection activeCell="A36" sqref="A36"/>
    </sheetView>
  </sheetViews>
  <sheetFormatPr baseColWidth="10" defaultColWidth="11.1640625" defaultRowHeight="16" x14ac:dyDescent="0.2"/>
  <cols>
    <col min="1" max="1" width="11.1640625" style="43"/>
    <col min="2" max="2" width="14.1640625" style="43" customWidth="1"/>
    <col min="3" max="3" width="11.1640625" style="43"/>
    <col min="4" max="4" width="14.1640625" style="47" customWidth="1"/>
    <col min="5" max="5" width="24.1640625" style="43" bestFit="1" customWidth="1"/>
    <col min="6" max="6" width="28.6640625" style="43" bestFit="1" customWidth="1"/>
    <col min="7" max="7" width="16.33203125" style="43" bestFit="1" customWidth="1"/>
    <col min="8" max="8" width="68.33203125" style="43" customWidth="1"/>
    <col min="9" max="9" width="60.6640625" style="43" bestFit="1" customWidth="1"/>
    <col min="10" max="16384" width="11.1640625" style="43"/>
  </cols>
  <sheetData>
    <row r="1" spans="2:9" ht="20" x14ac:dyDescent="0.25">
      <c r="B1" s="43" t="s">
        <v>6252</v>
      </c>
    </row>
    <row r="2" spans="2:9" x14ac:dyDescent="0.2">
      <c r="B2" s="43" t="s">
        <v>6251</v>
      </c>
    </row>
    <row r="4" spans="2:9" x14ac:dyDescent="0.2">
      <c r="B4" s="88" t="s">
        <v>6053</v>
      </c>
      <c r="C4" s="88" t="s">
        <v>6250</v>
      </c>
      <c r="D4" s="89" t="s">
        <v>6249</v>
      </c>
      <c r="E4" s="88" t="s">
        <v>18</v>
      </c>
      <c r="F4" s="88" t="s">
        <v>6248</v>
      </c>
      <c r="G4" s="88" t="s">
        <v>6247</v>
      </c>
      <c r="H4" s="88" t="s">
        <v>6246</v>
      </c>
      <c r="I4" s="87" t="s">
        <v>6245</v>
      </c>
    </row>
    <row r="5" spans="2:9" x14ac:dyDescent="0.2">
      <c r="B5" s="86" t="s">
        <v>6000</v>
      </c>
      <c r="C5" s="71">
        <v>242.08868385490001</v>
      </c>
      <c r="D5" s="72">
        <v>0.83699999999999997</v>
      </c>
      <c r="E5" s="68" t="s">
        <v>6244</v>
      </c>
      <c r="F5" s="68"/>
      <c r="G5" s="68"/>
      <c r="H5" s="85"/>
      <c r="I5" s="68" t="s">
        <v>6243</v>
      </c>
    </row>
    <row r="6" spans="2:9" ht="19" x14ac:dyDescent="0.2">
      <c r="B6" s="62" t="s">
        <v>5941</v>
      </c>
      <c r="C6" s="59">
        <v>240.38029073339999</v>
      </c>
      <c r="D6" s="60">
        <v>0.82677</v>
      </c>
      <c r="E6" s="56" t="s">
        <v>6242</v>
      </c>
      <c r="F6" s="56" t="s">
        <v>6241</v>
      </c>
      <c r="G6" s="56" t="s">
        <v>6176</v>
      </c>
      <c r="H6" s="83" t="s">
        <v>6240</v>
      </c>
      <c r="I6" s="56" t="s">
        <v>6239</v>
      </c>
    </row>
    <row r="7" spans="2:9" ht="17" customHeight="1" x14ac:dyDescent="0.2">
      <c r="B7" s="81" t="s">
        <v>5898</v>
      </c>
      <c r="C7" s="59">
        <v>244.9839365185</v>
      </c>
      <c r="D7" s="60">
        <v>0.84499999999999997</v>
      </c>
      <c r="E7" s="56" t="s">
        <v>6238</v>
      </c>
      <c r="F7" s="56"/>
      <c r="G7" s="56"/>
      <c r="H7" s="56" t="s">
        <v>6237</v>
      </c>
      <c r="I7" s="56" t="s">
        <v>6235</v>
      </c>
    </row>
    <row r="8" spans="2:9" x14ac:dyDescent="0.2">
      <c r="B8" s="81" t="s">
        <v>5897</v>
      </c>
      <c r="C8" s="59">
        <v>243.0274707124</v>
      </c>
      <c r="D8" s="60">
        <v>0.83399999999999996</v>
      </c>
      <c r="E8" s="56" t="s">
        <v>6236</v>
      </c>
      <c r="F8" s="56"/>
      <c r="G8" s="56"/>
      <c r="H8" s="56"/>
      <c r="I8" s="56" t="s">
        <v>6235</v>
      </c>
    </row>
    <row r="9" spans="2:9" x14ac:dyDescent="0.2">
      <c r="B9" s="81" t="s">
        <v>5882</v>
      </c>
      <c r="C9" s="59">
        <v>246.63902594730001</v>
      </c>
      <c r="D9" s="60">
        <v>0.84699999999999998</v>
      </c>
      <c r="E9" s="56" t="s">
        <v>6234</v>
      </c>
      <c r="F9" s="56" t="s">
        <v>6233</v>
      </c>
      <c r="G9" s="56" t="s">
        <v>6062</v>
      </c>
      <c r="H9" s="56" t="s">
        <v>6230</v>
      </c>
      <c r="I9" s="56" t="s">
        <v>6227</v>
      </c>
    </row>
    <row r="10" spans="2:9" x14ac:dyDescent="0.2">
      <c r="B10" s="81" t="s">
        <v>5881</v>
      </c>
      <c r="C10" s="59">
        <v>253.5694284123</v>
      </c>
      <c r="D10" s="60">
        <v>0.83399999999999996</v>
      </c>
      <c r="E10" s="56" t="s">
        <v>6232</v>
      </c>
      <c r="F10" s="56" t="s">
        <v>6231</v>
      </c>
      <c r="G10" s="56" t="s">
        <v>6074</v>
      </c>
      <c r="H10" s="43" t="s">
        <v>6230</v>
      </c>
      <c r="I10" s="56" t="s">
        <v>6227</v>
      </c>
    </row>
    <row r="11" spans="2:9" x14ac:dyDescent="0.2">
      <c r="B11" s="81" t="s">
        <v>5880</v>
      </c>
      <c r="C11" s="59">
        <v>251.5776231154</v>
      </c>
      <c r="D11" s="60">
        <v>0.81</v>
      </c>
      <c r="E11" s="56" t="s">
        <v>6229</v>
      </c>
      <c r="F11" s="56"/>
      <c r="G11" s="56"/>
      <c r="H11" s="56" t="s">
        <v>6228</v>
      </c>
      <c r="I11" s="56" t="s">
        <v>6227</v>
      </c>
    </row>
    <row r="12" spans="2:9" x14ac:dyDescent="0.2">
      <c r="B12" s="62" t="s">
        <v>5737</v>
      </c>
      <c r="C12" s="59">
        <v>241.1240993509</v>
      </c>
      <c r="D12" s="60">
        <v>0.73581600000000003</v>
      </c>
      <c r="E12" s="56" t="s">
        <v>6226</v>
      </c>
      <c r="F12" s="56" t="s">
        <v>6100</v>
      </c>
      <c r="G12" s="56" t="s">
        <v>6100</v>
      </c>
      <c r="H12" s="56" t="s">
        <v>6225</v>
      </c>
      <c r="I12" s="56" t="s">
        <v>6224</v>
      </c>
    </row>
    <row r="13" spans="2:9" ht="15" customHeight="1" x14ac:dyDescent="0.25">
      <c r="B13" s="62" t="s">
        <v>5709</v>
      </c>
      <c r="C13" s="59">
        <v>261.62996245400001</v>
      </c>
      <c r="D13" s="60">
        <v>0.77268800000000004</v>
      </c>
      <c r="E13" s="56" t="s">
        <v>6223</v>
      </c>
      <c r="F13" s="56" t="s">
        <v>6222</v>
      </c>
      <c r="G13" s="56" t="s">
        <v>6062</v>
      </c>
      <c r="H13" s="56" t="s">
        <v>6221</v>
      </c>
      <c r="I13" s="56" t="s">
        <v>6220</v>
      </c>
    </row>
    <row r="14" spans="2:9" ht="19" x14ac:dyDescent="0.2">
      <c r="B14" s="62" t="s">
        <v>5704</v>
      </c>
      <c r="C14" s="59">
        <v>245.5336570394</v>
      </c>
      <c r="D14" s="60">
        <v>0.79536799999999996</v>
      </c>
      <c r="E14" s="56"/>
      <c r="F14" s="56" t="s">
        <v>6219</v>
      </c>
      <c r="G14" s="56" t="s">
        <v>6062</v>
      </c>
      <c r="H14" s="56" t="s">
        <v>6218</v>
      </c>
      <c r="I14" s="56" t="s">
        <v>6217</v>
      </c>
    </row>
    <row r="15" spans="2:9" x14ac:dyDescent="0.2">
      <c r="B15" s="62" t="s">
        <v>5698</v>
      </c>
      <c r="C15" s="59">
        <v>240.16717943020001</v>
      </c>
      <c r="D15" s="60">
        <v>0.83799900000000005</v>
      </c>
      <c r="E15" s="56" t="s">
        <v>6100</v>
      </c>
      <c r="F15" s="56" t="s">
        <v>6100</v>
      </c>
      <c r="G15" s="56" t="s">
        <v>6100</v>
      </c>
      <c r="H15" s="56" t="s">
        <v>6100</v>
      </c>
      <c r="I15" s="56" t="s">
        <v>6125</v>
      </c>
    </row>
    <row r="16" spans="2:9" x14ac:dyDescent="0.2">
      <c r="B16" s="62" t="s">
        <v>5697</v>
      </c>
      <c r="C16" s="59">
        <v>242.38649342689999</v>
      </c>
      <c r="D16" s="60">
        <v>0.88351000000000002</v>
      </c>
      <c r="E16" s="56" t="s">
        <v>6100</v>
      </c>
      <c r="F16" s="56" t="s">
        <v>6100</v>
      </c>
      <c r="G16" s="56" t="s">
        <v>6100</v>
      </c>
      <c r="H16" s="56" t="s">
        <v>6100</v>
      </c>
      <c r="I16" s="56" t="s">
        <v>6125</v>
      </c>
    </row>
    <row r="17" spans="2:9" x14ac:dyDescent="0.2">
      <c r="B17" s="81" t="s">
        <v>5624</v>
      </c>
      <c r="C17" s="59">
        <v>246.9149651175</v>
      </c>
      <c r="D17" s="60">
        <v>0.79300000000000004</v>
      </c>
      <c r="E17" s="56" t="s">
        <v>6216</v>
      </c>
      <c r="F17" s="56" t="s">
        <v>6215</v>
      </c>
      <c r="G17" s="56" t="s">
        <v>6214</v>
      </c>
      <c r="H17" s="56" t="s">
        <v>6213</v>
      </c>
      <c r="I17" s="56" t="s">
        <v>6212</v>
      </c>
    </row>
    <row r="18" spans="2:9" x14ac:dyDescent="0.2">
      <c r="B18" s="81" t="s">
        <v>5582</v>
      </c>
      <c r="C18" s="59">
        <v>240.16695419819999</v>
      </c>
      <c r="D18" s="60">
        <v>0.76</v>
      </c>
      <c r="E18" s="56" t="s">
        <v>6211</v>
      </c>
      <c r="F18" s="56" t="s">
        <v>6210</v>
      </c>
      <c r="G18" s="56" t="s">
        <v>6074</v>
      </c>
      <c r="H18" s="56" t="s">
        <v>6209</v>
      </c>
      <c r="I18" s="56" t="s">
        <v>6208</v>
      </c>
    </row>
    <row r="19" spans="2:9" x14ac:dyDescent="0.2">
      <c r="B19" s="81" t="s">
        <v>5545</v>
      </c>
      <c r="C19" s="59">
        <v>240.6484017754</v>
      </c>
      <c r="D19" s="60">
        <v>0.749</v>
      </c>
      <c r="E19" s="56" t="s">
        <v>6207</v>
      </c>
      <c r="F19" s="56"/>
      <c r="G19" s="56"/>
      <c r="H19" s="56"/>
      <c r="I19" s="56" t="s">
        <v>6206</v>
      </c>
    </row>
    <row r="20" spans="2:9" x14ac:dyDescent="0.2">
      <c r="B20" s="62" t="s">
        <v>5520</v>
      </c>
      <c r="C20" s="59">
        <v>240.01027355139999</v>
      </c>
      <c r="D20" s="60">
        <v>0.81698800000000005</v>
      </c>
      <c r="E20" s="56" t="s">
        <v>6100</v>
      </c>
      <c r="F20" s="56" t="s">
        <v>6205</v>
      </c>
      <c r="G20" s="56" t="s">
        <v>6062</v>
      </c>
      <c r="H20" s="56" t="s">
        <v>6100</v>
      </c>
      <c r="I20" s="56" t="s">
        <v>6204</v>
      </c>
    </row>
    <row r="21" spans="2:9" x14ac:dyDescent="0.2">
      <c r="B21" s="62" t="s">
        <v>5379</v>
      </c>
      <c r="C21" s="59">
        <v>241.9965277405</v>
      </c>
      <c r="D21" s="60">
        <v>0.77278999999999998</v>
      </c>
      <c r="E21" s="56" t="s">
        <v>6100</v>
      </c>
      <c r="F21" s="56" t="s">
        <v>6100</v>
      </c>
      <c r="G21" s="56" t="s">
        <v>6100</v>
      </c>
      <c r="H21" s="56" t="s">
        <v>6100</v>
      </c>
      <c r="I21" s="56" t="s">
        <v>6203</v>
      </c>
    </row>
    <row r="22" spans="2:9" x14ac:dyDescent="0.2">
      <c r="B22" s="81" t="s">
        <v>5274</v>
      </c>
      <c r="C22" s="59">
        <v>241.58468375800001</v>
      </c>
      <c r="D22" s="60">
        <v>0.82699999999999996</v>
      </c>
      <c r="E22" s="56" t="s">
        <v>6202</v>
      </c>
      <c r="F22" s="56"/>
      <c r="G22" s="56"/>
      <c r="H22" s="56"/>
      <c r="I22" s="56" t="s">
        <v>6201</v>
      </c>
    </row>
    <row r="23" spans="2:9" x14ac:dyDescent="0.2">
      <c r="B23" s="81" t="s">
        <v>5032</v>
      </c>
      <c r="C23" s="59">
        <v>240.06205116780001</v>
      </c>
      <c r="D23" s="60">
        <v>0.79700000000000004</v>
      </c>
      <c r="E23" s="56" t="s">
        <v>6200</v>
      </c>
      <c r="F23" s="56"/>
      <c r="G23" s="56"/>
      <c r="H23" s="56"/>
      <c r="I23" s="56" t="s">
        <v>6199</v>
      </c>
    </row>
    <row r="24" spans="2:9" x14ac:dyDescent="0.2">
      <c r="B24" s="81" t="s">
        <v>5002</v>
      </c>
      <c r="C24" s="59">
        <v>246.11277154909999</v>
      </c>
      <c r="D24" s="60">
        <v>0.81200000000000006</v>
      </c>
      <c r="E24" s="56" t="s">
        <v>6198</v>
      </c>
      <c r="F24" s="56" t="s">
        <v>6197</v>
      </c>
      <c r="G24" s="56" t="s">
        <v>6062</v>
      </c>
      <c r="H24" s="43" t="s">
        <v>6196</v>
      </c>
      <c r="I24" s="56" t="s">
        <v>6195</v>
      </c>
    </row>
    <row r="25" spans="2:9" ht="18.5" customHeight="1" x14ac:dyDescent="0.2">
      <c r="B25" s="81" t="s">
        <v>5001</v>
      </c>
      <c r="C25" s="59">
        <v>245.68287737099999</v>
      </c>
      <c r="D25" s="60">
        <v>0.81399999999999995</v>
      </c>
      <c r="E25" s="56" t="s">
        <v>6194</v>
      </c>
      <c r="F25" s="56" t="s">
        <v>6193</v>
      </c>
      <c r="G25" s="56" t="s">
        <v>6176</v>
      </c>
      <c r="H25" s="56" t="s">
        <v>6192</v>
      </c>
      <c r="I25" s="56" t="s">
        <v>6191</v>
      </c>
    </row>
    <row r="26" spans="2:9" x14ac:dyDescent="0.2">
      <c r="B26" s="81" t="s">
        <v>4838</v>
      </c>
      <c r="C26" s="59">
        <v>249.21153824379999</v>
      </c>
      <c r="D26" s="60">
        <v>0.78900000000000003</v>
      </c>
      <c r="E26" s="56" t="s">
        <v>6190</v>
      </c>
      <c r="F26" s="56" t="s">
        <v>6189</v>
      </c>
      <c r="G26" s="56" t="s">
        <v>6074</v>
      </c>
      <c r="H26" s="56" t="s">
        <v>6188</v>
      </c>
      <c r="I26" s="56" t="s">
        <v>6187</v>
      </c>
    </row>
    <row r="27" spans="2:9" x14ac:dyDescent="0.2">
      <c r="B27" s="62" t="s">
        <v>4640</v>
      </c>
      <c r="C27" s="59">
        <v>242.61464091970001</v>
      </c>
      <c r="D27" s="60">
        <v>0.81762500000000005</v>
      </c>
      <c r="E27" s="56" t="s">
        <v>6100</v>
      </c>
      <c r="F27" s="56" t="s">
        <v>6100</v>
      </c>
      <c r="G27" s="56" t="s">
        <v>6100</v>
      </c>
      <c r="H27" s="56" t="s">
        <v>6100</v>
      </c>
      <c r="I27" s="56" t="s">
        <v>6186</v>
      </c>
    </row>
    <row r="28" spans="2:9" x14ac:dyDescent="0.2">
      <c r="B28" s="62" t="s">
        <v>6185</v>
      </c>
      <c r="C28" s="59">
        <v>246.18383285199999</v>
      </c>
      <c r="D28" s="60">
        <v>0.74430200000000002</v>
      </c>
      <c r="E28" s="56" t="s">
        <v>6100</v>
      </c>
      <c r="F28" s="56" t="s">
        <v>6100</v>
      </c>
      <c r="G28" s="56" t="s">
        <v>6100</v>
      </c>
      <c r="H28" s="56" t="s">
        <v>6100</v>
      </c>
      <c r="I28" s="56" t="s">
        <v>6125</v>
      </c>
    </row>
    <row r="29" spans="2:9" x14ac:dyDescent="0.2">
      <c r="B29" s="81" t="s">
        <v>4370</v>
      </c>
      <c r="C29" s="59">
        <v>266.87659770229999</v>
      </c>
      <c r="D29" s="60">
        <v>0.73599999999999999</v>
      </c>
      <c r="E29" s="56" t="s">
        <v>6184</v>
      </c>
      <c r="F29" s="56" t="s">
        <v>6100</v>
      </c>
      <c r="G29" s="56" t="s">
        <v>6100</v>
      </c>
      <c r="H29" s="56"/>
      <c r="I29" s="56" t="s">
        <v>6183</v>
      </c>
    </row>
    <row r="30" spans="2:9" x14ac:dyDescent="0.2">
      <c r="B30" s="62" t="s">
        <v>4241</v>
      </c>
      <c r="C30" s="59">
        <v>252.82590469319999</v>
      </c>
      <c r="D30" s="60">
        <v>0.83047099999999996</v>
      </c>
      <c r="E30" s="56" t="s">
        <v>6182</v>
      </c>
      <c r="F30" s="56" t="s">
        <v>6181</v>
      </c>
      <c r="G30" s="56" t="s">
        <v>6062</v>
      </c>
      <c r="H30" s="56" t="s">
        <v>6180</v>
      </c>
      <c r="I30" s="56" t="s">
        <v>6179</v>
      </c>
    </row>
    <row r="31" spans="2:9" x14ac:dyDescent="0.2">
      <c r="B31" s="81" t="s">
        <v>4227</v>
      </c>
      <c r="C31" s="59">
        <v>242.73821440200001</v>
      </c>
      <c r="D31" s="60">
        <v>0.78500000000000003</v>
      </c>
      <c r="E31" s="56" t="s">
        <v>6178</v>
      </c>
      <c r="F31" s="56" t="s">
        <v>6177</v>
      </c>
      <c r="G31" s="56" t="s">
        <v>6176</v>
      </c>
      <c r="H31" s="56" t="s">
        <v>6175</v>
      </c>
      <c r="I31" s="56" t="s">
        <v>6174</v>
      </c>
    </row>
    <row r="32" spans="2:9" x14ac:dyDescent="0.2">
      <c r="B32" s="81" t="s">
        <v>4225</v>
      </c>
      <c r="C32" s="59">
        <v>242.36046609120001</v>
      </c>
      <c r="D32" s="60">
        <v>0.75</v>
      </c>
      <c r="E32" s="56" t="s">
        <v>6173</v>
      </c>
      <c r="F32" s="56"/>
      <c r="G32" s="56"/>
      <c r="H32" s="56"/>
      <c r="I32" s="56" t="s">
        <v>6172</v>
      </c>
    </row>
    <row r="33" spans="2:9" x14ac:dyDescent="0.2">
      <c r="B33" s="81" t="s">
        <v>4218</v>
      </c>
      <c r="C33" s="59">
        <v>252.22558642019999</v>
      </c>
      <c r="D33" s="60">
        <v>0.70899999999999996</v>
      </c>
      <c r="E33" s="56" t="s">
        <v>6171</v>
      </c>
      <c r="F33" s="56" t="s">
        <v>6100</v>
      </c>
      <c r="G33" s="56" t="s">
        <v>6100</v>
      </c>
      <c r="H33" s="56" t="s">
        <v>6100</v>
      </c>
      <c r="I33" s="56" t="s">
        <v>6170</v>
      </c>
    </row>
    <row r="34" spans="2:9" x14ac:dyDescent="0.2">
      <c r="B34" s="81" t="s">
        <v>4148</v>
      </c>
      <c r="C34" s="59">
        <v>254.7407620875</v>
      </c>
      <c r="D34" s="60">
        <v>0.81599999999999995</v>
      </c>
      <c r="E34" s="56" t="s">
        <v>6169</v>
      </c>
      <c r="F34" s="56"/>
      <c r="G34" s="56"/>
      <c r="H34" s="56"/>
      <c r="I34" s="56" t="s">
        <v>6168</v>
      </c>
    </row>
    <row r="35" spans="2:9" x14ac:dyDescent="0.2">
      <c r="B35" s="81" t="s">
        <v>4019</v>
      </c>
      <c r="C35" s="59">
        <v>247.2720828068</v>
      </c>
      <c r="D35" s="60">
        <v>0.77500000000000002</v>
      </c>
      <c r="E35" s="56" t="s">
        <v>406</v>
      </c>
      <c r="F35" s="56" t="s">
        <v>6167</v>
      </c>
      <c r="G35" s="56" t="s">
        <v>6074</v>
      </c>
      <c r="H35" s="56" t="s">
        <v>6166</v>
      </c>
      <c r="I35" s="56" t="s">
        <v>6165</v>
      </c>
    </row>
    <row r="36" spans="2:9" x14ac:dyDescent="0.2">
      <c r="B36" s="81" t="s">
        <v>3861</v>
      </c>
      <c r="C36" s="59">
        <v>247.20989075579999</v>
      </c>
      <c r="D36" s="60">
        <v>0.81200000000000006</v>
      </c>
      <c r="E36" s="56" t="s">
        <v>6164</v>
      </c>
      <c r="F36" s="56" t="s">
        <v>6163</v>
      </c>
      <c r="G36" s="56" t="s">
        <v>6074</v>
      </c>
      <c r="H36" s="56"/>
      <c r="I36" s="56" t="s">
        <v>6160</v>
      </c>
    </row>
    <row r="37" spans="2:9" x14ac:dyDescent="0.2">
      <c r="B37" s="81" t="s">
        <v>3860</v>
      </c>
      <c r="C37" s="59">
        <v>243.48167395760001</v>
      </c>
      <c r="D37" s="60">
        <v>0.79400000000000004</v>
      </c>
      <c r="E37" s="56" t="s">
        <v>6162</v>
      </c>
      <c r="F37" s="56" t="s">
        <v>6161</v>
      </c>
      <c r="G37" s="56" t="s">
        <v>6074</v>
      </c>
      <c r="H37" s="56"/>
      <c r="I37" s="56" t="s">
        <v>6160</v>
      </c>
    </row>
    <row r="38" spans="2:9" x14ac:dyDescent="0.2">
      <c r="B38" s="81" t="s">
        <v>3841</v>
      </c>
      <c r="C38" s="59">
        <v>245.4228088637</v>
      </c>
      <c r="D38" s="60">
        <v>0.76600000000000001</v>
      </c>
      <c r="E38" s="56" t="s">
        <v>6159</v>
      </c>
      <c r="F38" s="56" t="s">
        <v>6158</v>
      </c>
      <c r="G38" s="56" t="s">
        <v>6074</v>
      </c>
      <c r="H38" s="56" t="s">
        <v>6155</v>
      </c>
      <c r="I38" s="56" t="s">
        <v>6154</v>
      </c>
    </row>
    <row r="39" spans="2:9" x14ac:dyDescent="0.2">
      <c r="B39" s="81" t="s">
        <v>3840</v>
      </c>
      <c r="C39" s="59">
        <v>241.35109653590001</v>
      </c>
      <c r="D39" s="60">
        <v>0.80100000000000005</v>
      </c>
      <c r="E39" s="56" t="s">
        <v>6157</v>
      </c>
      <c r="F39" s="56" t="s">
        <v>6156</v>
      </c>
      <c r="G39" s="56" t="s">
        <v>6074</v>
      </c>
      <c r="H39" s="56" t="s">
        <v>6155</v>
      </c>
      <c r="I39" s="56" t="s">
        <v>6154</v>
      </c>
    </row>
    <row r="40" spans="2:9" x14ac:dyDescent="0.2">
      <c r="B40" s="81" t="s">
        <v>3813</v>
      </c>
      <c r="C40" s="59">
        <v>240.22749748370001</v>
      </c>
      <c r="D40" s="60">
        <v>0.81599999999999995</v>
      </c>
      <c r="E40" s="56" t="s">
        <v>6153</v>
      </c>
      <c r="F40" s="56"/>
      <c r="G40" s="56"/>
      <c r="H40" s="56"/>
      <c r="I40" s="56" t="s">
        <v>6152</v>
      </c>
    </row>
    <row r="41" spans="2:9" x14ac:dyDescent="0.2">
      <c r="B41" s="81" t="s">
        <v>3694</v>
      </c>
      <c r="C41" s="59">
        <v>245.63391060480001</v>
      </c>
      <c r="D41" s="60">
        <v>0.77</v>
      </c>
      <c r="E41" s="56" t="s">
        <v>6151</v>
      </c>
      <c r="F41" s="56" t="s">
        <v>6150</v>
      </c>
      <c r="G41" s="56" t="s">
        <v>6074</v>
      </c>
      <c r="H41" s="56" t="s">
        <v>6149</v>
      </c>
      <c r="I41" s="56" t="s">
        <v>6148</v>
      </c>
    </row>
    <row r="42" spans="2:9" x14ac:dyDescent="0.2">
      <c r="B42" s="81" t="s">
        <v>3236</v>
      </c>
      <c r="C42" s="59">
        <v>249.00136344820001</v>
      </c>
      <c r="D42" s="60">
        <v>0.83</v>
      </c>
      <c r="E42" s="56" t="s">
        <v>6147</v>
      </c>
      <c r="F42" s="56" t="s">
        <v>6146</v>
      </c>
      <c r="G42" s="56" t="s">
        <v>6074</v>
      </c>
      <c r="H42" s="56" t="s">
        <v>6145</v>
      </c>
      <c r="I42" s="56" t="s">
        <v>6144</v>
      </c>
    </row>
    <row r="43" spans="2:9" x14ac:dyDescent="0.2">
      <c r="B43" s="62" t="s">
        <v>2947</v>
      </c>
      <c r="C43" s="59">
        <v>240.34590296050001</v>
      </c>
      <c r="D43" s="60">
        <v>0.73824599999999996</v>
      </c>
      <c r="E43" s="56" t="s">
        <v>6100</v>
      </c>
      <c r="F43" s="56" t="s">
        <v>6100</v>
      </c>
      <c r="G43" s="56" t="s">
        <v>6100</v>
      </c>
      <c r="H43" s="83" t="s">
        <v>6100</v>
      </c>
      <c r="I43" s="56" t="s">
        <v>6143</v>
      </c>
    </row>
    <row r="44" spans="2:9" x14ac:dyDescent="0.2">
      <c r="B44" s="81" t="s">
        <v>2707</v>
      </c>
      <c r="C44" s="59">
        <v>249.8765252147</v>
      </c>
      <c r="D44" s="60">
        <v>0.76500000000000001</v>
      </c>
      <c r="E44" s="56" t="s">
        <v>6142</v>
      </c>
      <c r="F44" s="56"/>
      <c r="G44" s="56"/>
      <c r="H44" s="83"/>
      <c r="I44" s="56" t="s">
        <v>6141</v>
      </c>
    </row>
    <row r="45" spans="2:9" x14ac:dyDescent="0.2">
      <c r="B45" s="81" t="s">
        <v>2545</v>
      </c>
      <c r="C45" s="59">
        <v>249.0647627484</v>
      </c>
      <c r="D45" s="60">
        <v>0.72899999999999998</v>
      </c>
      <c r="E45" s="56" t="s">
        <v>6140</v>
      </c>
      <c r="F45" s="56"/>
      <c r="G45" s="56"/>
      <c r="H45" s="56"/>
      <c r="I45" s="56" t="s">
        <v>6139</v>
      </c>
    </row>
    <row r="46" spans="2:9" x14ac:dyDescent="0.2">
      <c r="B46" s="81" t="s">
        <v>2311</v>
      </c>
      <c r="C46" s="59">
        <v>240.1374125767</v>
      </c>
      <c r="D46" s="60">
        <v>0.66400000000000003</v>
      </c>
      <c r="E46" s="56" t="s">
        <v>6138</v>
      </c>
      <c r="F46" s="56"/>
      <c r="G46" s="56"/>
      <c r="H46" s="56"/>
      <c r="I46" s="56" t="s">
        <v>6137</v>
      </c>
    </row>
    <row r="47" spans="2:9" x14ac:dyDescent="0.2">
      <c r="B47" s="81" t="s">
        <v>2307</v>
      </c>
      <c r="C47" s="59">
        <v>241.64779571299999</v>
      </c>
      <c r="D47" s="60">
        <v>0.82</v>
      </c>
      <c r="E47" s="56" t="s">
        <v>6136</v>
      </c>
      <c r="F47" s="56" t="s">
        <v>6135</v>
      </c>
      <c r="G47" s="56" t="s">
        <v>6062</v>
      </c>
      <c r="H47" s="56" t="s">
        <v>6134</v>
      </c>
      <c r="I47" s="56" t="s">
        <v>6133</v>
      </c>
    </row>
    <row r="48" spans="2:9" ht="19" x14ac:dyDescent="0.2">
      <c r="B48" s="81" t="s">
        <v>2234</v>
      </c>
      <c r="C48" s="59">
        <v>257.9508564505</v>
      </c>
      <c r="D48" s="60">
        <v>0.89100000000000001</v>
      </c>
      <c r="E48" s="56" t="s">
        <v>6132</v>
      </c>
      <c r="F48" s="56" t="s">
        <v>6131</v>
      </c>
      <c r="G48" s="56" t="s">
        <v>6062</v>
      </c>
      <c r="H48" s="56" t="s">
        <v>6130</v>
      </c>
      <c r="I48" s="56" t="s">
        <v>6129</v>
      </c>
    </row>
    <row r="49" spans="2:9" x14ac:dyDescent="0.2">
      <c r="B49" s="81" t="s">
        <v>2211</v>
      </c>
      <c r="C49" s="59">
        <v>240.47875139819999</v>
      </c>
      <c r="D49" s="60">
        <v>0.82199999999999995</v>
      </c>
      <c r="E49" s="84" t="s">
        <v>6128</v>
      </c>
      <c r="F49" s="56" t="s">
        <v>6127</v>
      </c>
      <c r="G49" s="56" t="s">
        <v>6062</v>
      </c>
      <c r="H49" s="83"/>
      <c r="I49" s="56" t="s">
        <v>6126</v>
      </c>
    </row>
    <row r="50" spans="2:9" x14ac:dyDescent="0.2">
      <c r="B50" s="62" t="s">
        <v>1977</v>
      </c>
      <c r="C50" s="59">
        <v>242.6584996988</v>
      </c>
      <c r="D50" s="60">
        <v>0.78956499999999996</v>
      </c>
      <c r="E50" s="84" t="s">
        <v>6100</v>
      </c>
      <c r="F50" s="56" t="s">
        <v>6100</v>
      </c>
      <c r="G50" s="56" t="s">
        <v>6100</v>
      </c>
      <c r="H50" s="83" t="s">
        <v>6100</v>
      </c>
      <c r="I50" s="56" t="s">
        <v>6125</v>
      </c>
    </row>
    <row r="51" spans="2:9" ht="15" customHeight="1" x14ac:dyDescent="0.2">
      <c r="B51" s="81" t="s">
        <v>1959</v>
      </c>
      <c r="C51" s="59">
        <v>243.1374555232</v>
      </c>
      <c r="D51" s="60">
        <v>0.83399999999999996</v>
      </c>
      <c r="E51" s="56" t="s">
        <v>6124</v>
      </c>
      <c r="F51" s="56" t="s">
        <v>6123</v>
      </c>
      <c r="G51" s="56"/>
      <c r="H51" s="83" t="s">
        <v>6122</v>
      </c>
      <c r="I51" s="56" t="s">
        <v>6121</v>
      </c>
    </row>
    <row r="52" spans="2:9" ht="19" x14ac:dyDescent="0.2">
      <c r="B52" s="81" t="s">
        <v>1917</v>
      </c>
      <c r="C52" s="59">
        <v>266.69338676870001</v>
      </c>
      <c r="D52" s="60">
        <v>0.84599999999999997</v>
      </c>
      <c r="E52" s="56" t="s">
        <v>6120</v>
      </c>
      <c r="F52" s="56" t="s">
        <v>6119</v>
      </c>
      <c r="G52" s="56" t="s">
        <v>6074</v>
      </c>
      <c r="H52" s="56" t="s">
        <v>6118</v>
      </c>
      <c r="I52" s="56" t="s">
        <v>6117</v>
      </c>
    </row>
    <row r="53" spans="2:9" x14ac:dyDescent="0.2">
      <c r="B53" s="81" t="s">
        <v>1749</v>
      </c>
      <c r="C53" s="59">
        <v>244.94595764050001</v>
      </c>
      <c r="D53" s="60">
        <v>0.8</v>
      </c>
      <c r="E53" s="56" t="s">
        <v>6116</v>
      </c>
      <c r="F53" s="56" t="s">
        <v>6115</v>
      </c>
      <c r="G53" s="56" t="s">
        <v>6062</v>
      </c>
      <c r="H53" s="56" t="s">
        <v>6114</v>
      </c>
      <c r="I53" s="56" t="s">
        <v>6113</v>
      </c>
    </row>
    <row r="54" spans="2:9" x14ac:dyDescent="0.2">
      <c r="B54" s="81" t="s">
        <v>1590</v>
      </c>
      <c r="C54" s="59">
        <v>251.66870882820001</v>
      </c>
      <c r="D54" s="60">
        <v>0.8</v>
      </c>
      <c r="E54" s="56" t="s">
        <v>6112</v>
      </c>
      <c r="F54" s="56" t="s">
        <v>6111</v>
      </c>
      <c r="G54" s="56" t="s">
        <v>6074</v>
      </c>
      <c r="H54" s="56" t="s">
        <v>6108</v>
      </c>
      <c r="I54" s="56" t="s">
        <v>6107</v>
      </c>
    </row>
    <row r="55" spans="2:9" x14ac:dyDescent="0.2">
      <c r="B55" s="81" t="s">
        <v>1589</v>
      </c>
      <c r="C55" s="59">
        <v>247.32804179359999</v>
      </c>
      <c r="D55" s="60">
        <v>0.80200000000000005</v>
      </c>
      <c r="E55" s="56" t="s">
        <v>6110</v>
      </c>
      <c r="F55" s="56" t="s">
        <v>6109</v>
      </c>
      <c r="G55" s="56" t="s">
        <v>6074</v>
      </c>
      <c r="H55" s="56" t="s">
        <v>6108</v>
      </c>
      <c r="I55" s="56" t="s">
        <v>6107</v>
      </c>
    </row>
    <row r="56" spans="2:9" ht="34" x14ac:dyDescent="0.2">
      <c r="B56" s="81" t="s">
        <v>1531</v>
      </c>
      <c r="C56" s="59">
        <v>247.59609298730001</v>
      </c>
      <c r="D56" s="60">
        <v>0.70399999999999996</v>
      </c>
      <c r="E56" s="56" t="s">
        <v>6106</v>
      </c>
      <c r="F56" s="56" t="s">
        <v>6105</v>
      </c>
      <c r="G56" s="56" t="s">
        <v>6062</v>
      </c>
      <c r="H56" s="56" t="s">
        <v>6104</v>
      </c>
      <c r="I56" s="82" t="s">
        <v>6103</v>
      </c>
    </row>
    <row r="57" spans="2:9" ht="17" x14ac:dyDescent="0.2">
      <c r="B57" s="62" t="s">
        <v>1530</v>
      </c>
      <c r="C57" s="59">
        <v>253.549273258</v>
      </c>
      <c r="D57" s="60">
        <v>0.717418</v>
      </c>
      <c r="E57" s="56" t="s">
        <v>6102</v>
      </c>
      <c r="F57" s="56" t="s">
        <v>6101</v>
      </c>
      <c r="G57" s="56" t="s">
        <v>6062</v>
      </c>
      <c r="H57" s="56" t="s">
        <v>6100</v>
      </c>
      <c r="I57" s="82" t="s">
        <v>6099</v>
      </c>
    </row>
    <row r="58" spans="2:9" x14ac:dyDescent="0.2">
      <c r="B58" s="81" t="s">
        <v>1301</v>
      </c>
      <c r="C58" s="59">
        <v>241.8679135404</v>
      </c>
      <c r="D58" s="60">
        <v>0.72299999999999998</v>
      </c>
      <c r="E58" s="56" t="s">
        <v>6098</v>
      </c>
      <c r="F58" s="56" t="s">
        <v>6097</v>
      </c>
      <c r="G58" s="56" t="s">
        <v>6074</v>
      </c>
      <c r="H58" s="56" t="s">
        <v>6096</v>
      </c>
      <c r="I58" s="56" t="s">
        <v>6095</v>
      </c>
    </row>
    <row r="59" spans="2:9" x14ac:dyDescent="0.2">
      <c r="B59" s="81" t="s">
        <v>1270</v>
      </c>
      <c r="C59" s="59">
        <v>255.02846245399999</v>
      </c>
      <c r="D59" s="60">
        <v>0.78600000000000003</v>
      </c>
      <c r="E59" s="56" t="s">
        <v>6094</v>
      </c>
      <c r="F59" s="56"/>
      <c r="G59" s="56"/>
      <c r="H59" s="56"/>
      <c r="I59" s="56" t="s">
        <v>6092</v>
      </c>
    </row>
    <row r="60" spans="2:9" x14ac:dyDescent="0.2">
      <c r="B60" s="81" t="s">
        <v>1267</v>
      </c>
      <c r="C60" s="59">
        <v>249.2704015667</v>
      </c>
      <c r="D60" s="60">
        <v>0.78200000000000003</v>
      </c>
      <c r="E60" s="56" t="s">
        <v>6093</v>
      </c>
      <c r="F60" s="56"/>
      <c r="G60" s="56"/>
      <c r="H60" s="56"/>
      <c r="I60" s="56" t="s">
        <v>6092</v>
      </c>
    </row>
    <row r="61" spans="2:9" x14ac:dyDescent="0.2">
      <c r="B61" s="81" t="s">
        <v>1244</v>
      </c>
      <c r="C61" s="59">
        <v>240.4979654048</v>
      </c>
      <c r="D61" s="60">
        <v>0.77200000000000002</v>
      </c>
      <c r="E61" s="56" t="s">
        <v>6091</v>
      </c>
      <c r="F61" s="56" t="s">
        <v>6090</v>
      </c>
      <c r="G61" s="56" t="s">
        <v>6089</v>
      </c>
      <c r="H61" s="56" t="s">
        <v>6088</v>
      </c>
      <c r="I61" s="56" t="s">
        <v>6081</v>
      </c>
    </row>
    <row r="62" spans="2:9" x14ac:dyDescent="0.2">
      <c r="B62" s="81" t="s">
        <v>1243</v>
      </c>
      <c r="C62" s="59">
        <v>240.23422410469999</v>
      </c>
      <c r="D62" s="60">
        <v>0.77700000000000002</v>
      </c>
      <c r="E62" s="56" t="s">
        <v>6087</v>
      </c>
      <c r="F62" s="56"/>
      <c r="G62" s="56"/>
      <c r="H62" s="56"/>
      <c r="I62" s="56" t="s">
        <v>6081</v>
      </c>
    </row>
    <row r="63" spans="2:9" x14ac:dyDescent="0.2">
      <c r="B63" s="81" t="s">
        <v>1242</v>
      </c>
      <c r="C63" s="59">
        <v>243.10705481279999</v>
      </c>
      <c r="D63" s="60">
        <v>0.77400000000000002</v>
      </c>
      <c r="E63" s="56" t="s">
        <v>6086</v>
      </c>
      <c r="F63" s="56"/>
      <c r="G63" s="56"/>
      <c r="H63" s="56"/>
      <c r="I63" s="56" t="s">
        <v>6081</v>
      </c>
    </row>
    <row r="64" spans="2:9" x14ac:dyDescent="0.2">
      <c r="B64" s="81" t="s">
        <v>1241</v>
      </c>
      <c r="C64" s="59">
        <v>242.2510410228</v>
      </c>
      <c r="D64" s="60">
        <v>0.77500000000000002</v>
      </c>
      <c r="E64" s="56" t="s">
        <v>6085</v>
      </c>
      <c r="F64" s="56"/>
      <c r="G64" s="56"/>
      <c r="H64" s="56"/>
      <c r="I64" s="56" t="s">
        <v>6081</v>
      </c>
    </row>
    <row r="65" spans="2:9" x14ac:dyDescent="0.2">
      <c r="B65" s="81" t="s">
        <v>1239</v>
      </c>
      <c r="C65" s="59">
        <v>240.15005642849999</v>
      </c>
      <c r="D65" s="60">
        <v>0.79200000000000004</v>
      </c>
      <c r="E65" s="56" t="s">
        <v>6084</v>
      </c>
      <c r="F65" s="56"/>
      <c r="G65" s="56"/>
      <c r="H65" s="56"/>
      <c r="I65" s="56" t="s">
        <v>6081</v>
      </c>
    </row>
    <row r="66" spans="2:9" x14ac:dyDescent="0.2">
      <c r="B66" s="81" t="s">
        <v>1238</v>
      </c>
      <c r="C66" s="59">
        <v>243.9972781756</v>
      </c>
      <c r="D66" s="60">
        <v>0.76600000000000001</v>
      </c>
      <c r="E66" s="56" t="s">
        <v>6083</v>
      </c>
      <c r="F66" s="56"/>
      <c r="G66" s="56"/>
      <c r="H66" s="56"/>
      <c r="I66" s="56" t="s">
        <v>6081</v>
      </c>
    </row>
    <row r="67" spans="2:9" x14ac:dyDescent="0.2">
      <c r="B67" s="81" t="s">
        <v>1237</v>
      </c>
      <c r="C67" s="59">
        <v>246.4284817448</v>
      </c>
      <c r="D67" s="60">
        <v>0.79</v>
      </c>
      <c r="E67" s="56" t="s">
        <v>6082</v>
      </c>
      <c r="F67" s="56"/>
      <c r="G67" s="56"/>
      <c r="H67" s="56"/>
      <c r="I67" s="56" t="s">
        <v>6081</v>
      </c>
    </row>
    <row r="68" spans="2:9" x14ac:dyDescent="0.2">
      <c r="B68" s="81" t="s">
        <v>1036</v>
      </c>
      <c r="C68" s="59">
        <v>241.34137185489999</v>
      </c>
      <c r="D68" s="60">
        <v>0.85699999999999998</v>
      </c>
      <c r="E68" s="56" t="s">
        <v>6080</v>
      </c>
      <c r="F68" s="56" t="s">
        <v>6079</v>
      </c>
      <c r="G68" s="56" t="s">
        <v>6074</v>
      </c>
      <c r="H68" s="56" t="s">
        <v>6078</v>
      </c>
      <c r="I68" s="56" t="s">
        <v>6077</v>
      </c>
    </row>
    <row r="69" spans="2:9" x14ac:dyDescent="0.2">
      <c r="B69" s="81" t="s">
        <v>1035</v>
      </c>
      <c r="C69" s="59">
        <v>251.25730196480001</v>
      </c>
      <c r="D69" s="60">
        <v>0.73099999999999998</v>
      </c>
      <c r="E69" s="56" t="s">
        <v>6076</v>
      </c>
      <c r="F69" s="56" t="s">
        <v>6075</v>
      </c>
      <c r="G69" s="56" t="s">
        <v>6074</v>
      </c>
      <c r="H69" s="56" t="s">
        <v>6073</v>
      </c>
      <c r="I69" s="56" t="s">
        <v>6072</v>
      </c>
    </row>
    <row r="70" spans="2:9" ht="19" x14ac:dyDescent="0.2">
      <c r="B70" s="62" t="s">
        <v>703</v>
      </c>
      <c r="C70" s="59">
        <v>251.47515001010001</v>
      </c>
      <c r="D70" s="60">
        <v>0.77824800000000005</v>
      </c>
      <c r="E70" s="56" t="s">
        <v>6071</v>
      </c>
      <c r="F70" s="56" t="s">
        <v>6070</v>
      </c>
      <c r="G70" s="56" t="s">
        <v>6062</v>
      </c>
      <c r="H70" s="56" t="s">
        <v>6069</v>
      </c>
      <c r="I70" s="56" t="s">
        <v>6068</v>
      </c>
    </row>
    <row r="71" spans="2:9" x14ac:dyDescent="0.2">
      <c r="B71" s="62" t="s">
        <v>515</v>
      </c>
      <c r="C71" s="59">
        <v>248.5292678356</v>
      </c>
      <c r="D71" s="60">
        <v>0.74339</v>
      </c>
      <c r="E71" s="56"/>
      <c r="F71" s="56" t="s">
        <v>6067</v>
      </c>
      <c r="G71" s="56" t="s">
        <v>6062</v>
      </c>
      <c r="H71" s="56" t="s">
        <v>6066</v>
      </c>
      <c r="I71" s="56" t="s">
        <v>6065</v>
      </c>
    </row>
    <row r="72" spans="2:9" ht="19" x14ac:dyDescent="0.2">
      <c r="B72" s="55" t="s">
        <v>509</v>
      </c>
      <c r="C72" s="52">
        <v>243.0290622334</v>
      </c>
      <c r="D72" s="53">
        <v>0.80906500000000003</v>
      </c>
      <c r="E72" s="49" t="s">
        <v>6064</v>
      </c>
      <c r="F72" s="49" t="s">
        <v>6063</v>
      </c>
      <c r="G72" s="49" t="s">
        <v>6062</v>
      </c>
      <c r="H72" s="49"/>
      <c r="I72" s="49" t="s">
        <v>6061</v>
      </c>
    </row>
  </sheetData>
  <autoFilter ref="B4:I4" xr:uid="{00000000-0009-0000-0000-000001000000}">
    <sortState xmlns:xlrd2="http://schemas.microsoft.com/office/spreadsheetml/2017/richdata2" ref="B5:I72">
      <sortCondition ref="B4:B72"/>
    </sortState>
  </autoFilter>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E218-2E2D-9543-BF76-A7AA77785D2C}">
  <dimension ref="B1:J59"/>
  <sheetViews>
    <sheetView topLeftCell="A21" zoomScale="125" zoomScaleNormal="125" zoomScalePageLayoutView="125" workbookViewId="0">
      <selection activeCell="D22" sqref="D22"/>
    </sheetView>
  </sheetViews>
  <sheetFormatPr baseColWidth="10" defaultColWidth="11.1640625" defaultRowHeight="16" x14ac:dyDescent="0.2"/>
  <cols>
    <col min="1" max="1" width="13.33203125" style="43" customWidth="1"/>
    <col min="2" max="2" width="13.5" style="43" bestFit="1" customWidth="1"/>
    <col min="3" max="3" width="13.1640625" style="46" bestFit="1" customWidth="1"/>
    <col min="4" max="4" width="19.5" style="43" bestFit="1" customWidth="1"/>
    <col min="5" max="5" width="23.6640625" style="43" bestFit="1" customWidth="1"/>
    <col min="6" max="6" width="24.1640625" style="43" bestFit="1" customWidth="1"/>
    <col min="7" max="7" width="22.83203125" style="43" bestFit="1" customWidth="1"/>
    <col min="8" max="8" width="19.6640625" style="43" bestFit="1" customWidth="1"/>
    <col min="9" max="9" width="84" style="43" bestFit="1" customWidth="1"/>
    <col min="10" max="10" width="29.83203125" style="90" bestFit="1" customWidth="1"/>
    <col min="11" max="16384" width="11.1640625" style="43"/>
  </cols>
  <sheetData>
    <row r="1" spans="2:10" ht="17" customHeight="1" x14ac:dyDescent="0.25">
      <c r="B1" s="43" t="s">
        <v>6345</v>
      </c>
    </row>
    <row r="2" spans="2:10" x14ac:dyDescent="0.2">
      <c r="B2" s="43" t="s">
        <v>6251</v>
      </c>
    </row>
    <row r="4" spans="2:10" x14ac:dyDescent="0.2">
      <c r="B4" s="102" t="s">
        <v>6053</v>
      </c>
      <c r="C4" s="79" t="s">
        <v>6344</v>
      </c>
      <c r="D4" s="102" t="s">
        <v>6343</v>
      </c>
      <c r="E4" s="102" t="s">
        <v>6248</v>
      </c>
      <c r="F4" s="102" t="s">
        <v>6247</v>
      </c>
      <c r="G4" s="75" t="s">
        <v>6342</v>
      </c>
      <c r="H4" s="75" t="s">
        <v>6341</v>
      </c>
      <c r="I4" s="102" t="s">
        <v>6246</v>
      </c>
      <c r="J4" s="101" t="s">
        <v>6245</v>
      </c>
    </row>
    <row r="5" spans="2:10" x14ac:dyDescent="0.2">
      <c r="B5" s="85" t="s">
        <v>2234</v>
      </c>
      <c r="C5" s="100">
        <v>199.77500000000001</v>
      </c>
      <c r="D5" s="85" t="s">
        <v>6132</v>
      </c>
      <c r="E5" s="85" t="s">
        <v>6340</v>
      </c>
      <c r="F5" s="68" t="s">
        <v>6062</v>
      </c>
      <c r="G5" s="71">
        <v>4101.42</v>
      </c>
      <c r="H5" s="71">
        <v>2062.19</v>
      </c>
      <c r="I5" s="85" t="s">
        <v>6339</v>
      </c>
      <c r="J5" s="99" t="s">
        <v>6129</v>
      </c>
    </row>
    <row r="6" spans="2:10" ht="19" x14ac:dyDescent="0.2">
      <c r="B6" s="83" t="s">
        <v>1036</v>
      </c>
      <c r="C6" s="95">
        <v>194.084</v>
      </c>
      <c r="D6" s="83" t="s">
        <v>6080</v>
      </c>
      <c r="E6" s="83" t="s">
        <v>6079</v>
      </c>
      <c r="F6" s="56" t="s">
        <v>6074</v>
      </c>
      <c r="G6" s="59">
        <v>4614.1899999999996</v>
      </c>
      <c r="H6" s="59">
        <v>2091.17</v>
      </c>
      <c r="I6" s="83" t="s">
        <v>6338</v>
      </c>
      <c r="J6" s="94" t="s">
        <v>6077</v>
      </c>
    </row>
    <row r="7" spans="2:10" x14ac:dyDescent="0.2">
      <c r="B7" s="83" t="s">
        <v>2233</v>
      </c>
      <c r="C7" s="95">
        <v>192.489</v>
      </c>
      <c r="D7" s="83" t="s">
        <v>6337</v>
      </c>
      <c r="E7" s="83" t="s">
        <v>6100</v>
      </c>
      <c r="F7" s="56" t="s">
        <v>6100</v>
      </c>
      <c r="G7" s="59">
        <v>4874.97</v>
      </c>
      <c r="H7" s="59">
        <v>2067.02</v>
      </c>
      <c r="I7" s="83" t="s">
        <v>6336</v>
      </c>
      <c r="J7" s="94" t="s">
        <v>6129</v>
      </c>
    </row>
    <row r="8" spans="2:10" x14ac:dyDescent="0.2">
      <c r="B8" s="83" t="s">
        <v>4143</v>
      </c>
      <c r="C8" s="95">
        <v>191.357</v>
      </c>
      <c r="D8" s="83" t="s">
        <v>6335</v>
      </c>
      <c r="E8" s="83" t="s">
        <v>6334</v>
      </c>
      <c r="F8" s="56" t="s">
        <v>6062</v>
      </c>
      <c r="G8" s="59">
        <v>4733.24</v>
      </c>
      <c r="H8" s="59">
        <v>1909.81</v>
      </c>
      <c r="I8" s="83" t="s">
        <v>6325</v>
      </c>
      <c r="J8" s="94" t="s">
        <v>6289</v>
      </c>
    </row>
    <row r="9" spans="2:10" x14ac:dyDescent="0.2">
      <c r="B9" s="83" t="s">
        <v>4139</v>
      </c>
      <c r="C9" s="95">
        <v>189.11</v>
      </c>
      <c r="D9" s="83" t="s">
        <v>6333</v>
      </c>
      <c r="E9" s="83" t="s">
        <v>6100</v>
      </c>
      <c r="F9" s="56" t="s">
        <v>6100</v>
      </c>
      <c r="G9" s="59">
        <v>4646.92</v>
      </c>
      <c r="H9" s="59">
        <v>1889.07</v>
      </c>
      <c r="I9" s="83" t="s">
        <v>6332</v>
      </c>
      <c r="J9" s="94" t="s">
        <v>6289</v>
      </c>
    </row>
    <row r="10" spans="2:10" ht="19" x14ac:dyDescent="0.2">
      <c r="B10" s="83" t="s">
        <v>1333</v>
      </c>
      <c r="C10" s="95">
        <v>188.71799999999999</v>
      </c>
      <c r="D10" s="83" t="s">
        <v>56</v>
      </c>
      <c r="E10" s="83" t="s">
        <v>6331</v>
      </c>
      <c r="F10" s="56" t="s">
        <v>6062</v>
      </c>
      <c r="G10" s="59">
        <v>3590.01</v>
      </c>
      <c r="H10" s="59">
        <v>2134.89</v>
      </c>
      <c r="I10" s="83" t="s">
        <v>6330</v>
      </c>
      <c r="J10" s="94" t="s">
        <v>6324</v>
      </c>
    </row>
    <row r="11" spans="2:10" ht="19" x14ac:dyDescent="0.2">
      <c r="B11" s="83" t="s">
        <v>5882</v>
      </c>
      <c r="C11" s="95">
        <v>188.505</v>
      </c>
      <c r="D11" s="83" t="s">
        <v>6234</v>
      </c>
      <c r="E11" s="83" t="s">
        <v>6233</v>
      </c>
      <c r="F11" s="56" t="s">
        <v>6062</v>
      </c>
      <c r="G11" s="59">
        <v>3761.99</v>
      </c>
      <c r="H11" s="59">
        <v>2136.71</v>
      </c>
      <c r="I11" s="83" t="s">
        <v>6329</v>
      </c>
      <c r="J11" s="94" t="s">
        <v>6227</v>
      </c>
    </row>
    <row r="12" spans="2:10" x14ac:dyDescent="0.2">
      <c r="B12" s="83" t="s">
        <v>1597</v>
      </c>
      <c r="C12" s="95">
        <v>188.39500000000001</v>
      </c>
      <c r="D12" s="83" t="s">
        <v>56</v>
      </c>
      <c r="E12" s="83" t="s">
        <v>6100</v>
      </c>
      <c r="F12" s="56" t="s">
        <v>6100</v>
      </c>
      <c r="G12" s="59">
        <v>3576.19</v>
      </c>
      <c r="H12" s="59">
        <v>2165.5500000000002</v>
      </c>
      <c r="I12" s="83" t="s">
        <v>6100</v>
      </c>
      <c r="J12" s="94" t="s">
        <v>6328</v>
      </c>
    </row>
    <row r="13" spans="2:10" x14ac:dyDescent="0.2">
      <c r="B13" s="83" t="s">
        <v>4142</v>
      </c>
      <c r="C13" s="95">
        <v>188.065</v>
      </c>
      <c r="D13" s="83" t="s">
        <v>6327</v>
      </c>
      <c r="E13" s="83" t="s">
        <v>6326</v>
      </c>
      <c r="F13" s="56" t="s">
        <v>6062</v>
      </c>
      <c r="G13" s="59">
        <v>4545.4799999999996</v>
      </c>
      <c r="H13" s="59">
        <v>1878.63</v>
      </c>
      <c r="I13" s="83" t="s">
        <v>6325</v>
      </c>
      <c r="J13" s="94" t="s">
        <v>6289</v>
      </c>
    </row>
    <row r="14" spans="2:10" x14ac:dyDescent="0.2">
      <c r="B14" s="83" t="s">
        <v>1334</v>
      </c>
      <c r="C14" s="95">
        <v>188.01499999999999</v>
      </c>
      <c r="D14" s="83" t="s">
        <v>56</v>
      </c>
      <c r="E14" s="83" t="s">
        <v>6100</v>
      </c>
      <c r="F14" s="56" t="s">
        <v>6100</v>
      </c>
      <c r="G14" s="59">
        <v>3625.3</v>
      </c>
      <c r="H14" s="59">
        <v>2155.88</v>
      </c>
      <c r="I14" s="83" t="s">
        <v>6100</v>
      </c>
      <c r="J14" s="94" t="s">
        <v>6324</v>
      </c>
    </row>
    <row r="15" spans="2:10" x14ac:dyDescent="0.2">
      <c r="B15" s="83" t="s">
        <v>5881</v>
      </c>
      <c r="C15" s="95">
        <v>188.011</v>
      </c>
      <c r="D15" s="83" t="s">
        <v>6232</v>
      </c>
      <c r="E15" s="83" t="s">
        <v>6323</v>
      </c>
      <c r="F15" s="56" t="s">
        <v>6062</v>
      </c>
      <c r="G15" s="59">
        <v>4043.41</v>
      </c>
      <c r="H15" s="59">
        <v>2364.06</v>
      </c>
      <c r="I15" s="83" t="s">
        <v>6322</v>
      </c>
      <c r="J15" s="94" t="s">
        <v>6227</v>
      </c>
    </row>
    <row r="16" spans="2:10" x14ac:dyDescent="0.2">
      <c r="B16" s="83" t="s">
        <v>2070</v>
      </c>
      <c r="C16" s="95">
        <v>187.83199999999999</v>
      </c>
      <c r="D16" s="83" t="s">
        <v>56</v>
      </c>
      <c r="E16" s="83" t="s">
        <v>6100</v>
      </c>
      <c r="F16" s="56" t="s">
        <v>6100</v>
      </c>
      <c r="G16" s="59">
        <v>3716.44</v>
      </c>
      <c r="H16" s="59">
        <v>2191.62</v>
      </c>
      <c r="I16" s="83" t="s">
        <v>6100</v>
      </c>
      <c r="J16" s="94" t="s">
        <v>6280</v>
      </c>
    </row>
    <row r="17" spans="2:10" x14ac:dyDescent="0.2">
      <c r="B17" s="83" t="s">
        <v>3612</v>
      </c>
      <c r="C17" s="95">
        <v>186.99600000000001</v>
      </c>
      <c r="D17" s="83" t="s">
        <v>56</v>
      </c>
      <c r="E17" s="83" t="s">
        <v>6100</v>
      </c>
      <c r="F17" s="56" t="s">
        <v>6100</v>
      </c>
      <c r="G17" s="59">
        <v>3718.54</v>
      </c>
      <c r="H17" s="59">
        <v>2200.1999999999998</v>
      </c>
      <c r="I17" s="83" t="s">
        <v>6100</v>
      </c>
      <c r="J17" s="94" t="s">
        <v>6296</v>
      </c>
    </row>
    <row r="18" spans="2:10" x14ac:dyDescent="0.2">
      <c r="B18" s="83" t="s">
        <v>1015</v>
      </c>
      <c r="C18" s="95">
        <v>186.89099999999999</v>
      </c>
      <c r="D18" s="83" t="s">
        <v>6321</v>
      </c>
      <c r="E18" s="83" t="s">
        <v>6320</v>
      </c>
      <c r="F18" s="56" t="s">
        <v>6062</v>
      </c>
      <c r="G18" s="59">
        <v>3805.76</v>
      </c>
      <c r="H18" s="59">
        <v>2159.73</v>
      </c>
      <c r="I18" s="83" t="s">
        <v>6319</v>
      </c>
      <c r="J18" s="94" t="s">
        <v>6318</v>
      </c>
    </row>
    <row r="19" spans="2:10" x14ac:dyDescent="0.2">
      <c r="B19" s="83" t="s">
        <v>3903</v>
      </c>
      <c r="C19" s="95">
        <v>186.608</v>
      </c>
      <c r="D19" s="83" t="s">
        <v>6309</v>
      </c>
      <c r="E19" s="83" t="s">
        <v>6317</v>
      </c>
      <c r="F19" s="56" t="s">
        <v>6176</v>
      </c>
      <c r="G19" s="59">
        <v>4046.22</v>
      </c>
      <c r="H19" s="59">
        <v>2202.5500000000002</v>
      </c>
      <c r="I19" s="83" t="s">
        <v>6100</v>
      </c>
      <c r="J19" s="94" t="s">
        <v>6316</v>
      </c>
    </row>
    <row r="20" spans="2:10" ht="19" x14ac:dyDescent="0.2">
      <c r="B20" s="83" t="s">
        <v>996</v>
      </c>
      <c r="C20" s="95">
        <v>186.52699999999999</v>
      </c>
      <c r="D20" s="83" t="s">
        <v>6315</v>
      </c>
      <c r="E20" s="83" t="s">
        <v>6314</v>
      </c>
      <c r="F20" s="56" t="s">
        <v>6176</v>
      </c>
      <c r="G20" s="59">
        <v>4666.6400000000003</v>
      </c>
      <c r="H20" s="59">
        <v>2170.2600000000002</v>
      </c>
      <c r="I20" s="83" t="s">
        <v>6100</v>
      </c>
      <c r="J20" s="94" t="s">
        <v>6306</v>
      </c>
    </row>
    <row r="21" spans="2:10" x14ac:dyDescent="0.2">
      <c r="B21" s="83" t="s">
        <v>844</v>
      </c>
      <c r="C21" s="95">
        <v>186.32400000000001</v>
      </c>
      <c r="D21" s="83" t="s">
        <v>6313</v>
      </c>
      <c r="E21" s="83" t="s">
        <v>6312</v>
      </c>
      <c r="F21" s="56" t="s">
        <v>6176</v>
      </c>
      <c r="G21" s="59">
        <v>1985.36</v>
      </c>
      <c r="H21" s="59">
        <v>4601.55</v>
      </c>
      <c r="I21" s="83" t="s">
        <v>6100</v>
      </c>
      <c r="J21" s="94" t="s">
        <v>6311</v>
      </c>
    </row>
    <row r="22" spans="2:10" x14ac:dyDescent="0.2">
      <c r="B22" s="83" t="s">
        <v>5095</v>
      </c>
      <c r="C22" s="95">
        <v>186.31299999999999</v>
      </c>
      <c r="D22" s="83" t="s">
        <v>56</v>
      </c>
      <c r="E22" s="83" t="s">
        <v>6100</v>
      </c>
      <c r="F22" s="56" t="s">
        <v>6100</v>
      </c>
      <c r="G22" s="59">
        <v>3634.13</v>
      </c>
      <c r="H22" s="59">
        <v>2156.27</v>
      </c>
      <c r="I22" s="83" t="s">
        <v>6100</v>
      </c>
      <c r="J22" s="96" t="s">
        <v>6310</v>
      </c>
    </row>
    <row r="23" spans="2:10" x14ac:dyDescent="0.2">
      <c r="B23" s="83" t="s">
        <v>2076</v>
      </c>
      <c r="C23" s="95">
        <v>186.30199999999999</v>
      </c>
      <c r="D23" s="83" t="s">
        <v>56</v>
      </c>
      <c r="E23" s="83" t="s">
        <v>6100</v>
      </c>
      <c r="F23" s="56" t="s">
        <v>6100</v>
      </c>
      <c r="G23" s="59">
        <v>3631.45</v>
      </c>
      <c r="H23" s="59">
        <v>2196</v>
      </c>
      <c r="I23" s="83" t="s">
        <v>6100</v>
      </c>
      <c r="J23" s="96" t="s">
        <v>6297</v>
      </c>
    </row>
    <row r="24" spans="2:10" x14ac:dyDescent="0.2">
      <c r="B24" s="83" t="s">
        <v>1003</v>
      </c>
      <c r="C24" s="95">
        <v>186.00299999999999</v>
      </c>
      <c r="D24" s="83" t="s">
        <v>6309</v>
      </c>
      <c r="E24" s="83" t="s">
        <v>6308</v>
      </c>
      <c r="F24" s="56" t="s">
        <v>6176</v>
      </c>
      <c r="G24" s="59">
        <v>4690.6400000000003</v>
      </c>
      <c r="H24" s="59">
        <v>2177.4499999999998</v>
      </c>
      <c r="I24" s="83" t="s">
        <v>6307</v>
      </c>
      <c r="J24" s="94" t="s">
        <v>6306</v>
      </c>
    </row>
    <row r="25" spans="2:10" x14ac:dyDescent="0.2">
      <c r="B25" s="83" t="s">
        <v>3610</v>
      </c>
      <c r="C25" s="95">
        <v>185.99600000000001</v>
      </c>
      <c r="D25" s="83" t="s">
        <v>56</v>
      </c>
      <c r="E25" s="83" t="s">
        <v>6100</v>
      </c>
      <c r="F25" s="56" t="s">
        <v>6100</v>
      </c>
      <c r="G25" s="59">
        <v>3728.18</v>
      </c>
      <c r="H25" s="59">
        <v>2197.4899999999998</v>
      </c>
      <c r="I25" s="83" t="s">
        <v>6100</v>
      </c>
      <c r="J25" s="96" t="s">
        <v>6296</v>
      </c>
    </row>
    <row r="26" spans="2:10" x14ac:dyDescent="0.2">
      <c r="B26" s="83" t="s">
        <v>2073</v>
      </c>
      <c r="C26" s="95">
        <v>185.51599999999999</v>
      </c>
      <c r="D26" s="83" t="s">
        <v>56</v>
      </c>
      <c r="E26" s="83" t="s">
        <v>6100</v>
      </c>
      <c r="F26" s="56" t="s">
        <v>6100</v>
      </c>
      <c r="G26" s="59">
        <v>3664.09</v>
      </c>
      <c r="H26" s="59">
        <v>2167.9899999999998</v>
      </c>
      <c r="I26" s="83" t="s">
        <v>6100</v>
      </c>
      <c r="J26" s="96" t="s">
        <v>6296</v>
      </c>
    </row>
    <row r="27" spans="2:10" x14ac:dyDescent="0.2">
      <c r="B27" s="83" t="s">
        <v>2307</v>
      </c>
      <c r="C27" s="95">
        <v>185.315</v>
      </c>
      <c r="D27" s="83" t="s">
        <v>6136</v>
      </c>
      <c r="E27" s="83" t="s">
        <v>6135</v>
      </c>
      <c r="F27" s="56" t="s">
        <v>6062</v>
      </c>
      <c r="G27" s="59">
        <v>4171.45</v>
      </c>
      <c r="H27" s="59">
        <v>2356.96</v>
      </c>
      <c r="I27" s="83" t="s">
        <v>6305</v>
      </c>
      <c r="J27" s="94" t="s">
        <v>6133</v>
      </c>
    </row>
    <row r="28" spans="2:10" ht="19" x14ac:dyDescent="0.2">
      <c r="B28" s="83" t="s">
        <v>3440</v>
      </c>
      <c r="C28" s="95">
        <v>185.23699999999999</v>
      </c>
      <c r="D28" s="83" t="s">
        <v>6304</v>
      </c>
      <c r="E28" s="83" t="s">
        <v>6303</v>
      </c>
      <c r="F28" s="56" t="s">
        <v>6062</v>
      </c>
      <c r="G28" s="59">
        <v>4585.5</v>
      </c>
      <c r="H28" s="59">
        <v>1864.2</v>
      </c>
      <c r="I28" s="83" t="s">
        <v>6302</v>
      </c>
      <c r="J28" s="94" t="s">
        <v>6301</v>
      </c>
    </row>
    <row r="29" spans="2:10" ht="19" x14ac:dyDescent="0.2">
      <c r="B29" s="83" t="s">
        <v>4806</v>
      </c>
      <c r="C29" s="95">
        <v>185.10400000000001</v>
      </c>
      <c r="D29" s="83" t="s">
        <v>6300</v>
      </c>
      <c r="E29" s="83" t="s">
        <v>6299</v>
      </c>
      <c r="F29" s="56" t="s">
        <v>6062</v>
      </c>
      <c r="G29" s="59">
        <v>3547.15</v>
      </c>
      <c r="H29" s="59">
        <v>1912.91</v>
      </c>
      <c r="I29" s="83"/>
      <c r="J29" s="94" t="s">
        <v>6298</v>
      </c>
    </row>
    <row r="30" spans="2:10" x14ac:dyDescent="0.2">
      <c r="B30" s="83" t="s">
        <v>2074</v>
      </c>
      <c r="C30" s="95">
        <v>184.90899999999999</v>
      </c>
      <c r="D30" s="83" t="s">
        <v>56</v>
      </c>
      <c r="E30" s="83" t="s">
        <v>6100</v>
      </c>
      <c r="F30" s="56" t="s">
        <v>6100</v>
      </c>
      <c r="G30" s="59">
        <v>3729.22</v>
      </c>
      <c r="H30" s="59">
        <v>2196.85</v>
      </c>
      <c r="I30" s="83" t="s">
        <v>6100</v>
      </c>
      <c r="J30" s="96" t="s">
        <v>6297</v>
      </c>
    </row>
    <row r="31" spans="2:10" x14ac:dyDescent="0.2">
      <c r="B31" s="83" t="s">
        <v>3609</v>
      </c>
      <c r="C31" s="95">
        <v>184.75399999999999</v>
      </c>
      <c r="D31" s="83" t="s">
        <v>56</v>
      </c>
      <c r="E31" s="83" t="s">
        <v>6100</v>
      </c>
      <c r="F31" s="56" t="s">
        <v>6100</v>
      </c>
      <c r="G31" s="59">
        <v>3732.76</v>
      </c>
      <c r="H31" s="59">
        <v>2197.88</v>
      </c>
      <c r="I31" s="83" t="s">
        <v>6100</v>
      </c>
      <c r="J31" s="96" t="s">
        <v>6296</v>
      </c>
    </row>
    <row r="32" spans="2:10" ht="19" x14ac:dyDescent="0.2">
      <c r="B32" s="83" t="s">
        <v>1523</v>
      </c>
      <c r="C32" s="95">
        <v>184.70699999999999</v>
      </c>
      <c r="D32" s="83" t="s">
        <v>6255</v>
      </c>
      <c r="E32" s="97" t="s">
        <v>6279</v>
      </c>
      <c r="F32" s="81" t="s">
        <v>6062</v>
      </c>
      <c r="G32" s="59">
        <v>4732.5200000000004</v>
      </c>
      <c r="H32" s="59">
        <v>2172.6799999999998</v>
      </c>
      <c r="I32" s="83"/>
      <c r="J32" s="94" t="s">
        <v>6253</v>
      </c>
    </row>
    <row r="33" spans="2:10" x14ac:dyDescent="0.2">
      <c r="B33" s="83" t="s">
        <v>3611</v>
      </c>
      <c r="C33" s="95">
        <v>184.643</v>
      </c>
      <c r="D33" s="83" t="s">
        <v>56</v>
      </c>
      <c r="E33" s="83" t="s">
        <v>6100</v>
      </c>
      <c r="F33" s="56" t="s">
        <v>6100</v>
      </c>
      <c r="G33" s="59">
        <v>3723.04</v>
      </c>
      <c r="H33" s="59">
        <v>2198.7800000000002</v>
      </c>
      <c r="I33" s="83" t="s">
        <v>6100</v>
      </c>
      <c r="J33" s="96" t="s">
        <v>6296</v>
      </c>
    </row>
    <row r="34" spans="2:10" x14ac:dyDescent="0.2">
      <c r="B34" s="83" t="s">
        <v>5898</v>
      </c>
      <c r="C34" s="95">
        <v>184.517</v>
      </c>
      <c r="D34" s="83" t="s">
        <v>6238</v>
      </c>
      <c r="E34" s="83" t="s">
        <v>6100</v>
      </c>
      <c r="F34" s="56" t="s">
        <v>6100</v>
      </c>
      <c r="G34" s="59">
        <v>5029.9399999999996</v>
      </c>
      <c r="H34" s="59">
        <v>2895.91</v>
      </c>
      <c r="I34" s="83" t="s">
        <v>6295</v>
      </c>
      <c r="J34" s="94" t="s">
        <v>6235</v>
      </c>
    </row>
    <row r="35" spans="2:10" x14ac:dyDescent="0.2">
      <c r="B35" s="83" t="s">
        <v>2835</v>
      </c>
      <c r="C35" s="95">
        <v>184.26</v>
      </c>
      <c r="D35" s="83" t="s">
        <v>6294</v>
      </c>
      <c r="E35" s="83" t="s">
        <v>6293</v>
      </c>
      <c r="F35" s="56" t="s">
        <v>6062</v>
      </c>
      <c r="G35" s="59">
        <v>4642.13</v>
      </c>
      <c r="H35" s="59">
        <v>1965.11</v>
      </c>
      <c r="I35" s="83"/>
      <c r="J35" s="96" t="s">
        <v>6292</v>
      </c>
    </row>
    <row r="36" spans="2:10" x14ac:dyDescent="0.2">
      <c r="B36" s="83" t="s">
        <v>4140</v>
      </c>
      <c r="C36" s="95">
        <v>183.90890072479999</v>
      </c>
      <c r="D36" s="83" t="s">
        <v>6291</v>
      </c>
      <c r="E36" s="83" t="s">
        <v>6100</v>
      </c>
      <c r="F36" s="56" t="s">
        <v>6100</v>
      </c>
      <c r="G36" s="59">
        <v>3165.21</v>
      </c>
      <c r="H36" s="59">
        <v>1952.11</v>
      </c>
      <c r="I36" s="83" t="s">
        <v>6290</v>
      </c>
      <c r="J36" s="94" t="s">
        <v>6289</v>
      </c>
    </row>
    <row r="37" spans="2:10" x14ac:dyDescent="0.2">
      <c r="B37" s="83" t="s">
        <v>3097</v>
      </c>
      <c r="C37" s="95">
        <v>183.84700000000001</v>
      </c>
      <c r="D37" s="83" t="s">
        <v>6288</v>
      </c>
      <c r="E37" s="83" t="s">
        <v>6100</v>
      </c>
      <c r="F37" s="56" t="s">
        <v>6100</v>
      </c>
      <c r="G37" s="59">
        <v>4639.93</v>
      </c>
      <c r="H37" s="59">
        <v>2314.94</v>
      </c>
      <c r="I37" s="83" t="s">
        <v>6100</v>
      </c>
      <c r="J37" s="94" t="s">
        <v>6287</v>
      </c>
    </row>
    <row r="38" spans="2:10" x14ac:dyDescent="0.2">
      <c r="B38" s="83" t="s">
        <v>4259</v>
      </c>
      <c r="C38" s="95">
        <v>183.78299999999999</v>
      </c>
      <c r="D38" s="83" t="s">
        <v>56</v>
      </c>
      <c r="E38" s="83" t="s">
        <v>6100</v>
      </c>
      <c r="F38" s="56" t="s">
        <v>6100</v>
      </c>
      <c r="G38" s="59">
        <v>1136.1400000000001</v>
      </c>
      <c r="H38" s="59">
        <v>1315.57</v>
      </c>
      <c r="I38" s="83" t="s">
        <v>6100</v>
      </c>
      <c r="J38" s="96" t="s">
        <v>6286</v>
      </c>
    </row>
    <row r="39" spans="2:10" ht="19" x14ac:dyDescent="0.2">
      <c r="B39" s="83" t="s">
        <v>1917</v>
      </c>
      <c r="C39" s="95">
        <v>183.673</v>
      </c>
      <c r="D39" s="83" t="s">
        <v>6120</v>
      </c>
      <c r="E39" s="83" t="s">
        <v>6119</v>
      </c>
      <c r="F39" s="56" t="s">
        <v>6285</v>
      </c>
      <c r="G39" s="59">
        <v>5129.63</v>
      </c>
      <c r="H39" s="59">
        <v>2700.85</v>
      </c>
      <c r="I39" s="83" t="s">
        <v>6118</v>
      </c>
      <c r="J39" s="94" t="s">
        <v>6117</v>
      </c>
    </row>
    <row r="40" spans="2:10" x14ac:dyDescent="0.2">
      <c r="B40" s="83" t="s">
        <v>5092</v>
      </c>
      <c r="C40" s="95">
        <v>183.53899999999999</v>
      </c>
      <c r="D40" s="83" t="s">
        <v>6284</v>
      </c>
      <c r="E40" s="83" t="s">
        <v>6100</v>
      </c>
      <c r="F40" s="56" t="s">
        <v>6100</v>
      </c>
      <c r="G40" s="59">
        <v>5118.71</v>
      </c>
      <c r="H40" s="59">
        <v>2219.37</v>
      </c>
      <c r="I40" s="83" t="s">
        <v>6283</v>
      </c>
      <c r="J40" s="94" t="s">
        <v>6282</v>
      </c>
    </row>
    <row r="41" spans="2:10" ht="19" x14ac:dyDescent="0.2">
      <c r="B41" s="83" t="s">
        <v>5597</v>
      </c>
      <c r="C41" s="95">
        <v>183.05600000000001</v>
      </c>
      <c r="D41" s="83" t="s">
        <v>6281</v>
      </c>
      <c r="E41" s="83" t="s">
        <v>6100</v>
      </c>
      <c r="F41" s="56" t="s">
        <v>6100</v>
      </c>
      <c r="G41" s="59">
        <v>4654.13</v>
      </c>
      <c r="H41" s="59">
        <v>1936.81</v>
      </c>
      <c r="I41" s="83" t="s">
        <v>6272</v>
      </c>
      <c r="J41" s="98" t="s">
        <v>6256</v>
      </c>
    </row>
    <row r="42" spans="2:10" x14ac:dyDescent="0.2">
      <c r="B42" s="83" t="s">
        <v>2071</v>
      </c>
      <c r="C42" s="95">
        <v>182.93100000000001</v>
      </c>
      <c r="D42" s="83" t="s">
        <v>56</v>
      </c>
      <c r="E42" s="83" t="s">
        <v>6100</v>
      </c>
      <c r="F42" s="56" t="s">
        <v>6100</v>
      </c>
      <c r="G42" s="59">
        <v>3707.09</v>
      </c>
      <c r="H42" s="59">
        <v>2185.38</v>
      </c>
      <c r="I42" s="83" t="s">
        <v>6100</v>
      </c>
      <c r="J42" s="96" t="s">
        <v>6280</v>
      </c>
    </row>
    <row r="43" spans="2:10" x14ac:dyDescent="0.2">
      <c r="B43" s="83" t="s">
        <v>5923</v>
      </c>
      <c r="C43" s="95">
        <v>182.87700000000001</v>
      </c>
      <c r="D43" s="83" t="s">
        <v>507</v>
      </c>
      <c r="E43" s="83" t="s">
        <v>6100</v>
      </c>
      <c r="F43" s="56" t="s">
        <v>6100</v>
      </c>
      <c r="G43" s="59">
        <v>5132.12</v>
      </c>
      <c r="H43" s="59">
        <v>2909.5</v>
      </c>
      <c r="I43" s="83" t="s">
        <v>6100</v>
      </c>
      <c r="J43" s="94" t="s">
        <v>6259</v>
      </c>
    </row>
    <row r="44" spans="2:10" ht="19" x14ac:dyDescent="0.2">
      <c r="B44" s="83" t="s">
        <v>1524</v>
      </c>
      <c r="C44" s="95">
        <v>182.78</v>
      </c>
      <c r="D44" s="83" t="s">
        <v>6255</v>
      </c>
      <c r="E44" s="97" t="s">
        <v>6279</v>
      </c>
      <c r="F44" s="81" t="s">
        <v>6062</v>
      </c>
      <c r="G44" s="59">
        <v>4684.21</v>
      </c>
      <c r="H44" s="59">
        <v>2170.5700000000002</v>
      </c>
      <c r="I44" s="83"/>
      <c r="J44" s="96" t="s">
        <v>6253</v>
      </c>
    </row>
    <row r="45" spans="2:10" x14ac:dyDescent="0.2">
      <c r="B45" s="83" t="s">
        <v>653</v>
      </c>
      <c r="C45" s="95">
        <v>182.77799999999999</v>
      </c>
      <c r="D45" s="83" t="s">
        <v>6278</v>
      </c>
      <c r="E45" s="83" t="s">
        <v>6100</v>
      </c>
      <c r="F45" s="56" t="s">
        <v>6100</v>
      </c>
      <c r="G45" s="59">
        <v>2177.71</v>
      </c>
      <c r="H45" s="59">
        <v>4852.76</v>
      </c>
      <c r="I45" s="83" t="s">
        <v>6100</v>
      </c>
      <c r="J45" s="94" t="s">
        <v>6277</v>
      </c>
    </row>
    <row r="46" spans="2:10" ht="19" x14ac:dyDescent="0.2">
      <c r="B46" s="83" t="s">
        <v>6011</v>
      </c>
      <c r="C46" s="95">
        <v>182.684</v>
      </c>
      <c r="D46" s="83" t="s">
        <v>6276</v>
      </c>
      <c r="E46" s="83" t="s">
        <v>6275</v>
      </c>
      <c r="F46" s="56" t="s">
        <v>6176</v>
      </c>
      <c r="G46" s="59">
        <v>3884.75</v>
      </c>
      <c r="H46" s="59">
        <v>2173.25</v>
      </c>
      <c r="I46" s="83" t="s">
        <v>6100</v>
      </c>
      <c r="J46" s="94" t="s">
        <v>6274</v>
      </c>
    </row>
    <row r="47" spans="2:10" x14ac:dyDescent="0.2">
      <c r="B47" s="83" t="s">
        <v>5921</v>
      </c>
      <c r="C47" s="95">
        <v>182.21700000000001</v>
      </c>
      <c r="D47" s="83" t="s">
        <v>6100</v>
      </c>
      <c r="E47" s="83" t="s">
        <v>6100</v>
      </c>
      <c r="F47" s="56" t="s">
        <v>6100</v>
      </c>
      <c r="G47" s="59">
        <v>5070.79</v>
      </c>
      <c r="H47" s="59">
        <v>2953.29</v>
      </c>
      <c r="I47" s="83" t="s">
        <v>6100</v>
      </c>
      <c r="J47" s="94" t="s">
        <v>6259</v>
      </c>
    </row>
    <row r="48" spans="2:10" ht="19" x14ac:dyDescent="0.2">
      <c r="B48" s="83" t="s">
        <v>5596</v>
      </c>
      <c r="C48" s="95">
        <v>182.18799999999999</v>
      </c>
      <c r="D48" s="83" t="s">
        <v>6273</v>
      </c>
      <c r="E48" s="83" t="s">
        <v>6100</v>
      </c>
      <c r="F48" s="56" t="s">
        <v>6100</v>
      </c>
      <c r="G48" s="59">
        <v>4698.0600000000004</v>
      </c>
      <c r="H48" s="59">
        <v>1914.25</v>
      </c>
      <c r="I48" s="83" t="s">
        <v>6272</v>
      </c>
      <c r="J48" s="94" t="s">
        <v>6256</v>
      </c>
    </row>
    <row r="49" spans="2:10" x14ac:dyDescent="0.2">
      <c r="B49" s="83" t="s">
        <v>5897</v>
      </c>
      <c r="C49" s="95">
        <v>181.96925172819999</v>
      </c>
      <c r="D49" s="83" t="s">
        <v>6236</v>
      </c>
      <c r="E49" s="83" t="s">
        <v>6100</v>
      </c>
      <c r="F49" s="56" t="s">
        <v>6100</v>
      </c>
      <c r="G49" s="59">
        <v>5106.75</v>
      </c>
      <c r="H49" s="59">
        <v>2948.04</v>
      </c>
      <c r="I49" s="83" t="s">
        <v>6100</v>
      </c>
      <c r="J49" s="94" t="s">
        <v>6235</v>
      </c>
    </row>
    <row r="50" spans="2:10" x14ac:dyDescent="0.2">
      <c r="B50" s="83" t="s">
        <v>5920</v>
      </c>
      <c r="C50" s="95">
        <v>181.92</v>
      </c>
      <c r="D50" s="83" t="s">
        <v>533</v>
      </c>
      <c r="E50" s="83" t="s">
        <v>6100</v>
      </c>
      <c r="F50" s="56" t="s">
        <v>6100</v>
      </c>
      <c r="G50" s="59">
        <v>5000.83</v>
      </c>
      <c r="H50" s="59">
        <v>2955.03</v>
      </c>
      <c r="I50" s="83" t="s">
        <v>6100</v>
      </c>
      <c r="J50" s="94" t="s">
        <v>6259</v>
      </c>
    </row>
    <row r="51" spans="2:10" x14ac:dyDescent="0.2">
      <c r="B51" s="83" t="s">
        <v>5772</v>
      </c>
      <c r="C51" s="95">
        <v>181.91399999999999</v>
      </c>
      <c r="D51" s="83" t="s">
        <v>6271</v>
      </c>
      <c r="E51" s="83" t="s">
        <v>6100</v>
      </c>
      <c r="F51" s="56" t="s">
        <v>6100</v>
      </c>
      <c r="G51" s="59">
        <v>5469.55</v>
      </c>
      <c r="H51" s="59">
        <v>1859.94</v>
      </c>
      <c r="I51" s="83"/>
      <c r="J51" s="94" t="s">
        <v>6270</v>
      </c>
    </row>
    <row r="52" spans="2:10" x14ac:dyDescent="0.2">
      <c r="B52" s="83" t="s">
        <v>3566</v>
      </c>
      <c r="C52" s="95">
        <v>181.87100000000001</v>
      </c>
      <c r="D52" s="83" t="s">
        <v>6269</v>
      </c>
      <c r="E52" s="83" t="s">
        <v>6100</v>
      </c>
      <c r="F52" s="56" t="s">
        <v>6100</v>
      </c>
      <c r="G52" s="59">
        <v>4309.49</v>
      </c>
      <c r="H52" s="59">
        <v>1974.29</v>
      </c>
      <c r="I52" s="83" t="s">
        <v>6100</v>
      </c>
      <c r="J52" s="94" t="s">
        <v>6268</v>
      </c>
    </row>
    <row r="53" spans="2:10" ht="19" x14ac:dyDescent="0.2">
      <c r="B53" s="83" t="s">
        <v>3935</v>
      </c>
      <c r="C53" s="95">
        <v>181.572470815</v>
      </c>
      <c r="D53" s="83" t="s">
        <v>6267</v>
      </c>
      <c r="E53" s="83" t="s">
        <v>6266</v>
      </c>
      <c r="F53" s="56" t="s">
        <v>6265</v>
      </c>
      <c r="G53" s="59">
        <v>4660.72</v>
      </c>
      <c r="H53" s="59">
        <v>1887.91</v>
      </c>
      <c r="I53" s="83"/>
      <c r="J53" s="94" t="s">
        <v>6264</v>
      </c>
    </row>
    <row r="54" spans="2:10" x14ac:dyDescent="0.2">
      <c r="B54" s="83" t="s">
        <v>5883</v>
      </c>
      <c r="C54" s="95">
        <v>181.43100000000001</v>
      </c>
      <c r="D54" s="83" t="s">
        <v>6263</v>
      </c>
      <c r="E54" s="83" t="s">
        <v>6100</v>
      </c>
      <c r="F54" s="56" t="s">
        <v>6100</v>
      </c>
      <c r="G54" s="59">
        <v>4588.75</v>
      </c>
      <c r="H54" s="59">
        <v>2034.97</v>
      </c>
      <c r="I54" s="83" t="s">
        <v>6262</v>
      </c>
      <c r="J54" s="96" t="s">
        <v>6227</v>
      </c>
    </row>
    <row r="55" spans="2:10" x14ac:dyDescent="0.2">
      <c r="B55" s="83" t="s">
        <v>2103</v>
      </c>
      <c r="C55" s="95">
        <v>181.251</v>
      </c>
      <c r="D55" s="83" t="s">
        <v>42</v>
      </c>
      <c r="E55" s="83" t="s">
        <v>6261</v>
      </c>
      <c r="F55" s="56" t="s">
        <v>6074</v>
      </c>
      <c r="G55" s="59">
        <v>3571.17</v>
      </c>
      <c r="H55" s="59">
        <v>2148.7199999999998</v>
      </c>
      <c r="I55" s="83"/>
      <c r="J55" s="96" t="s">
        <v>6260</v>
      </c>
    </row>
    <row r="56" spans="2:10" x14ac:dyDescent="0.2">
      <c r="B56" s="83" t="s">
        <v>5922</v>
      </c>
      <c r="C56" s="95">
        <v>180.93829411589999</v>
      </c>
      <c r="D56" s="83" t="s">
        <v>582</v>
      </c>
      <c r="E56" s="83" t="s">
        <v>6100</v>
      </c>
      <c r="F56" s="56" t="s">
        <v>6100</v>
      </c>
      <c r="G56" s="59">
        <v>5031.53</v>
      </c>
      <c r="H56" s="59">
        <v>2917.98</v>
      </c>
      <c r="I56" s="83" t="s">
        <v>6100</v>
      </c>
      <c r="J56" s="94" t="s">
        <v>6259</v>
      </c>
    </row>
    <row r="57" spans="2:10" x14ac:dyDescent="0.2">
      <c r="B57" s="83" t="s">
        <v>5274</v>
      </c>
      <c r="C57" s="95">
        <v>180.8978492793</v>
      </c>
      <c r="D57" s="83" t="s">
        <v>6202</v>
      </c>
      <c r="E57" s="83" t="s">
        <v>6100</v>
      </c>
      <c r="F57" s="56" t="s">
        <v>6100</v>
      </c>
      <c r="G57" s="59">
        <v>4639.46</v>
      </c>
      <c r="H57" s="59">
        <v>2439.62</v>
      </c>
      <c r="I57" s="83" t="s">
        <v>6100</v>
      </c>
      <c r="J57" s="94" t="s">
        <v>6201</v>
      </c>
    </row>
    <row r="58" spans="2:10" ht="19" x14ac:dyDescent="0.2">
      <c r="B58" s="83" t="s">
        <v>5598</v>
      </c>
      <c r="C58" s="95">
        <v>180.5586057591</v>
      </c>
      <c r="D58" s="83" t="s">
        <v>6258</v>
      </c>
      <c r="E58" s="83" t="s">
        <v>6100</v>
      </c>
      <c r="F58" s="56" t="s">
        <v>6100</v>
      </c>
      <c r="G58" s="59">
        <v>4739.37</v>
      </c>
      <c r="H58" s="59">
        <v>1908.5</v>
      </c>
      <c r="I58" s="83" t="s">
        <v>6257</v>
      </c>
      <c r="J58" s="94" t="s">
        <v>6256</v>
      </c>
    </row>
    <row r="59" spans="2:10" ht="19" x14ac:dyDescent="0.2">
      <c r="B59" s="92" t="s">
        <v>1522</v>
      </c>
      <c r="C59" s="93">
        <v>180.41332230099999</v>
      </c>
      <c r="D59" s="92" t="s">
        <v>6255</v>
      </c>
      <c r="E59" s="92" t="s">
        <v>6254</v>
      </c>
      <c r="F59" s="49" t="s">
        <v>6062</v>
      </c>
      <c r="G59" s="52">
        <v>4666.7</v>
      </c>
      <c r="H59" s="52">
        <v>2308.1999999999998</v>
      </c>
      <c r="I59" s="92"/>
      <c r="J59" s="91" t="s">
        <v>6253</v>
      </c>
    </row>
  </sheetData>
  <autoFilter ref="B4:J4" xr:uid="{00000000-0009-0000-0000-000002000000}">
    <sortState xmlns:xlrd2="http://schemas.microsoft.com/office/spreadsheetml/2017/richdata2" ref="B5:J59">
      <sortCondition descending="1" ref="C4:C59"/>
    </sortState>
  </autoFilter>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04C6D-5515-5849-81B3-1878D69AC956}">
  <dimension ref="B1:C143"/>
  <sheetViews>
    <sheetView topLeftCell="A174" zoomScale="85" zoomScaleNormal="70" zoomScalePageLayoutView="70" workbookViewId="0">
      <selection activeCell="B7" sqref="B7"/>
    </sheetView>
  </sheetViews>
  <sheetFormatPr baseColWidth="10" defaultColWidth="11.1640625" defaultRowHeight="16" x14ac:dyDescent="0.2"/>
  <cols>
    <col min="1" max="1" width="11.1640625" style="43"/>
    <col min="2" max="2" width="20.1640625" style="43" customWidth="1"/>
    <col min="3" max="16384" width="11.1640625" style="43"/>
  </cols>
  <sheetData>
    <row r="1" spans="2:3" x14ac:dyDescent="0.2">
      <c r="B1" s="43" t="s">
        <v>6478</v>
      </c>
    </row>
    <row r="3" spans="2:3" x14ac:dyDescent="0.2">
      <c r="B3" s="76" t="s">
        <v>6477</v>
      </c>
      <c r="C3" s="76" t="s">
        <v>6476</v>
      </c>
    </row>
    <row r="4" spans="2:3" x14ac:dyDescent="0.2">
      <c r="B4" s="65" t="s">
        <v>6475</v>
      </c>
      <c r="C4" s="65">
        <v>92</v>
      </c>
    </row>
    <row r="5" spans="2:3" x14ac:dyDescent="0.2">
      <c r="B5" s="65" t="s">
        <v>6474</v>
      </c>
      <c r="C5" s="65">
        <v>57</v>
      </c>
    </row>
    <row r="6" spans="2:3" x14ac:dyDescent="0.2">
      <c r="B6" s="65" t="s">
        <v>6473</v>
      </c>
      <c r="C6" s="65">
        <v>42</v>
      </c>
    </row>
    <row r="7" spans="2:3" x14ac:dyDescent="0.2">
      <c r="B7" s="65" t="s">
        <v>6472</v>
      </c>
      <c r="C7" s="65">
        <v>34</v>
      </c>
    </row>
    <row r="8" spans="2:3" x14ac:dyDescent="0.2">
      <c r="B8" s="65" t="s">
        <v>6471</v>
      </c>
      <c r="C8" s="65">
        <v>23</v>
      </c>
    </row>
    <row r="9" spans="2:3" x14ac:dyDescent="0.2">
      <c r="B9" s="65" t="s">
        <v>6470</v>
      </c>
      <c r="C9" s="65">
        <v>19</v>
      </c>
    </row>
    <row r="10" spans="2:3" x14ac:dyDescent="0.2">
      <c r="B10" s="65" t="s">
        <v>6469</v>
      </c>
      <c r="C10" s="65">
        <v>17</v>
      </c>
    </row>
    <row r="11" spans="2:3" x14ac:dyDescent="0.2">
      <c r="B11" s="65" t="s">
        <v>6468</v>
      </c>
      <c r="C11" s="65">
        <v>16</v>
      </c>
    </row>
    <row r="12" spans="2:3" x14ac:dyDescent="0.2">
      <c r="B12" s="65" t="s">
        <v>6467</v>
      </c>
      <c r="C12" s="65">
        <v>14</v>
      </c>
    </row>
    <row r="13" spans="2:3" x14ac:dyDescent="0.2">
      <c r="B13" s="65" t="s">
        <v>6466</v>
      </c>
      <c r="C13" s="65">
        <v>10</v>
      </c>
    </row>
    <row r="14" spans="2:3" x14ac:dyDescent="0.2">
      <c r="B14" s="65" t="s">
        <v>6465</v>
      </c>
      <c r="C14" s="65">
        <v>7</v>
      </c>
    </row>
    <row r="15" spans="2:3" x14ac:dyDescent="0.2">
      <c r="B15" s="65" t="s">
        <v>6464</v>
      </c>
      <c r="C15" s="65">
        <v>6</v>
      </c>
    </row>
    <row r="16" spans="2:3" x14ac:dyDescent="0.2">
      <c r="B16" s="65" t="s">
        <v>6463</v>
      </c>
      <c r="C16" s="65">
        <v>6</v>
      </c>
    </row>
    <row r="17" spans="2:3" x14ac:dyDescent="0.2">
      <c r="B17" s="65" t="s">
        <v>6462</v>
      </c>
      <c r="C17" s="65">
        <v>5</v>
      </c>
    </row>
    <row r="18" spans="2:3" x14ac:dyDescent="0.2">
      <c r="B18" s="65" t="s">
        <v>6461</v>
      </c>
      <c r="C18" s="65">
        <v>4</v>
      </c>
    </row>
    <row r="19" spans="2:3" x14ac:dyDescent="0.2">
      <c r="B19" s="65" t="s">
        <v>6460</v>
      </c>
      <c r="C19" s="65">
        <v>4</v>
      </c>
    </row>
    <row r="20" spans="2:3" x14ac:dyDescent="0.2">
      <c r="B20" s="65" t="s">
        <v>6459</v>
      </c>
      <c r="C20" s="65">
        <v>4</v>
      </c>
    </row>
    <row r="21" spans="2:3" x14ac:dyDescent="0.2">
      <c r="B21" s="65" t="s">
        <v>6458</v>
      </c>
      <c r="C21" s="65">
        <v>4</v>
      </c>
    </row>
    <row r="22" spans="2:3" x14ac:dyDescent="0.2">
      <c r="B22" s="65" t="s">
        <v>6457</v>
      </c>
      <c r="C22" s="65">
        <v>4</v>
      </c>
    </row>
    <row r="23" spans="2:3" x14ac:dyDescent="0.2">
      <c r="B23" s="65" t="s">
        <v>6456</v>
      </c>
      <c r="C23" s="65">
        <v>3</v>
      </c>
    </row>
    <row r="24" spans="2:3" x14ac:dyDescent="0.2">
      <c r="B24" s="65" t="s">
        <v>6455</v>
      </c>
      <c r="C24" s="65">
        <v>3</v>
      </c>
    </row>
    <row r="25" spans="2:3" x14ac:dyDescent="0.2">
      <c r="B25" s="65" t="s">
        <v>687</v>
      </c>
      <c r="C25" s="65">
        <v>3</v>
      </c>
    </row>
    <row r="26" spans="2:3" x14ac:dyDescent="0.2">
      <c r="B26" s="65" t="s">
        <v>6454</v>
      </c>
      <c r="C26" s="65">
        <v>3</v>
      </c>
    </row>
    <row r="27" spans="2:3" x14ac:dyDescent="0.2">
      <c r="B27" s="65" t="s">
        <v>6453</v>
      </c>
      <c r="C27" s="65">
        <v>3</v>
      </c>
    </row>
    <row r="28" spans="2:3" x14ac:dyDescent="0.2">
      <c r="B28" s="65" t="s">
        <v>6452</v>
      </c>
      <c r="C28" s="65">
        <v>3</v>
      </c>
    </row>
    <row r="29" spans="2:3" x14ac:dyDescent="0.2">
      <c r="B29" s="65" t="s">
        <v>6451</v>
      </c>
      <c r="C29" s="65">
        <v>3</v>
      </c>
    </row>
    <row r="30" spans="2:3" x14ac:dyDescent="0.2">
      <c r="B30" s="65" t="s">
        <v>6450</v>
      </c>
      <c r="C30" s="65">
        <v>3</v>
      </c>
    </row>
    <row r="31" spans="2:3" x14ac:dyDescent="0.2">
      <c r="B31" s="65" t="s">
        <v>6449</v>
      </c>
      <c r="C31" s="65">
        <v>3</v>
      </c>
    </row>
    <row r="32" spans="2:3" x14ac:dyDescent="0.2">
      <c r="B32" s="65" t="s">
        <v>6448</v>
      </c>
      <c r="C32" s="65">
        <v>2</v>
      </c>
    </row>
    <row r="33" spans="2:3" x14ac:dyDescent="0.2">
      <c r="B33" s="65" t="s">
        <v>6447</v>
      </c>
      <c r="C33" s="65">
        <v>2</v>
      </c>
    </row>
    <row r="34" spans="2:3" x14ac:dyDescent="0.2">
      <c r="B34" s="65" t="s">
        <v>6446</v>
      </c>
      <c r="C34" s="65">
        <v>2</v>
      </c>
    </row>
    <row r="35" spans="2:3" x14ac:dyDescent="0.2">
      <c r="B35" s="65" t="s">
        <v>6445</v>
      </c>
      <c r="C35" s="65">
        <v>2</v>
      </c>
    </row>
    <row r="36" spans="2:3" x14ac:dyDescent="0.2">
      <c r="B36" s="65" t="s">
        <v>6444</v>
      </c>
      <c r="C36" s="65">
        <v>2</v>
      </c>
    </row>
    <row r="37" spans="2:3" x14ac:dyDescent="0.2">
      <c r="B37" s="65" t="s">
        <v>6443</v>
      </c>
      <c r="C37" s="65">
        <v>2</v>
      </c>
    </row>
    <row r="38" spans="2:3" x14ac:dyDescent="0.2">
      <c r="B38" s="65" t="s">
        <v>6442</v>
      </c>
      <c r="C38" s="65">
        <v>2</v>
      </c>
    </row>
    <row r="39" spans="2:3" x14ac:dyDescent="0.2">
      <c r="B39" s="65" t="s">
        <v>6441</v>
      </c>
      <c r="C39" s="65">
        <v>2</v>
      </c>
    </row>
    <row r="40" spans="2:3" x14ac:dyDescent="0.2">
      <c r="B40" s="65" t="s">
        <v>6440</v>
      </c>
      <c r="C40" s="65">
        <v>2</v>
      </c>
    </row>
    <row r="41" spans="2:3" x14ac:dyDescent="0.2">
      <c r="B41" s="65" t="s">
        <v>6439</v>
      </c>
      <c r="C41" s="65">
        <v>2</v>
      </c>
    </row>
    <row r="42" spans="2:3" x14ac:dyDescent="0.2">
      <c r="B42" s="65" t="s">
        <v>6438</v>
      </c>
      <c r="C42" s="65">
        <v>2</v>
      </c>
    </row>
    <row r="43" spans="2:3" x14ac:dyDescent="0.2">
      <c r="B43" s="65" t="s">
        <v>6437</v>
      </c>
      <c r="C43" s="65">
        <v>2</v>
      </c>
    </row>
    <row r="44" spans="2:3" x14ac:dyDescent="0.2">
      <c r="B44" s="65" t="s">
        <v>1174</v>
      </c>
      <c r="C44" s="65">
        <v>2</v>
      </c>
    </row>
    <row r="45" spans="2:3" x14ac:dyDescent="0.2">
      <c r="B45" s="65" t="s">
        <v>6436</v>
      </c>
      <c r="C45" s="65">
        <v>2</v>
      </c>
    </row>
    <row r="46" spans="2:3" x14ac:dyDescent="0.2">
      <c r="B46" s="65" t="s">
        <v>6435</v>
      </c>
      <c r="C46" s="65">
        <v>2</v>
      </c>
    </row>
    <row r="47" spans="2:3" x14ac:dyDescent="0.2">
      <c r="B47" s="65" t="s">
        <v>6434</v>
      </c>
      <c r="C47" s="65">
        <v>2</v>
      </c>
    </row>
    <row r="48" spans="2:3" x14ac:dyDescent="0.2">
      <c r="B48" s="65" t="s">
        <v>569</v>
      </c>
      <c r="C48" s="65">
        <v>2</v>
      </c>
    </row>
    <row r="49" spans="2:3" x14ac:dyDescent="0.2">
      <c r="B49" s="65" t="s">
        <v>6433</v>
      </c>
      <c r="C49" s="65">
        <v>2</v>
      </c>
    </row>
    <row r="50" spans="2:3" x14ac:dyDescent="0.2">
      <c r="B50" s="65" t="s">
        <v>6432</v>
      </c>
      <c r="C50" s="65">
        <v>2</v>
      </c>
    </row>
    <row r="51" spans="2:3" x14ac:dyDescent="0.2">
      <c r="B51" s="65" t="s">
        <v>6431</v>
      </c>
      <c r="C51" s="65">
        <v>1</v>
      </c>
    </row>
    <row r="52" spans="2:3" x14ac:dyDescent="0.2">
      <c r="B52" s="65" t="s">
        <v>495</v>
      </c>
      <c r="C52" s="65">
        <v>1</v>
      </c>
    </row>
    <row r="53" spans="2:3" x14ac:dyDescent="0.2">
      <c r="B53" s="65" t="s">
        <v>6430</v>
      </c>
      <c r="C53" s="65">
        <v>1</v>
      </c>
    </row>
    <row r="54" spans="2:3" x14ac:dyDescent="0.2">
      <c r="B54" s="65" t="s">
        <v>6429</v>
      </c>
      <c r="C54" s="65">
        <v>1</v>
      </c>
    </row>
    <row r="55" spans="2:3" x14ac:dyDescent="0.2">
      <c r="B55" s="65" t="s">
        <v>6428</v>
      </c>
      <c r="C55" s="65">
        <v>1</v>
      </c>
    </row>
    <row r="56" spans="2:3" x14ac:dyDescent="0.2">
      <c r="B56" s="65" t="s">
        <v>6427</v>
      </c>
      <c r="C56" s="65">
        <v>1</v>
      </c>
    </row>
    <row r="57" spans="2:3" x14ac:dyDescent="0.2">
      <c r="B57" s="65" t="s">
        <v>6426</v>
      </c>
      <c r="C57" s="65">
        <v>1</v>
      </c>
    </row>
    <row r="58" spans="2:3" x14ac:dyDescent="0.2">
      <c r="B58" s="65" t="s">
        <v>6425</v>
      </c>
      <c r="C58" s="65">
        <v>1</v>
      </c>
    </row>
    <row r="59" spans="2:3" x14ac:dyDescent="0.2">
      <c r="B59" s="65" t="s">
        <v>6424</v>
      </c>
      <c r="C59" s="65">
        <v>1</v>
      </c>
    </row>
    <row r="60" spans="2:3" x14ac:dyDescent="0.2">
      <c r="B60" s="65" t="s">
        <v>6423</v>
      </c>
      <c r="C60" s="65">
        <v>1</v>
      </c>
    </row>
    <row r="61" spans="2:3" x14ac:dyDescent="0.2">
      <c r="B61" s="65" t="s">
        <v>6422</v>
      </c>
      <c r="C61" s="65">
        <v>1</v>
      </c>
    </row>
    <row r="62" spans="2:3" x14ac:dyDescent="0.2">
      <c r="B62" s="65" t="s">
        <v>6421</v>
      </c>
      <c r="C62" s="65">
        <v>1</v>
      </c>
    </row>
    <row r="63" spans="2:3" x14ac:dyDescent="0.2">
      <c r="B63" s="65" t="s">
        <v>6420</v>
      </c>
      <c r="C63" s="65">
        <v>1</v>
      </c>
    </row>
    <row r="64" spans="2:3" x14ac:dyDescent="0.2">
      <c r="B64" s="65" t="s">
        <v>6419</v>
      </c>
      <c r="C64" s="65">
        <v>1</v>
      </c>
    </row>
    <row r="65" spans="2:3" x14ac:dyDescent="0.2">
      <c r="B65" s="65" t="s">
        <v>6418</v>
      </c>
      <c r="C65" s="65">
        <v>1</v>
      </c>
    </row>
    <row r="66" spans="2:3" x14ac:dyDescent="0.2">
      <c r="B66" s="65" t="s">
        <v>6417</v>
      </c>
      <c r="C66" s="65">
        <v>1</v>
      </c>
    </row>
    <row r="67" spans="2:3" x14ac:dyDescent="0.2">
      <c r="B67" s="65" t="s">
        <v>6416</v>
      </c>
      <c r="C67" s="65">
        <v>1</v>
      </c>
    </row>
    <row r="68" spans="2:3" x14ac:dyDescent="0.2">
      <c r="B68" s="65" t="s">
        <v>6415</v>
      </c>
      <c r="C68" s="65">
        <v>1</v>
      </c>
    </row>
    <row r="69" spans="2:3" x14ac:dyDescent="0.2">
      <c r="B69" s="65" t="s">
        <v>6414</v>
      </c>
      <c r="C69" s="65">
        <v>1</v>
      </c>
    </row>
    <row r="70" spans="2:3" x14ac:dyDescent="0.2">
      <c r="B70" s="65" t="s">
        <v>6413</v>
      </c>
      <c r="C70" s="65">
        <v>1</v>
      </c>
    </row>
    <row r="71" spans="2:3" x14ac:dyDescent="0.2">
      <c r="B71" s="65" t="s">
        <v>6412</v>
      </c>
      <c r="C71" s="65">
        <v>1</v>
      </c>
    </row>
    <row r="72" spans="2:3" x14ac:dyDescent="0.2">
      <c r="B72" s="65" t="s">
        <v>6411</v>
      </c>
      <c r="C72" s="65">
        <v>1</v>
      </c>
    </row>
    <row r="73" spans="2:3" x14ac:dyDescent="0.2">
      <c r="B73" s="65" t="s">
        <v>6410</v>
      </c>
      <c r="C73" s="65">
        <v>1</v>
      </c>
    </row>
    <row r="74" spans="2:3" x14ac:dyDescent="0.2">
      <c r="B74" s="65" t="s">
        <v>6409</v>
      </c>
      <c r="C74" s="65">
        <v>1</v>
      </c>
    </row>
    <row r="75" spans="2:3" x14ac:dyDescent="0.2">
      <c r="B75" s="65" t="s">
        <v>6408</v>
      </c>
      <c r="C75" s="65">
        <v>1</v>
      </c>
    </row>
    <row r="76" spans="2:3" x14ac:dyDescent="0.2">
      <c r="B76" s="65" t="s">
        <v>6407</v>
      </c>
      <c r="C76" s="65">
        <v>1</v>
      </c>
    </row>
    <row r="77" spans="2:3" x14ac:dyDescent="0.2">
      <c r="B77" s="65" t="s">
        <v>6406</v>
      </c>
      <c r="C77" s="65">
        <v>1</v>
      </c>
    </row>
    <row r="78" spans="2:3" x14ac:dyDescent="0.2">
      <c r="B78" s="65" t="s">
        <v>6405</v>
      </c>
      <c r="C78" s="65">
        <v>1</v>
      </c>
    </row>
    <row r="79" spans="2:3" x14ac:dyDescent="0.2">
      <c r="B79" s="65" t="s">
        <v>6404</v>
      </c>
      <c r="C79" s="65">
        <v>1</v>
      </c>
    </row>
    <row r="80" spans="2:3" x14ac:dyDescent="0.2">
      <c r="B80" s="65" t="s">
        <v>6403</v>
      </c>
      <c r="C80" s="65">
        <v>1</v>
      </c>
    </row>
    <row r="81" spans="2:3" x14ac:dyDescent="0.2">
      <c r="B81" s="65" t="s">
        <v>6402</v>
      </c>
      <c r="C81" s="65">
        <v>1</v>
      </c>
    </row>
    <row r="82" spans="2:3" x14ac:dyDescent="0.2">
      <c r="B82" s="65" t="s">
        <v>6401</v>
      </c>
      <c r="C82" s="65">
        <v>1</v>
      </c>
    </row>
    <row r="83" spans="2:3" x14ac:dyDescent="0.2">
      <c r="B83" s="65" t="s">
        <v>6400</v>
      </c>
      <c r="C83" s="65">
        <v>1</v>
      </c>
    </row>
    <row r="84" spans="2:3" x14ac:dyDescent="0.2">
      <c r="B84" s="65" t="s">
        <v>6399</v>
      </c>
      <c r="C84" s="65">
        <v>1</v>
      </c>
    </row>
    <row r="85" spans="2:3" x14ac:dyDescent="0.2">
      <c r="B85" s="65" t="s">
        <v>6398</v>
      </c>
      <c r="C85" s="65">
        <v>1</v>
      </c>
    </row>
    <row r="86" spans="2:3" x14ac:dyDescent="0.2">
      <c r="B86" s="65" t="s">
        <v>6397</v>
      </c>
      <c r="C86" s="65">
        <v>1</v>
      </c>
    </row>
    <row r="87" spans="2:3" x14ac:dyDescent="0.2">
      <c r="B87" s="65" t="s">
        <v>6396</v>
      </c>
      <c r="C87" s="65">
        <v>1</v>
      </c>
    </row>
    <row r="88" spans="2:3" x14ac:dyDescent="0.2">
      <c r="B88" s="65" t="s">
        <v>6395</v>
      </c>
      <c r="C88" s="65">
        <v>1</v>
      </c>
    </row>
    <row r="89" spans="2:3" x14ac:dyDescent="0.2">
      <c r="B89" s="65" t="s">
        <v>6394</v>
      </c>
      <c r="C89" s="65">
        <v>1</v>
      </c>
    </row>
    <row r="90" spans="2:3" x14ac:dyDescent="0.2">
      <c r="B90" s="65" t="s">
        <v>6393</v>
      </c>
      <c r="C90" s="65">
        <v>1</v>
      </c>
    </row>
    <row r="91" spans="2:3" x14ac:dyDescent="0.2">
      <c r="B91" s="65" t="s">
        <v>708</v>
      </c>
      <c r="C91" s="65">
        <v>1</v>
      </c>
    </row>
    <row r="92" spans="2:3" x14ac:dyDescent="0.2">
      <c r="B92" s="65" t="s">
        <v>6392</v>
      </c>
      <c r="C92" s="65">
        <v>1</v>
      </c>
    </row>
    <row r="93" spans="2:3" x14ac:dyDescent="0.2">
      <c r="B93" s="65" t="s">
        <v>6391</v>
      </c>
      <c r="C93" s="65">
        <v>1</v>
      </c>
    </row>
    <row r="94" spans="2:3" x14ac:dyDescent="0.2">
      <c r="B94" s="65" t="s">
        <v>6390</v>
      </c>
      <c r="C94" s="65">
        <v>1</v>
      </c>
    </row>
    <row r="95" spans="2:3" x14ac:dyDescent="0.2">
      <c r="B95" s="65" t="s">
        <v>6389</v>
      </c>
      <c r="C95" s="65">
        <v>1</v>
      </c>
    </row>
    <row r="96" spans="2:3" x14ac:dyDescent="0.2">
      <c r="B96" s="65" t="s">
        <v>6388</v>
      </c>
      <c r="C96" s="65">
        <v>1</v>
      </c>
    </row>
    <row r="97" spans="2:3" x14ac:dyDescent="0.2">
      <c r="B97" s="65" t="s">
        <v>6387</v>
      </c>
      <c r="C97" s="65">
        <v>1</v>
      </c>
    </row>
    <row r="98" spans="2:3" x14ac:dyDescent="0.2">
      <c r="B98" s="65" t="s">
        <v>6386</v>
      </c>
      <c r="C98" s="65">
        <v>1</v>
      </c>
    </row>
    <row r="99" spans="2:3" x14ac:dyDescent="0.2">
      <c r="B99" s="65" t="s">
        <v>6385</v>
      </c>
      <c r="C99" s="65">
        <v>1</v>
      </c>
    </row>
    <row r="100" spans="2:3" x14ac:dyDescent="0.2">
      <c r="B100" s="65" t="s">
        <v>6384</v>
      </c>
      <c r="C100" s="65">
        <v>1</v>
      </c>
    </row>
    <row r="101" spans="2:3" x14ac:dyDescent="0.2">
      <c r="B101" s="65" t="s">
        <v>6383</v>
      </c>
      <c r="C101" s="65">
        <v>1</v>
      </c>
    </row>
    <row r="102" spans="2:3" x14ac:dyDescent="0.2">
      <c r="B102" s="65" t="s">
        <v>6382</v>
      </c>
      <c r="C102" s="65">
        <v>1</v>
      </c>
    </row>
    <row r="103" spans="2:3" x14ac:dyDescent="0.2">
      <c r="B103" s="65" t="s">
        <v>6381</v>
      </c>
      <c r="C103" s="65">
        <v>1</v>
      </c>
    </row>
    <row r="104" spans="2:3" x14ac:dyDescent="0.2">
      <c r="B104" s="65" t="s">
        <v>6380</v>
      </c>
      <c r="C104" s="65">
        <v>1</v>
      </c>
    </row>
    <row r="105" spans="2:3" x14ac:dyDescent="0.2">
      <c r="B105" s="65" t="s">
        <v>6379</v>
      </c>
      <c r="C105" s="65">
        <v>1</v>
      </c>
    </row>
    <row r="106" spans="2:3" x14ac:dyDescent="0.2">
      <c r="B106" s="65" t="s">
        <v>612</v>
      </c>
      <c r="C106" s="65">
        <v>1</v>
      </c>
    </row>
    <row r="107" spans="2:3" x14ac:dyDescent="0.2">
      <c r="B107" s="65" t="s">
        <v>6378</v>
      </c>
      <c r="C107" s="65">
        <v>1</v>
      </c>
    </row>
    <row r="108" spans="2:3" x14ac:dyDescent="0.2">
      <c r="B108" s="65" t="s">
        <v>6377</v>
      </c>
      <c r="C108" s="65">
        <v>1</v>
      </c>
    </row>
    <row r="109" spans="2:3" x14ac:dyDescent="0.2">
      <c r="B109" s="65" t="s">
        <v>6376</v>
      </c>
      <c r="C109" s="65">
        <v>1</v>
      </c>
    </row>
    <row r="110" spans="2:3" x14ac:dyDescent="0.2">
      <c r="B110" s="65" t="s">
        <v>6375</v>
      </c>
      <c r="C110" s="65">
        <v>1</v>
      </c>
    </row>
    <row r="111" spans="2:3" x14ac:dyDescent="0.2">
      <c r="B111" s="65" t="s">
        <v>6374</v>
      </c>
      <c r="C111" s="65">
        <v>1</v>
      </c>
    </row>
    <row r="112" spans="2:3" x14ac:dyDescent="0.2">
      <c r="B112" s="65" t="s">
        <v>6373</v>
      </c>
      <c r="C112" s="65">
        <v>1</v>
      </c>
    </row>
    <row r="113" spans="2:3" x14ac:dyDescent="0.2">
      <c r="B113" s="65" t="s">
        <v>6372</v>
      </c>
      <c r="C113" s="65">
        <v>1</v>
      </c>
    </row>
    <row r="114" spans="2:3" x14ac:dyDescent="0.2">
      <c r="B114" s="65" t="s">
        <v>6371</v>
      </c>
      <c r="C114" s="65">
        <v>1</v>
      </c>
    </row>
    <row r="115" spans="2:3" x14ac:dyDescent="0.2">
      <c r="B115" s="65" t="s">
        <v>6370</v>
      </c>
      <c r="C115" s="65">
        <v>1</v>
      </c>
    </row>
    <row r="116" spans="2:3" x14ac:dyDescent="0.2">
      <c r="B116" s="65" t="s">
        <v>6369</v>
      </c>
      <c r="C116" s="65">
        <v>1</v>
      </c>
    </row>
    <row r="117" spans="2:3" x14ac:dyDescent="0.2">
      <c r="B117" s="65" t="s">
        <v>6368</v>
      </c>
      <c r="C117" s="65">
        <v>1</v>
      </c>
    </row>
    <row r="118" spans="2:3" x14ac:dyDescent="0.2">
      <c r="B118" s="65" t="s">
        <v>510</v>
      </c>
      <c r="C118" s="65">
        <v>1</v>
      </c>
    </row>
    <row r="119" spans="2:3" x14ac:dyDescent="0.2">
      <c r="B119" s="65" t="s">
        <v>6367</v>
      </c>
      <c r="C119" s="65">
        <v>1</v>
      </c>
    </row>
    <row r="120" spans="2:3" x14ac:dyDescent="0.2">
      <c r="B120" s="65" t="s">
        <v>550</v>
      </c>
      <c r="C120" s="65">
        <v>1</v>
      </c>
    </row>
    <row r="121" spans="2:3" x14ac:dyDescent="0.2">
      <c r="B121" s="65" t="s">
        <v>6366</v>
      </c>
      <c r="C121" s="65">
        <v>1</v>
      </c>
    </row>
    <row r="122" spans="2:3" x14ac:dyDescent="0.2">
      <c r="B122" s="65" t="s">
        <v>6365</v>
      </c>
      <c r="C122" s="65">
        <v>1</v>
      </c>
    </row>
    <row r="123" spans="2:3" x14ac:dyDescent="0.2">
      <c r="B123" s="65" t="s">
        <v>6364</v>
      </c>
      <c r="C123" s="65">
        <v>1</v>
      </c>
    </row>
    <row r="124" spans="2:3" x14ac:dyDescent="0.2">
      <c r="B124" s="65" t="s">
        <v>502</v>
      </c>
      <c r="C124" s="65">
        <v>1</v>
      </c>
    </row>
    <row r="125" spans="2:3" x14ac:dyDescent="0.2">
      <c r="B125" s="65" t="s">
        <v>6363</v>
      </c>
      <c r="C125" s="65">
        <v>1</v>
      </c>
    </row>
    <row r="126" spans="2:3" x14ac:dyDescent="0.2">
      <c r="B126" s="65" t="s">
        <v>6362</v>
      </c>
      <c r="C126" s="65">
        <v>1</v>
      </c>
    </row>
    <row r="127" spans="2:3" x14ac:dyDescent="0.2">
      <c r="B127" s="65" t="s">
        <v>6361</v>
      </c>
      <c r="C127" s="65">
        <v>1</v>
      </c>
    </row>
    <row r="128" spans="2:3" x14ac:dyDescent="0.2">
      <c r="B128" s="65" t="s">
        <v>6360</v>
      </c>
      <c r="C128" s="65">
        <v>1</v>
      </c>
    </row>
    <row r="129" spans="2:3" x14ac:dyDescent="0.2">
      <c r="B129" s="65" t="s">
        <v>6359</v>
      </c>
      <c r="C129" s="65">
        <v>1</v>
      </c>
    </row>
    <row r="130" spans="2:3" x14ac:dyDescent="0.2">
      <c r="B130" s="65" t="s">
        <v>6358</v>
      </c>
      <c r="C130" s="65">
        <v>1</v>
      </c>
    </row>
    <row r="131" spans="2:3" x14ac:dyDescent="0.2">
      <c r="B131" s="65" t="s">
        <v>6357</v>
      </c>
      <c r="C131" s="65">
        <v>1</v>
      </c>
    </row>
    <row r="132" spans="2:3" x14ac:dyDescent="0.2">
      <c r="B132" s="65" t="s">
        <v>6356</v>
      </c>
      <c r="C132" s="65">
        <v>1</v>
      </c>
    </row>
    <row r="133" spans="2:3" x14ac:dyDescent="0.2">
      <c r="B133" s="65" t="s">
        <v>6355</v>
      </c>
      <c r="C133" s="65">
        <v>1</v>
      </c>
    </row>
    <row r="134" spans="2:3" x14ac:dyDescent="0.2">
      <c r="B134" s="65" t="s">
        <v>6354</v>
      </c>
      <c r="C134" s="65">
        <v>1</v>
      </c>
    </row>
    <row r="135" spans="2:3" x14ac:dyDescent="0.2">
      <c r="B135" s="65" t="s">
        <v>6353</v>
      </c>
      <c r="C135" s="65">
        <v>1</v>
      </c>
    </row>
    <row r="136" spans="2:3" x14ac:dyDescent="0.2">
      <c r="B136" s="65" t="s">
        <v>6352</v>
      </c>
      <c r="C136" s="65">
        <v>1</v>
      </c>
    </row>
    <row r="137" spans="2:3" x14ac:dyDescent="0.2">
      <c r="B137" s="65" t="s">
        <v>6351</v>
      </c>
      <c r="C137" s="65">
        <v>1</v>
      </c>
    </row>
    <row r="138" spans="2:3" x14ac:dyDescent="0.2">
      <c r="B138" s="65" t="s">
        <v>6350</v>
      </c>
      <c r="C138" s="65">
        <v>1</v>
      </c>
    </row>
    <row r="139" spans="2:3" x14ac:dyDescent="0.2">
      <c r="B139" s="65" t="s">
        <v>6349</v>
      </c>
      <c r="C139" s="65">
        <v>1</v>
      </c>
    </row>
    <row r="140" spans="2:3" x14ac:dyDescent="0.2">
      <c r="B140" s="65" t="s">
        <v>6348</v>
      </c>
      <c r="C140" s="65">
        <v>1</v>
      </c>
    </row>
    <row r="141" spans="2:3" x14ac:dyDescent="0.2">
      <c r="B141" s="65" t="s">
        <v>6347</v>
      </c>
      <c r="C141" s="65">
        <v>1</v>
      </c>
    </row>
    <row r="142" spans="2:3" x14ac:dyDescent="0.2">
      <c r="B142" s="65" t="s">
        <v>625</v>
      </c>
      <c r="C142" s="65">
        <v>1</v>
      </c>
    </row>
    <row r="143" spans="2:3" x14ac:dyDescent="0.2">
      <c r="B143" s="103" t="s">
        <v>6346</v>
      </c>
      <c r="C143" s="10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4089-411D-B447-B846-62E7EAAC661B}">
  <dimension ref="B1:E24"/>
  <sheetViews>
    <sheetView zoomScale="70" zoomScaleNormal="70" zoomScalePageLayoutView="70" workbookViewId="0">
      <selection activeCell="B7" sqref="B7"/>
    </sheetView>
  </sheetViews>
  <sheetFormatPr baseColWidth="10" defaultColWidth="11.1640625" defaultRowHeight="16" x14ac:dyDescent="0.2"/>
  <cols>
    <col min="1" max="1" width="11.1640625" style="43"/>
    <col min="2" max="2" width="31.5" style="43" customWidth="1"/>
    <col min="3" max="3" width="13" style="43" customWidth="1"/>
    <col min="4" max="4" width="13.1640625" style="43" bestFit="1" customWidth="1"/>
    <col min="5" max="5" width="31.5" style="43" customWidth="1"/>
    <col min="6" max="6" width="25" style="43" customWidth="1"/>
    <col min="7" max="16384" width="11.1640625" style="43"/>
  </cols>
  <sheetData>
    <row r="1" spans="2:5" x14ac:dyDescent="0.2">
      <c r="B1" s="43" t="s">
        <v>6521</v>
      </c>
    </row>
    <row r="2" spans="2:5" x14ac:dyDescent="0.2">
      <c r="B2" s="43" t="s">
        <v>6520</v>
      </c>
    </row>
    <row r="4" spans="2:5" ht="19" customHeight="1" x14ac:dyDescent="0.2">
      <c r="B4" s="108" t="s">
        <v>6519</v>
      </c>
      <c r="C4" s="108" t="s">
        <v>6518</v>
      </c>
      <c r="D4" s="108" t="s">
        <v>6517</v>
      </c>
      <c r="E4" s="108" t="s">
        <v>6516</v>
      </c>
    </row>
    <row r="5" spans="2:5" ht="17" x14ac:dyDescent="0.2">
      <c r="B5" s="107" t="s">
        <v>6397</v>
      </c>
      <c r="C5" s="106">
        <v>987</v>
      </c>
      <c r="D5" s="107" t="s">
        <v>6397</v>
      </c>
      <c r="E5" s="106" t="s">
        <v>6515</v>
      </c>
    </row>
    <row r="6" spans="2:5" ht="19" x14ac:dyDescent="0.2">
      <c r="B6" s="107" t="s">
        <v>6514</v>
      </c>
      <c r="C6" s="106">
        <v>877</v>
      </c>
      <c r="D6" s="107" t="s">
        <v>6397</v>
      </c>
      <c r="E6" s="106" t="s">
        <v>6513</v>
      </c>
    </row>
    <row r="7" spans="2:5" ht="19" x14ac:dyDescent="0.2">
      <c r="B7" s="107" t="s">
        <v>6512</v>
      </c>
      <c r="C7" s="106">
        <v>344</v>
      </c>
      <c r="D7" s="107" t="s">
        <v>6397</v>
      </c>
      <c r="E7" s="106" t="s">
        <v>6511</v>
      </c>
    </row>
    <row r="8" spans="2:5" ht="17" x14ac:dyDescent="0.2">
      <c r="B8" s="107" t="s">
        <v>6472</v>
      </c>
      <c r="C8" s="106">
        <v>61</v>
      </c>
      <c r="D8" s="107" t="s">
        <v>6472</v>
      </c>
      <c r="E8" s="106" t="s">
        <v>6510</v>
      </c>
    </row>
    <row r="9" spans="2:5" ht="17" x14ac:dyDescent="0.2">
      <c r="B9" s="107" t="s">
        <v>6509</v>
      </c>
      <c r="C9" s="106">
        <v>57</v>
      </c>
      <c r="D9" s="107" t="s">
        <v>36</v>
      </c>
      <c r="E9" s="106" t="s">
        <v>6508</v>
      </c>
    </row>
    <row r="10" spans="2:5" ht="19" x14ac:dyDescent="0.2">
      <c r="B10" s="107" t="s">
        <v>6507</v>
      </c>
      <c r="C10" s="106">
        <v>45</v>
      </c>
      <c r="D10" s="107" t="s">
        <v>6397</v>
      </c>
      <c r="E10" s="106" t="s">
        <v>6506</v>
      </c>
    </row>
    <row r="11" spans="2:5" ht="17" x14ac:dyDescent="0.2">
      <c r="B11" s="107" t="s">
        <v>6450</v>
      </c>
      <c r="C11" s="106">
        <v>44</v>
      </c>
      <c r="D11" s="107" t="s">
        <v>6450</v>
      </c>
      <c r="E11" s="106" t="s">
        <v>6505</v>
      </c>
    </row>
    <row r="12" spans="2:5" ht="19" x14ac:dyDescent="0.2">
      <c r="B12" s="107" t="s">
        <v>6504</v>
      </c>
      <c r="C12" s="107">
        <v>37</v>
      </c>
      <c r="D12" s="107" t="s">
        <v>6397</v>
      </c>
      <c r="E12" s="106" t="s">
        <v>6503</v>
      </c>
    </row>
    <row r="13" spans="2:5" ht="19" x14ac:dyDescent="0.2">
      <c r="B13" s="107" t="s">
        <v>6502</v>
      </c>
      <c r="C13" s="106">
        <v>30</v>
      </c>
      <c r="D13" s="107" t="s">
        <v>36</v>
      </c>
      <c r="E13" s="106" t="s">
        <v>6501</v>
      </c>
    </row>
    <row r="14" spans="2:5" ht="19" x14ac:dyDescent="0.2">
      <c r="B14" s="107" t="s">
        <v>6500</v>
      </c>
      <c r="C14" s="107">
        <v>30</v>
      </c>
      <c r="D14" s="107" t="s">
        <v>6397</v>
      </c>
      <c r="E14" s="106" t="s">
        <v>6499</v>
      </c>
    </row>
    <row r="15" spans="2:5" ht="17" x14ac:dyDescent="0.2">
      <c r="B15" s="107" t="s">
        <v>6498</v>
      </c>
      <c r="C15" s="107">
        <v>29</v>
      </c>
      <c r="D15" s="107" t="s">
        <v>6397</v>
      </c>
      <c r="E15" s="106" t="s">
        <v>6497</v>
      </c>
    </row>
    <row r="16" spans="2:5" ht="19" x14ac:dyDescent="0.2">
      <c r="B16" s="107" t="s">
        <v>6496</v>
      </c>
      <c r="C16" s="107">
        <v>29</v>
      </c>
      <c r="D16" s="107" t="s">
        <v>6397</v>
      </c>
      <c r="E16" s="106" t="s">
        <v>6495</v>
      </c>
    </row>
    <row r="17" spans="2:5" ht="19" x14ac:dyDescent="0.2">
      <c r="B17" s="107" t="s">
        <v>6494</v>
      </c>
      <c r="C17" s="107">
        <v>28</v>
      </c>
      <c r="D17" s="107" t="s">
        <v>6397</v>
      </c>
      <c r="E17" s="106" t="s">
        <v>6493</v>
      </c>
    </row>
    <row r="18" spans="2:5" ht="17" x14ac:dyDescent="0.2">
      <c r="B18" s="107" t="s">
        <v>6492</v>
      </c>
      <c r="C18" s="107">
        <v>23</v>
      </c>
      <c r="D18" s="107" t="s">
        <v>36</v>
      </c>
      <c r="E18" s="106" t="s">
        <v>6491</v>
      </c>
    </row>
    <row r="19" spans="2:5" ht="19" x14ac:dyDescent="0.2">
      <c r="B19" s="107" t="s">
        <v>6490</v>
      </c>
      <c r="C19" s="107">
        <v>22</v>
      </c>
      <c r="D19" s="107" t="s">
        <v>6397</v>
      </c>
      <c r="E19" s="106" t="s">
        <v>6489</v>
      </c>
    </row>
    <row r="20" spans="2:5" ht="19" x14ac:dyDescent="0.2">
      <c r="B20" s="107" t="s">
        <v>6488</v>
      </c>
      <c r="C20" s="107">
        <v>19</v>
      </c>
      <c r="D20" s="107" t="s">
        <v>6397</v>
      </c>
      <c r="E20" s="106" t="s">
        <v>6487</v>
      </c>
    </row>
    <row r="21" spans="2:5" ht="19" x14ac:dyDescent="0.2">
      <c r="B21" s="107" t="s">
        <v>6486</v>
      </c>
      <c r="C21" s="107">
        <v>19</v>
      </c>
      <c r="D21" s="107" t="s">
        <v>6397</v>
      </c>
      <c r="E21" s="106" t="s">
        <v>6485</v>
      </c>
    </row>
    <row r="22" spans="2:5" ht="19" x14ac:dyDescent="0.2">
      <c r="B22" s="107" t="s">
        <v>6484</v>
      </c>
      <c r="C22" s="107">
        <v>16</v>
      </c>
      <c r="D22" s="107" t="s">
        <v>6397</v>
      </c>
      <c r="E22" s="106" t="s">
        <v>6483</v>
      </c>
    </row>
    <row r="23" spans="2:5" ht="19" x14ac:dyDescent="0.2">
      <c r="B23" s="107" t="s">
        <v>6482</v>
      </c>
      <c r="C23" s="107">
        <v>16</v>
      </c>
      <c r="D23" s="107" t="s">
        <v>6397</v>
      </c>
      <c r="E23" s="106" t="s">
        <v>6481</v>
      </c>
    </row>
    <row r="24" spans="2:5" ht="19" x14ac:dyDescent="0.2">
      <c r="B24" s="105" t="s">
        <v>6480</v>
      </c>
      <c r="C24" s="105">
        <v>15</v>
      </c>
      <c r="D24" s="105" t="s">
        <v>6397</v>
      </c>
      <c r="E24" s="104" t="s">
        <v>6479</v>
      </c>
    </row>
  </sheetData>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7B5D-C598-C145-9CEA-21365BF9318C}">
  <dimension ref="B1:C33"/>
  <sheetViews>
    <sheetView zoomScale="70" zoomScaleNormal="70" zoomScalePageLayoutView="70" workbookViewId="0">
      <selection activeCell="B7" sqref="B7"/>
    </sheetView>
  </sheetViews>
  <sheetFormatPr baseColWidth="10" defaultColWidth="11.1640625" defaultRowHeight="16" x14ac:dyDescent="0.2"/>
  <cols>
    <col min="1" max="16384" width="11.1640625" style="43"/>
  </cols>
  <sheetData>
    <row r="1" spans="2:3" x14ac:dyDescent="0.2">
      <c r="B1" s="43" t="s">
        <v>6525</v>
      </c>
    </row>
    <row r="3" spans="2:3" ht="34" x14ac:dyDescent="0.2">
      <c r="B3" s="108" t="s">
        <v>6524</v>
      </c>
      <c r="C3" s="108" t="s">
        <v>6523</v>
      </c>
    </row>
    <row r="4" spans="2:3" ht="17" x14ac:dyDescent="0.2">
      <c r="B4" s="109" t="s">
        <v>499</v>
      </c>
      <c r="C4" s="109">
        <v>907</v>
      </c>
    </row>
    <row r="5" spans="2:3" ht="17" x14ac:dyDescent="0.2">
      <c r="B5" s="109" t="s">
        <v>502</v>
      </c>
      <c r="C5" s="109">
        <v>633</v>
      </c>
    </row>
    <row r="6" spans="2:3" ht="17" x14ac:dyDescent="0.2">
      <c r="B6" s="106" t="s">
        <v>550</v>
      </c>
      <c r="C6" s="106">
        <v>447</v>
      </c>
    </row>
    <row r="7" spans="2:3" ht="17" x14ac:dyDescent="0.2">
      <c r="B7" s="106" t="s">
        <v>510</v>
      </c>
      <c r="C7" s="106">
        <v>411</v>
      </c>
    </row>
    <row r="8" spans="2:3" ht="17" x14ac:dyDescent="0.2">
      <c r="B8" s="106" t="s">
        <v>495</v>
      </c>
      <c r="C8" s="106">
        <v>236</v>
      </c>
    </row>
    <row r="9" spans="2:3" ht="17" x14ac:dyDescent="0.2">
      <c r="B9" s="106" t="s">
        <v>708</v>
      </c>
      <c r="C9" s="106">
        <v>156</v>
      </c>
    </row>
    <row r="10" spans="2:3" ht="17" x14ac:dyDescent="0.2">
      <c r="B10" s="106" t="s">
        <v>625</v>
      </c>
      <c r="C10" s="106">
        <v>119</v>
      </c>
    </row>
    <row r="11" spans="2:3" ht="17" x14ac:dyDescent="0.2">
      <c r="B11" s="106" t="s">
        <v>531</v>
      </c>
      <c r="C11" s="106">
        <v>108</v>
      </c>
    </row>
    <row r="12" spans="2:3" ht="17" x14ac:dyDescent="0.2">
      <c r="B12" s="106" t="s">
        <v>541</v>
      </c>
      <c r="C12" s="106">
        <v>93</v>
      </c>
    </row>
    <row r="13" spans="2:3" ht="17" x14ac:dyDescent="0.2">
      <c r="B13" s="106" t="s">
        <v>612</v>
      </c>
      <c r="C13" s="106">
        <v>91</v>
      </c>
    </row>
    <row r="14" spans="2:3" ht="17" x14ac:dyDescent="0.2">
      <c r="B14" s="106" t="s">
        <v>533</v>
      </c>
      <c r="C14" s="106">
        <v>83</v>
      </c>
    </row>
    <row r="15" spans="2:3" ht="17" x14ac:dyDescent="0.2">
      <c r="B15" s="106" t="s">
        <v>641</v>
      </c>
      <c r="C15" s="106">
        <v>81</v>
      </c>
    </row>
    <row r="16" spans="2:3" ht="17" x14ac:dyDescent="0.2">
      <c r="B16" s="106" t="s">
        <v>526</v>
      </c>
      <c r="C16" s="106">
        <v>73</v>
      </c>
    </row>
    <row r="17" spans="2:3" ht="17" x14ac:dyDescent="0.2">
      <c r="B17" s="106" t="s">
        <v>535</v>
      </c>
      <c r="C17" s="106">
        <v>72</v>
      </c>
    </row>
    <row r="18" spans="2:3" ht="17" x14ac:dyDescent="0.2">
      <c r="B18" s="106" t="s">
        <v>798</v>
      </c>
      <c r="C18" s="106">
        <v>65</v>
      </c>
    </row>
    <row r="19" spans="2:3" ht="17" x14ac:dyDescent="0.2">
      <c r="B19" s="106" t="s">
        <v>859</v>
      </c>
      <c r="C19" s="106">
        <v>60</v>
      </c>
    </row>
    <row r="20" spans="2:3" ht="17" x14ac:dyDescent="0.2">
      <c r="B20" s="106" t="s">
        <v>579</v>
      </c>
      <c r="C20" s="106">
        <v>55</v>
      </c>
    </row>
    <row r="21" spans="2:3" ht="17" x14ac:dyDescent="0.2">
      <c r="B21" s="106" t="s">
        <v>537</v>
      </c>
      <c r="C21" s="106">
        <v>53</v>
      </c>
    </row>
    <row r="22" spans="2:3" ht="17" x14ac:dyDescent="0.2">
      <c r="B22" s="106" t="s">
        <v>507</v>
      </c>
      <c r="C22" s="106">
        <v>51</v>
      </c>
    </row>
    <row r="23" spans="2:3" ht="17" x14ac:dyDescent="0.2">
      <c r="B23" s="106" t="s">
        <v>582</v>
      </c>
      <c r="C23" s="106">
        <v>42</v>
      </c>
    </row>
    <row r="24" spans="2:3" ht="17" x14ac:dyDescent="0.2">
      <c r="B24" s="106" t="s">
        <v>555</v>
      </c>
      <c r="C24" s="106">
        <v>36</v>
      </c>
    </row>
    <row r="25" spans="2:3" ht="17" x14ac:dyDescent="0.2">
      <c r="B25" s="106" t="s">
        <v>548</v>
      </c>
      <c r="C25" s="106">
        <v>34</v>
      </c>
    </row>
    <row r="26" spans="2:3" ht="17" x14ac:dyDescent="0.2">
      <c r="B26" s="106" t="s">
        <v>561</v>
      </c>
      <c r="C26" s="106">
        <v>32</v>
      </c>
    </row>
    <row r="27" spans="2:3" ht="17" x14ac:dyDescent="0.2">
      <c r="B27" s="106" t="s">
        <v>1226</v>
      </c>
      <c r="C27" s="106">
        <v>31</v>
      </c>
    </row>
    <row r="28" spans="2:3" ht="17" x14ac:dyDescent="0.2">
      <c r="B28" s="109" t="s">
        <v>1006</v>
      </c>
      <c r="C28" s="109">
        <v>25</v>
      </c>
    </row>
    <row r="29" spans="2:3" ht="17" x14ac:dyDescent="0.2">
      <c r="B29" s="106" t="s">
        <v>1637</v>
      </c>
      <c r="C29" s="106">
        <v>24</v>
      </c>
    </row>
    <row r="30" spans="2:3" ht="17" x14ac:dyDescent="0.2">
      <c r="B30" s="106" t="s">
        <v>558</v>
      </c>
      <c r="C30" s="106">
        <v>23</v>
      </c>
    </row>
    <row r="31" spans="2:3" ht="17" x14ac:dyDescent="0.2">
      <c r="B31" s="106" t="s">
        <v>529</v>
      </c>
      <c r="C31" s="106">
        <v>23</v>
      </c>
    </row>
    <row r="32" spans="2:3" ht="17" x14ac:dyDescent="0.2">
      <c r="B32" s="106" t="s">
        <v>616</v>
      </c>
      <c r="C32" s="106">
        <v>21</v>
      </c>
    </row>
    <row r="33" spans="2:3" ht="17" x14ac:dyDescent="0.2">
      <c r="B33" s="104" t="s">
        <v>6522</v>
      </c>
      <c r="C33" s="104">
        <v>20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B6DD-E925-EC44-8551-61A483B0B7B7}">
  <dimension ref="B1:C193"/>
  <sheetViews>
    <sheetView zoomScale="70" zoomScaleNormal="70" zoomScalePageLayoutView="70" workbookViewId="0">
      <selection activeCell="B7" sqref="B7"/>
    </sheetView>
  </sheetViews>
  <sheetFormatPr baseColWidth="10" defaultColWidth="11.1640625" defaultRowHeight="16" x14ac:dyDescent="0.2"/>
  <cols>
    <col min="1" max="1" width="11.1640625" style="43"/>
    <col min="2" max="3" width="11.1640625" style="48"/>
    <col min="4" max="16384" width="11.1640625" style="43"/>
  </cols>
  <sheetData>
    <row r="1" spans="2:3" x14ac:dyDescent="0.2">
      <c r="B1" s="48" t="s">
        <v>6527</v>
      </c>
    </row>
    <row r="3" spans="2:3" x14ac:dyDescent="0.2">
      <c r="B3" s="76" t="s">
        <v>6526</v>
      </c>
      <c r="C3" s="76" t="s">
        <v>6523</v>
      </c>
    </row>
    <row r="4" spans="2:3" x14ac:dyDescent="0.2">
      <c r="B4" s="110">
        <v>14</v>
      </c>
      <c r="C4" s="110">
        <v>843</v>
      </c>
    </row>
    <row r="5" spans="2:3" x14ac:dyDescent="0.2">
      <c r="B5" s="65">
        <v>15</v>
      </c>
      <c r="C5" s="65">
        <v>709</v>
      </c>
    </row>
    <row r="6" spans="2:3" x14ac:dyDescent="0.2">
      <c r="B6" s="65">
        <v>2</v>
      </c>
      <c r="C6" s="65">
        <v>609</v>
      </c>
    </row>
    <row r="7" spans="2:3" x14ac:dyDescent="0.2">
      <c r="B7" s="65">
        <v>148</v>
      </c>
      <c r="C7" s="65">
        <v>159</v>
      </c>
    </row>
    <row r="8" spans="2:3" x14ac:dyDescent="0.2">
      <c r="B8" s="65">
        <v>225</v>
      </c>
      <c r="C8" s="65">
        <v>145</v>
      </c>
    </row>
    <row r="9" spans="2:3" x14ac:dyDescent="0.2">
      <c r="B9" s="65">
        <v>19</v>
      </c>
      <c r="C9" s="65">
        <v>138</v>
      </c>
    </row>
    <row r="10" spans="2:3" x14ac:dyDescent="0.2">
      <c r="B10" s="65">
        <v>88</v>
      </c>
      <c r="C10" s="65">
        <v>126</v>
      </c>
    </row>
    <row r="11" spans="2:3" x14ac:dyDescent="0.2">
      <c r="B11" s="65">
        <v>1</v>
      </c>
      <c r="C11" s="65">
        <v>122</v>
      </c>
    </row>
    <row r="12" spans="2:3" x14ac:dyDescent="0.2">
      <c r="B12" s="65">
        <v>61</v>
      </c>
      <c r="C12" s="65">
        <v>109</v>
      </c>
    </row>
    <row r="13" spans="2:3" x14ac:dyDescent="0.2">
      <c r="B13" s="65">
        <v>9</v>
      </c>
      <c r="C13" s="65">
        <v>79</v>
      </c>
    </row>
    <row r="14" spans="2:3" x14ac:dyDescent="0.2">
      <c r="B14" s="65">
        <v>33</v>
      </c>
      <c r="C14" s="65">
        <v>73</v>
      </c>
    </row>
    <row r="15" spans="2:3" x14ac:dyDescent="0.2">
      <c r="B15" s="65">
        <v>4</v>
      </c>
      <c r="C15" s="65">
        <v>68</v>
      </c>
    </row>
    <row r="16" spans="2:3" x14ac:dyDescent="0.2">
      <c r="B16" s="65">
        <v>62</v>
      </c>
      <c r="C16" s="65">
        <v>68</v>
      </c>
    </row>
    <row r="17" spans="2:3" x14ac:dyDescent="0.2">
      <c r="B17" s="65">
        <v>13</v>
      </c>
      <c r="C17" s="65">
        <v>66</v>
      </c>
    </row>
    <row r="18" spans="2:3" x14ac:dyDescent="0.2">
      <c r="B18" s="65">
        <v>167</v>
      </c>
      <c r="C18" s="65">
        <v>56</v>
      </c>
    </row>
    <row r="19" spans="2:3" x14ac:dyDescent="0.2">
      <c r="B19" s="65">
        <v>60</v>
      </c>
      <c r="C19" s="65">
        <v>52</v>
      </c>
    </row>
    <row r="20" spans="2:3" x14ac:dyDescent="0.2">
      <c r="B20" s="65">
        <v>92</v>
      </c>
      <c r="C20" s="65">
        <v>52</v>
      </c>
    </row>
    <row r="21" spans="2:3" x14ac:dyDescent="0.2">
      <c r="B21" s="65">
        <v>12</v>
      </c>
      <c r="C21" s="65">
        <v>47</v>
      </c>
    </row>
    <row r="22" spans="2:3" x14ac:dyDescent="0.2">
      <c r="B22" s="65">
        <v>192</v>
      </c>
      <c r="C22" s="65">
        <v>46</v>
      </c>
    </row>
    <row r="23" spans="2:3" x14ac:dyDescent="0.2">
      <c r="B23" s="65">
        <v>70</v>
      </c>
      <c r="C23" s="65">
        <v>42</v>
      </c>
    </row>
    <row r="24" spans="2:3" x14ac:dyDescent="0.2">
      <c r="B24" s="65">
        <v>96</v>
      </c>
      <c r="C24" s="65">
        <v>37</v>
      </c>
    </row>
    <row r="25" spans="2:3" x14ac:dyDescent="0.2">
      <c r="B25" s="65">
        <v>5</v>
      </c>
      <c r="C25" s="65">
        <v>36</v>
      </c>
    </row>
    <row r="26" spans="2:3" x14ac:dyDescent="0.2">
      <c r="B26" s="65">
        <v>165</v>
      </c>
      <c r="C26" s="65">
        <v>34</v>
      </c>
    </row>
    <row r="27" spans="2:3" x14ac:dyDescent="0.2">
      <c r="B27" s="65">
        <v>18</v>
      </c>
      <c r="C27" s="65">
        <v>33</v>
      </c>
    </row>
    <row r="28" spans="2:3" x14ac:dyDescent="0.2">
      <c r="B28" s="65">
        <v>166</v>
      </c>
      <c r="C28" s="65">
        <v>32</v>
      </c>
    </row>
    <row r="29" spans="2:3" x14ac:dyDescent="0.2">
      <c r="B29" s="65">
        <v>56</v>
      </c>
      <c r="C29" s="65">
        <v>31</v>
      </c>
    </row>
    <row r="30" spans="2:3" x14ac:dyDescent="0.2">
      <c r="B30" s="65">
        <v>217</v>
      </c>
      <c r="C30" s="65">
        <v>30</v>
      </c>
    </row>
    <row r="31" spans="2:3" x14ac:dyDescent="0.2">
      <c r="B31" s="65">
        <v>43</v>
      </c>
      <c r="C31" s="65">
        <v>29</v>
      </c>
    </row>
    <row r="32" spans="2:3" x14ac:dyDescent="0.2">
      <c r="B32" s="65">
        <v>228</v>
      </c>
      <c r="C32" s="65">
        <v>29</v>
      </c>
    </row>
    <row r="33" spans="2:3" x14ac:dyDescent="0.2">
      <c r="B33" s="65">
        <v>87</v>
      </c>
      <c r="C33" s="65">
        <v>27</v>
      </c>
    </row>
    <row r="34" spans="2:3" x14ac:dyDescent="0.2">
      <c r="B34" s="65">
        <v>122</v>
      </c>
      <c r="C34" s="65">
        <v>27</v>
      </c>
    </row>
    <row r="35" spans="2:3" x14ac:dyDescent="0.2">
      <c r="B35" s="65">
        <v>169</v>
      </c>
      <c r="C35" s="65">
        <v>27</v>
      </c>
    </row>
    <row r="36" spans="2:3" x14ac:dyDescent="0.2">
      <c r="B36" s="65">
        <v>205</v>
      </c>
      <c r="C36" s="65">
        <v>27</v>
      </c>
    </row>
    <row r="37" spans="2:3" x14ac:dyDescent="0.2">
      <c r="B37" s="65">
        <v>74</v>
      </c>
      <c r="C37" s="65">
        <v>25</v>
      </c>
    </row>
    <row r="38" spans="2:3" x14ac:dyDescent="0.2">
      <c r="B38" s="65">
        <v>142</v>
      </c>
      <c r="C38" s="65">
        <v>25</v>
      </c>
    </row>
    <row r="39" spans="2:3" x14ac:dyDescent="0.2">
      <c r="B39" s="65">
        <v>147</v>
      </c>
      <c r="C39" s="65">
        <v>22</v>
      </c>
    </row>
    <row r="40" spans="2:3" x14ac:dyDescent="0.2">
      <c r="B40" s="65">
        <v>230</v>
      </c>
      <c r="C40" s="65">
        <v>22</v>
      </c>
    </row>
    <row r="41" spans="2:3" x14ac:dyDescent="0.2">
      <c r="B41" s="65">
        <v>20</v>
      </c>
      <c r="C41" s="65">
        <v>20</v>
      </c>
    </row>
    <row r="42" spans="2:3" x14ac:dyDescent="0.2">
      <c r="B42" s="65">
        <v>78</v>
      </c>
      <c r="C42" s="65">
        <v>20</v>
      </c>
    </row>
    <row r="43" spans="2:3" x14ac:dyDescent="0.2">
      <c r="B43" s="65">
        <v>220</v>
      </c>
      <c r="C43" s="65">
        <v>20</v>
      </c>
    </row>
    <row r="44" spans="2:3" x14ac:dyDescent="0.2">
      <c r="B44" s="65">
        <v>152</v>
      </c>
      <c r="C44" s="65">
        <v>19</v>
      </c>
    </row>
    <row r="45" spans="2:3" x14ac:dyDescent="0.2">
      <c r="B45" s="65">
        <v>154</v>
      </c>
      <c r="C45" s="65">
        <v>19</v>
      </c>
    </row>
    <row r="46" spans="2:3" x14ac:dyDescent="0.2">
      <c r="B46" s="65">
        <v>11</v>
      </c>
      <c r="C46" s="65">
        <v>18</v>
      </c>
    </row>
    <row r="47" spans="2:3" x14ac:dyDescent="0.2">
      <c r="B47" s="65">
        <v>52</v>
      </c>
      <c r="C47" s="65">
        <v>18</v>
      </c>
    </row>
    <row r="48" spans="2:3" x14ac:dyDescent="0.2">
      <c r="B48" s="65">
        <v>91</v>
      </c>
      <c r="C48" s="65">
        <v>18</v>
      </c>
    </row>
    <row r="49" spans="2:3" x14ac:dyDescent="0.2">
      <c r="B49" s="65">
        <v>194</v>
      </c>
      <c r="C49" s="65">
        <v>18</v>
      </c>
    </row>
    <row r="50" spans="2:3" x14ac:dyDescent="0.2">
      <c r="B50" s="65">
        <v>7</v>
      </c>
      <c r="C50" s="65">
        <v>17</v>
      </c>
    </row>
    <row r="51" spans="2:3" x14ac:dyDescent="0.2">
      <c r="B51" s="65">
        <v>82</v>
      </c>
      <c r="C51" s="65">
        <v>17</v>
      </c>
    </row>
    <row r="52" spans="2:3" x14ac:dyDescent="0.2">
      <c r="B52" s="65">
        <v>98</v>
      </c>
      <c r="C52" s="65">
        <v>17</v>
      </c>
    </row>
    <row r="53" spans="2:3" x14ac:dyDescent="0.2">
      <c r="B53" s="65">
        <v>86</v>
      </c>
      <c r="C53" s="65">
        <v>16</v>
      </c>
    </row>
    <row r="54" spans="2:3" x14ac:dyDescent="0.2">
      <c r="B54" s="65">
        <v>161</v>
      </c>
      <c r="C54" s="65">
        <v>16</v>
      </c>
    </row>
    <row r="55" spans="2:3" x14ac:dyDescent="0.2">
      <c r="B55" s="65">
        <v>36</v>
      </c>
      <c r="C55" s="65">
        <v>15</v>
      </c>
    </row>
    <row r="56" spans="2:3" x14ac:dyDescent="0.2">
      <c r="B56" s="65">
        <v>229</v>
      </c>
      <c r="C56" s="65">
        <v>15</v>
      </c>
    </row>
    <row r="57" spans="2:3" x14ac:dyDescent="0.2">
      <c r="B57" s="65">
        <v>29</v>
      </c>
      <c r="C57" s="65">
        <v>14</v>
      </c>
    </row>
    <row r="58" spans="2:3" x14ac:dyDescent="0.2">
      <c r="B58" s="65">
        <v>58</v>
      </c>
      <c r="C58" s="65">
        <v>14</v>
      </c>
    </row>
    <row r="59" spans="2:3" x14ac:dyDescent="0.2">
      <c r="B59" s="65">
        <v>141</v>
      </c>
      <c r="C59" s="65">
        <v>14</v>
      </c>
    </row>
    <row r="60" spans="2:3" x14ac:dyDescent="0.2">
      <c r="B60" s="65">
        <v>146</v>
      </c>
      <c r="C60" s="65">
        <v>14</v>
      </c>
    </row>
    <row r="61" spans="2:3" x14ac:dyDescent="0.2">
      <c r="B61" s="65">
        <v>180</v>
      </c>
      <c r="C61" s="65">
        <v>14</v>
      </c>
    </row>
    <row r="62" spans="2:3" x14ac:dyDescent="0.2">
      <c r="B62" s="65">
        <v>68</v>
      </c>
      <c r="C62" s="65">
        <v>13</v>
      </c>
    </row>
    <row r="63" spans="2:3" x14ac:dyDescent="0.2">
      <c r="B63" s="65">
        <v>181</v>
      </c>
      <c r="C63" s="65">
        <v>13</v>
      </c>
    </row>
    <row r="64" spans="2:3" x14ac:dyDescent="0.2">
      <c r="B64" s="65">
        <v>221</v>
      </c>
      <c r="C64" s="65">
        <v>13</v>
      </c>
    </row>
    <row r="65" spans="2:3" x14ac:dyDescent="0.2">
      <c r="B65" s="65">
        <v>226</v>
      </c>
      <c r="C65" s="65">
        <v>13</v>
      </c>
    </row>
    <row r="66" spans="2:3" x14ac:dyDescent="0.2">
      <c r="B66" s="65">
        <v>54</v>
      </c>
      <c r="C66" s="65">
        <v>12</v>
      </c>
    </row>
    <row r="67" spans="2:3" x14ac:dyDescent="0.2">
      <c r="B67" s="65">
        <v>95</v>
      </c>
      <c r="C67" s="65">
        <v>12</v>
      </c>
    </row>
    <row r="68" spans="2:3" x14ac:dyDescent="0.2">
      <c r="B68" s="65">
        <v>138</v>
      </c>
      <c r="C68" s="65">
        <v>12</v>
      </c>
    </row>
    <row r="69" spans="2:3" x14ac:dyDescent="0.2">
      <c r="B69" s="65">
        <v>163</v>
      </c>
      <c r="C69" s="65">
        <v>12</v>
      </c>
    </row>
    <row r="70" spans="2:3" x14ac:dyDescent="0.2">
      <c r="B70" s="65">
        <v>45</v>
      </c>
      <c r="C70" s="65">
        <v>11</v>
      </c>
    </row>
    <row r="71" spans="2:3" x14ac:dyDescent="0.2">
      <c r="B71" s="65">
        <v>55</v>
      </c>
      <c r="C71" s="65">
        <v>11</v>
      </c>
    </row>
    <row r="72" spans="2:3" x14ac:dyDescent="0.2">
      <c r="B72" s="65">
        <v>76</v>
      </c>
      <c r="C72" s="65">
        <v>11</v>
      </c>
    </row>
    <row r="73" spans="2:3" x14ac:dyDescent="0.2">
      <c r="B73" s="65">
        <v>114</v>
      </c>
      <c r="C73" s="65">
        <v>11</v>
      </c>
    </row>
    <row r="74" spans="2:3" x14ac:dyDescent="0.2">
      <c r="B74" s="65">
        <v>155</v>
      </c>
      <c r="C74" s="65">
        <v>11</v>
      </c>
    </row>
    <row r="75" spans="2:3" x14ac:dyDescent="0.2">
      <c r="B75" s="65">
        <v>178</v>
      </c>
      <c r="C75" s="65">
        <v>11</v>
      </c>
    </row>
    <row r="76" spans="2:3" x14ac:dyDescent="0.2">
      <c r="B76" s="65">
        <v>190</v>
      </c>
      <c r="C76" s="65">
        <v>11</v>
      </c>
    </row>
    <row r="77" spans="2:3" x14ac:dyDescent="0.2">
      <c r="B77" s="65">
        <v>198</v>
      </c>
      <c r="C77" s="65">
        <v>11</v>
      </c>
    </row>
    <row r="78" spans="2:3" x14ac:dyDescent="0.2">
      <c r="B78" s="65">
        <v>57</v>
      </c>
      <c r="C78" s="65">
        <v>10</v>
      </c>
    </row>
    <row r="79" spans="2:3" x14ac:dyDescent="0.2">
      <c r="B79" s="65">
        <v>63</v>
      </c>
      <c r="C79" s="65">
        <v>10</v>
      </c>
    </row>
    <row r="80" spans="2:3" x14ac:dyDescent="0.2">
      <c r="B80" s="65">
        <v>66</v>
      </c>
      <c r="C80" s="65">
        <v>10</v>
      </c>
    </row>
    <row r="81" spans="2:3" x14ac:dyDescent="0.2">
      <c r="B81" s="65">
        <v>118</v>
      </c>
      <c r="C81" s="65">
        <v>10</v>
      </c>
    </row>
    <row r="82" spans="2:3" x14ac:dyDescent="0.2">
      <c r="B82" s="65">
        <v>206</v>
      </c>
      <c r="C82" s="65">
        <v>10</v>
      </c>
    </row>
    <row r="83" spans="2:3" x14ac:dyDescent="0.2">
      <c r="B83" s="65">
        <v>10</v>
      </c>
      <c r="C83" s="65">
        <v>9</v>
      </c>
    </row>
    <row r="84" spans="2:3" x14ac:dyDescent="0.2">
      <c r="B84" s="65">
        <v>90</v>
      </c>
      <c r="C84" s="65">
        <v>9</v>
      </c>
    </row>
    <row r="85" spans="2:3" x14ac:dyDescent="0.2">
      <c r="B85" s="65">
        <v>110</v>
      </c>
      <c r="C85" s="65">
        <v>9</v>
      </c>
    </row>
    <row r="86" spans="2:3" x14ac:dyDescent="0.2">
      <c r="B86" s="65">
        <v>136</v>
      </c>
      <c r="C86" s="65">
        <v>9</v>
      </c>
    </row>
    <row r="87" spans="2:3" x14ac:dyDescent="0.2">
      <c r="B87" s="65">
        <v>176</v>
      </c>
      <c r="C87" s="65">
        <v>9</v>
      </c>
    </row>
    <row r="88" spans="2:3" x14ac:dyDescent="0.2">
      <c r="B88" s="65">
        <v>197</v>
      </c>
      <c r="C88" s="65">
        <v>9</v>
      </c>
    </row>
    <row r="89" spans="2:3" x14ac:dyDescent="0.2">
      <c r="B89" s="65">
        <v>223</v>
      </c>
      <c r="C89" s="65">
        <v>9</v>
      </c>
    </row>
    <row r="90" spans="2:3" x14ac:dyDescent="0.2">
      <c r="B90" s="65">
        <v>227</v>
      </c>
      <c r="C90" s="65">
        <v>9</v>
      </c>
    </row>
    <row r="91" spans="2:3" x14ac:dyDescent="0.2">
      <c r="B91" s="65">
        <v>64</v>
      </c>
      <c r="C91" s="65">
        <v>8</v>
      </c>
    </row>
    <row r="92" spans="2:3" x14ac:dyDescent="0.2">
      <c r="B92" s="65">
        <v>73</v>
      </c>
      <c r="C92" s="65">
        <v>8</v>
      </c>
    </row>
    <row r="93" spans="2:3" x14ac:dyDescent="0.2">
      <c r="B93" s="65">
        <v>85</v>
      </c>
      <c r="C93" s="65">
        <v>8</v>
      </c>
    </row>
    <row r="94" spans="2:3" x14ac:dyDescent="0.2">
      <c r="B94" s="65">
        <v>179</v>
      </c>
      <c r="C94" s="65">
        <v>8</v>
      </c>
    </row>
    <row r="95" spans="2:3" x14ac:dyDescent="0.2">
      <c r="B95" s="65">
        <v>49</v>
      </c>
      <c r="C95" s="65">
        <v>7</v>
      </c>
    </row>
    <row r="96" spans="2:3" x14ac:dyDescent="0.2">
      <c r="B96" s="65">
        <v>72</v>
      </c>
      <c r="C96" s="65">
        <v>7</v>
      </c>
    </row>
    <row r="97" spans="2:3" x14ac:dyDescent="0.2">
      <c r="B97" s="65">
        <v>130</v>
      </c>
      <c r="C97" s="65">
        <v>7</v>
      </c>
    </row>
    <row r="98" spans="2:3" x14ac:dyDescent="0.2">
      <c r="B98" s="65">
        <v>131</v>
      </c>
      <c r="C98" s="65">
        <v>7</v>
      </c>
    </row>
    <row r="99" spans="2:3" x14ac:dyDescent="0.2">
      <c r="B99" s="65">
        <v>159</v>
      </c>
      <c r="C99" s="65">
        <v>7</v>
      </c>
    </row>
    <row r="100" spans="2:3" x14ac:dyDescent="0.2">
      <c r="B100" s="65">
        <v>34</v>
      </c>
      <c r="C100" s="65">
        <v>6</v>
      </c>
    </row>
    <row r="101" spans="2:3" x14ac:dyDescent="0.2">
      <c r="B101" s="65">
        <v>81</v>
      </c>
      <c r="C101" s="65">
        <v>6</v>
      </c>
    </row>
    <row r="102" spans="2:3" x14ac:dyDescent="0.2">
      <c r="B102" s="65">
        <v>139</v>
      </c>
      <c r="C102" s="65">
        <v>6</v>
      </c>
    </row>
    <row r="103" spans="2:3" x14ac:dyDescent="0.2">
      <c r="B103" s="65">
        <v>204</v>
      </c>
      <c r="C103" s="65">
        <v>6</v>
      </c>
    </row>
    <row r="104" spans="2:3" x14ac:dyDescent="0.2">
      <c r="B104" s="65">
        <v>211</v>
      </c>
      <c r="C104" s="65">
        <v>6</v>
      </c>
    </row>
    <row r="105" spans="2:3" x14ac:dyDescent="0.2">
      <c r="B105" s="65">
        <v>213</v>
      </c>
      <c r="C105" s="65">
        <v>6</v>
      </c>
    </row>
    <row r="106" spans="2:3" x14ac:dyDescent="0.2">
      <c r="B106" s="65">
        <v>214</v>
      </c>
      <c r="C106" s="65">
        <v>6</v>
      </c>
    </row>
    <row r="107" spans="2:3" x14ac:dyDescent="0.2">
      <c r="B107" s="65">
        <v>24</v>
      </c>
      <c r="C107" s="65">
        <v>5</v>
      </c>
    </row>
    <row r="108" spans="2:3" x14ac:dyDescent="0.2">
      <c r="B108" s="65">
        <v>30</v>
      </c>
      <c r="C108" s="65">
        <v>5</v>
      </c>
    </row>
    <row r="109" spans="2:3" x14ac:dyDescent="0.2">
      <c r="B109" s="65">
        <v>44</v>
      </c>
      <c r="C109" s="65">
        <v>5</v>
      </c>
    </row>
    <row r="110" spans="2:3" x14ac:dyDescent="0.2">
      <c r="B110" s="65">
        <v>59</v>
      </c>
      <c r="C110" s="65">
        <v>5</v>
      </c>
    </row>
    <row r="111" spans="2:3" x14ac:dyDescent="0.2">
      <c r="B111" s="65">
        <v>80</v>
      </c>
      <c r="C111" s="65">
        <v>5</v>
      </c>
    </row>
    <row r="112" spans="2:3" x14ac:dyDescent="0.2">
      <c r="B112" s="65">
        <v>109</v>
      </c>
      <c r="C112" s="65">
        <v>5</v>
      </c>
    </row>
    <row r="113" spans="2:3" x14ac:dyDescent="0.2">
      <c r="B113" s="65">
        <v>126</v>
      </c>
      <c r="C113" s="65">
        <v>5</v>
      </c>
    </row>
    <row r="114" spans="2:3" x14ac:dyDescent="0.2">
      <c r="B114" s="65">
        <v>145</v>
      </c>
      <c r="C114" s="65">
        <v>5</v>
      </c>
    </row>
    <row r="115" spans="2:3" x14ac:dyDescent="0.2">
      <c r="B115" s="65">
        <v>150</v>
      </c>
      <c r="C115" s="65">
        <v>5</v>
      </c>
    </row>
    <row r="116" spans="2:3" x14ac:dyDescent="0.2">
      <c r="B116" s="65">
        <v>170</v>
      </c>
      <c r="C116" s="65">
        <v>5</v>
      </c>
    </row>
    <row r="117" spans="2:3" x14ac:dyDescent="0.2">
      <c r="B117" s="65">
        <v>182</v>
      </c>
      <c r="C117" s="65">
        <v>5</v>
      </c>
    </row>
    <row r="118" spans="2:3" x14ac:dyDescent="0.2">
      <c r="B118" s="65">
        <v>212</v>
      </c>
      <c r="C118" s="65">
        <v>5</v>
      </c>
    </row>
    <row r="119" spans="2:3" x14ac:dyDescent="0.2">
      <c r="B119" s="65">
        <v>3</v>
      </c>
      <c r="C119" s="65">
        <v>4</v>
      </c>
    </row>
    <row r="120" spans="2:3" x14ac:dyDescent="0.2">
      <c r="B120" s="65">
        <v>8</v>
      </c>
      <c r="C120" s="65">
        <v>4</v>
      </c>
    </row>
    <row r="121" spans="2:3" x14ac:dyDescent="0.2">
      <c r="B121" s="65">
        <v>23</v>
      </c>
      <c r="C121" s="65">
        <v>4</v>
      </c>
    </row>
    <row r="122" spans="2:3" x14ac:dyDescent="0.2">
      <c r="B122" s="65">
        <v>46</v>
      </c>
      <c r="C122" s="65">
        <v>4</v>
      </c>
    </row>
    <row r="123" spans="2:3" x14ac:dyDescent="0.2">
      <c r="B123" s="65">
        <v>71</v>
      </c>
      <c r="C123" s="65">
        <v>4</v>
      </c>
    </row>
    <row r="124" spans="2:3" x14ac:dyDescent="0.2">
      <c r="B124" s="65">
        <v>79</v>
      </c>
      <c r="C124" s="65">
        <v>4</v>
      </c>
    </row>
    <row r="125" spans="2:3" x14ac:dyDescent="0.2">
      <c r="B125" s="65">
        <v>123</v>
      </c>
      <c r="C125" s="65">
        <v>4</v>
      </c>
    </row>
    <row r="126" spans="2:3" x14ac:dyDescent="0.2">
      <c r="B126" s="65">
        <v>132</v>
      </c>
      <c r="C126" s="65">
        <v>4</v>
      </c>
    </row>
    <row r="127" spans="2:3" x14ac:dyDescent="0.2">
      <c r="B127" s="65">
        <v>140</v>
      </c>
      <c r="C127" s="65">
        <v>4</v>
      </c>
    </row>
    <row r="128" spans="2:3" x14ac:dyDescent="0.2">
      <c r="B128" s="65">
        <v>173</v>
      </c>
      <c r="C128" s="65">
        <v>4</v>
      </c>
    </row>
    <row r="129" spans="2:3" x14ac:dyDescent="0.2">
      <c r="B129" s="65">
        <v>185</v>
      </c>
      <c r="C129" s="65">
        <v>4</v>
      </c>
    </row>
    <row r="130" spans="2:3" x14ac:dyDescent="0.2">
      <c r="B130" s="65">
        <v>189</v>
      </c>
      <c r="C130" s="65">
        <v>4</v>
      </c>
    </row>
    <row r="131" spans="2:3" x14ac:dyDescent="0.2">
      <c r="B131" s="65">
        <v>193</v>
      </c>
      <c r="C131" s="65">
        <v>4</v>
      </c>
    </row>
    <row r="132" spans="2:3" x14ac:dyDescent="0.2">
      <c r="B132" s="65">
        <v>218</v>
      </c>
      <c r="C132" s="65">
        <v>4</v>
      </c>
    </row>
    <row r="133" spans="2:3" x14ac:dyDescent="0.2">
      <c r="B133" s="65">
        <v>31</v>
      </c>
      <c r="C133" s="65">
        <v>3</v>
      </c>
    </row>
    <row r="134" spans="2:3" x14ac:dyDescent="0.2">
      <c r="B134" s="65">
        <v>40</v>
      </c>
      <c r="C134" s="65">
        <v>3</v>
      </c>
    </row>
    <row r="135" spans="2:3" x14ac:dyDescent="0.2">
      <c r="B135" s="65">
        <v>41</v>
      </c>
      <c r="C135" s="65">
        <v>3</v>
      </c>
    </row>
    <row r="136" spans="2:3" x14ac:dyDescent="0.2">
      <c r="B136" s="65">
        <v>50</v>
      </c>
      <c r="C136" s="65">
        <v>3</v>
      </c>
    </row>
    <row r="137" spans="2:3" x14ac:dyDescent="0.2">
      <c r="B137" s="65">
        <v>53</v>
      </c>
      <c r="C137" s="65">
        <v>3</v>
      </c>
    </row>
    <row r="138" spans="2:3" x14ac:dyDescent="0.2">
      <c r="B138" s="65">
        <v>69</v>
      </c>
      <c r="C138" s="65">
        <v>3</v>
      </c>
    </row>
    <row r="139" spans="2:3" x14ac:dyDescent="0.2">
      <c r="B139" s="65">
        <v>104</v>
      </c>
      <c r="C139" s="65">
        <v>3</v>
      </c>
    </row>
    <row r="140" spans="2:3" x14ac:dyDescent="0.2">
      <c r="B140" s="65">
        <v>106</v>
      </c>
      <c r="C140" s="65">
        <v>3</v>
      </c>
    </row>
    <row r="141" spans="2:3" x14ac:dyDescent="0.2">
      <c r="B141" s="65">
        <v>116</v>
      </c>
      <c r="C141" s="65">
        <v>3</v>
      </c>
    </row>
    <row r="142" spans="2:3" x14ac:dyDescent="0.2">
      <c r="B142" s="65">
        <v>119</v>
      </c>
      <c r="C142" s="65">
        <v>3</v>
      </c>
    </row>
    <row r="143" spans="2:3" x14ac:dyDescent="0.2">
      <c r="B143" s="65">
        <v>124</v>
      </c>
      <c r="C143" s="65">
        <v>3</v>
      </c>
    </row>
    <row r="144" spans="2:3" x14ac:dyDescent="0.2">
      <c r="B144" s="65">
        <v>129</v>
      </c>
      <c r="C144" s="65">
        <v>3</v>
      </c>
    </row>
    <row r="145" spans="2:3" x14ac:dyDescent="0.2">
      <c r="B145" s="65">
        <v>137</v>
      </c>
      <c r="C145" s="65">
        <v>3</v>
      </c>
    </row>
    <row r="146" spans="2:3" x14ac:dyDescent="0.2">
      <c r="B146" s="65">
        <v>144</v>
      </c>
      <c r="C146" s="65">
        <v>3</v>
      </c>
    </row>
    <row r="147" spans="2:3" x14ac:dyDescent="0.2">
      <c r="B147" s="65">
        <v>160</v>
      </c>
      <c r="C147" s="65">
        <v>3</v>
      </c>
    </row>
    <row r="148" spans="2:3" x14ac:dyDescent="0.2">
      <c r="B148" s="65">
        <v>202</v>
      </c>
      <c r="C148" s="65">
        <v>3</v>
      </c>
    </row>
    <row r="149" spans="2:3" x14ac:dyDescent="0.2">
      <c r="B149" s="65">
        <v>216</v>
      </c>
      <c r="C149" s="65">
        <v>3</v>
      </c>
    </row>
    <row r="150" spans="2:3" x14ac:dyDescent="0.2">
      <c r="B150" s="65">
        <v>219</v>
      </c>
      <c r="C150" s="65">
        <v>3</v>
      </c>
    </row>
    <row r="151" spans="2:3" x14ac:dyDescent="0.2">
      <c r="B151" s="65">
        <v>6</v>
      </c>
      <c r="C151" s="65">
        <v>2</v>
      </c>
    </row>
    <row r="152" spans="2:3" x14ac:dyDescent="0.2">
      <c r="B152" s="65">
        <v>17</v>
      </c>
      <c r="C152" s="65">
        <v>2</v>
      </c>
    </row>
    <row r="153" spans="2:3" x14ac:dyDescent="0.2">
      <c r="B153" s="65">
        <v>38</v>
      </c>
      <c r="C153" s="65">
        <v>2</v>
      </c>
    </row>
    <row r="154" spans="2:3" x14ac:dyDescent="0.2">
      <c r="B154" s="65">
        <v>47</v>
      </c>
      <c r="C154" s="65">
        <v>2</v>
      </c>
    </row>
    <row r="155" spans="2:3" x14ac:dyDescent="0.2">
      <c r="B155" s="65">
        <v>75</v>
      </c>
      <c r="C155" s="65">
        <v>2</v>
      </c>
    </row>
    <row r="156" spans="2:3" x14ac:dyDescent="0.2">
      <c r="B156" s="65">
        <v>93</v>
      </c>
      <c r="C156" s="65">
        <v>2</v>
      </c>
    </row>
    <row r="157" spans="2:3" x14ac:dyDescent="0.2">
      <c r="B157" s="65">
        <v>94</v>
      </c>
      <c r="C157" s="65">
        <v>2</v>
      </c>
    </row>
    <row r="158" spans="2:3" x14ac:dyDescent="0.2">
      <c r="B158" s="65">
        <v>112</v>
      </c>
      <c r="C158" s="65">
        <v>2</v>
      </c>
    </row>
    <row r="159" spans="2:3" x14ac:dyDescent="0.2">
      <c r="B159" s="65">
        <v>120</v>
      </c>
      <c r="C159" s="65">
        <v>2</v>
      </c>
    </row>
    <row r="160" spans="2:3" x14ac:dyDescent="0.2">
      <c r="B160" s="65">
        <v>127</v>
      </c>
      <c r="C160" s="65">
        <v>2</v>
      </c>
    </row>
    <row r="161" spans="2:3" x14ac:dyDescent="0.2">
      <c r="B161" s="65">
        <v>128</v>
      </c>
      <c r="C161" s="65">
        <v>2</v>
      </c>
    </row>
    <row r="162" spans="2:3" x14ac:dyDescent="0.2">
      <c r="B162" s="65">
        <v>143</v>
      </c>
      <c r="C162" s="65">
        <v>2</v>
      </c>
    </row>
    <row r="163" spans="2:3" x14ac:dyDescent="0.2">
      <c r="B163" s="65">
        <v>151</v>
      </c>
      <c r="C163" s="65">
        <v>2</v>
      </c>
    </row>
    <row r="164" spans="2:3" x14ac:dyDescent="0.2">
      <c r="B164" s="65">
        <v>158</v>
      </c>
      <c r="C164" s="65">
        <v>2</v>
      </c>
    </row>
    <row r="165" spans="2:3" x14ac:dyDescent="0.2">
      <c r="B165" s="65">
        <v>162</v>
      </c>
      <c r="C165" s="65">
        <v>2</v>
      </c>
    </row>
    <row r="166" spans="2:3" x14ac:dyDescent="0.2">
      <c r="B166" s="65">
        <v>171</v>
      </c>
      <c r="C166" s="65">
        <v>2</v>
      </c>
    </row>
    <row r="167" spans="2:3" x14ac:dyDescent="0.2">
      <c r="B167" s="65">
        <v>175</v>
      </c>
      <c r="C167" s="65">
        <v>2</v>
      </c>
    </row>
    <row r="168" spans="2:3" x14ac:dyDescent="0.2">
      <c r="B168" s="65">
        <v>201</v>
      </c>
      <c r="C168" s="65">
        <v>2</v>
      </c>
    </row>
    <row r="169" spans="2:3" x14ac:dyDescent="0.2">
      <c r="B169" s="65">
        <v>210</v>
      </c>
      <c r="C169" s="65">
        <v>2</v>
      </c>
    </row>
    <row r="170" spans="2:3" x14ac:dyDescent="0.2">
      <c r="B170" s="65">
        <v>224</v>
      </c>
      <c r="C170" s="65">
        <v>2</v>
      </c>
    </row>
    <row r="171" spans="2:3" x14ac:dyDescent="0.2">
      <c r="B171" s="65">
        <v>21</v>
      </c>
      <c r="C171" s="65">
        <v>1</v>
      </c>
    </row>
    <row r="172" spans="2:3" x14ac:dyDescent="0.2">
      <c r="B172" s="65">
        <v>26</v>
      </c>
      <c r="C172" s="65">
        <v>1</v>
      </c>
    </row>
    <row r="173" spans="2:3" x14ac:dyDescent="0.2">
      <c r="B173" s="65">
        <v>32</v>
      </c>
      <c r="C173" s="65">
        <v>1</v>
      </c>
    </row>
    <row r="174" spans="2:3" x14ac:dyDescent="0.2">
      <c r="B174" s="65">
        <v>42</v>
      </c>
      <c r="C174" s="65">
        <v>1</v>
      </c>
    </row>
    <row r="175" spans="2:3" x14ac:dyDescent="0.2">
      <c r="B175" s="65">
        <v>48</v>
      </c>
      <c r="C175" s="65">
        <v>1</v>
      </c>
    </row>
    <row r="176" spans="2:3" x14ac:dyDescent="0.2">
      <c r="B176" s="65">
        <v>67</v>
      </c>
      <c r="C176" s="65">
        <v>1</v>
      </c>
    </row>
    <row r="177" spans="2:3" x14ac:dyDescent="0.2">
      <c r="B177" s="65">
        <v>83</v>
      </c>
      <c r="C177" s="65">
        <v>1</v>
      </c>
    </row>
    <row r="178" spans="2:3" x14ac:dyDescent="0.2">
      <c r="B178" s="65">
        <v>84</v>
      </c>
      <c r="C178" s="65">
        <v>1</v>
      </c>
    </row>
    <row r="179" spans="2:3" x14ac:dyDescent="0.2">
      <c r="B179" s="65">
        <v>97</v>
      </c>
      <c r="C179" s="65">
        <v>1</v>
      </c>
    </row>
    <row r="180" spans="2:3" x14ac:dyDescent="0.2">
      <c r="B180" s="65">
        <v>103</v>
      </c>
      <c r="C180" s="65">
        <v>1</v>
      </c>
    </row>
    <row r="181" spans="2:3" x14ac:dyDescent="0.2">
      <c r="B181" s="65">
        <v>108</v>
      </c>
      <c r="C181" s="65">
        <v>1</v>
      </c>
    </row>
    <row r="182" spans="2:3" x14ac:dyDescent="0.2">
      <c r="B182" s="65">
        <v>113</v>
      </c>
      <c r="C182" s="65">
        <v>1</v>
      </c>
    </row>
    <row r="183" spans="2:3" x14ac:dyDescent="0.2">
      <c r="B183" s="65">
        <v>121</v>
      </c>
      <c r="C183" s="65">
        <v>1</v>
      </c>
    </row>
    <row r="184" spans="2:3" x14ac:dyDescent="0.2">
      <c r="B184" s="65">
        <v>134</v>
      </c>
      <c r="C184" s="65">
        <v>1</v>
      </c>
    </row>
    <row r="185" spans="2:3" x14ac:dyDescent="0.2">
      <c r="B185" s="65">
        <v>149</v>
      </c>
      <c r="C185" s="65">
        <v>1</v>
      </c>
    </row>
    <row r="186" spans="2:3" x14ac:dyDescent="0.2">
      <c r="B186" s="65">
        <v>184</v>
      </c>
      <c r="C186" s="65">
        <v>1</v>
      </c>
    </row>
    <row r="187" spans="2:3" x14ac:dyDescent="0.2">
      <c r="B187" s="65">
        <v>186</v>
      </c>
      <c r="C187" s="65">
        <v>1</v>
      </c>
    </row>
    <row r="188" spans="2:3" x14ac:dyDescent="0.2">
      <c r="B188" s="65">
        <v>188</v>
      </c>
      <c r="C188" s="65">
        <v>1</v>
      </c>
    </row>
    <row r="189" spans="2:3" x14ac:dyDescent="0.2">
      <c r="B189" s="65">
        <v>191</v>
      </c>
      <c r="C189" s="65">
        <v>1</v>
      </c>
    </row>
    <row r="190" spans="2:3" x14ac:dyDescent="0.2">
      <c r="B190" s="65">
        <v>207</v>
      </c>
      <c r="C190" s="65">
        <v>1</v>
      </c>
    </row>
    <row r="191" spans="2:3" x14ac:dyDescent="0.2">
      <c r="B191" s="65">
        <v>209</v>
      </c>
      <c r="C191" s="65">
        <v>1</v>
      </c>
    </row>
    <row r="192" spans="2:3" x14ac:dyDescent="0.2">
      <c r="B192" s="65">
        <v>215</v>
      </c>
      <c r="C192" s="65">
        <v>1</v>
      </c>
    </row>
    <row r="193" spans="2:3" x14ac:dyDescent="0.2">
      <c r="B193" s="103">
        <v>222</v>
      </c>
      <c r="C193" s="103">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029D-F2AD-D342-B10F-89AD70B0967F}">
  <dimension ref="B1:D106"/>
  <sheetViews>
    <sheetView zoomScale="70" zoomScaleNormal="70" zoomScalePageLayoutView="70" workbookViewId="0">
      <selection activeCell="T88" sqref="T88"/>
    </sheetView>
  </sheetViews>
  <sheetFormatPr baseColWidth="10" defaultColWidth="11.1640625" defaultRowHeight="16" x14ac:dyDescent="0.2"/>
  <cols>
    <col min="1" max="1" width="11.1640625" style="43"/>
    <col min="2" max="2" width="17.33203125" style="43" customWidth="1"/>
    <col min="3" max="16384" width="11.1640625" style="43"/>
  </cols>
  <sheetData>
    <row r="1" spans="2:4" x14ac:dyDescent="0.2">
      <c r="B1" s="43" t="s">
        <v>6574</v>
      </c>
    </row>
    <row r="2" spans="2:4" x14ac:dyDescent="0.2">
      <c r="B2" s="111"/>
    </row>
    <row r="3" spans="2:4" ht="19" x14ac:dyDescent="0.2">
      <c r="B3" s="108" t="s">
        <v>6573</v>
      </c>
      <c r="C3" s="108" t="s">
        <v>6572</v>
      </c>
      <c r="D3" s="108" t="s">
        <v>6571</v>
      </c>
    </row>
    <row r="4" spans="2:4" ht="17" x14ac:dyDescent="0.2">
      <c r="B4" s="106" t="s">
        <v>6570</v>
      </c>
      <c r="C4" s="106">
        <v>16.600000000000001</v>
      </c>
      <c r="D4" s="106">
        <v>3.1</v>
      </c>
    </row>
    <row r="5" spans="2:4" ht="17" x14ac:dyDescent="0.2">
      <c r="B5" s="106" t="s">
        <v>625</v>
      </c>
      <c r="C5" s="106">
        <v>18.11</v>
      </c>
      <c r="D5" s="106">
        <v>2.8</v>
      </c>
    </row>
    <row r="6" spans="2:4" ht="17" x14ac:dyDescent="0.2">
      <c r="B6" s="106" t="s">
        <v>548</v>
      </c>
      <c r="C6" s="106">
        <v>254.09</v>
      </c>
      <c r="D6" s="106">
        <v>4.01</v>
      </c>
    </row>
    <row r="7" spans="2:4" ht="17" x14ac:dyDescent="0.2">
      <c r="B7" s="106" t="s">
        <v>6569</v>
      </c>
      <c r="C7" s="106">
        <v>7.04</v>
      </c>
      <c r="D7" s="106">
        <v>3.01</v>
      </c>
    </row>
    <row r="8" spans="2:4" ht="17" x14ac:dyDescent="0.2">
      <c r="B8" s="106" t="s">
        <v>6568</v>
      </c>
      <c r="C8" s="106">
        <v>93.08</v>
      </c>
      <c r="D8" s="106">
        <v>3.45</v>
      </c>
    </row>
    <row r="9" spans="2:4" ht="17" x14ac:dyDescent="0.2">
      <c r="B9" s="106" t="s">
        <v>6567</v>
      </c>
      <c r="C9" s="106">
        <v>155.47</v>
      </c>
      <c r="D9" s="106">
        <v>3.77</v>
      </c>
    </row>
    <row r="10" spans="2:4" ht="17" x14ac:dyDescent="0.2">
      <c r="B10" s="106" t="s">
        <v>6566</v>
      </c>
      <c r="C10" s="106">
        <v>142.88999999999999</v>
      </c>
      <c r="D10" s="106">
        <v>4.2300000000000004</v>
      </c>
    </row>
    <row r="11" spans="2:4" ht="17" x14ac:dyDescent="0.2">
      <c r="B11" s="106" t="s">
        <v>6565</v>
      </c>
      <c r="C11" s="106">
        <v>19.62</v>
      </c>
      <c r="D11" s="106">
        <v>2.93</v>
      </c>
    </row>
    <row r="12" spans="2:4" ht="17" x14ac:dyDescent="0.2">
      <c r="B12" s="106" t="s">
        <v>6564</v>
      </c>
      <c r="C12" s="106">
        <v>90.57</v>
      </c>
      <c r="D12" s="106">
        <v>3.64</v>
      </c>
    </row>
    <row r="13" spans="2:4" ht="17" x14ac:dyDescent="0.2">
      <c r="B13" s="106" t="s">
        <v>587</v>
      </c>
      <c r="C13" s="106">
        <v>183.15</v>
      </c>
      <c r="D13" s="106">
        <v>3.3</v>
      </c>
    </row>
    <row r="14" spans="2:4" ht="17" x14ac:dyDescent="0.2">
      <c r="B14" s="106" t="s">
        <v>1211</v>
      </c>
      <c r="C14" s="106">
        <v>42.77</v>
      </c>
      <c r="D14" s="106">
        <v>2.4500000000000002</v>
      </c>
    </row>
    <row r="15" spans="2:4" ht="17" x14ac:dyDescent="0.2">
      <c r="B15" s="106" t="s">
        <v>1681</v>
      </c>
      <c r="C15" s="106">
        <v>260.63</v>
      </c>
      <c r="D15" s="106">
        <v>3.89</v>
      </c>
    </row>
    <row r="16" spans="2:4" ht="17" x14ac:dyDescent="0.2">
      <c r="B16" s="106" t="s">
        <v>6563</v>
      </c>
      <c r="C16" s="106">
        <v>6.54</v>
      </c>
      <c r="D16" s="106">
        <v>2.97</v>
      </c>
    </row>
    <row r="17" spans="2:4" ht="17" x14ac:dyDescent="0.2">
      <c r="B17" s="106" t="s">
        <v>6464</v>
      </c>
      <c r="C17" s="106">
        <v>126.29</v>
      </c>
      <c r="D17" s="106">
        <v>3.73</v>
      </c>
    </row>
    <row r="18" spans="2:4" ht="17" x14ac:dyDescent="0.2">
      <c r="B18" s="106" t="s">
        <v>6402</v>
      </c>
      <c r="C18" s="106">
        <v>52.83</v>
      </c>
      <c r="D18" s="106">
        <v>3.43</v>
      </c>
    </row>
    <row r="19" spans="2:4" ht="17" x14ac:dyDescent="0.2">
      <c r="B19" s="106" t="s">
        <v>555</v>
      </c>
      <c r="C19" s="106">
        <v>119.75</v>
      </c>
      <c r="D19" s="106">
        <v>3.03</v>
      </c>
    </row>
    <row r="20" spans="2:4" ht="17" x14ac:dyDescent="0.2">
      <c r="B20" s="106" t="s">
        <v>555</v>
      </c>
      <c r="C20" s="106">
        <v>119.75</v>
      </c>
      <c r="D20" s="106">
        <v>3.03</v>
      </c>
    </row>
    <row r="21" spans="2:4" ht="17" x14ac:dyDescent="0.2">
      <c r="B21" s="106" t="s">
        <v>550</v>
      </c>
      <c r="C21" s="106">
        <v>114.72</v>
      </c>
      <c r="D21" s="106">
        <v>2.54</v>
      </c>
    </row>
    <row r="22" spans="2:4" ht="17" x14ac:dyDescent="0.2">
      <c r="B22" s="106" t="s">
        <v>507</v>
      </c>
      <c r="C22" s="106">
        <v>6.54</v>
      </c>
      <c r="D22" s="106">
        <v>3.17</v>
      </c>
    </row>
    <row r="23" spans="2:4" ht="17" x14ac:dyDescent="0.2">
      <c r="B23" s="106" t="s">
        <v>6562</v>
      </c>
      <c r="C23" s="106">
        <v>6.54</v>
      </c>
      <c r="D23" s="106">
        <v>2.95</v>
      </c>
    </row>
    <row r="24" spans="2:4" ht="17" x14ac:dyDescent="0.2">
      <c r="B24" s="106" t="s">
        <v>6472</v>
      </c>
      <c r="C24" s="106">
        <v>114.21</v>
      </c>
      <c r="D24" s="106">
        <v>3.52</v>
      </c>
    </row>
    <row r="25" spans="2:4" ht="17" x14ac:dyDescent="0.2">
      <c r="B25" s="106" t="s">
        <v>6561</v>
      </c>
      <c r="C25" s="106">
        <v>6.54</v>
      </c>
      <c r="D25" s="106">
        <v>2.96</v>
      </c>
    </row>
    <row r="26" spans="2:4" ht="17" x14ac:dyDescent="0.2">
      <c r="B26" s="106" t="s">
        <v>510</v>
      </c>
      <c r="C26" s="106">
        <v>7.04</v>
      </c>
      <c r="D26" s="106">
        <v>2.56</v>
      </c>
    </row>
    <row r="27" spans="2:4" ht="17" x14ac:dyDescent="0.2">
      <c r="B27" s="106" t="s">
        <v>523</v>
      </c>
      <c r="C27" s="106">
        <v>7.55</v>
      </c>
      <c r="D27" s="106">
        <v>2.69</v>
      </c>
    </row>
    <row r="28" spans="2:4" ht="17" x14ac:dyDescent="0.2">
      <c r="B28" s="106" t="s">
        <v>502</v>
      </c>
      <c r="C28" s="106">
        <v>2.52</v>
      </c>
      <c r="D28" s="106">
        <v>3.11</v>
      </c>
    </row>
    <row r="29" spans="2:4" ht="17" x14ac:dyDescent="0.2">
      <c r="B29" s="106" t="s">
        <v>776</v>
      </c>
      <c r="C29" s="106">
        <v>22.64</v>
      </c>
      <c r="D29" s="106">
        <v>4.0199999999999996</v>
      </c>
    </row>
    <row r="30" spans="2:4" ht="17" x14ac:dyDescent="0.2">
      <c r="B30" s="106" t="s">
        <v>537</v>
      </c>
      <c r="C30" s="106">
        <v>3.52</v>
      </c>
      <c r="D30" s="106">
        <v>3.05</v>
      </c>
    </row>
    <row r="31" spans="2:4" ht="17" x14ac:dyDescent="0.2">
      <c r="B31" s="106" t="s">
        <v>531</v>
      </c>
      <c r="C31" s="106">
        <v>4.03</v>
      </c>
      <c r="D31" s="106">
        <v>3.11</v>
      </c>
    </row>
    <row r="32" spans="2:4" ht="17" x14ac:dyDescent="0.2">
      <c r="B32" s="106" t="s">
        <v>859</v>
      </c>
      <c r="C32" s="106">
        <v>3.52</v>
      </c>
      <c r="D32" s="106">
        <v>3.02</v>
      </c>
    </row>
    <row r="33" spans="2:4" ht="17" x14ac:dyDescent="0.2">
      <c r="B33" s="106" t="s">
        <v>6560</v>
      </c>
      <c r="C33" s="106">
        <v>6.04</v>
      </c>
      <c r="D33" s="106">
        <v>2.94</v>
      </c>
    </row>
    <row r="34" spans="2:4" ht="17" x14ac:dyDescent="0.2">
      <c r="B34" s="106" t="s">
        <v>6462</v>
      </c>
      <c r="C34" s="106">
        <v>25.16</v>
      </c>
      <c r="D34" s="106">
        <v>3</v>
      </c>
    </row>
    <row r="35" spans="2:4" ht="17" x14ac:dyDescent="0.2">
      <c r="B35" s="106" t="s">
        <v>612</v>
      </c>
      <c r="C35" s="106">
        <v>6.54</v>
      </c>
      <c r="D35" s="106">
        <v>2.59</v>
      </c>
    </row>
    <row r="36" spans="2:4" ht="17" x14ac:dyDescent="0.2">
      <c r="B36" s="106" t="s">
        <v>6559</v>
      </c>
      <c r="C36" s="106">
        <v>6.04</v>
      </c>
      <c r="D36" s="106">
        <v>2.93</v>
      </c>
    </row>
    <row r="37" spans="2:4" ht="17" x14ac:dyDescent="0.2">
      <c r="B37" s="106" t="s">
        <v>6558</v>
      </c>
      <c r="C37" s="106">
        <v>25.16</v>
      </c>
      <c r="D37" s="106">
        <v>4.37</v>
      </c>
    </row>
    <row r="38" spans="2:4" ht="17" x14ac:dyDescent="0.2">
      <c r="B38" s="106" t="s">
        <v>632</v>
      </c>
      <c r="C38" s="106">
        <v>208.81</v>
      </c>
      <c r="D38" s="106">
        <v>3.9</v>
      </c>
    </row>
    <row r="39" spans="2:4" ht="17" x14ac:dyDescent="0.2">
      <c r="B39" s="106" t="s">
        <v>6557</v>
      </c>
      <c r="C39" s="106">
        <v>190.69</v>
      </c>
      <c r="D39" s="106">
        <v>3.81</v>
      </c>
    </row>
    <row r="40" spans="2:4" ht="17" x14ac:dyDescent="0.2">
      <c r="B40" s="106" t="s">
        <v>533</v>
      </c>
      <c r="C40" s="106">
        <v>4.53</v>
      </c>
      <c r="D40" s="106">
        <v>3</v>
      </c>
    </row>
    <row r="41" spans="2:4" ht="17" x14ac:dyDescent="0.2">
      <c r="B41" s="106" t="s">
        <v>6556</v>
      </c>
      <c r="C41" s="106">
        <v>22.14</v>
      </c>
      <c r="D41" s="106">
        <v>2.57</v>
      </c>
    </row>
    <row r="42" spans="2:4" ht="17" x14ac:dyDescent="0.2">
      <c r="B42" s="106" t="s">
        <v>918</v>
      </c>
      <c r="C42" s="106">
        <v>36.229999999999997</v>
      </c>
      <c r="D42" s="106">
        <v>2.8</v>
      </c>
    </row>
    <row r="43" spans="2:4" ht="17" x14ac:dyDescent="0.2">
      <c r="B43" s="106" t="s">
        <v>6555</v>
      </c>
      <c r="C43" s="106">
        <v>193.71</v>
      </c>
      <c r="D43" s="106">
        <v>2.41</v>
      </c>
    </row>
    <row r="44" spans="2:4" ht="17" x14ac:dyDescent="0.2">
      <c r="B44" s="106" t="s">
        <v>558</v>
      </c>
      <c r="C44" s="106">
        <v>3.52</v>
      </c>
      <c r="D44" s="106">
        <v>3.04</v>
      </c>
    </row>
    <row r="45" spans="2:4" ht="17" x14ac:dyDescent="0.2">
      <c r="B45" s="106" t="s">
        <v>6450</v>
      </c>
      <c r="C45" s="106">
        <v>170.57</v>
      </c>
      <c r="D45" s="106">
        <v>4.01</v>
      </c>
    </row>
    <row r="46" spans="2:4" ht="17" x14ac:dyDescent="0.2">
      <c r="B46" s="106" t="s">
        <v>526</v>
      </c>
      <c r="C46" s="106">
        <v>301.39</v>
      </c>
      <c r="D46" s="106">
        <v>3.98</v>
      </c>
    </row>
    <row r="47" spans="2:4" ht="17" x14ac:dyDescent="0.2">
      <c r="B47" s="106" t="s">
        <v>6554</v>
      </c>
      <c r="C47" s="106">
        <v>36.729999999999997</v>
      </c>
      <c r="D47" s="106">
        <v>2.5299999999999998</v>
      </c>
    </row>
    <row r="48" spans="2:4" ht="17" x14ac:dyDescent="0.2">
      <c r="B48" s="106" t="s">
        <v>567</v>
      </c>
      <c r="C48" s="106">
        <v>17.61</v>
      </c>
      <c r="D48" s="106">
        <v>3.4</v>
      </c>
    </row>
    <row r="49" spans="2:4" ht="17" x14ac:dyDescent="0.2">
      <c r="B49" s="106" t="s">
        <v>6553</v>
      </c>
      <c r="C49" s="106">
        <v>110.69</v>
      </c>
      <c r="D49" s="106">
        <v>3.69</v>
      </c>
    </row>
    <row r="50" spans="2:4" ht="17" x14ac:dyDescent="0.2">
      <c r="B50" s="106" t="s">
        <v>641</v>
      </c>
      <c r="C50" s="106">
        <v>8.5500000000000007</v>
      </c>
      <c r="D50" s="106">
        <v>3.14</v>
      </c>
    </row>
    <row r="51" spans="2:4" ht="17" x14ac:dyDescent="0.2">
      <c r="B51" s="106" t="s">
        <v>569</v>
      </c>
      <c r="C51" s="106">
        <v>12.58</v>
      </c>
      <c r="D51" s="106">
        <v>2.1800000000000002</v>
      </c>
    </row>
    <row r="52" spans="2:4" ht="17" x14ac:dyDescent="0.2">
      <c r="B52" s="106" t="s">
        <v>1652</v>
      </c>
      <c r="C52" s="106">
        <v>20.63</v>
      </c>
      <c r="D52" s="106">
        <v>3.24</v>
      </c>
    </row>
    <row r="53" spans="2:4" ht="17" x14ac:dyDescent="0.2">
      <c r="B53" s="106" t="s">
        <v>6552</v>
      </c>
      <c r="C53" s="106">
        <v>5.53</v>
      </c>
      <c r="D53" s="106">
        <v>2.88</v>
      </c>
    </row>
    <row r="54" spans="2:4" ht="17" x14ac:dyDescent="0.2">
      <c r="B54" s="106" t="s">
        <v>6551</v>
      </c>
      <c r="C54" s="106">
        <v>5.53</v>
      </c>
      <c r="D54" s="106">
        <v>2.92</v>
      </c>
    </row>
    <row r="55" spans="2:4" ht="17" x14ac:dyDescent="0.2">
      <c r="B55" s="106" t="s">
        <v>798</v>
      </c>
      <c r="C55" s="106">
        <v>55.85</v>
      </c>
      <c r="D55" s="106">
        <v>2.69</v>
      </c>
    </row>
    <row r="56" spans="2:4" ht="17" x14ac:dyDescent="0.2">
      <c r="B56" s="106" t="s">
        <v>495</v>
      </c>
      <c r="C56" s="106">
        <v>6.54</v>
      </c>
      <c r="D56" s="106">
        <v>2.64</v>
      </c>
    </row>
    <row r="57" spans="2:4" ht="17" x14ac:dyDescent="0.2">
      <c r="B57" s="106" t="s">
        <v>669</v>
      </c>
      <c r="C57" s="106">
        <v>28.18</v>
      </c>
      <c r="D57" s="106">
        <v>2.72</v>
      </c>
    </row>
    <row r="58" spans="2:4" ht="17" x14ac:dyDescent="0.2">
      <c r="B58" s="106" t="s">
        <v>36</v>
      </c>
      <c r="C58" s="106">
        <v>34.72</v>
      </c>
      <c r="D58" s="106">
        <v>3.26</v>
      </c>
    </row>
    <row r="59" spans="2:4" ht="17" x14ac:dyDescent="0.2">
      <c r="B59" s="106" t="s">
        <v>1174</v>
      </c>
      <c r="C59" s="106">
        <v>15.09</v>
      </c>
      <c r="D59" s="106">
        <v>2.66</v>
      </c>
    </row>
    <row r="60" spans="2:4" ht="17" x14ac:dyDescent="0.2">
      <c r="B60" s="106" t="s">
        <v>6550</v>
      </c>
      <c r="C60" s="106">
        <v>21.13</v>
      </c>
      <c r="D60" s="106">
        <v>2.66</v>
      </c>
    </row>
    <row r="61" spans="2:4" ht="17" x14ac:dyDescent="0.2">
      <c r="B61" s="106" t="s">
        <v>6549</v>
      </c>
      <c r="C61" s="106">
        <v>29.69</v>
      </c>
      <c r="D61" s="106">
        <v>2.82</v>
      </c>
    </row>
    <row r="62" spans="2:4" ht="17" x14ac:dyDescent="0.2">
      <c r="B62" s="106" t="s">
        <v>541</v>
      </c>
      <c r="C62" s="106">
        <v>5.03</v>
      </c>
      <c r="D62" s="106">
        <v>3.18</v>
      </c>
    </row>
    <row r="63" spans="2:4" ht="17" x14ac:dyDescent="0.2">
      <c r="B63" s="106" t="s">
        <v>6548</v>
      </c>
      <c r="C63" s="106">
        <v>5.53</v>
      </c>
      <c r="D63" s="106">
        <v>2.89</v>
      </c>
    </row>
    <row r="64" spans="2:4" ht="17" x14ac:dyDescent="0.2">
      <c r="B64" s="106" t="s">
        <v>708</v>
      </c>
      <c r="C64" s="106">
        <v>7.55</v>
      </c>
      <c r="D64" s="106">
        <v>2.52</v>
      </c>
    </row>
    <row r="65" spans="2:4" ht="17" x14ac:dyDescent="0.2">
      <c r="B65" s="106" t="s">
        <v>607</v>
      </c>
      <c r="C65" s="106">
        <v>9.56</v>
      </c>
      <c r="D65" s="106">
        <v>3.05</v>
      </c>
    </row>
    <row r="66" spans="2:4" ht="17" x14ac:dyDescent="0.2">
      <c r="B66" s="106" t="s">
        <v>6397</v>
      </c>
      <c r="C66" s="106">
        <v>30.19</v>
      </c>
      <c r="D66" s="106">
        <v>3.12</v>
      </c>
    </row>
    <row r="67" spans="2:4" ht="17" x14ac:dyDescent="0.2">
      <c r="B67" s="106" t="s">
        <v>6547</v>
      </c>
      <c r="C67" s="106">
        <v>18.62</v>
      </c>
      <c r="D67" s="106">
        <v>2.78</v>
      </c>
    </row>
    <row r="68" spans="2:4" ht="17" x14ac:dyDescent="0.2">
      <c r="B68" s="106" t="s">
        <v>6546</v>
      </c>
      <c r="C68" s="106">
        <v>153.46</v>
      </c>
      <c r="D68" s="106">
        <v>3.69</v>
      </c>
    </row>
    <row r="69" spans="2:4" ht="17" x14ac:dyDescent="0.2">
      <c r="B69" s="106" t="s">
        <v>6545</v>
      </c>
      <c r="C69" s="106">
        <v>11.07</v>
      </c>
      <c r="D69" s="106">
        <v>3.05</v>
      </c>
    </row>
    <row r="70" spans="2:4" ht="17" x14ac:dyDescent="0.2">
      <c r="B70" s="106" t="s">
        <v>687</v>
      </c>
      <c r="C70" s="106">
        <v>333.59</v>
      </c>
      <c r="D70" s="106">
        <v>3.83</v>
      </c>
    </row>
    <row r="71" spans="2:4" ht="17" x14ac:dyDescent="0.2">
      <c r="B71" s="106" t="s">
        <v>735</v>
      </c>
      <c r="C71" s="106">
        <v>24.15</v>
      </c>
      <c r="D71" s="106">
        <v>2.58</v>
      </c>
    </row>
    <row r="72" spans="2:4" ht="17" x14ac:dyDescent="0.2">
      <c r="B72" s="106" t="s">
        <v>6544</v>
      </c>
      <c r="C72" s="106">
        <v>4.53</v>
      </c>
      <c r="D72" s="106">
        <v>3.16</v>
      </c>
    </row>
    <row r="73" spans="2:4" ht="17" x14ac:dyDescent="0.2">
      <c r="B73" s="106" t="s">
        <v>6543</v>
      </c>
      <c r="C73" s="106">
        <v>163.52000000000001</v>
      </c>
      <c r="D73" s="106">
        <v>4.2</v>
      </c>
    </row>
    <row r="74" spans="2:4" ht="17" x14ac:dyDescent="0.2">
      <c r="B74" s="106" t="s">
        <v>579</v>
      </c>
      <c r="C74" s="106">
        <v>5.03</v>
      </c>
      <c r="D74" s="106">
        <v>3.21</v>
      </c>
    </row>
    <row r="75" spans="2:4" ht="17" x14ac:dyDescent="0.2">
      <c r="B75" s="106" t="s">
        <v>6542</v>
      </c>
      <c r="C75" s="106">
        <v>40.25</v>
      </c>
      <c r="D75" s="106">
        <v>2.4500000000000002</v>
      </c>
    </row>
    <row r="76" spans="2:4" ht="17" x14ac:dyDescent="0.2">
      <c r="B76" s="106" t="s">
        <v>1891</v>
      </c>
      <c r="C76" s="106">
        <v>8.0500000000000007</v>
      </c>
      <c r="D76" s="106">
        <v>3.05</v>
      </c>
    </row>
    <row r="77" spans="2:4" ht="17" x14ac:dyDescent="0.2">
      <c r="B77" s="106" t="s">
        <v>6541</v>
      </c>
      <c r="C77" s="106">
        <v>203.27</v>
      </c>
      <c r="D77" s="106">
        <v>3.28</v>
      </c>
    </row>
    <row r="78" spans="2:4" ht="17" x14ac:dyDescent="0.2">
      <c r="B78" s="106" t="s">
        <v>2526</v>
      </c>
      <c r="C78" s="106">
        <v>20.13</v>
      </c>
      <c r="D78" s="106">
        <v>3.67</v>
      </c>
    </row>
    <row r="79" spans="2:4" ht="17" x14ac:dyDescent="0.2">
      <c r="B79" s="106" t="s">
        <v>6540</v>
      </c>
      <c r="C79" s="106">
        <v>33.21</v>
      </c>
      <c r="D79" s="106">
        <v>2.63</v>
      </c>
    </row>
    <row r="80" spans="2:4" ht="17" x14ac:dyDescent="0.2">
      <c r="B80" s="106" t="s">
        <v>6539</v>
      </c>
      <c r="C80" s="106">
        <v>26.67</v>
      </c>
      <c r="D80" s="106">
        <v>2.61</v>
      </c>
    </row>
    <row r="81" spans="2:4" ht="17" x14ac:dyDescent="0.2">
      <c r="B81" s="106" t="s">
        <v>6538</v>
      </c>
      <c r="C81" s="106">
        <v>124.78</v>
      </c>
      <c r="D81" s="106">
        <v>4.25</v>
      </c>
    </row>
    <row r="82" spans="2:4" ht="17" x14ac:dyDescent="0.2">
      <c r="B82" s="106" t="s">
        <v>5076</v>
      </c>
      <c r="C82" s="106">
        <v>28.18</v>
      </c>
      <c r="D82" s="106">
        <v>2.64</v>
      </c>
    </row>
    <row r="83" spans="2:4" ht="17" x14ac:dyDescent="0.2">
      <c r="B83" s="106" t="s">
        <v>6537</v>
      </c>
      <c r="C83" s="106">
        <v>137.86000000000001</v>
      </c>
      <c r="D83" s="106">
        <v>3.59</v>
      </c>
    </row>
    <row r="84" spans="2:4" ht="17" x14ac:dyDescent="0.2">
      <c r="B84" s="106" t="s">
        <v>6536</v>
      </c>
      <c r="C84" s="106">
        <v>225.91</v>
      </c>
      <c r="D84" s="106">
        <v>3.94</v>
      </c>
    </row>
    <row r="85" spans="2:4" ht="17" x14ac:dyDescent="0.2">
      <c r="B85" s="106" t="s">
        <v>1494</v>
      </c>
      <c r="C85" s="106">
        <v>9.56</v>
      </c>
      <c r="D85" s="106">
        <v>2.94</v>
      </c>
    </row>
    <row r="86" spans="2:4" ht="17" x14ac:dyDescent="0.2">
      <c r="B86" s="106" t="s">
        <v>6535</v>
      </c>
      <c r="C86" s="106">
        <v>146.41999999999999</v>
      </c>
      <c r="D86" s="106">
        <v>3.75</v>
      </c>
    </row>
    <row r="87" spans="2:4" ht="17" x14ac:dyDescent="0.2">
      <c r="B87" s="106" t="s">
        <v>6534</v>
      </c>
      <c r="C87" s="106">
        <v>202.27</v>
      </c>
      <c r="D87" s="106">
        <v>3.83</v>
      </c>
    </row>
    <row r="88" spans="2:4" ht="17" x14ac:dyDescent="0.2">
      <c r="B88" s="106" t="s">
        <v>582</v>
      </c>
      <c r="C88" s="106">
        <v>4.03</v>
      </c>
      <c r="D88" s="106">
        <v>3.14</v>
      </c>
    </row>
    <row r="89" spans="2:4" ht="17" x14ac:dyDescent="0.2">
      <c r="B89" s="106" t="s">
        <v>2448</v>
      </c>
      <c r="C89" s="106">
        <v>285.27999999999997</v>
      </c>
      <c r="D89" s="106">
        <v>3.91</v>
      </c>
    </row>
    <row r="90" spans="2:4" ht="17" x14ac:dyDescent="0.2">
      <c r="B90" s="106" t="s">
        <v>529</v>
      </c>
      <c r="C90" s="106">
        <v>118.24</v>
      </c>
      <c r="D90" s="106">
        <v>3.24</v>
      </c>
    </row>
    <row r="91" spans="2:4" ht="17" x14ac:dyDescent="0.2">
      <c r="B91" s="106" t="s">
        <v>6533</v>
      </c>
      <c r="C91" s="106">
        <v>40.75</v>
      </c>
      <c r="D91" s="106">
        <v>2.82</v>
      </c>
    </row>
    <row r="92" spans="2:4" ht="17" x14ac:dyDescent="0.2">
      <c r="B92" s="106" t="s">
        <v>535</v>
      </c>
      <c r="C92" s="106">
        <v>3.52</v>
      </c>
      <c r="D92" s="106">
        <v>3.07</v>
      </c>
    </row>
    <row r="93" spans="2:4" ht="17" x14ac:dyDescent="0.2">
      <c r="B93" s="106" t="s">
        <v>6532</v>
      </c>
      <c r="C93" s="106">
        <v>24.15</v>
      </c>
      <c r="D93" s="106">
        <v>2.67</v>
      </c>
    </row>
    <row r="94" spans="2:4" ht="17" x14ac:dyDescent="0.2">
      <c r="B94" s="106" t="s">
        <v>6531</v>
      </c>
      <c r="C94" s="106">
        <v>200.25</v>
      </c>
      <c r="D94" s="106">
        <v>3.98</v>
      </c>
    </row>
    <row r="95" spans="2:4" ht="17" x14ac:dyDescent="0.2">
      <c r="B95" s="106" t="s">
        <v>745</v>
      </c>
      <c r="C95" s="106">
        <v>13.08</v>
      </c>
      <c r="D95" s="106">
        <v>3.03</v>
      </c>
    </row>
    <row r="96" spans="2:4" ht="17" x14ac:dyDescent="0.2">
      <c r="B96" s="106" t="s">
        <v>989</v>
      </c>
      <c r="C96" s="106">
        <v>8.5500000000000007</v>
      </c>
      <c r="D96" s="106">
        <v>2.83</v>
      </c>
    </row>
    <row r="97" spans="2:4" ht="17" x14ac:dyDescent="0.2">
      <c r="B97" s="106" t="s">
        <v>6530</v>
      </c>
      <c r="C97" s="106">
        <v>342.14</v>
      </c>
      <c r="D97" s="106">
        <v>3.87</v>
      </c>
    </row>
    <row r="98" spans="2:4" ht="17" x14ac:dyDescent="0.2">
      <c r="B98" s="106" t="s">
        <v>1386</v>
      </c>
      <c r="C98" s="106">
        <v>3.02</v>
      </c>
      <c r="D98" s="106">
        <v>3.01</v>
      </c>
    </row>
    <row r="99" spans="2:4" ht="17" x14ac:dyDescent="0.2">
      <c r="B99" s="106" t="s">
        <v>616</v>
      </c>
      <c r="C99" s="106">
        <v>11.07</v>
      </c>
      <c r="D99" s="106">
        <v>3.02</v>
      </c>
    </row>
    <row r="100" spans="2:4" ht="17" x14ac:dyDescent="0.2">
      <c r="B100" s="106" t="s">
        <v>1006</v>
      </c>
      <c r="C100" s="106">
        <v>8.0500000000000007</v>
      </c>
      <c r="D100" s="106">
        <v>2.8</v>
      </c>
    </row>
    <row r="101" spans="2:4" ht="17" x14ac:dyDescent="0.2">
      <c r="B101" s="106" t="s">
        <v>6529</v>
      </c>
      <c r="C101" s="106">
        <v>33.71</v>
      </c>
      <c r="D101" s="106">
        <v>2.73</v>
      </c>
    </row>
    <row r="102" spans="2:4" ht="17" x14ac:dyDescent="0.2">
      <c r="B102" s="106" t="s">
        <v>6528</v>
      </c>
      <c r="C102" s="106">
        <v>167.04</v>
      </c>
      <c r="D102" s="106">
        <v>3.92</v>
      </c>
    </row>
    <row r="103" spans="2:4" ht="17" x14ac:dyDescent="0.2">
      <c r="B103" s="106" t="s">
        <v>561</v>
      </c>
      <c r="C103" s="106">
        <v>36.229999999999997</v>
      </c>
      <c r="D103" s="106">
        <v>2.98</v>
      </c>
    </row>
    <row r="104" spans="2:4" ht="17" x14ac:dyDescent="0.2">
      <c r="B104" s="106" t="s">
        <v>1226</v>
      </c>
      <c r="C104" s="106">
        <v>114.72</v>
      </c>
      <c r="D104" s="106">
        <v>2.99</v>
      </c>
    </row>
    <row r="105" spans="2:4" ht="17" x14ac:dyDescent="0.2">
      <c r="B105" s="106" t="s">
        <v>499</v>
      </c>
      <c r="C105" s="106">
        <v>62.39</v>
      </c>
      <c r="D105" s="106">
        <v>2.46</v>
      </c>
    </row>
    <row r="106" spans="2:4" ht="17" x14ac:dyDescent="0.2">
      <c r="B106" s="104" t="s">
        <v>702</v>
      </c>
      <c r="C106" s="104">
        <v>34.72</v>
      </c>
      <c r="D106" s="104">
        <v>2.78</v>
      </c>
    </row>
  </sheetData>
  <pageMargins left="0.75" right="0.75" top="1" bottom="1" header="0.5" footer="0.5"/>
  <pageSetup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959A-CCF6-0E41-9FF4-3B9003DEEF2F}">
  <dimension ref="B1:J16"/>
  <sheetViews>
    <sheetView zoomScale="125" zoomScaleNormal="70" zoomScalePageLayoutView="70" workbookViewId="0">
      <selection activeCell="B7" sqref="B7"/>
    </sheetView>
  </sheetViews>
  <sheetFormatPr baseColWidth="10" defaultColWidth="11.1640625" defaultRowHeight="16" x14ac:dyDescent="0.2"/>
  <cols>
    <col min="1" max="1" width="11.1640625" style="43"/>
    <col min="2" max="2" width="19.6640625" style="43" customWidth="1"/>
    <col min="3" max="3" width="16.6640625" style="43" bestFit="1" customWidth="1"/>
    <col min="4" max="4" width="24.6640625" style="43" customWidth="1"/>
    <col min="5" max="5" width="24.6640625" style="43" bestFit="1" customWidth="1"/>
    <col min="6" max="6" width="24.6640625" style="43" customWidth="1"/>
    <col min="7" max="7" width="19.33203125" style="43" bestFit="1" customWidth="1"/>
    <col min="8" max="8" width="35.6640625" style="43" bestFit="1" customWidth="1"/>
    <col min="9" max="9" width="17.1640625" style="43" customWidth="1"/>
    <col min="10" max="16384" width="11.1640625" style="43"/>
  </cols>
  <sheetData>
    <row r="1" spans="2:10" x14ac:dyDescent="0.2">
      <c r="B1" s="43" t="s">
        <v>6609</v>
      </c>
    </row>
    <row r="3" spans="2:10" ht="33.5" customHeight="1" x14ac:dyDescent="0.2">
      <c r="B3" s="108" t="s">
        <v>6053</v>
      </c>
      <c r="C3" s="108" t="s">
        <v>6608</v>
      </c>
      <c r="D3" s="108" t="s">
        <v>6607</v>
      </c>
      <c r="E3" s="108" t="s">
        <v>6606</v>
      </c>
      <c r="F3" s="108" t="s">
        <v>6605</v>
      </c>
      <c r="G3" s="108" t="s">
        <v>6604</v>
      </c>
      <c r="H3" s="108" t="s">
        <v>6603</v>
      </c>
      <c r="I3" s="108" t="s">
        <v>6602</v>
      </c>
      <c r="J3" s="108" t="s">
        <v>6601</v>
      </c>
    </row>
    <row r="4" spans="2:10" ht="17" x14ac:dyDescent="0.2">
      <c r="B4" s="106" t="s">
        <v>4370</v>
      </c>
      <c r="C4" s="106" t="s">
        <v>6577</v>
      </c>
      <c r="D4" s="106" t="s">
        <v>6600</v>
      </c>
      <c r="E4" s="106">
        <v>898</v>
      </c>
      <c r="F4" s="106" t="s">
        <v>6599</v>
      </c>
      <c r="G4" s="106">
        <v>1462</v>
      </c>
      <c r="H4" s="106">
        <v>267</v>
      </c>
      <c r="I4" s="114">
        <v>0.73299999999999998</v>
      </c>
      <c r="J4" s="106">
        <v>6.95</v>
      </c>
    </row>
    <row r="5" spans="2:10" ht="17" x14ac:dyDescent="0.2">
      <c r="B5" s="106" t="s">
        <v>5078</v>
      </c>
      <c r="C5" s="106" t="s">
        <v>6577</v>
      </c>
      <c r="D5" s="106" t="s">
        <v>6598</v>
      </c>
      <c r="E5" s="106">
        <v>898</v>
      </c>
      <c r="F5" s="106" t="s">
        <v>6597</v>
      </c>
      <c r="G5" s="106">
        <v>1472</v>
      </c>
      <c r="H5" s="106">
        <v>265</v>
      </c>
      <c r="I5" s="113">
        <v>0.71699999999999997</v>
      </c>
      <c r="J5" s="106">
        <v>7.12</v>
      </c>
    </row>
    <row r="6" spans="2:10" ht="17" x14ac:dyDescent="0.2">
      <c r="B6" s="106" t="s">
        <v>5080</v>
      </c>
      <c r="C6" s="106" t="s">
        <v>6577</v>
      </c>
      <c r="D6" s="106" t="s">
        <v>6595</v>
      </c>
      <c r="E6" s="106">
        <v>883</v>
      </c>
      <c r="F6" s="106" t="s">
        <v>6596</v>
      </c>
      <c r="G6" s="106">
        <v>1454</v>
      </c>
      <c r="H6" s="106">
        <v>258</v>
      </c>
      <c r="I6" s="113">
        <v>0.71499999999999997</v>
      </c>
      <c r="J6" s="106">
        <v>6.87</v>
      </c>
    </row>
    <row r="7" spans="2:10" ht="17" x14ac:dyDescent="0.2">
      <c r="B7" s="106" t="s">
        <v>5079</v>
      </c>
      <c r="C7" s="106" t="s">
        <v>6577</v>
      </c>
      <c r="D7" s="106" t="s">
        <v>6595</v>
      </c>
      <c r="E7" s="106">
        <v>922</v>
      </c>
      <c r="F7" s="106" t="s">
        <v>6594</v>
      </c>
      <c r="G7" s="106">
        <v>1459</v>
      </c>
      <c r="H7" s="106">
        <v>256</v>
      </c>
      <c r="I7" s="113">
        <v>0.71099999999999997</v>
      </c>
      <c r="J7" s="106">
        <v>7.06</v>
      </c>
    </row>
    <row r="8" spans="2:10" ht="19" x14ac:dyDescent="0.2">
      <c r="B8" s="106" t="s">
        <v>1280</v>
      </c>
      <c r="C8" s="106" t="s">
        <v>6577</v>
      </c>
      <c r="D8" s="106" t="s">
        <v>6593</v>
      </c>
      <c r="E8" s="106">
        <v>832</v>
      </c>
      <c r="F8" s="106" t="s">
        <v>6592</v>
      </c>
      <c r="G8" s="106">
        <v>1409</v>
      </c>
      <c r="H8" s="106">
        <v>255</v>
      </c>
      <c r="I8" s="113">
        <v>0.72</v>
      </c>
      <c r="J8" s="106">
        <v>6.91</v>
      </c>
    </row>
    <row r="9" spans="2:10" ht="17" x14ac:dyDescent="0.2">
      <c r="B9" s="106" t="s">
        <v>6591</v>
      </c>
      <c r="C9" s="106" t="s">
        <v>6577</v>
      </c>
      <c r="D9" s="106" t="s">
        <v>6590</v>
      </c>
      <c r="E9" s="106">
        <v>917</v>
      </c>
      <c r="F9" s="106" t="s">
        <v>6589</v>
      </c>
      <c r="G9" s="106">
        <v>1457</v>
      </c>
      <c r="H9" s="106">
        <v>255</v>
      </c>
      <c r="I9" s="113">
        <v>0.70799999999999996</v>
      </c>
      <c r="J9" s="106">
        <v>7.01</v>
      </c>
    </row>
    <row r="10" spans="2:10" ht="17" x14ac:dyDescent="0.2">
      <c r="B10" s="106" t="s">
        <v>2358</v>
      </c>
      <c r="C10" s="106" t="s">
        <v>6577</v>
      </c>
      <c r="D10" s="106" t="s">
        <v>6588</v>
      </c>
      <c r="E10" s="106">
        <v>921</v>
      </c>
      <c r="F10" s="106" t="s">
        <v>6587</v>
      </c>
      <c r="G10" s="106">
        <v>1463</v>
      </c>
      <c r="H10" s="106">
        <v>252</v>
      </c>
      <c r="I10" s="113">
        <v>0.70399999999999996</v>
      </c>
      <c r="J10" s="106">
        <v>7.01</v>
      </c>
    </row>
    <row r="11" spans="2:10" ht="17" x14ac:dyDescent="0.2">
      <c r="B11" s="106" t="s">
        <v>2093</v>
      </c>
      <c r="C11" s="106" t="s">
        <v>6548</v>
      </c>
      <c r="D11" s="106" t="s">
        <v>6100</v>
      </c>
      <c r="E11" s="106">
        <v>872</v>
      </c>
      <c r="F11" s="106" t="s">
        <v>6586</v>
      </c>
      <c r="G11" s="106">
        <v>1411</v>
      </c>
      <c r="H11" s="106">
        <v>239</v>
      </c>
      <c r="I11" s="113">
        <v>0.69499999999999995</v>
      </c>
      <c r="J11" s="106">
        <v>6.8</v>
      </c>
    </row>
    <row r="12" spans="2:10" ht="17" x14ac:dyDescent="0.2">
      <c r="B12" s="106" t="s">
        <v>1279</v>
      </c>
      <c r="C12" s="106" t="s">
        <v>6577</v>
      </c>
      <c r="D12" s="106" t="s">
        <v>6585</v>
      </c>
      <c r="E12" s="106">
        <v>901</v>
      </c>
      <c r="F12" s="106" t="s">
        <v>6584</v>
      </c>
      <c r="G12" s="106">
        <v>1447</v>
      </c>
      <c r="H12" s="106">
        <v>233</v>
      </c>
      <c r="I12" s="113">
        <v>0.68600000000000005</v>
      </c>
      <c r="J12" s="106">
        <v>6.89</v>
      </c>
    </row>
    <row r="13" spans="2:10" ht="19" x14ac:dyDescent="0.2">
      <c r="B13" s="106" t="s">
        <v>1281</v>
      </c>
      <c r="C13" s="106" t="s">
        <v>6577</v>
      </c>
      <c r="D13" s="106" t="s">
        <v>6583</v>
      </c>
      <c r="E13" s="106">
        <v>832</v>
      </c>
      <c r="F13" s="106" t="s">
        <v>6582</v>
      </c>
      <c r="G13" s="106">
        <v>1410</v>
      </c>
      <c r="H13" s="106">
        <v>228</v>
      </c>
      <c r="I13" s="113">
        <v>0.68899999999999995</v>
      </c>
      <c r="J13" s="106">
        <v>6.8</v>
      </c>
    </row>
    <row r="14" spans="2:10" ht="17" x14ac:dyDescent="0.2">
      <c r="B14" s="106" t="s">
        <v>6581</v>
      </c>
      <c r="C14" s="106" t="s">
        <v>6577</v>
      </c>
      <c r="D14" s="106" t="s">
        <v>6580</v>
      </c>
      <c r="E14" s="106">
        <v>868</v>
      </c>
      <c r="F14" s="106" t="s">
        <v>6579</v>
      </c>
      <c r="G14" s="106">
        <v>1408</v>
      </c>
      <c r="H14" s="106">
        <v>221</v>
      </c>
      <c r="I14" s="113">
        <v>0.68400000000000005</v>
      </c>
      <c r="J14" s="106">
        <v>6.78</v>
      </c>
    </row>
    <row r="15" spans="2:10" ht="17" x14ac:dyDescent="0.2">
      <c r="B15" s="106" t="s">
        <v>2094</v>
      </c>
      <c r="C15" s="106" t="s">
        <v>6577</v>
      </c>
      <c r="D15" s="106" t="s">
        <v>6576</v>
      </c>
      <c r="E15" s="106">
        <v>810</v>
      </c>
      <c r="F15" s="106" t="s">
        <v>6578</v>
      </c>
      <c r="G15" s="106">
        <v>1374</v>
      </c>
      <c r="H15" s="106">
        <v>183</v>
      </c>
      <c r="I15" s="113">
        <v>0.68400000000000005</v>
      </c>
      <c r="J15" s="106">
        <v>6.2</v>
      </c>
    </row>
    <row r="16" spans="2:10" ht="17" x14ac:dyDescent="0.2">
      <c r="B16" s="104" t="s">
        <v>2095</v>
      </c>
      <c r="C16" s="104" t="s">
        <v>6577</v>
      </c>
      <c r="D16" s="104" t="s">
        <v>6576</v>
      </c>
      <c r="E16" s="104">
        <v>816</v>
      </c>
      <c r="F16" s="104" t="s">
        <v>6575</v>
      </c>
      <c r="G16" s="104">
        <v>1383</v>
      </c>
      <c r="H16" s="104">
        <v>178</v>
      </c>
      <c r="I16" s="112">
        <v>0.67100000000000004</v>
      </c>
      <c r="J16" s="104">
        <v>5.98</v>
      </c>
    </row>
  </sheetData>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11E8-8080-F94F-9D59-AF50C58C4A00}">
  <dimension ref="B1:B348"/>
  <sheetViews>
    <sheetView topLeftCell="A444" zoomScale="88" zoomScaleNormal="70" zoomScalePageLayoutView="70" workbookViewId="0">
      <selection activeCell="B7" sqref="B7"/>
    </sheetView>
  </sheetViews>
  <sheetFormatPr baseColWidth="10" defaultColWidth="11.1640625" defaultRowHeight="16" x14ac:dyDescent="0.2"/>
  <cols>
    <col min="1" max="1" width="11.1640625" style="43"/>
    <col min="2" max="2" width="14.33203125" style="43" customWidth="1"/>
    <col min="3" max="16384" width="11.1640625" style="43"/>
  </cols>
  <sheetData>
    <row r="1" spans="2:2" x14ac:dyDescent="0.2">
      <c r="B1" s="43" t="s">
        <v>6611</v>
      </c>
    </row>
    <row r="3" spans="2:2" x14ac:dyDescent="0.2">
      <c r="B3" s="75" t="s">
        <v>6610</v>
      </c>
    </row>
    <row r="4" spans="2:2" x14ac:dyDescent="0.2">
      <c r="B4" s="62" t="s">
        <v>6024</v>
      </c>
    </row>
    <row r="5" spans="2:2" x14ac:dyDescent="0.2">
      <c r="B5" s="62" t="s">
        <v>6020</v>
      </c>
    </row>
    <row r="6" spans="2:2" x14ac:dyDescent="0.2">
      <c r="B6" s="62" t="s">
        <v>6008</v>
      </c>
    </row>
    <row r="7" spans="2:2" x14ac:dyDescent="0.2">
      <c r="B7" s="62" t="s">
        <v>5962</v>
      </c>
    </row>
    <row r="8" spans="2:2" x14ac:dyDescent="0.2">
      <c r="B8" s="62" t="s">
        <v>5939</v>
      </c>
    </row>
    <row r="9" spans="2:2" x14ac:dyDescent="0.2">
      <c r="B9" s="62" t="s">
        <v>5938</v>
      </c>
    </row>
    <row r="10" spans="2:2" x14ac:dyDescent="0.2">
      <c r="B10" s="62" t="s">
        <v>5929</v>
      </c>
    </row>
    <row r="11" spans="2:2" x14ac:dyDescent="0.2">
      <c r="B11" s="62" t="s">
        <v>5913</v>
      </c>
    </row>
    <row r="12" spans="2:2" x14ac:dyDescent="0.2">
      <c r="B12" s="62" t="s">
        <v>5864</v>
      </c>
    </row>
    <row r="13" spans="2:2" x14ac:dyDescent="0.2">
      <c r="B13" s="62" t="s">
        <v>5840</v>
      </c>
    </row>
    <row r="14" spans="2:2" x14ac:dyDescent="0.2">
      <c r="B14" s="62" t="s">
        <v>5767</v>
      </c>
    </row>
    <row r="15" spans="2:2" x14ac:dyDescent="0.2">
      <c r="B15" s="62" t="s">
        <v>5749</v>
      </c>
    </row>
    <row r="16" spans="2:2" x14ac:dyDescent="0.2">
      <c r="B16" s="62" t="s">
        <v>5726</v>
      </c>
    </row>
    <row r="17" spans="2:2" x14ac:dyDescent="0.2">
      <c r="B17" s="62" t="s">
        <v>5681</v>
      </c>
    </row>
    <row r="18" spans="2:2" x14ac:dyDescent="0.2">
      <c r="B18" s="62" t="s">
        <v>5674</v>
      </c>
    </row>
    <row r="19" spans="2:2" x14ac:dyDescent="0.2">
      <c r="B19" s="62" t="s">
        <v>5667</v>
      </c>
    </row>
    <row r="20" spans="2:2" x14ac:dyDescent="0.2">
      <c r="B20" s="62" t="s">
        <v>5647</v>
      </c>
    </row>
    <row r="21" spans="2:2" x14ac:dyDescent="0.2">
      <c r="B21" s="62" t="s">
        <v>5646</v>
      </c>
    </row>
    <row r="22" spans="2:2" x14ac:dyDescent="0.2">
      <c r="B22" s="62" t="s">
        <v>5642</v>
      </c>
    </row>
    <row r="23" spans="2:2" x14ac:dyDescent="0.2">
      <c r="B23" s="62" t="s">
        <v>5641</v>
      </c>
    </row>
    <row r="24" spans="2:2" x14ac:dyDescent="0.2">
      <c r="B24" s="62" t="s">
        <v>5639</v>
      </c>
    </row>
    <row r="25" spans="2:2" x14ac:dyDescent="0.2">
      <c r="B25" s="62" t="s">
        <v>5636</v>
      </c>
    </row>
    <row r="26" spans="2:2" x14ac:dyDescent="0.2">
      <c r="B26" s="62" t="s">
        <v>5571</v>
      </c>
    </row>
    <row r="27" spans="2:2" x14ac:dyDescent="0.2">
      <c r="B27" s="62" t="s">
        <v>5570</v>
      </c>
    </row>
    <row r="28" spans="2:2" x14ac:dyDescent="0.2">
      <c r="B28" s="62" t="s">
        <v>5564</v>
      </c>
    </row>
    <row r="29" spans="2:2" x14ac:dyDescent="0.2">
      <c r="B29" s="62" t="s">
        <v>5563</v>
      </c>
    </row>
    <row r="30" spans="2:2" x14ac:dyDescent="0.2">
      <c r="B30" s="62" t="s">
        <v>5562</v>
      </c>
    </row>
    <row r="31" spans="2:2" x14ac:dyDescent="0.2">
      <c r="B31" s="62" t="s">
        <v>5561</v>
      </c>
    </row>
    <row r="32" spans="2:2" x14ac:dyDescent="0.2">
      <c r="B32" s="62" t="s">
        <v>5560</v>
      </c>
    </row>
    <row r="33" spans="2:2" x14ac:dyDescent="0.2">
      <c r="B33" s="62" t="s">
        <v>5559</v>
      </c>
    </row>
    <row r="34" spans="2:2" x14ac:dyDescent="0.2">
      <c r="B34" s="62" t="s">
        <v>5558</v>
      </c>
    </row>
    <row r="35" spans="2:2" x14ac:dyDescent="0.2">
      <c r="B35" s="62" t="s">
        <v>5557</v>
      </c>
    </row>
    <row r="36" spans="2:2" x14ac:dyDescent="0.2">
      <c r="B36" s="62" t="s">
        <v>5516</v>
      </c>
    </row>
    <row r="37" spans="2:2" x14ac:dyDescent="0.2">
      <c r="B37" s="62" t="s">
        <v>5515</v>
      </c>
    </row>
    <row r="38" spans="2:2" x14ac:dyDescent="0.2">
      <c r="B38" s="62" t="s">
        <v>5497</v>
      </c>
    </row>
    <row r="39" spans="2:2" x14ac:dyDescent="0.2">
      <c r="B39" s="62" t="s">
        <v>5425</v>
      </c>
    </row>
    <row r="40" spans="2:2" x14ac:dyDescent="0.2">
      <c r="B40" s="62" t="s">
        <v>5377</v>
      </c>
    </row>
    <row r="41" spans="2:2" x14ac:dyDescent="0.2">
      <c r="B41" s="62" t="s">
        <v>5342</v>
      </c>
    </row>
    <row r="42" spans="2:2" x14ac:dyDescent="0.2">
      <c r="B42" s="62" t="s">
        <v>5318</v>
      </c>
    </row>
    <row r="43" spans="2:2" x14ac:dyDescent="0.2">
      <c r="B43" s="62" t="s">
        <v>5276</v>
      </c>
    </row>
    <row r="44" spans="2:2" x14ac:dyDescent="0.2">
      <c r="B44" s="62" t="s">
        <v>5275</v>
      </c>
    </row>
    <row r="45" spans="2:2" x14ac:dyDescent="0.2">
      <c r="B45" s="62" t="s">
        <v>5252</v>
      </c>
    </row>
    <row r="46" spans="2:2" x14ac:dyDescent="0.2">
      <c r="B46" s="62" t="s">
        <v>5242</v>
      </c>
    </row>
    <row r="47" spans="2:2" x14ac:dyDescent="0.2">
      <c r="B47" s="62" t="s">
        <v>5239</v>
      </c>
    </row>
    <row r="48" spans="2:2" x14ac:dyDescent="0.2">
      <c r="B48" s="62" t="s">
        <v>5238</v>
      </c>
    </row>
    <row r="49" spans="2:2" x14ac:dyDescent="0.2">
      <c r="B49" s="62" t="s">
        <v>5237</v>
      </c>
    </row>
    <row r="50" spans="2:2" x14ac:dyDescent="0.2">
      <c r="B50" s="62" t="s">
        <v>5236</v>
      </c>
    </row>
    <row r="51" spans="2:2" x14ac:dyDescent="0.2">
      <c r="B51" s="62" t="s">
        <v>5235</v>
      </c>
    </row>
    <row r="52" spans="2:2" x14ac:dyDescent="0.2">
      <c r="B52" s="62" t="s">
        <v>5234</v>
      </c>
    </row>
    <row r="53" spans="2:2" x14ac:dyDescent="0.2">
      <c r="B53" s="62" t="s">
        <v>5233</v>
      </c>
    </row>
    <row r="54" spans="2:2" x14ac:dyDescent="0.2">
      <c r="B54" s="62" t="s">
        <v>5232</v>
      </c>
    </row>
    <row r="55" spans="2:2" x14ac:dyDescent="0.2">
      <c r="B55" s="62" t="s">
        <v>5231</v>
      </c>
    </row>
    <row r="56" spans="2:2" x14ac:dyDescent="0.2">
      <c r="B56" s="62" t="s">
        <v>5230</v>
      </c>
    </row>
    <row r="57" spans="2:2" x14ac:dyDescent="0.2">
      <c r="B57" s="62" t="s">
        <v>5229</v>
      </c>
    </row>
    <row r="58" spans="2:2" x14ac:dyDescent="0.2">
      <c r="B58" s="62" t="s">
        <v>5228</v>
      </c>
    </row>
    <row r="59" spans="2:2" x14ac:dyDescent="0.2">
      <c r="B59" s="62" t="s">
        <v>5227</v>
      </c>
    </row>
    <row r="60" spans="2:2" x14ac:dyDescent="0.2">
      <c r="B60" s="62" t="s">
        <v>5226</v>
      </c>
    </row>
    <row r="61" spans="2:2" x14ac:dyDescent="0.2">
      <c r="B61" s="62" t="s">
        <v>5225</v>
      </c>
    </row>
    <row r="62" spans="2:2" x14ac:dyDescent="0.2">
      <c r="B62" s="62" t="s">
        <v>5224</v>
      </c>
    </row>
    <row r="63" spans="2:2" x14ac:dyDescent="0.2">
      <c r="B63" s="62" t="s">
        <v>5223</v>
      </c>
    </row>
    <row r="64" spans="2:2" x14ac:dyDescent="0.2">
      <c r="B64" s="62" t="s">
        <v>5222</v>
      </c>
    </row>
    <row r="65" spans="2:2" x14ac:dyDescent="0.2">
      <c r="B65" s="62" t="s">
        <v>5221</v>
      </c>
    </row>
    <row r="66" spans="2:2" x14ac:dyDescent="0.2">
      <c r="B66" s="62" t="s">
        <v>5220</v>
      </c>
    </row>
    <row r="67" spans="2:2" x14ac:dyDescent="0.2">
      <c r="B67" s="62" t="s">
        <v>5219</v>
      </c>
    </row>
    <row r="68" spans="2:2" x14ac:dyDescent="0.2">
      <c r="B68" s="62" t="s">
        <v>5218</v>
      </c>
    </row>
    <row r="69" spans="2:2" x14ac:dyDescent="0.2">
      <c r="B69" s="62" t="s">
        <v>5217</v>
      </c>
    </row>
    <row r="70" spans="2:2" x14ac:dyDescent="0.2">
      <c r="B70" s="62" t="s">
        <v>5216</v>
      </c>
    </row>
    <row r="71" spans="2:2" x14ac:dyDescent="0.2">
      <c r="B71" s="62" t="s">
        <v>5215</v>
      </c>
    </row>
    <row r="72" spans="2:2" x14ac:dyDescent="0.2">
      <c r="B72" s="62" t="s">
        <v>5214</v>
      </c>
    </row>
    <row r="73" spans="2:2" x14ac:dyDescent="0.2">
      <c r="B73" s="62" t="s">
        <v>5213</v>
      </c>
    </row>
    <row r="74" spans="2:2" x14ac:dyDescent="0.2">
      <c r="B74" s="62" t="s">
        <v>5212</v>
      </c>
    </row>
    <row r="75" spans="2:2" x14ac:dyDescent="0.2">
      <c r="B75" s="62" t="s">
        <v>5211</v>
      </c>
    </row>
    <row r="76" spans="2:2" x14ac:dyDescent="0.2">
      <c r="B76" s="62" t="s">
        <v>5210</v>
      </c>
    </row>
    <row r="77" spans="2:2" x14ac:dyDescent="0.2">
      <c r="B77" s="62" t="s">
        <v>5209</v>
      </c>
    </row>
    <row r="78" spans="2:2" x14ac:dyDescent="0.2">
      <c r="B78" s="62" t="s">
        <v>5208</v>
      </c>
    </row>
    <row r="79" spans="2:2" x14ac:dyDescent="0.2">
      <c r="B79" s="62" t="s">
        <v>5207</v>
      </c>
    </row>
    <row r="80" spans="2:2" x14ac:dyDescent="0.2">
      <c r="B80" s="62" t="s">
        <v>5206</v>
      </c>
    </row>
    <row r="81" spans="2:2" x14ac:dyDescent="0.2">
      <c r="B81" s="62" t="s">
        <v>5205</v>
      </c>
    </row>
    <row r="82" spans="2:2" x14ac:dyDescent="0.2">
      <c r="B82" s="62" t="s">
        <v>5204</v>
      </c>
    </row>
    <row r="83" spans="2:2" x14ac:dyDescent="0.2">
      <c r="B83" s="62" t="s">
        <v>5203</v>
      </c>
    </row>
    <row r="84" spans="2:2" x14ac:dyDescent="0.2">
      <c r="B84" s="62" t="s">
        <v>5202</v>
      </c>
    </row>
    <row r="85" spans="2:2" x14ac:dyDescent="0.2">
      <c r="B85" s="62" t="s">
        <v>5201</v>
      </c>
    </row>
    <row r="86" spans="2:2" x14ac:dyDescent="0.2">
      <c r="B86" s="62" t="s">
        <v>5200</v>
      </c>
    </row>
    <row r="87" spans="2:2" x14ac:dyDescent="0.2">
      <c r="B87" s="62" t="s">
        <v>5199</v>
      </c>
    </row>
    <row r="88" spans="2:2" x14ac:dyDescent="0.2">
      <c r="B88" s="62" t="s">
        <v>5198</v>
      </c>
    </row>
    <row r="89" spans="2:2" x14ac:dyDescent="0.2">
      <c r="B89" s="62" t="s">
        <v>5197</v>
      </c>
    </row>
    <row r="90" spans="2:2" x14ac:dyDescent="0.2">
      <c r="B90" s="62" t="s">
        <v>5168</v>
      </c>
    </row>
    <row r="91" spans="2:2" x14ac:dyDescent="0.2">
      <c r="B91" s="62" t="s">
        <v>5161</v>
      </c>
    </row>
    <row r="92" spans="2:2" x14ac:dyDescent="0.2">
      <c r="B92" s="62" t="s">
        <v>5141</v>
      </c>
    </row>
    <row r="93" spans="2:2" x14ac:dyDescent="0.2">
      <c r="B93" s="62" t="s">
        <v>5135</v>
      </c>
    </row>
    <row r="94" spans="2:2" x14ac:dyDescent="0.2">
      <c r="B94" s="62" t="s">
        <v>5072</v>
      </c>
    </row>
    <row r="95" spans="2:2" x14ac:dyDescent="0.2">
      <c r="B95" s="62" t="s">
        <v>5064</v>
      </c>
    </row>
    <row r="96" spans="2:2" x14ac:dyDescent="0.2">
      <c r="B96" s="62" t="s">
        <v>5026</v>
      </c>
    </row>
    <row r="97" spans="2:2" x14ac:dyDescent="0.2">
      <c r="B97" s="62" t="s">
        <v>5024</v>
      </c>
    </row>
    <row r="98" spans="2:2" x14ac:dyDescent="0.2">
      <c r="B98" s="62" t="s">
        <v>5020</v>
      </c>
    </row>
    <row r="99" spans="2:2" x14ac:dyDescent="0.2">
      <c r="B99" s="62" t="s">
        <v>4929</v>
      </c>
    </row>
    <row r="100" spans="2:2" x14ac:dyDescent="0.2">
      <c r="B100" s="62" t="s">
        <v>4924</v>
      </c>
    </row>
    <row r="101" spans="2:2" x14ac:dyDescent="0.2">
      <c r="B101" s="62" t="s">
        <v>4923</v>
      </c>
    </row>
    <row r="102" spans="2:2" x14ac:dyDescent="0.2">
      <c r="B102" s="62" t="s">
        <v>4922</v>
      </c>
    </row>
    <row r="103" spans="2:2" x14ac:dyDescent="0.2">
      <c r="B103" s="62" t="s">
        <v>4921</v>
      </c>
    </row>
    <row r="104" spans="2:2" x14ac:dyDescent="0.2">
      <c r="B104" s="62" t="s">
        <v>4917</v>
      </c>
    </row>
    <row r="105" spans="2:2" x14ac:dyDescent="0.2">
      <c r="B105" s="62" t="s">
        <v>4916</v>
      </c>
    </row>
    <row r="106" spans="2:2" x14ac:dyDescent="0.2">
      <c r="B106" s="62" t="s">
        <v>4878</v>
      </c>
    </row>
    <row r="107" spans="2:2" x14ac:dyDescent="0.2">
      <c r="B107" s="62" t="s">
        <v>4877</v>
      </c>
    </row>
    <row r="108" spans="2:2" x14ac:dyDescent="0.2">
      <c r="B108" s="62" t="s">
        <v>4872</v>
      </c>
    </row>
    <row r="109" spans="2:2" x14ac:dyDescent="0.2">
      <c r="B109" s="62" t="s">
        <v>4833</v>
      </c>
    </row>
    <row r="110" spans="2:2" x14ac:dyDescent="0.2">
      <c r="B110" s="62" t="s">
        <v>4827</v>
      </c>
    </row>
    <row r="111" spans="2:2" x14ac:dyDescent="0.2">
      <c r="B111" s="62" t="s">
        <v>4821</v>
      </c>
    </row>
    <row r="112" spans="2:2" x14ac:dyDescent="0.2">
      <c r="B112" s="62" t="s">
        <v>4818</v>
      </c>
    </row>
    <row r="113" spans="2:2" x14ac:dyDescent="0.2">
      <c r="B113" s="62" t="s">
        <v>4803</v>
      </c>
    </row>
    <row r="114" spans="2:2" x14ac:dyDescent="0.2">
      <c r="B114" s="62" t="s">
        <v>4783</v>
      </c>
    </row>
    <row r="115" spans="2:2" x14ac:dyDescent="0.2">
      <c r="B115" s="62" t="s">
        <v>4774</v>
      </c>
    </row>
    <row r="116" spans="2:2" x14ac:dyDescent="0.2">
      <c r="B116" s="62" t="s">
        <v>4744</v>
      </c>
    </row>
    <row r="117" spans="2:2" x14ac:dyDescent="0.2">
      <c r="B117" s="62" t="s">
        <v>4627</v>
      </c>
    </row>
    <row r="118" spans="2:2" x14ac:dyDescent="0.2">
      <c r="B118" s="62" t="s">
        <v>4623</v>
      </c>
    </row>
    <row r="119" spans="2:2" x14ac:dyDescent="0.2">
      <c r="B119" s="62" t="s">
        <v>4567</v>
      </c>
    </row>
    <row r="120" spans="2:2" x14ac:dyDescent="0.2">
      <c r="B120" s="62" t="s">
        <v>4499</v>
      </c>
    </row>
    <row r="121" spans="2:2" x14ac:dyDescent="0.2">
      <c r="B121" s="62" t="s">
        <v>4478</v>
      </c>
    </row>
    <row r="122" spans="2:2" x14ac:dyDescent="0.2">
      <c r="B122" s="62" t="s">
        <v>4471</v>
      </c>
    </row>
    <row r="123" spans="2:2" x14ac:dyDescent="0.2">
      <c r="B123" s="62" t="s">
        <v>4469</v>
      </c>
    </row>
    <row r="124" spans="2:2" x14ac:dyDescent="0.2">
      <c r="B124" s="62" t="s">
        <v>4460</v>
      </c>
    </row>
    <row r="125" spans="2:2" x14ac:dyDescent="0.2">
      <c r="B125" s="62" t="s">
        <v>4459</v>
      </c>
    </row>
    <row r="126" spans="2:2" x14ac:dyDescent="0.2">
      <c r="B126" s="62" t="s">
        <v>4446</v>
      </c>
    </row>
    <row r="127" spans="2:2" x14ac:dyDescent="0.2">
      <c r="B127" s="62" t="s">
        <v>4416</v>
      </c>
    </row>
    <row r="128" spans="2:2" x14ac:dyDescent="0.2">
      <c r="B128" s="62" t="s">
        <v>4415</v>
      </c>
    </row>
    <row r="129" spans="2:2" x14ac:dyDescent="0.2">
      <c r="B129" s="62" t="s">
        <v>4410</v>
      </c>
    </row>
    <row r="130" spans="2:2" x14ac:dyDescent="0.2">
      <c r="B130" s="62" t="s">
        <v>4409</v>
      </c>
    </row>
    <row r="131" spans="2:2" x14ac:dyDescent="0.2">
      <c r="B131" s="62" t="s">
        <v>4407</v>
      </c>
    </row>
    <row r="132" spans="2:2" x14ac:dyDescent="0.2">
      <c r="B132" s="62" t="s">
        <v>4406</v>
      </c>
    </row>
    <row r="133" spans="2:2" x14ac:dyDescent="0.2">
      <c r="B133" s="62" t="s">
        <v>4395</v>
      </c>
    </row>
    <row r="134" spans="2:2" x14ac:dyDescent="0.2">
      <c r="B134" s="62" t="s">
        <v>4391</v>
      </c>
    </row>
    <row r="135" spans="2:2" x14ac:dyDescent="0.2">
      <c r="B135" s="62" t="s">
        <v>4385</v>
      </c>
    </row>
    <row r="136" spans="2:2" x14ac:dyDescent="0.2">
      <c r="B136" s="62" t="s">
        <v>4383</v>
      </c>
    </row>
    <row r="137" spans="2:2" x14ac:dyDescent="0.2">
      <c r="B137" s="62" t="s">
        <v>4360</v>
      </c>
    </row>
    <row r="138" spans="2:2" x14ac:dyDescent="0.2">
      <c r="B138" s="62" t="s">
        <v>4359</v>
      </c>
    </row>
    <row r="139" spans="2:2" x14ac:dyDescent="0.2">
      <c r="B139" s="62" t="s">
        <v>4339</v>
      </c>
    </row>
    <row r="140" spans="2:2" x14ac:dyDescent="0.2">
      <c r="B140" s="62" t="s">
        <v>4309</v>
      </c>
    </row>
    <row r="141" spans="2:2" x14ac:dyDescent="0.2">
      <c r="B141" s="62" t="s">
        <v>4308</v>
      </c>
    </row>
    <row r="142" spans="2:2" x14ac:dyDescent="0.2">
      <c r="B142" s="62" t="s">
        <v>4307</v>
      </c>
    </row>
    <row r="143" spans="2:2" x14ac:dyDescent="0.2">
      <c r="B143" s="62" t="s">
        <v>4255</v>
      </c>
    </row>
    <row r="144" spans="2:2" x14ac:dyDescent="0.2">
      <c r="B144" s="62" t="s">
        <v>4242</v>
      </c>
    </row>
    <row r="145" spans="2:2" x14ac:dyDescent="0.2">
      <c r="B145" s="62" t="s">
        <v>4239</v>
      </c>
    </row>
    <row r="146" spans="2:2" x14ac:dyDescent="0.2">
      <c r="B146" s="62" t="s">
        <v>4221</v>
      </c>
    </row>
    <row r="147" spans="2:2" x14ac:dyDescent="0.2">
      <c r="B147" s="62" t="s">
        <v>4183</v>
      </c>
    </row>
    <row r="148" spans="2:2" x14ac:dyDescent="0.2">
      <c r="B148" s="62" t="s">
        <v>4118</v>
      </c>
    </row>
    <row r="149" spans="2:2" x14ac:dyDescent="0.2">
      <c r="B149" s="62" t="s">
        <v>4117</v>
      </c>
    </row>
    <row r="150" spans="2:2" x14ac:dyDescent="0.2">
      <c r="B150" s="62" t="s">
        <v>4028</v>
      </c>
    </row>
    <row r="151" spans="2:2" x14ac:dyDescent="0.2">
      <c r="B151" s="62" t="s">
        <v>4027</v>
      </c>
    </row>
    <row r="152" spans="2:2" x14ac:dyDescent="0.2">
      <c r="B152" s="62" t="s">
        <v>4026</v>
      </c>
    </row>
    <row r="153" spans="2:2" x14ac:dyDescent="0.2">
      <c r="B153" s="62" t="s">
        <v>4025</v>
      </c>
    </row>
    <row r="154" spans="2:2" x14ac:dyDescent="0.2">
      <c r="B154" s="62" t="s">
        <v>4021</v>
      </c>
    </row>
    <row r="155" spans="2:2" x14ac:dyDescent="0.2">
      <c r="B155" s="62" t="s">
        <v>4007</v>
      </c>
    </row>
    <row r="156" spans="2:2" x14ac:dyDescent="0.2">
      <c r="B156" s="62" t="s">
        <v>3983</v>
      </c>
    </row>
    <row r="157" spans="2:2" x14ac:dyDescent="0.2">
      <c r="B157" s="62" t="s">
        <v>3897</v>
      </c>
    </row>
    <row r="158" spans="2:2" x14ac:dyDescent="0.2">
      <c r="B158" s="62" t="s">
        <v>3843</v>
      </c>
    </row>
    <row r="159" spans="2:2" x14ac:dyDescent="0.2">
      <c r="B159" s="62" t="s">
        <v>3783</v>
      </c>
    </row>
    <row r="160" spans="2:2" x14ac:dyDescent="0.2">
      <c r="B160" s="62" t="s">
        <v>3782</v>
      </c>
    </row>
    <row r="161" spans="2:2" x14ac:dyDescent="0.2">
      <c r="B161" s="62" t="s">
        <v>3740</v>
      </c>
    </row>
    <row r="162" spans="2:2" x14ac:dyDescent="0.2">
      <c r="B162" s="62" t="s">
        <v>3727</v>
      </c>
    </row>
    <row r="163" spans="2:2" x14ac:dyDescent="0.2">
      <c r="B163" s="62" t="s">
        <v>3713</v>
      </c>
    </row>
    <row r="164" spans="2:2" x14ac:dyDescent="0.2">
      <c r="B164" s="62" t="s">
        <v>3686</v>
      </c>
    </row>
    <row r="165" spans="2:2" x14ac:dyDescent="0.2">
      <c r="B165" s="62" t="s">
        <v>3639</v>
      </c>
    </row>
    <row r="166" spans="2:2" x14ac:dyDescent="0.2">
      <c r="B166" s="62" t="s">
        <v>3638</v>
      </c>
    </row>
    <row r="167" spans="2:2" x14ac:dyDescent="0.2">
      <c r="B167" s="62" t="s">
        <v>3637</v>
      </c>
    </row>
    <row r="168" spans="2:2" x14ac:dyDescent="0.2">
      <c r="B168" s="62" t="s">
        <v>3636</v>
      </c>
    </row>
    <row r="169" spans="2:2" x14ac:dyDescent="0.2">
      <c r="B169" s="62" t="s">
        <v>3628</v>
      </c>
    </row>
    <row r="170" spans="2:2" x14ac:dyDescent="0.2">
      <c r="B170" s="62" t="s">
        <v>3624</v>
      </c>
    </row>
    <row r="171" spans="2:2" x14ac:dyDescent="0.2">
      <c r="B171" s="62" t="s">
        <v>3596</v>
      </c>
    </row>
    <row r="172" spans="2:2" x14ac:dyDescent="0.2">
      <c r="B172" s="62" t="s">
        <v>3568</v>
      </c>
    </row>
    <row r="173" spans="2:2" x14ac:dyDescent="0.2">
      <c r="B173" s="62" t="s">
        <v>3565</v>
      </c>
    </row>
    <row r="174" spans="2:2" x14ac:dyDescent="0.2">
      <c r="B174" s="62" t="s">
        <v>3548</v>
      </c>
    </row>
    <row r="175" spans="2:2" x14ac:dyDescent="0.2">
      <c r="B175" s="62" t="s">
        <v>3453</v>
      </c>
    </row>
    <row r="176" spans="2:2" x14ac:dyDescent="0.2">
      <c r="B176" s="62" t="s">
        <v>3416</v>
      </c>
    </row>
    <row r="177" spans="2:2" x14ac:dyDescent="0.2">
      <c r="B177" s="62" t="s">
        <v>3403</v>
      </c>
    </row>
    <row r="178" spans="2:2" x14ac:dyDescent="0.2">
      <c r="B178" s="62" t="s">
        <v>3333</v>
      </c>
    </row>
    <row r="179" spans="2:2" x14ac:dyDescent="0.2">
      <c r="B179" s="62" t="s">
        <v>3332</v>
      </c>
    </row>
    <row r="180" spans="2:2" x14ac:dyDescent="0.2">
      <c r="B180" s="62" t="s">
        <v>3331</v>
      </c>
    </row>
    <row r="181" spans="2:2" x14ac:dyDescent="0.2">
      <c r="B181" s="62" t="s">
        <v>3330</v>
      </c>
    </row>
    <row r="182" spans="2:2" x14ac:dyDescent="0.2">
      <c r="B182" s="62" t="s">
        <v>3329</v>
      </c>
    </row>
    <row r="183" spans="2:2" x14ac:dyDescent="0.2">
      <c r="B183" s="62" t="s">
        <v>3328</v>
      </c>
    </row>
    <row r="184" spans="2:2" x14ac:dyDescent="0.2">
      <c r="B184" s="62" t="s">
        <v>3327</v>
      </c>
    </row>
    <row r="185" spans="2:2" x14ac:dyDescent="0.2">
      <c r="B185" s="62" t="s">
        <v>3326</v>
      </c>
    </row>
    <row r="186" spans="2:2" x14ac:dyDescent="0.2">
      <c r="B186" s="62" t="s">
        <v>3325</v>
      </c>
    </row>
    <row r="187" spans="2:2" x14ac:dyDescent="0.2">
      <c r="B187" s="62" t="s">
        <v>3324</v>
      </c>
    </row>
    <row r="188" spans="2:2" x14ac:dyDescent="0.2">
      <c r="B188" s="62" t="s">
        <v>3323</v>
      </c>
    </row>
    <row r="189" spans="2:2" x14ac:dyDescent="0.2">
      <c r="B189" s="62" t="s">
        <v>3322</v>
      </c>
    </row>
    <row r="190" spans="2:2" x14ac:dyDescent="0.2">
      <c r="B190" s="62" t="s">
        <v>3321</v>
      </c>
    </row>
    <row r="191" spans="2:2" x14ac:dyDescent="0.2">
      <c r="B191" s="62" t="s">
        <v>3320</v>
      </c>
    </row>
    <row r="192" spans="2:2" x14ac:dyDescent="0.2">
      <c r="B192" s="62" t="s">
        <v>3319</v>
      </c>
    </row>
    <row r="193" spans="2:2" x14ac:dyDescent="0.2">
      <c r="B193" s="62" t="s">
        <v>3318</v>
      </c>
    </row>
    <row r="194" spans="2:2" x14ac:dyDescent="0.2">
      <c r="B194" s="62" t="s">
        <v>3317</v>
      </c>
    </row>
    <row r="195" spans="2:2" x14ac:dyDescent="0.2">
      <c r="B195" s="62" t="s">
        <v>3316</v>
      </c>
    </row>
    <row r="196" spans="2:2" x14ac:dyDescent="0.2">
      <c r="B196" s="62" t="s">
        <v>3284</v>
      </c>
    </row>
    <row r="197" spans="2:2" x14ac:dyDescent="0.2">
      <c r="B197" s="62" t="s">
        <v>3250</v>
      </c>
    </row>
    <row r="198" spans="2:2" x14ac:dyDescent="0.2">
      <c r="B198" s="62" t="s">
        <v>3249</v>
      </c>
    </row>
    <row r="199" spans="2:2" x14ac:dyDescent="0.2">
      <c r="B199" s="62" t="s">
        <v>3209</v>
      </c>
    </row>
    <row r="200" spans="2:2" x14ac:dyDescent="0.2">
      <c r="B200" s="62" t="s">
        <v>3198</v>
      </c>
    </row>
    <row r="201" spans="2:2" x14ac:dyDescent="0.2">
      <c r="B201" s="62" t="s">
        <v>3173</v>
      </c>
    </row>
    <row r="202" spans="2:2" x14ac:dyDescent="0.2">
      <c r="B202" s="62" t="s">
        <v>3095</v>
      </c>
    </row>
    <row r="203" spans="2:2" x14ac:dyDescent="0.2">
      <c r="B203" s="62" t="s">
        <v>3084</v>
      </c>
    </row>
    <row r="204" spans="2:2" x14ac:dyDescent="0.2">
      <c r="B204" s="62" t="s">
        <v>3047</v>
      </c>
    </row>
    <row r="205" spans="2:2" x14ac:dyDescent="0.2">
      <c r="B205" s="62" t="s">
        <v>3045</v>
      </c>
    </row>
    <row r="206" spans="2:2" x14ac:dyDescent="0.2">
      <c r="B206" s="62" t="s">
        <v>3044</v>
      </c>
    </row>
    <row r="207" spans="2:2" x14ac:dyDescent="0.2">
      <c r="B207" s="62" t="s">
        <v>3037</v>
      </c>
    </row>
    <row r="208" spans="2:2" x14ac:dyDescent="0.2">
      <c r="B208" s="62" t="s">
        <v>3035</v>
      </c>
    </row>
    <row r="209" spans="2:2" x14ac:dyDescent="0.2">
      <c r="B209" s="62" t="s">
        <v>3031</v>
      </c>
    </row>
    <row r="210" spans="2:2" x14ac:dyDescent="0.2">
      <c r="B210" s="62" t="s">
        <v>3026</v>
      </c>
    </row>
    <row r="211" spans="2:2" x14ac:dyDescent="0.2">
      <c r="B211" s="62" t="s">
        <v>2903</v>
      </c>
    </row>
    <row r="212" spans="2:2" x14ac:dyDescent="0.2">
      <c r="B212" s="62" t="s">
        <v>2878</v>
      </c>
    </row>
    <row r="213" spans="2:2" x14ac:dyDescent="0.2">
      <c r="B213" s="62" t="s">
        <v>2876</v>
      </c>
    </row>
    <row r="214" spans="2:2" x14ac:dyDescent="0.2">
      <c r="B214" s="62" t="s">
        <v>2873</v>
      </c>
    </row>
    <row r="215" spans="2:2" x14ac:dyDescent="0.2">
      <c r="B215" s="62" t="s">
        <v>2868</v>
      </c>
    </row>
    <row r="216" spans="2:2" x14ac:dyDescent="0.2">
      <c r="B216" s="62" t="s">
        <v>2860</v>
      </c>
    </row>
    <row r="217" spans="2:2" x14ac:dyDescent="0.2">
      <c r="B217" s="62" t="s">
        <v>2835</v>
      </c>
    </row>
    <row r="218" spans="2:2" x14ac:dyDescent="0.2">
      <c r="B218" s="62" t="s">
        <v>2784</v>
      </c>
    </row>
    <row r="219" spans="2:2" x14ac:dyDescent="0.2">
      <c r="B219" s="62" t="s">
        <v>2746</v>
      </c>
    </row>
    <row r="220" spans="2:2" x14ac:dyDescent="0.2">
      <c r="B220" s="62" t="s">
        <v>2741</v>
      </c>
    </row>
    <row r="221" spans="2:2" x14ac:dyDescent="0.2">
      <c r="B221" s="62" t="s">
        <v>2740</v>
      </c>
    </row>
    <row r="222" spans="2:2" x14ac:dyDescent="0.2">
      <c r="B222" s="62" t="s">
        <v>2739</v>
      </c>
    </row>
    <row r="223" spans="2:2" x14ac:dyDescent="0.2">
      <c r="B223" s="62" t="s">
        <v>2738</v>
      </c>
    </row>
    <row r="224" spans="2:2" x14ac:dyDescent="0.2">
      <c r="B224" s="62" t="s">
        <v>2716</v>
      </c>
    </row>
    <row r="225" spans="2:2" x14ac:dyDescent="0.2">
      <c r="B225" s="62" t="s">
        <v>2715</v>
      </c>
    </row>
    <row r="226" spans="2:2" x14ac:dyDescent="0.2">
      <c r="B226" s="62" t="s">
        <v>2714</v>
      </c>
    </row>
    <row r="227" spans="2:2" x14ac:dyDescent="0.2">
      <c r="B227" s="62" t="s">
        <v>2713</v>
      </c>
    </row>
    <row r="228" spans="2:2" x14ac:dyDescent="0.2">
      <c r="B228" s="62" t="s">
        <v>2712</v>
      </c>
    </row>
    <row r="229" spans="2:2" x14ac:dyDescent="0.2">
      <c r="B229" s="62" t="s">
        <v>2711</v>
      </c>
    </row>
    <row r="230" spans="2:2" x14ac:dyDescent="0.2">
      <c r="B230" s="62" t="s">
        <v>2710</v>
      </c>
    </row>
    <row r="231" spans="2:2" x14ac:dyDescent="0.2">
      <c r="B231" s="62" t="s">
        <v>2697</v>
      </c>
    </row>
    <row r="232" spans="2:2" x14ac:dyDescent="0.2">
      <c r="B232" s="62" t="s">
        <v>2696</v>
      </c>
    </row>
    <row r="233" spans="2:2" x14ac:dyDescent="0.2">
      <c r="B233" s="62" t="s">
        <v>2667</v>
      </c>
    </row>
    <row r="234" spans="2:2" x14ac:dyDescent="0.2">
      <c r="B234" s="62" t="s">
        <v>2648</v>
      </c>
    </row>
    <row r="235" spans="2:2" x14ac:dyDescent="0.2">
      <c r="B235" s="62" t="s">
        <v>2631</v>
      </c>
    </row>
    <row r="236" spans="2:2" x14ac:dyDescent="0.2">
      <c r="B236" s="62" t="s">
        <v>2619</v>
      </c>
    </row>
    <row r="237" spans="2:2" x14ac:dyDescent="0.2">
      <c r="B237" s="62" t="s">
        <v>2613</v>
      </c>
    </row>
    <row r="238" spans="2:2" x14ac:dyDescent="0.2">
      <c r="B238" s="62" t="s">
        <v>2600</v>
      </c>
    </row>
    <row r="239" spans="2:2" x14ac:dyDescent="0.2">
      <c r="B239" s="62" t="s">
        <v>2578</v>
      </c>
    </row>
    <row r="240" spans="2:2" x14ac:dyDescent="0.2">
      <c r="B240" s="62" t="s">
        <v>2577</v>
      </c>
    </row>
    <row r="241" spans="2:2" x14ac:dyDescent="0.2">
      <c r="B241" s="62" t="s">
        <v>2562</v>
      </c>
    </row>
    <row r="242" spans="2:2" x14ac:dyDescent="0.2">
      <c r="B242" s="62" t="s">
        <v>2471</v>
      </c>
    </row>
    <row r="243" spans="2:2" x14ac:dyDescent="0.2">
      <c r="B243" s="62" t="s">
        <v>2470</v>
      </c>
    </row>
    <row r="244" spans="2:2" x14ac:dyDescent="0.2">
      <c r="B244" s="62" t="s">
        <v>2451</v>
      </c>
    </row>
    <row r="245" spans="2:2" x14ac:dyDescent="0.2">
      <c r="B245" s="62" t="s">
        <v>2412</v>
      </c>
    </row>
    <row r="246" spans="2:2" x14ac:dyDescent="0.2">
      <c r="B246" s="62" t="s">
        <v>2385</v>
      </c>
    </row>
    <row r="247" spans="2:2" x14ac:dyDescent="0.2">
      <c r="B247" s="62" t="s">
        <v>2368</v>
      </c>
    </row>
    <row r="248" spans="2:2" x14ac:dyDescent="0.2">
      <c r="B248" s="62" t="s">
        <v>2315</v>
      </c>
    </row>
    <row r="249" spans="2:2" x14ac:dyDescent="0.2">
      <c r="B249" s="62" t="s">
        <v>2253</v>
      </c>
    </row>
    <row r="250" spans="2:2" x14ac:dyDescent="0.2">
      <c r="B250" s="62" t="s">
        <v>2244</v>
      </c>
    </row>
    <row r="251" spans="2:2" x14ac:dyDescent="0.2">
      <c r="B251" s="62" t="s">
        <v>2243</v>
      </c>
    </row>
    <row r="252" spans="2:2" x14ac:dyDescent="0.2">
      <c r="B252" s="62" t="s">
        <v>2242</v>
      </c>
    </row>
    <row r="253" spans="2:2" x14ac:dyDescent="0.2">
      <c r="B253" s="62" t="s">
        <v>2241</v>
      </c>
    </row>
    <row r="254" spans="2:2" x14ac:dyDescent="0.2">
      <c r="B254" s="62" t="s">
        <v>2240</v>
      </c>
    </row>
    <row r="255" spans="2:2" x14ac:dyDescent="0.2">
      <c r="B255" s="62" t="s">
        <v>2239</v>
      </c>
    </row>
    <row r="256" spans="2:2" x14ac:dyDescent="0.2">
      <c r="B256" s="62" t="s">
        <v>2238</v>
      </c>
    </row>
    <row r="257" spans="2:2" x14ac:dyDescent="0.2">
      <c r="B257" s="62" t="s">
        <v>2237</v>
      </c>
    </row>
    <row r="258" spans="2:2" x14ac:dyDescent="0.2">
      <c r="B258" s="62" t="s">
        <v>2235</v>
      </c>
    </row>
    <row r="259" spans="2:2" x14ac:dyDescent="0.2">
      <c r="B259" s="62" t="s">
        <v>2212</v>
      </c>
    </row>
    <row r="260" spans="2:2" x14ac:dyDescent="0.2">
      <c r="B260" s="62" t="s">
        <v>2211</v>
      </c>
    </row>
    <row r="261" spans="2:2" x14ac:dyDescent="0.2">
      <c r="B261" s="62" t="s">
        <v>2200</v>
      </c>
    </row>
    <row r="262" spans="2:2" x14ac:dyDescent="0.2">
      <c r="B262" s="62" t="s">
        <v>2173</v>
      </c>
    </row>
    <row r="263" spans="2:2" x14ac:dyDescent="0.2">
      <c r="B263" s="62" t="s">
        <v>2161</v>
      </c>
    </row>
    <row r="264" spans="2:2" x14ac:dyDescent="0.2">
      <c r="B264" s="62" t="s">
        <v>2140</v>
      </c>
    </row>
    <row r="265" spans="2:2" x14ac:dyDescent="0.2">
      <c r="B265" s="62" t="s">
        <v>2123</v>
      </c>
    </row>
    <row r="266" spans="2:2" x14ac:dyDescent="0.2">
      <c r="B266" s="62" t="s">
        <v>2076</v>
      </c>
    </row>
    <row r="267" spans="2:2" x14ac:dyDescent="0.2">
      <c r="B267" s="62" t="s">
        <v>2074</v>
      </c>
    </row>
    <row r="268" spans="2:2" x14ac:dyDescent="0.2">
      <c r="B268" s="62" t="s">
        <v>2073</v>
      </c>
    </row>
    <row r="269" spans="2:2" x14ac:dyDescent="0.2">
      <c r="B269" s="62" t="s">
        <v>2072</v>
      </c>
    </row>
    <row r="270" spans="2:2" x14ac:dyDescent="0.2">
      <c r="B270" s="62" t="s">
        <v>2071</v>
      </c>
    </row>
    <row r="271" spans="2:2" x14ac:dyDescent="0.2">
      <c r="B271" s="62" t="s">
        <v>2070</v>
      </c>
    </row>
    <row r="272" spans="2:2" x14ac:dyDescent="0.2">
      <c r="B272" s="62" t="s">
        <v>2068</v>
      </c>
    </row>
    <row r="273" spans="2:2" x14ac:dyDescent="0.2">
      <c r="B273" s="62" t="s">
        <v>2057</v>
      </c>
    </row>
    <row r="274" spans="2:2" x14ac:dyDescent="0.2">
      <c r="B274" s="62" t="s">
        <v>2055</v>
      </c>
    </row>
    <row r="275" spans="2:2" x14ac:dyDescent="0.2">
      <c r="B275" s="62" t="s">
        <v>2048</v>
      </c>
    </row>
    <row r="276" spans="2:2" x14ac:dyDescent="0.2">
      <c r="B276" s="62" t="s">
        <v>2047</v>
      </c>
    </row>
    <row r="277" spans="2:2" x14ac:dyDescent="0.2">
      <c r="B277" s="62" t="s">
        <v>2046</v>
      </c>
    </row>
    <row r="278" spans="2:2" x14ac:dyDescent="0.2">
      <c r="B278" s="62" t="s">
        <v>2027</v>
      </c>
    </row>
    <row r="279" spans="2:2" x14ac:dyDescent="0.2">
      <c r="B279" s="62" t="s">
        <v>2026</v>
      </c>
    </row>
    <row r="280" spans="2:2" x14ac:dyDescent="0.2">
      <c r="B280" s="62" t="s">
        <v>2016</v>
      </c>
    </row>
    <row r="281" spans="2:2" x14ac:dyDescent="0.2">
      <c r="B281" s="62" t="s">
        <v>2015</v>
      </c>
    </row>
    <row r="282" spans="2:2" x14ac:dyDescent="0.2">
      <c r="B282" s="62" t="s">
        <v>2014</v>
      </c>
    </row>
    <row r="283" spans="2:2" x14ac:dyDescent="0.2">
      <c r="B283" s="62" t="s">
        <v>1936</v>
      </c>
    </row>
    <row r="284" spans="2:2" x14ac:dyDescent="0.2">
      <c r="B284" s="62" t="s">
        <v>1928</v>
      </c>
    </row>
    <row r="285" spans="2:2" x14ac:dyDescent="0.2">
      <c r="B285" s="62" t="s">
        <v>1906</v>
      </c>
    </row>
    <row r="286" spans="2:2" x14ac:dyDescent="0.2">
      <c r="B286" s="62" t="s">
        <v>1823</v>
      </c>
    </row>
    <row r="287" spans="2:2" x14ac:dyDescent="0.2">
      <c r="B287" s="62" t="s">
        <v>1820</v>
      </c>
    </row>
    <row r="288" spans="2:2" x14ac:dyDescent="0.2">
      <c r="B288" s="62" t="s">
        <v>1796</v>
      </c>
    </row>
    <row r="289" spans="2:2" x14ac:dyDescent="0.2">
      <c r="B289" s="62" t="s">
        <v>1782</v>
      </c>
    </row>
    <row r="290" spans="2:2" x14ac:dyDescent="0.2">
      <c r="B290" s="62" t="s">
        <v>1735</v>
      </c>
    </row>
    <row r="291" spans="2:2" x14ac:dyDescent="0.2">
      <c r="B291" s="62" t="s">
        <v>1734</v>
      </c>
    </row>
    <row r="292" spans="2:2" x14ac:dyDescent="0.2">
      <c r="B292" s="62" t="s">
        <v>1733</v>
      </c>
    </row>
    <row r="293" spans="2:2" x14ac:dyDescent="0.2">
      <c r="B293" s="62" t="s">
        <v>1732</v>
      </c>
    </row>
    <row r="294" spans="2:2" x14ac:dyDescent="0.2">
      <c r="B294" s="62" t="s">
        <v>1731</v>
      </c>
    </row>
    <row r="295" spans="2:2" x14ac:dyDescent="0.2">
      <c r="B295" s="62" t="s">
        <v>1730</v>
      </c>
    </row>
    <row r="296" spans="2:2" x14ac:dyDescent="0.2">
      <c r="B296" s="62" t="s">
        <v>1729</v>
      </c>
    </row>
    <row r="297" spans="2:2" x14ac:dyDescent="0.2">
      <c r="B297" s="62" t="s">
        <v>1728</v>
      </c>
    </row>
    <row r="298" spans="2:2" x14ac:dyDescent="0.2">
      <c r="B298" s="62" t="s">
        <v>1727</v>
      </c>
    </row>
    <row r="299" spans="2:2" x14ac:dyDescent="0.2">
      <c r="B299" s="62" t="s">
        <v>1726</v>
      </c>
    </row>
    <row r="300" spans="2:2" x14ac:dyDescent="0.2">
      <c r="B300" s="62" t="s">
        <v>1722</v>
      </c>
    </row>
    <row r="301" spans="2:2" x14ac:dyDescent="0.2">
      <c r="B301" s="62" t="s">
        <v>1719</v>
      </c>
    </row>
    <row r="302" spans="2:2" x14ac:dyDescent="0.2">
      <c r="B302" s="62" t="s">
        <v>1676</v>
      </c>
    </row>
    <row r="303" spans="2:2" x14ac:dyDescent="0.2">
      <c r="B303" s="62" t="s">
        <v>1606</v>
      </c>
    </row>
    <row r="304" spans="2:2" x14ac:dyDescent="0.2">
      <c r="B304" s="62" t="s">
        <v>1597</v>
      </c>
    </row>
    <row r="305" spans="2:2" x14ac:dyDescent="0.2">
      <c r="B305" s="62" t="s">
        <v>1561</v>
      </c>
    </row>
    <row r="306" spans="2:2" x14ac:dyDescent="0.2">
      <c r="B306" s="62" t="s">
        <v>1554</v>
      </c>
    </row>
    <row r="307" spans="2:2" x14ac:dyDescent="0.2">
      <c r="B307" s="62" t="s">
        <v>1546</v>
      </c>
    </row>
    <row r="308" spans="2:2" x14ac:dyDescent="0.2">
      <c r="B308" s="62" t="s">
        <v>1545</v>
      </c>
    </row>
    <row r="309" spans="2:2" x14ac:dyDescent="0.2">
      <c r="B309" s="62" t="s">
        <v>1524</v>
      </c>
    </row>
    <row r="310" spans="2:2" x14ac:dyDescent="0.2">
      <c r="B310" s="62" t="s">
        <v>1523</v>
      </c>
    </row>
    <row r="311" spans="2:2" x14ac:dyDescent="0.2">
      <c r="B311" s="62" t="s">
        <v>1522</v>
      </c>
    </row>
    <row r="312" spans="2:2" x14ac:dyDescent="0.2">
      <c r="B312" s="62" t="s">
        <v>1443</v>
      </c>
    </row>
    <row r="313" spans="2:2" x14ac:dyDescent="0.2">
      <c r="B313" s="62" t="s">
        <v>1411</v>
      </c>
    </row>
    <row r="314" spans="2:2" x14ac:dyDescent="0.2">
      <c r="B314" s="62" t="s">
        <v>1404</v>
      </c>
    </row>
    <row r="315" spans="2:2" x14ac:dyDescent="0.2">
      <c r="B315" s="62" t="s">
        <v>1369</v>
      </c>
    </row>
    <row r="316" spans="2:2" x14ac:dyDescent="0.2">
      <c r="B316" s="62" t="s">
        <v>1338</v>
      </c>
    </row>
    <row r="317" spans="2:2" x14ac:dyDescent="0.2">
      <c r="B317" s="62" t="s">
        <v>1320</v>
      </c>
    </row>
    <row r="318" spans="2:2" x14ac:dyDescent="0.2">
      <c r="B318" s="62" t="s">
        <v>1319</v>
      </c>
    </row>
    <row r="319" spans="2:2" x14ac:dyDescent="0.2">
      <c r="B319" s="62" t="s">
        <v>1318</v>
      </c>
    </row>
    <row r="320" spans="2:2" x14ac:dyDescent="0.2">
      <c r="B320" s="62" t="s">
        <v>1317</v>
      </c>
    </row>
    <row r="321" spans="2:2" x14ac:dyDescent="0.2">
      <c r="B321" s="62" t="s">
        <v>1316</v>
      </c>
    </row>
    <row r="322" spans="2:2" x14ac:dyDescent="0.2">
      <c r="B322" s="62" t="s">
        <v>1315</v>
      </c>
    </row>
    <row r="323" spans="2:2" x14ac:dyDescent="0.2">
      <c r="B323" s="62" t="s">
        <v>1314</v>
      </c>
    </row>
    <row r="324" spans="2:2" x14ac:dyDescent="0.2">
      <c r="B324" s="62" t="s">
        <v>1307</v>
      </c>
    </row>
    <row r="325" spans="2:2" x14ac:dyDescent="0.2">
      <c r="B325" s="62" t="s">
        <v>1213</v>
      </c>
    </row>
    <row r="326" spans="2:2" x14ac:dyDescent="0.2">
      <c r="B326" s="62" t="s">
        <v>1212</v>
      </c>
    </row>
    <row r="327" spans="2:2" x14ac:dyDescent="0.2">
      <c r="B327" s="62" t="s">
        <v>1207</v>
      </c>
    </row>
    <row r="328" spans="2:2" x14ac:dyDescent="0.2">
      <c r="B328" s="62" t="s">
        <v>1068</v>
      </c>
    </row>
    <row r="329" spans="2:2" x14ac:dyDescent="0.2">
      <c r="B329" s="62" t="s">
        <v>1067</v>
      </c>
    </row>
    <row r="330" spans="2:2" x14ac:dyDescent="0.2">
      <c r="B330" s="62" t="s">
        <v>1035</v>
      </c>
    </row>
    <row r="331" spans="2:2" x14ac:dyDescent="0.2">
      <c r="B331" s="62" t="s">
        <v>952</v>
      </c>
    </row>
    <row r="332" spans="2:2" x14ac:dyDescent="0.2">
      <c r="B332" s="62" t="s">
        <v>911</v>
      </c>
    </row>
    <row r="333" spans="2:2" x14ac:dyDescent="0.2">
      <c r="B333" s="62" t="s">
        <v>903</v>
      </c>
    </row>
    <row r="334" spans="2:2" x14ac:dyDescent="0.2">
      <c r="B334" s="62" t="s">
        <v>886</v>
      </c>
    </row>
    <row r="335" spans="2:2" x14ac:dyDescent="0.2">
      <c r="B335" s="62" t="s">
        <v>813</v>
      </c>
    </row>
    <row r="336" spans="2:2" x14ac:dyDescent="0.2">
      <c r="B336" s="62" t="s">
        <v>766</v>
      </c>
    </row>
    <row r="337" spans="2:2" x14ac:dyDescent="0.2">
      <c r="B337" s="62" t="s">
        <v>700</v>
      </c>
    </row>
    <row r="338" spans="2:2" x14ac:dyDescent="0.2">
      <c r="B338" s="62" t="s">
        <v>683</v>
      </c>
    </row>
    <row r="339" spans="2:2" x14ac:dyDescent="0.2">
      <c r="B339" s="62" t="s">
        <v>676</v>
      </c>
    </row>
    <row r="340" spans="2:2" x14ac:dyDescent="0.2">
      <c r="B340" s="62" t="s">
        <v>663</v>
      </c>
    </row>
    <row r="341" spans="2:2" x14ac:dyDescent="0.2">
      <c r="B341" s="62" t="s">
        <v>658</v>
      </c>
    </row>
    <row r="342" spans="2:2" x14ac:dyDescent="0.2">
      <c r="B342" s="62" t="s">
        <v>650</v>
      </c>
    </row>
    <row r="343" spans="2:2" x14ac:dyDescent="0.2">
      <c r="B343" s="62" t="s">
        <v>634</v>
      </c>
    </row>
    <row r="344" spans="2:2" x14ac:dyDescent="0.2">
      <c r="B344" s="62" t="s">
        <v>618</v>
      </c>
    </row>
    <row r="345" spans="2:2" x14ac:dyDescent="0.2">
      <c r="B345" s="62" t="s">
        <v>568</v>
      </c>
    </row>
    <row r="346" spans="2:2" x14ac:dyDescent="0.2">
      <c r="B346" s="62" t="s">
        <v>552</v>
      </c>
    </row>
    <row r="347" spans="2:2" x14ac:dyDescent="0.2">
      <c r="B347" s="62" t="s">
        <v>551</v>
      </c>
    </row>
    <row r="348" spans="2:2" x14ac:dyDescent="0.2">
      <c r="B348" s="55" t="s">
        <v>524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4476-AF8B-134F-A5AB-DE285E3BF453}">
  <dimension ref="A1:D5112"/>
  <sheetViews>
    <sheetView zoomScale="125" workbookViewId="0">
      <selection activeCell="B7" sqref="B7"/>
    </sheetView>
  </sheetViews>
  <sheetFormatPr baseColWidth="10" defaultRowHeight="16" x14ac:dyDescent="0.2"/>
  <cols>
    <col min="1" max="1" width="17.6640625" style="48" customWidth="1"/>
    <col min="2" max="2" width="19.83203125" style="48" customWidth="1"/>
    <col min="3" max="3" width="12.5" style="48" customWidth="1"/>
    <col min="4" max="4" width="53.33203125" style="43" customWidth="1"/>
    <col min="5" max="16384" width="10.83203125" style="43"/>
  </cols>
  <sheetData>
    <row r="1" spans="1:4" x14ac:dyDescent="0.2">
      <c r="A1" s="139" t="s">
        <v>6614</v>
      </c>
      <c r="B1" s="139"/>
      <c r="C1" s="139"/>
      <c r="D1" s="139"/>
    </row>
    <row r="3" spans="1:4" x14ac:dyDescent="0.2">
      <c r="A3" s="75" t="s">
        <v>6053</v>
      </c>
      <c r="B3" s="75" t="s">
        <v>6613</v>
      </c>
      <c r="C3" s="75" t="s">
        <v>6612</v>
      </c>
    </row>
    <row r="4" spans="1:4" x14ac:dyDescent="0.2">
      <c r="A4" s="62" t="s">
        <v>5997</v>
      </c>
      <c r="B4" s="48">
        <v>225</v>
      </c>
      <c r="C4" s="62">
        <v>1</v>
      </c>
    </row>
    <row r="5" spans="1:4" x14ac:dyDescent="0.2">
      <c r="A5" s="62" t="s">
        <v>5977</v>
      </c>
      <c r="B5" s="48">
        <v>12</v>
      </c>
      <c r="C5" s="62">
        <v>8</v>
      </c>
    </row>
    <row r="6" spans="1:4" x14ac:dyDescent="0.2">
      <c r="A6" s="62" t="s">
        <v>5937</v>
      </c>
      <c r="B6" s="48">
        <v>224</v>
      </c>
      <c r="C6" s="62">
        <v>1</v>
      </c>
    </row>
    <row r="7" spans="1:4" x14ac:dyDescent="0.2">
      <c r="A7" s="62" t="s">
        <v>5934</v>
      </c>
      <c r="B7" s="48">
        <v>15</v>
      </c>
      <c r="C7" s="62">
        <v>1</v>
      </c>
    </row>
    <row r="8" spans="1:4" x14ac:dyDescent="0.2">
      <c r="A8" s="62" t="s">
        <v>5851</v>
      </c>
      <c r="B8" s="48">
        <v>148</v>
      </c>
      <c r="C8" s="62">
        <v>1</v>
      </c>
    </row>
    <row r="9" spans="1:4" x14ac:dyDescent="0.2">
      <c r="A9" s="62" t="s">
        <v>5833</v>
      </c>
      <c r="B9" s="48">
        <v>148</v>
      </c>
      <c r="C9" s="62">
        <v>1</v>
      </c>
    </row>
    <row r="10" spans="1:4" x14ac:dyDescent="0.2">
      <c r="A10" s="62" t="s">
        <v>5818</v>
      </c>
      <c r="B10" s="48">
        <v>225</v>
      </c>
      <c r="C10" s="62">
        <v>1</v>
      </c>
    </row>
    <row r="11" spans="1:4" x14ac:dyDescent="0.2">
      <c r="A11" s="62" t="s">
        <v>5799</v>
      </c>
      <c r="B11" s="48">
        <v>65</v>
      </c>
      <c r="C11" s="62">
        <v>12</v>
      </c>
    </row>
    <row r="12" spans="1:4" x14ac:dyDescent="0.2">
      <c r="A12" s="62" t="s">
        <v>5774</v>
      </c>
      <c r="B12" s="48">
        <v>96</v>
      </c>
      <c r="C12" s="62">
        <v>92</v>
      </c>
    </row>
    <row r="13" spans="1:4" x14ac:dyDescent="0.2">
      <c r="A13" s="62" t="s">
        <v>5767</v>
      </c>
      <c r="B13" s="48">
        <v>96</v>
      </c>
      <c r="C13" s="62">
        <v>92</v>
      </c>
    </row>
    <row r="14" spans="1:4" x14ac:dyDescent="0.2">
      <c r="A14" s="62" t="s">
        <v>5764</v>
      </c>
      <c r="B14" s="48">
        <v>190</v>
      </c>
      <c r="C14" s="62">
        <v>1</v>
      </c>
    </row>
    <row r="15" spans="1:4" x14ac:dyDescent="0.2">
      <c r="A15" s="62" t="s">
        <v>5762</v>
      </c>
      <c r="B15" s="48">
        <v>14</v>
      </c>
      <c r="C15" s="62">
        <v>1</v>
      </c>
    </row>
    <row r="16" spans="1:4" x14ac:dyDescent="0.2">
      <c r="A16" s="62" t="s">
        <v>5687</v>
      </c>
      <c r="B16" s="48">
        <v>215</v>
      </c>
      <c r="C16" s="62">
        <v>1</v>
      </c>
    </row>
    <row r="17" spans="1:3" x14ac:dyDescent="0.2">
      <c r="A17" s="62" t="s">
        <v>5686</v>
      </c>
      <c r="B17" s="48">
        <v>215</v>
      </c>
      <c r="C17" s="62">
        <v>1</v>
      </c>
    </row>
    <row r="18" spans="1:3" x14ac:dyDescent="0.2">
      <c r="A18" s="62" t="s">
        <v>5625</v>
      </c>
      <c r="B18" s="48">
        <v>96</v>
      </c>
      <c r="C18" s="62">
        <v>92</v>
      </c>
    </row>
    <row r="19" spans="1:3" x14ac:dyDescent="0.2">
      <c r="A19" s="62" t="s">
        <v>5622</v>
      </c>
      <c r="B19" s="48">
        <v>76</v>
      </c>
      <c r="C19" s="62">
        <v>78</v>
      </c>
    </row>
    <row r="20" spans="1:3" x14ac:dyDescent="0.2">
      <c r="A20" s="62" t="s">
        <v>5619</v>
      </c>
      <c r="B20" s="48">
        <v>12</v>
      </c>
      <c r="C20" s="62">
        <v>1</v>
      </c>
    </row>
    <row r="21" spans="1:3" x14ac:dyDescent="0.2">
      <c r="A21" s="62" t="s">
        <v>5598</v>
      </c>
      <c r="B21" s="48">
        <v>223</v>
      </c>
      <c r="C21" s="62">
        <v>1</v>
      </c>
    </row>
    <row r="22" spans="1:3" x14ac:dyDescent="0.2">
      <c r="A22" s="62" t="s">
        <v>5597</v>
      </c>
      <c r="B22" s="48">
        <v>223</v>
      </c>
      <c r="C22" s="62">
        <v>93</v>
      </c>
    </row>
    <row r="23" spans="1:3" x14ac:dyDescent="0.2">
      <c r="A23" s="62" t="s">
        <v>5596</v>
      </c>
      <c r="B23" s="48">
        <v>223</v>
      </c>
      <c r="C23" s="62">
        <v>81</v>
      </c>
    </row>
    <row r="24" spans="1:3" x14ac:dyDescent="0.2">
      <c r="A24" s="62" t="s">
        <v>5589</v>
      </c>
      <c r="B24" s="48">
        <v>92</v>
      </c>
      <c r="C24" s="62">
        <v>96</v>
      </c>
    </row>
    <row r="25" spans="1:3" x14ac:dyDescent="0.2">
      <c r="A25" s="62" t="s">
        <v>5588</v>
      </c>
      <c r="B25" s="48">
        <v>92</v>
      </c>
      <c r="C25" s="62">
        <v>96</v>
      </c>
    </row>
    <row r="26" spans="1:3" x14ac:dyDescent="0.2">
      <c r="A26" s="62" t="s">
        <v>5582</v>
      </c>
      <c r="B26" s="48">
        <v>148</v>
      </c>
      <c r="C26" s="62">
        <v>1</v>
      </c>
    </row>
    <row r="27" spans="1:3" x14ac:dyDescent="0.2">
      <c r="A27" s="62" t="s">
        <v>5566</v>
      </c>
      <c r="B27" s="48">
        <v>76</v>
      </c>
      <c r="C27" s="62">
        <v>78</v>
      </c>
    </row>
    <row r="28" spans="1:3" x14ac:dyDescent="0.2">
      <c r="A28" s="62" t="s">
        <v>5565</v>
      </c>
      <c r="B28" s="48">
        <v>78</v>
      </c>
      <c r="C28" s="62">
        <v>76</v>
      </c>
    </row>
    <row r="29" spans="1:3" x14ac:dyDescent="0.2">
      <c r="A29" s="62" t="s">
        <v>5564</v>
      </c>
      <c r="B29" s="48">
        <v>76</v>
      </c>
      <c r="C29" s="62">
        <v>78</v>
      </c>
    </row>
    <row r="30" spans="1:3" x14ac:dyDescent="0.2">
      <c r="A30" s="62" t="s">
        <v>5563</v>
      </c>
      <c r="B30" s="48">
        <v>76</v>
      </c>
      <c r="C30" s="62">
        <v>78</v>
      </c>
    </row>
    <row r="31" spans="1:3" x14ac:dyDescent="0.2">
      <c r="A31" s="62" t="s">
        <v>5562</v>
      </c>
      <c r="B31" s="48">
        <v>76</v>
      </c>
      <c r="C31" s="62">
        <v>78</v>
      </c>
    </row>
    <row r="32" spans="1:3" x14ac:dyDescent="0.2">
      <c r="A32" s="62" t="s">
        <v>5561</v>
      </c>
      <c r="B32" s="48">
        <v>76</v>
      </c>
      <c r="C32" s="62">
        <v>78</v>
      </c>
    </row>
    <row r="33" spans="1:3" x14ac:dyDescent="0.2">
      <c r="A33" s="62" t="s">
        <v>5560</v>
      </c>
      <c r="B33" s="48">
        <v>76</v>
      </c>
      <c r="C33" s="62">
        <v>78</v>
      </c>
    </row>
    <row r="34" spans="1:3" x14ac:dyDescent="0.2">
      <c r="A34" s="62" t="s">
        <v>5559</v>
      </c>
      <c r="B34" s="48">
        <v>76</v>
      </c>
      <c r="C34" s="62">
        <v>78</v>
      </c>
    </row>
    <row r="35" spans="1:3" x14ac:dyDescent="0.2">
      <c r="A35" s="62" t="s">
        <v>5558</v>
      </c>
      <c r="B35" s="48">
        <v>76</v>
      </c>
      <c r="C35" s="62">
        <v>78</v>
      </c>
    </row>
    <row r="36" spans="1:3" x14ac:dyDescent="0.2">
      <c r="A36" s="62" t="s">
        <v>5557</v>
      </c>
      <c r="B36" s="48">
        <v>78</v>
      </c>
      <c r="C36" s="62">
        <v>76</v>
      </c>
    </row>
    <row r="37" spans="1:3" x14ac:dyDescent="0.2">
      <c r="A37" s="62" t="s">
        <v>5529</v>
      </c>
      <c r="B37" s="48">
        <v>95</v>
      </c>
      <c r="C37" s="62">
        <v>91</v>
      </c>
    </row>
    <row r="38" spans="1:3" x14ac:dyDescent="0.2">
      <c r="A38" s="62" t="s">
        <v>5528</v>
      </c>
      <c r="B38" s="48">
        <v>92</v>
      </c>
      <c r="C38" s="62">
        <v>96</v>
      </c>
    </row>
    <row r="39" spans="1:3" x14ac:dyDescent="0.2">
      <c r="A39" s="62" t="s">
        <v>5484</v>
      </c>
      <c r="B39" s="48">
        <v>227</v>
      </c>
      <c r="C39" s="62">
        <v>166</v>
      </c>
    </row>
    <row r="40" spans="1:3" x14ac:dyDescent="0.2">
      <c r="A40" s="62" t="s">
        <v>5461</v>
      </c>
      <c r="B40" s="48">
        <v>78</v>
      </c>
      <c r="C40" s="62">
        <v>76</v>
      </c>
    </row>
    <row r="41" spans="1:3" x14ac:dyDescent="0.2">
      <c r="A41" s="62" t="s">
        <v>5409</v>
      </c>
      <c r="B41" s="48">
        <v>92</v>
      </c>
      <c r="C41" s="62">
        <v>96</v>
      </c>
    </row>
    <row r="42" spans="1:3" x14ac:dyDescent="0.2">
      <c r="A42" s="62" t="s">
        <v>5402</v>
      </c>
      <c r="B42" s="48">
        <v>148</v>
      </c>
      <c r="C42" s="62">
        <v>2</v>
      </c>
    </row>
    <row r="43" spans="1:3" x14ac:dyDescent="0.2">
      <c r="A43" s="62" t="s">
        <v>5400</v>
      </c>
      <c r="B43" s="48">
        <v>148</v>
      </c>
      <c r="C43" s="62">
        <v>2</v>
      </c>
    </row>
    <row r="44" spans="1:3" x14ac:dyDescent="0.2">
      <c r="A44" s="62" t="s">
        <v>5392</v>
      </c>
      <c r="B44" s="48">
        <v>78</v>
      </c>
      <c r="C44" s="62">
        <v>76</v>
      </c>
    </row>
    <row r="45" spans="1:3" x14ac:dyDescent="0.2">
      <c r="A45" s="62" t="s">
        <v>5391</v>
      </c>
      <c r="B45" s="48">
        <v>76</v>
      </c>
      <c r="C45" s="62">
        <v>78</v>
      </c>
    </row>
    <row r="46" spans="1:3" x14ac:dyDescent="0.2">
      <c r="A46" s="62" t="s">
        <v>5381</v>
      </c>
      <c r="B46" s="48">
        <v>2</v>
      </c>
      <c r="C46" s="62">
        <v>1</v>
      </c>
    </row>
    <row r="47" spans="1:3" x14ac:dyDescent="0.2">
      <c r="A47" s="62" t="s">
        <v>5341</v>
      </c>
      <c r="B47" s="48">
        <v>96</v>
      </c>
      <c r="C47" s="62">
        <v>92</v>
      </c>
    </row>
    <row r="48" spans="1:3" x14ac:dyDescent="0.2">
      <c r="A48" s="62" t="s">
        <v>5313</v>
      </c>
      <c r="B48" s="48">
        <v>166</v>
      </c>
      <c r="C48" s="62">
        <v>148</v>
      </c>
    </row>
    <row r="49" spans="1:3" x14ac:dyDescent="0.2">
      <c r="A49" s="62" t="s">
        <v>5299</v>
      </c>
      <c r="B49" s="48">
        <v>96</v>
      </c>
      <c r="C49" s="62">
        <v>92</v>
      </c>
    </row>
    <row r="50" spans="1:3" x14ac:dyDescent="0.2">
      <c r="A50" s="62" t="s">
        <v>5252</v>
      </c>
      <c r="B50" s="48">
        <v>62</v>
      </c>
      <c r="C50" s="62">
        <v>1</v>
      </c>
    </row>
    <row r="51" spans="1:3" x14ac:dyDescent="0.2">
      <c r="A51" s="62" t="s">
        <v>5241</v>
      </c>
      <c r="B51" s="48">
        <v>78</v>
      </c>
      <c r="C51" s="62">
        <v>76</v>
      </c>
    </row>
    <row r="52" spans="1:3" x14ac:dyDescent="0.2">
      <c r="A52" s="62" t="s">
        <v>5158</v>
      </c>
      <c r="B52" s="48">
        <v>95</v>
      </c>
      <c r="C52" s="62">
        <v>91</v>
      </c>
    </row>
    <row r="53" spans="1:3" x14ac:dyDescent="0.2">
      <c r="A53" s="62" t="s">
        <v>5157</v>
      </c>
      <c r="B53" s="48">
        <v>91</v>
      </c>
      <c r="C53" s="62">
        <v>95</v>
      </c>
    </row>
    <row r="54" spans="1:3" x14ac:dyDescent="0.2">
      <c r="A54" s="62" t="s">
        <v>5156</v>
      </c>
      <c r="B54" s="48">
        <v>95</v>
      </c>
      <c r="C54" s="62">
        <v>91</v>
      </c>
    </row>
    <row r="55" spans="1:3" x14ac:dyDescent="0.2">
      <c r="A55" s="62" t="s">
        <v>5155</v>
      </c>
      <c r="B55" s="48">
        <v>91</v>
      </c>
      <c r="C55" s="62">
        <v>95</v>
      </c>
    </row>
    <row r="56" spans="1:3" x14ac:dyDescent="0.2">
      <c r="A56" s="62" t="s">
        <v>5154</v>
      </c>
      <c r="B56" s="48">
        <v>76</v>
      </c>
      <c r="C56" s="62">
        <v>78</v>
      </c>
    </row>
    <row r="57" spans="1:3" x14ac:dyDescent="0.2">
      <c r="A57" s="62" t="s">
        <v>5153</v>
      </c>
      <c r="B57" s="48">
        <v>78</v>
      </c>
      <c r="C57" s="62">
        <v>76</v>
      </c>
    </row>
    <row r="58" spans="1:3" x14ac:dyDescent="0.2">
      <c r="A58" s="62" t="s">
        <v>5150</v>
      </c>
      <c r="B58" s="48">
        <v>165</v>
      </c>
      <c r="C58" s="62">
        <v>1</v>
      </c>
    </row>
    <row r="59" spans="1:3" x14ac:dyDescent="0.2">
      <c r="A59" s="62" t="s">
        <v>5124</v>
      </c>
      <c r="B59" s="48">
        <v>212</v>
      </c>
      <c r="C59" s="62">
        <v>213</v>
      </c>
    </row>
    <row r="60" spans="1:3" x14ac:dyDescent="0.2">
      <c r="A60" s="62" t="s">
        <v>5123</v>
      </c>
      <c r="B60" s="48">
        <v>213</v>
      </c>
      <c r="C60" s="62">
        <v>212</v>
      </c>
    </row>
    <row r="61" spans="1:3" x14ac:dyDescent="0.2">
      <c r="A61" s="62" t="s">
        <v>5102</v>
      </c>
      <c r="B61" s="48">
        <v>94</v>
      </c>
      <c r="C61" s="62">
        <v>3</v>
      </c>
    </row>
    <row r="62" spans="1:3" x14ac:dyDescent="0.2">
      <c r="A62" s="62" t="s">
        <v>5081</v>
      </c>
      <c r="B62" s="48">
        <v>12</v>
      </c>
      <c r="C62" s="62">
        <v>5</v>
      </c>
    </row>
    <row r="63" spans="1:3" x14ac:dyDescent="0.2">
      <c r="A63" s="62" t="s">
        <v>5080</v>
      </c>
      <c r="B63" s="48">
        <v>62</v>
      </c>
      <c r="C63" s="62">
        <v>1</v>
      </c>
    </row>
    <row r="64" spans="1:3" x14ac:dyDescent="0.2">
      <c r="A64" s="62" t="s">
        <v>5079</v>
      </c>
      <c r="B64" s="48">
        <v>74</v>
      </c>
      <c r="C64" s="62">
        <v>1</v>
      </c>
    </row>
    <row r="65" spans="1:3" x14ac:dyDescent="0.2">
      <c r="A65" s="62" t="s">
        <v>5078</v>
      </c>
      <c r="B65" s="48">
        <v>74</v>
      </c>
      <c r="C65" s="62">
        <v>1</v>
      </c>
    </row>
    <row r="66" spans="1:3" x14ac:dyDescent="0.2">
      <c r="A66" s="62" t="s">
        <v>5060</v>
      </c>
      <c r="B66" s="48">
        <v>96</v>
      </c>
      <c r="C66" s="62">
        <v>92</v>
      </c>
    </row>
    <row r="67" spans="1:3" x14ac:dyDescent="0.2">
      <c r="A67" s="62" t="s">
        <v>5036</v>
      </c>
      <c r="B67" s="48">
        <v>213</v>
      </c>
      <c r="C67" s="62">
        <v>212</v>
      </c>
    </row>
    <row r="68" spans="1:3" x14ac:dyDescent="0.2">
      <c r="A68" s="62" t="s">
        <v>5005</v>
      </c>
      <c r="B68" s="48">
        <v>91</v>
      </c>
      <c r="C68" s="62">
        <v>95</v>
      </c>
    </row>
    <row r="69" spans="1:3" x14ac:dyDescent="0.2">
      <c r="A69" s="62" t="s">
        <v>5004</v>
      </c>
      <c r="B69" s="48">
        <v>91</v>
      </c>
      <c r="C69" s="62">
        <v>95</v>
      </c>
    </row>
    <row r="70" spans="1:3" x14ac:dyDescent="0.2">
      <c r="A70" s="62" t="s">
        <v>5003</v>
      </c>
      <c r="B70" s="48">
        <v>95</v>
      </c>
      <c r="C70" s="62">
        <v>91</v>
      </c>
    </row>
    <row r="71" spans="1:3" x14ac:dyDescent="0.2">
      <c r="A71" s="62" t="s">
        <v>4966</v>
      </c>
      <c r="B71" s="48">
        <v>2</v>
      </c>
      <c r="C71" s="62">
        <v>1</v>
      </c>
    </row>
    <row r="72" spans="1:3" x14ac:dyDescent="0.2">
      <c r="A72" s="62" t="s">
        <v>4955</v>
      </c>
      <c r="B72" s="48">
        <v>14</v>
      </c>
      <c r="C72" s="62">
        <v>1</v>
      </c>
    </row>
    <row r="73" spans="1:3" x14ac:dyDescent="0.2">
      <c r="A73" s="62" t="s">
        <v>4951</v>
      </c>
      <c r="B73" s="48">
        <v>15</v>
      </c>
      <c r="C73" s="62">
        <v>1</v>
      </c>
    </row>
    <row r="74" spans="1:3" x14ac:dyDescent="0.2">
      <c r="A74" s="62" t="s">
        <v>4943</v>
      </c>
      <c r="B74" s="48">
        <v>217</v>
      </c>
      <c r="C74" s="62">
        <v>1</v>
      </c>
    </row>
    <row r="75" spans="1:3" x14ac:dyDescent="0.2">
      <c r="A75" s="62" t="s">
        <v>4919</v>
      </c>
      <c r="B75" s="48">
        <v>61</v>
      </c>
      <c r="C75" s="62">
        <v>1</v>
      </c>
    </row>
    <row r="76" spans="1:3" x14ac:dyDescent="0.2">
      <c r="A76" s="62" t="s">
        <v>4910</v>
      </c>
      <c r="B76" s="48">
        <v>15</v>
      </c>
      <c r="C76" s="62">
        <v>1</v>
      </c>
    </row>
    <row r="77" spans="1:3" x14ac:dyDescent="0.2">
      <c r="A77" s="62" t="s">
        <v>4862</v>
      </c>
      <c r="B77" s="48">
        <v>14</v>
      </c>
      <c r="C77" s="62">
        <v>1</v>
      </c>
    </row>
    <row r="78" spans="1:3" x14ac:dyDescent="0.2">
      <c r="A78" s="62" t="s">
        <v>4856</v>
      </c>
      <c r="B78" s="48">
        <v>33</v>
      </c>
      <c r="C78" s="62">
        <v>1</v>
      </c>
    </row>
    <row r="79" spans="1:3" x14ac:dyDescent="0.2">
      <c r="A79" s="62" t="s">
        <v>4839</v>
      </c>
      <c r="B79" s="48">
        <v>217</v>
      </c>
      <c r="C79" s="62">
        <v>1</v>
      </c>
    </row>
    <row r="80" spans="1:3" x14ac:dyDescent="0.2">
      <c r="A80" s="62" t="s">
        <v>4812</v>
      </c>
      <c r="B80" s="48">
        <v>58</v>
      </c>
      <c r="C80" s="62">
        <v>1</v>
      </c>
    </row>
    <row r="81" spans="1:3" x14ac:dyDescent="0.2">
      <c r="A81" s="62" t="s">
        <v>4806</v>
      </c>
      <c r="B81" s="48">
        <v>123</v>
      </c>
      <c r="C81" s="62">
        <v>1</v>
      </c>
    </row>
    <row r="82" spans="1:3" x14ac:dyDescent="0.2">
      <c r="A82" s="62" t="s">
        <v>4753</v>
      </c>
      <c r="B82" s="48">
        <v>96</v>
      </c>
      <c r="C82" s="62">
        <v>92</v>
      </c>
    </row>
    <row r="83" spans="1:3" x14ac:dyDescent="0.2">
      <c r="A83" s="62" t="s">
        <v>4750</v>
      </c>
      <c r="B83" s="48">
        <v>91</v>
      </c>
      <c r="C83" s="62">
        <v>95</v>
      </c>
    </row>
    <row r="84" spans="1:3" x14ac:dyDescent="0.2">
      <c r="A84" s="62" t="s">
        <v>4711</v>
      </c>
      <c r="B84" s="48">
        <v>95</v>
      </c>
      <c r="C84" s="62">
        <v>91</v>
      </c>
    </row>
    <row r="85" spans="1:3" x14ac:dyDescent="0.2">
      <c r="A85" s="62" t="s">
        <v>4680</v>
      </c>
      <c r="B85" s="48">
        <v>78</v>
      </c>
      <c r="C85" s="62">
        <v>76</v>
      </c>
    </row>
    <row r="86" spans="1:3" x14ac:dyDescent="0.2">
      <c r="A86" s="62" t="s">
        <v>4661</v>
      </c>
      <c r="B86" s="48">
        <v>148</v>
      </c>
      <c r="C86" s="62">
        <v>2</v>
      </c>
    </row>
    <row r="87" spans="1:3" x14ac:dyDescent="0.2">
      <c r="A87" s="62" t="s">
        <v>4660</v>
      </c>
      <c r="B87" s="48">
        <v>148</v>
      </c>
      <c r="C87" s="62">
        <v>2</v>
      </c>
    </row>
    <row r="88" spans="1:3" x14ac:dyDescent="0.2">
      <c r="A88" s="62" t="s">
        <v>4659</v>
      </c>
      <c r="B88" s="48">
        <v>148</v>
      </c>
      <c r="C88" s="62">
        <v>2</v>
      </c>
    </row>
    <row r="89" spans="1:3" x14ac:dyDescent="0.2">
      <c r="A89" s="62" t="s">
        <v>4658</v>
      </c>
      <c r="B89" s="48">
        <v>148</v>
      </c>
      <c r="C89" s="62">
        <v>2</v>
      </c>
    </row>
    <row r="90" spans="1:3" x14ac:dyDescent="0.2">
      <c r="A90" s="62" t="s">
        <v>4657</v>
      </c>
      <c r="B90" s="48">
        <v>148</v>
      </c>
      <c r="C90" s="62">
        <v>2</v>
      </c>
    </row>
    <row r="91" spans="1:3" x14ac:dyDescent="0.2">
      <c r="A91" s="62" t="s">
        <v>4652</v>
      </c>
      <c r="B91" s="48">
        <v>140</v>
      </c>
      <c r="C91" s="62">
        <v>1</v>
      </c>
    </row>
    <row r="92" spans="1:3" x14ac:dyDescent="0.2">
      <c r="A92" s="62" t="s">
        <v>4624</v>
      </c>
      <c r="B92" s="48">
        <v>70</v>
      </c>
      <c r="C92" s="62">
        <v>1</v>
      </c>
    </row>
    <row r="93" spans="1:3" x14ac:dyDescent="0.2">
      <c r="A93" s="62" t="s">
        <v>4477</v>
      </c>
      <c r="B93" s="48">
        <v>217</v>
      </c>
      <c r="C93" s="62">
        <v>1</v>
      </c>
    </row>
    <row r="94" spans="1:3" x14ac:dyDescent="0.2">
      <c r="A94" s="62" t="s">
        <v>4476</v>
      </c>
      <c r="B94" s="48">
        <v>217</v>
      </c>
      <c r="C94" s="62">
        <v>1</v>
      </c>
    </row>
    <row r="95" spans="1:3" x14ac:dyDescent="0.2">
      <c r="A95" s="62" t="s">
        <v>4412</v>
      </c>
      <c r="B95" s="48">
        <v>217</v>
      </c>
      <c r="C95" s="62">
        <v>1</v>
      </c>
    </row>
    <row r="96" spans="1:3" x14ac:dyDescent="0.2">
      <c r="A96" s="62" t="s">
        <v>4393</v>
      </c>
      <c r="B96" s="48">
        <v>15</v>
      </c>
      <c r="C96" s="62">
        <v>5</v>
      </c>
    </row>
    <row r="97" spans="1:3" x14ac:dyDescent="0.2">
      <c r="A97" s="62" t="s">
        <v>4376</v>
      </c>
      <c r="B97" s="48">
        <v>225</v>
      </c>
      <c r="C97" s="62">
        <v>1</v>
      </c>
    </row>
    <row r="98" spans="1:3" x14ac:dyDescent="0.2">
      <c r="A98" s="62" t="s">
        <v>4374</v>
      </c>
      <c r="B98" s="48">
        <v>96</v>
      </c>
      <c r="C98" s="62">
        <v>92</v>
      </c>
    </row>
    <row r="99" spans="1:3" x14ac:dyDescent="0.2">
      <c r="A99" s="62" t="s">
        <v>4325</v>
      </c>
      <c r="B99" s="48">
        <v>15</v>
      </c>
      <c r="C99" s="62">
        <v>1</v>
      </c>
    </row>
    <row r="100" spans="1:3" x14ac:dyDescent="0.2">
      <c r="A100" s="62" t="s">
        <v>4324</v>
      </c>
      <c r="B100" s="48">
        <v>15</v>
      </c>
      <c r="C100" s="62">
        <v>1</v>
      </c>
    </row>
    <row r="101" spans="1:3" x14ac:dyDescent="0.2">
      <c r="A101" s="62" t="s">
        <v>4323</v>
      </c>
      <c r="B101" s="48">
        <v>70</v>
      </c>
      <c r="C101" s="62">
        <v>1</v>
      </c>
    </row>
    <row r="102" spans="1:3" x14ac:dyDescent="0.2">
      <c r="A102" s="62" t="s">
        <v>4322</v>
      </c>
      <c r="B102" s="48">
        <v>70</v>
      </c>
      <c r="C102" s="62">
        <v>1</v>
      </c>
    </row>
    <row r="103" spans="1:3" x14ac:dyDescent="0.2">
      <c r="A103" s="62" t="s">
        <v>4321</v>
      </c>
      <c r="B103" s="48">
        <v>70</v>
      </c>
      <c r="C103" s="62">
        <v>1</v>
      </c>
    </row>
    <row r="104" spans="1:3" x14ac:dyDescent="0.2">
      <c r="A104" s="62" t="s">
        <v>4320</v>
      </c>
      <c r="B104" s="48">
        <v>70</v>
      </c>
      <c r="C104" s="62">
        <v>1</v>
      </c>
    </row>
    <row r="105" spans="1:3" x14ac:dyDescent="0.2">
      <c r="A105" s="62" t="s">
        <v>4319</v>
      </c>
      <c r="B105" s="48">
        <v>70</v>
      </c>
      <c r="C105" s="62">
        <v>1</v>
      </c>
    </row>
    <row r="106" spans="1:3" x14ac:dyDescent="0.2">
      <c r="A106" s="62" t="s">
        <v>4318</v>
      </c>
      <c r="B106" s="48">
        <v>70</v>
      </c>
      <c r="C106" s="62">
        <v>1</v>
      </c>
    </row>
    <row r="107" spans="1:3" x14ac:dyDescent="0.2">
      <c r="A107" s="62" t="s">
        <v>4266</v>
      </c>
      <c r="B107" s="48">
        <v>96</v>
      </c>
      <c r="C107" s="62">
        <v>92</v>
      </c>
    </row>
    <row r="108" spans="1:3" x14ac:dyDescent="0.2">
      <c r="A108" s="62" t="s">
        <v>4241</v>
      </c>
      <c r="B108" s="48">
        <v>96</v>
      </c>
      <c r="C108" s="62">
        <v>92</v>
      </c>
    </row>
    <row r="109" spans="1:3" x14ac:dyDescent="0.2">
      <c r="A109" s="62" t="s">
        <v>4233</v>
      </c>
      <c r="B109" s="48">
        <v>140</v>
      </c>
      <c r="C109" s="62">
        <v>8</v>
      </c>
    </row>
    <row r="110" spans="1:3" x14ac:dyDescent="0.2">
      <c r="A110" s="62" t="s">
        <v>4222</v>
      </c>
      <c r="B110" s="48">
        <v>141</v>
      </c>
      <c r="C110" s="62">
        <v>1</v>
      </c>
    </row>
    <row r="111" spans="1:3" x14ac:dyDescent="0.2">
      <c r="A111" s="62" t="s">
        <v>4219</v>
      </c>
      <c r="B111" s="48">
        <v>176</v>
      </c>
      <c r="C111" s="62">
        <v>1</v>
      </c>
    </row>
    <row r="112" spans="1:3" x14ac:dyDescent="0.2">
      <c r="A112" s="62" t="s">
        <v>4200</v>
      </c>
      <c r="B112" s="48">
        <v>12</v>
      </c>
      <c r="C112" s="62">
        <v>2</v>
      </c>
    </row>
    <row r="113" spans="1:3" x14ac:dyDescent="0.2">
      <c r="A113" s="62" t="s">
        <v>4180</v>
      </c>
      <c r="B113" s="48">
        <v>95</v>
      </c>
      <c r="C113" s="62">
        <v>91</v>
      </c>
    </row>
    <row r="114" spans="1:3" x14ac:dyDescent="0.2">
      <c r="A114" s="62" t="s">
        <v>4156</v>
      </c>
      <c r="B114" s="48">
        <v>142</v>
      </c>
      <c r="C114" s="62">
        <v>1</v>
      </c>
    </row>
    <row r="115" spans="1:3" x14ac:dyDescent="0.2">
      <c r="A115" s="62" t="s">
        <v>4090</v>
      </c>
      <c r="B115" s="48">
        <v>2</v>
      </c>
      <c r="C115" s="62">
        <v>1</v>
      </c>
    </row>
    <row r="116" spans="1:3" x14ac:dyDescent="0.2">
      <c r="A116" s="62" t="s">
        <v>4066</v>
      </c>
      <c r="B116" s="48">
        <v>76</v>
      </c>
      <c r="C116" s="62">
        <v>78</v>
      </c>
    </row>
    <row r="117" spans="1:3" x14ac:dyDescent="0.2">
      <c r="A117" s="62" t="s">
        <v>4065</v>
      </c>
      <c r="B117" s="48">
        <v>78</v>
      </c>
      <c r="C117" s="62">
        <v>76</v>
      </c>
    </row>
    <row r="118" spans="1:3" x14ac:dyDescent="0.2">
      <c r="A118" s="62" t="s">
        <v>4061</v>
      </c>
      <c r="B118" s="48">
        <v>225</v>
      </c>
      <c r="C118" s="62">
        <v>97</v>
      </c>
    </row>
    <row r="119" spans="1:3" x14ac:dyDescent="0.2">
      <c r="A119" s="62" t="s">
        <v>4050</v>
      </c>
      <c r="B119" s="48">
        <v>63</v>
      </c>
      <c r="C119" s="62">
        <v>6</v>
      </c>
    </row>
    <row r="120" spans="1:3" x14ac:dyDescent="0.2">
      <c r="A120" s="62" t="s">
        <v>4019</v>
      </c>
      <c r="B120" s="48">
        <v>217</v>
      </c>
      <c r="C120" s="62">
        <v>1</v>
      </c>
    </row>
    <row r="121" spans="1:3" x14ac:dyDescent="0.2">
      <c r="A121" s="62" t="s">
        <v>3983</v>
      </c>
      <c r="B121" s="48">
        <v>96</v>
      </c>
      <c r="C121" s="62">
        <v>92</v>
      </c>
    </row>
    <row r="122" spans="1:3" x14ac:dyDescent="0.2">
      <c r="A122" s="62" t="s">
        <v>3974</v>
      </c>
      <c r="B122" s="48">
        <v>96</v>
      </c>
      <c r="C122" s="62">
        <v>92</v>
      </c>
    </row>
    <row r="123" spans="1:3" x14ac:dyDescent="0.2">
      <c r="A123" s="62" t="s">
        <v>3973</v>
      </c>
      <c r="B123" s="48">
        <v>96</v>
      </c>
      <c r="C123" s="62">
        <v>92</v>
      </c>
    </row>
    <row r="124" spans="1:3" x14ac:dyDescent="0.2">
      <c r="A124" s="62" t="s">
        <v>3972</v>
      </c>
      <c r="B124" s="48">
        <v>96</v>
      </c>
      <c r="C124" s="62">
        <v>92</v>
      </c>
    </row>
    <row r="125" spans="1:3" x14ac:dyDescent="0.2">
      <c r="A125" s="62" t="s">
        <v>3969</v>
      </c>
      <c r="B125" s="48">
        <v>13</v>
      </c>
      <c r="C125" s="62">
        <v>3</v>
      </c>
    </row>
    <row r="126" spans="1:3" x14ac:dyDescent="0.2">
      <c r="A126" s="62" t="s">
        <v>3938</v>
      </c>
      <c r="B126" s="48">
        <v>10</v>
      </c>
      <c r="C126" s="62">
        <v>6</v>
      </c>
    </row>
    <row r="127" spans="1:3" x14ac:dyDescent="0.2">
      <c r="A127" s="62" t="s">
        <v>3935</v>
      </c>
      <c r="B127" s="48">
        <v>223</v>
      </c>
      <c r="C127" s="62">
        <v>1</v>
      </c>
    </row>
    <row r="128" spans="1:3" x14ac:dyDescent="0.2">
      <c r="A128" s="62" t="s">
        <v>3934</v>
      </c>
      <c r="B128" s="48">
        <v>62</v>
      </c>
      <c r="C128" s="62">
        <v>1</v>
      </c>
    </row>
    <row r="129" spans="1:3" x14ac:dyDescent="0.2">
      <c r="A129" s="62" t="s">
        <v>3933</v>
      </c>
      <c r="B129" s="48">
        <v>96</v>
      </c>
      <c r="C129" s="62">
        <v>1</v>
      </c>
    </row>
    <row r="130" spans="1:3" x14ac:dyDescent="0.2">
      <c r="A130" s="62" t="s">
        <v>3874</v>
      </c>
      <c r="B130" s="48">
        <v>95</v>
      </c>
      <c r="C130" s="62">
        <v>91</v>
      </c>
    </row>
    <row r="131" spans="1:3" x14ac:dyDescent="0.2">
      <c r="A131" s="62" t="s">
        <v>3860</v>
      </c>
      <c r="B131" s="48">
        <v>220</v>
      </c>
      <c r="C131" s="62">
        <v>161</v>
      </c>
    </row>
    <row r="132" spans="1:3" x14ac:dyDescent="0.2">
      <c r="A132" s="62" t="s">
        <v>3851</v>
      </c>
      <c r="B132" s="48">
        <v>217</v>
      </c>
      <c r="C132" s="62">
        <v>1</v>
      </c>
    </row>
    <row r="133" spans="1:3" x14ac:dyDescent="0.2">
      <c r="A133" s="62" t="s">
        <v>3806</v>
      </c>
      <c r="B133" s="48">
        <v>58</v>
      </c>
      <c r="C133" s="62">
        <v>1</v>
      </c>
    </row>
    <row r="134" spans="1:3" x14ac:dyDescent="0.2">
      <c r="A134" s="62" t="s">
        <v>3710</v>
      </c>
      <c r="B134" s="48">
        <v>166</v>
      </c>
      <c r="C134" s="62">
        <v>1</v>
      </c>
    </row>
    <row r="135" spans="1:3" x14ac:dyDescent="0.2">
      <c r="A135" s="62" t="s">
        <v>3645</v>
      </c>
      <c r="B135" s="48">
        <v>15</v>
      </c>
      <c r="C135" s="62">
        <v>1</v>
      </c>
    </row>
    <row r="136" spans="1:3" x14ac:dyDescent="0.2">
      <c r="A136" s="62" t="s">
        <v>3619</v>
      </c>
      <c r="B136" s="48">
        <v>95</v>
      </c>
      <c r="C136" s="62">
        <v>91</v>
      </c>
    </row>
    <row r="137" spans="1:3" x14ac:dyDescent="0.2">
      <c r="A137" s="62" t="s">
        <v>3618</v>
      </c>
      <c r="B137" s="48">
        <v>95</v>
      </c>
      <c r="C137" s="62">
        <v>91</v>
      </c>
    </row>
    <row r="138" spans="1:3" x14ac:dyDescent="0.2">
      <c r="A138" s="62" t="s">
        <v>3617</v>
      </c>
      <c r="B138" s="48">
        <v>95</v>
      </c>
      <c r="C138" s="62">
        <v>91</v>
      </c>
    </row>
    <row r="139" spans="1:3" x14ac:dyDescent="0.2">
      <c r="A139" s="62" t="s">
        <v>3616</v>
      </c>
      <c r="B139" s="48">
        <v>95</v>
      </c>
      <c r="C139" s="62">
        <v>91</v>
      </c>
    </row>
    <row r="140" spans="1:3" x14ac:dyDescent="0.2">
      <c r="A140" s="62" t="s">
        <v>3615</v>
      </c>
      <c r="B140" s="48">
        <v>91</v>
      </c>
      <c r="C140" s="62">
        <v>95</v>
      </c>
    </row>
    <row r="141" spans="1:3" x14ac:dyDescent="0.2">
      <c r="A141" s="62" t="s">
        <v>3614</v>
      </c>
      <c r="B141" s="48">
        <v>95</v>
      </c>
      <c r="C141" s="62">
        <v>91</v>
      </c>
    </row>
    <row r="142" spans="1:3" x14ac:dyDescent="0.2">
      <c r="A142" s="62" t="s">
        <v>3613</v>
      </c>
      <c r="B142" s="48">
        <v>91</v>
      </c>
      <c r="C142" s="62">
        <v>95</v>
      </c>
    </row>
    <row r="143" spans="1:3" x14ac:dyDescent="0.2">
      <c r="A143" s="62" t="s">
        <v>3546</v>
      </c>
      <c r="B143" s="48">
        <v>142</v>
      </c>
      <c r="C143" s="62">
        <v>1</v>
      </c>
    </row>
    <row r="144" spans="1:3" x14ac:dyDescent="0.2">
      <c r="A144" s="62" t="s">
        <v>3486</v>
      </c>
      <c r="B144" s="48">
        <v>63</v>
      </c>
      <c r="C144" s="62">
        <v>1</v>
      </c>
    </row>
    <row r="145" spans="1:3" x14ac:dyDescent="0.2">
      <c r="A145" s="62" t="s">
        <v>3479</v>
      </c>
      <c r="B145" s="48">
        <v>12</v>
      </c>
      <c r="C145" s="62">
        <v>1</v>
      </c>
    </row>
    <row r="146" spans="1:3" x14ac:dyDescent="0.2">
      <c r="A146" s="62" t="s">
        <v>3460</v>
      </c>
      <c r="B146" s="48">
        <v>19</v>
      </c>
      <c r="C146" s="62">
        <v>1</v>
      </c>
    </row>
    <row r="147" spans="1:3" x14ac:dyDescent="0.2">
      <c r="A147" s="62" t="s">
        <v>3457</v>
      </c>
      <c r="B147" s="48">
        <v>76</v>
      </c>
      <c r="C147" s="62">
        <v>78</v>
      </c>
    </row>
    <row r="148" spans="1:3" x14ac:dyDescent="0.2">
      <c r="A148" s="62" t="s">
        <v>3456</v>
      </c>
      <c r="B148" s="48">
        <v>76</v>
      </c>
      <c r="C148" s="62">
        <v>78</v>
      </c>
    </row>
    <row r="149" spans="1:3" x14ac:dyDescent="0.2">
      <c r="A149" s="62" t="s">
        <v>3416</v>
      </c>
      <c r="B149" s="48">
        <v>96</v>
      </c>
      <c r="C149" s="62">
        <v>92</v>
      </c>
    </row>
    <row r="150" spans="1:3" x14ac:dyDescent="0.2">
      <c r="A150" s="62" t="s">
        <v>3390</v>
      </c>
      <c r="B150" s="48">
        <v>96</v>
      </c>
      <c r="C150" s="62">
        <v>92</v>
      </c>
    </row>
    <row r="151" spans="1:3" x14ac:dyDescent="0.2">
      <c r="A151" s="62" t="s">
        <v>3387</v>
      </c>
      <c r="B151" s="48">
        <v>230</v>
      </c>
      <c r="C151" s="62">
        <v>1</v>
      </c>
    </row>
    <row r="152" spans="1:3" x14ac:dyDescent="0.2">
      <c r="A152" s="62" t="s">
        <v>3380</v>
      </c>
      <c r="B152" s="48">
        <v>91</v>
      </c>
      <c r="C152" s="62">
        <v>95</v>
      </c>
    </row>
    <row r="153" spans="1:3" x14ac:dyDescent="0.2">
      <c r="A153" s="62" t="s">
        <v>3371</v>
      </c>
      <c r="B153" s="48">
        <v>18</v>
      </c>
      <c r="C153" s="62">
        <v>1</v>
      </c>
    </row>
    <row r="154" spans="1:3" x14ac:dyDescent="0.2">
      <c r="A154" s="62" t="s">
        <v>3369</v>
      </c>
      <c r="B154" s="48">
        <v>96</v>
      </c>
      <c r="C154" s="62">
        <v>92</v>
      </c>
    </row>
    <row r="155" spans="1:3" x14ac:dyDescent="0.2">
      <c r="A155" s="62" t="s">
        <v>3359</v>
      </c>
      <c r="B155" s="48">
        <v>217</v>
      </c>
      <c r="C155" s="62">
        <v>1</v>
      </c>
    </row>
    <row r="156" spans="1:3" x14ac:dyDescent="0.2">
      <c r="A156" s="62" t="s">
        <v>3354</v>
      </c>
      <c r="B156" s="48">
        <v>69</v>
      </c>
      <c r="C156" s="62">
        <v>1</v>
      </c>
    </row>
    <row r="157" spans="1:3" x14ac:dyDescent="0.2">
      <c r="A157" s="62" t="s">
        <v>3352</v>
      </c>
      <c r="B157" s="48">
        <v>69</v>
      </c>
      <c r="C157" s="62">
        <v>42</v>
      </c>
    </row>
    <row r="158" spans="1:3" x14ac:dyDescent="0.2">
      <c r="A158" s="62" t="s">
        <v>3334</v>
      </c>
      <c r="B158" s="48">
        <v>96</v>
      </c>
      <c r="C158" s="62">
        <v>92</v>
      </c>
    </row>
    <row r="159" spans="1:3" x14ac:dyDescent="0.2">
      <c r="A159" s="62" t="s">
        <v>3305</v>
      </c>
      <c r="B159" s="48">
        <v>92</v>
      </c>
      <c r="C159" s="62">
        <v>96</v>
      </c>
    </row>
    <row r="160" spans="1:3" x14ac:dyDescent="0.2">
      <c r="A160" s="62" t="s">
        <v>3196</v>
      </c>
      <c r="B160" s="48">
        <v>121</v>
      </c>
      <c r="C160" s="62">
        <v>1</v>
      </c>
    </row>
    <row r="161" spans="1:3" x14ac:dyDescent="0.2">
      <c r="A161" s="62" t="s">
        <v>3107</v>
      </c>
      <c r="B161" s="48">
        <v>9</v>
      </c>
      <c r="C161" s="62">
        <v>1</v>
      </c>
    </row>
    <row r="162" spans="1:3" x14ac:dyDescent="0.2">
      <c r="A162" s="62" t="s">
        <v>3106</v>
      </c>
      <c r="B162" s="48">
        <v>9</v>
      </c>
      <c r="C162" s="62">
        <v>1</v>
      </c>
    </row>
    <row r="163" spans="1:3" x14ac:dyDescent="0.2">
      <c r="A163" s="62" t="s">
        <v>3067</v>
      </c>
      <c r="B163" s="48">
        <v>212</v>
      </c>
      <c r="C163" s="62">
        <v>213</v>
      </c>
    </row>
    <row r="164" spans="1:3" x14ac:dyDescent="0.2">
      <c r="A164" s="62" t="s">
        <v>3048</v>
      </c>
      <c r="B164" s="48">
        <v>14</v>
      </c>
      <c r="C164" s="62">
        <v>1</v>
      </c>
    </row>
    <row r="165" spans="1:3" x14ac:dyDescent="0.2">
      <c r="A165" s="62" t="s">
        <v>3032</v>
      </c>
      <c r="B165" s="48">
        <v>19</v>
      </c>
      <c r="C165" s="62">
        <v>1</v>
      </c>
    </row>
    <row r="166" spans="1:3" x14ac:dyDescent="0.2">
      <c r="A166" s="62" t="s">
        <v>2918</v>
      </c>
      <c r="B166" s="48">
        <v>96</v>
      </c>
      <c r="C166" s="62">
        <v>92</v>
      </c>
    </row>
    <row r="167" spans="1:3" x14ac:dyDescent="0.2">
      <c r="A167" s="62" t="s">
        <v>2877</v>
      </c>
      <c r="B167" s="48">
        <v>95</v>
      </c>
      <c r="C167" s="62">
        <v>91</v>
      </c>
    </row>
    <row r="168" spans="1:3" x14ac:dyDescent="0.2">
      <c r="A168" s="62" t="s">
        <v>2875</v>
      </c>
      <c r="B168" s="48">
        <v>217</v>
      </c>
      <c r="C168" s="62">
        <v>1</v>
      </c>
    </row>
    <row r="169" spans="1:3" x14ac:dyDescent="0.2">
      <c r="A169" s="62" t="s">
        <v>2814</v>
      </c>
      <c r="B169" s="48">
        <v>96</v>
      </c>
      <c r="C169" s="62">
        <v>92</v>
      </c>
    </row>
    <row r="170" spans="1:3" x14ac:dyDescent="0.2">
      <c r="A170" s="62" t="s">
        <v>2813</v>
      </c>
      <c r="B170" s="48">
        <v>92</v>
      </c>
      <c r="C170" s="62">
        <v>96</v>
      </c>
    </row>
    <row r="171" spans="1:3" x14ac:dyDescent="0.2">
      <c r="A171" s="62" t="s">
        <v>2812</v>
      </c>
      <c r="B171" s="48">
        <v>92</v>
      </c>
      <c r="C171" s="62">
        <v>96</v>
      </c>
    </row>
    <row r="172" spans="1:3" x14ac:dyDescent="0.2">
      <c r="A172" s="62" t="s">
        <v>2811</v>
      </c>
      <c r="B172" s="48">
        <v>96</v>
      </c>
      <c r="C172" s="62">
        <v>92</v>
      </c>
    </row>
    <row r="173" spans="1:3" x14ac:dyDescent="0.2">
      <c r="A173" s="62" t="s">
        <v>2810</v>
      </c>
      <c r="B173" s="48">
        <v>96</v>
      </c>
      <c r="C173" s="62">
        <v>92</v>
      </c>
    </row>
    <row r="174" spans="1:3" x14ac:dyDescent="0.2">
      <c r="A174" s="62" t="s">
        <v>2809</v>
      </c>
      <c r="B174" s="48">
        <v>92</v>
      </c>
      <c r="C174" s="62">
        <v>96</v>
      </c>
    </row>
    <row r="175" spans="1:3" x14ac:dyDescent="0.2">
      <c r="A175" s="62" t="s">
        <v>2808</v>
      </c>
      <c r="B175" s="48">
        <v>92</v>
      </c>
      <c r="C175" s="62">
        <v>96</v>
      </c>
    </row>
    <row r="176" spans="1:3" x14ac:dyDescent="0.2">
      <c r="A176" s="62" t="s">
        <v>2807</v>
      </c>
      <c r="B176" s="48">
        <v>92</v>
      </c>
      <c r="C176" s="62">
        <v>96</v>
      </c>
    </row>
    <row r="177" spans="1:3" x14ac:dyDescent="0.2">
      <c r="A177" s="62" t="s">
        <v>2806</v>
      </c>
      <c r="B177" s="48">
        <v>96</v>
      </c>
      <c r="C177" s="62">
        <v>92</v>
      </c>
    </row>
    <row r="178" spans="1:3" x14ac:dyDescent="0.2">
      <c r="A178" s="62" t="s">
        <v>2805</v>
      </c>
      <c r="B178" s="48">
        <v>96</v>
      </c>
      <c r="C178" s="62">
        <v>92</v>
      </c>
    </row>
    <row r="179" spans="1:3" x14ac:dyDescent="0.2">
      <c r="A179" s="62" t="s">
        <v>2804</v>
      </c>
      <c r="B179" s="48">
        <v>96</v>
      </c>
      <c r="C179" s="62">
        <v>92</v>
      </c>
    </row>
    <row r="180" spans="1:3" x14ac:dyDescent="0.2">
      <c r="A180" s="62" t="s">
        <v>2803</v>
      </c>
      <c r="B180" s="48">
        <v>92</v>
      </c>
      <c r="C180" s="62">
        <v>96</v>
      </c>
    </row>
    <row r="181" spans="1:3" x14ac:dyDescent="0.2">
      <c r="A181" s="62" t="s">
        <v>2802</v>
      </c>
      <c r="B181" s="48">
        <v>92</v>
      </c>
      <c r="C181" s="62">
        <v>96</v>
      </c>
    </row>
    <row r="182" spans="1:3" x14ac:dyDescent="0.2">
      <c r="A182" s="62" t="s">
        <v>2801</v>
      </c>
      <c r="B182" s="48">
        <v>96</v>
      </c>
      <c r="C182" s="62">
        <v>92</v>
      </c>
    </row>
    <row r="183" spans="1:3" x14ac:dyDescent="0.2">
      <c r="A183" s="62" t="s">
        <v>2800</v>
      </c>
      <c r="B183" s="48">
        <v>92</v>
      </c>
      <c r="C183" s="62">
        <v>96</v>
      </c>
    </row>
    <row r="184" spans="1:3" x14ac:dyDescent="0.2">
      <c r="A184" s="62" t="s">
        <v>2799</v>
      </c>
      <c r="B184" s="48">
        <v>92</v>
      </c>
      <c r="C184" s="62">
        <v>96</v>
      </c>
    </row>
    <row r="185" spans="1:3" x14ac:dyDescent="0.2">
      <c r="A185" s="62" t="s">
        <v>2798</v>
      </c>
      <c r="B185" s="48">
        <v>96</v>
      </c>
      <c r="C185" s="62">
        <v>92</v>
      </c>
    </row>
    <row r="186" spans="1:3" x14ac:dyDescent="0.2">
      <c r="A186" s="62" t="s">
        <v>2797</v>
      </c>
      <c r="B186" s="48">
        <v>96</v>
      </c>
      <c r="C186" s="62">
        <v>92</v>
      </c>
    </row>
    <row r="187" spans="1:3" x14ac:dyDescent="0.2">
      <c r="A187" s="62" t="s">
        <v>2796</v>
      </c>
      <c r="B187" s="48">
        <v>96</v>
      </c>
      <c r="C187" s="62">
        <v>92</v>
      </c>
    </row>
    <row r="188" spans="1:3" x14ac:dyDescent="0.2">
      <c r="A188" s="62" t="s">
        <v>2795</v>
      </c>
      <c r="B188" s="48">
        <v>96</v>
      </c>
      <c r="C188" s="62">
        <v>92</v>
      </c>
    </row>
    <row r="189" spans="1:3" x14ac:dyDescent="0.2">
      <c r="A189" s="62" t="s">
        <v>2794</v>
      </c>
      <c r="B189" s="48">
        <v>96</v>
      </c>
      <c r="C189" s="62">
        <v>92</v>
      </c>
    </row>
    <row r="190" spans="1:3" x14ac:dyDescent="0.2">
      <c r="A190" s="62" t="s">
        <v>2784</v>
      </c>
      <c r="B190" s="48">
        <v>96</v>
      </c>
      <c r="C190" s="62">
        <v>92</v>
      </c>
    </row>
    <row r="191" spans="1:3" x14ac:dyDescent="0.2">
      <c r="A191" s="62" t="s">
        <v>2783</v>
      </c>
      <c r="B191" s="48">
        <v>96</v>
      </c>
      <c r="C191" s="62">
        <v>92</v>
      </c>
    </row>
    <row r="192" spans="1:3" x14ac:dyDescent="0.2">
      <c r="A192" s="62" t="s">
        <v>2760</v>
      </c>
      <c r="B192" s="48">
        <v>78</v>
      </c>
      <c r="C192" s="62">
        <v>76</v>
      </c>
    </row>
    <row r="193" spans="1:3" x14ac:dyDescent="0.2">
      <c r="A193" s="62" t="s">
        <v>2721</v>
      </c>
      <c r="B193" s="48">
        <v>92</v>
      </c>
      <c r="C193" s="62">
        <v>96</v>
      </c>
    </row>
    <row r="194" spans="1:3" x14ac:dyDescent="0.2">
      <c r="A194" s="62" t="s">
        <v>2708</v>
      </c>
      <c r="B194" s="48">
        <v>2</v>
      </c>
      <c r="C194" s="62">
        <v>1</v>
      </c>
    </row>
    <row r="195" spans="1:3" x14ac:dyDescent="0.2">
      <c r="A195" s="62" t="s">
        <v>2664</v>
      </c>
      <c r="B195" s="48">
        <v>15</v>
      </c>
      <c r="C195" s="62">
        <v>1</v>
      </c>
    </row>
    <row r="196" spans="1:3" x14ac:dyDescent="0.2">
      <c r="A196" s="62" t="s">
        <v>2660</v>
      </c>
      <c r="B196" s="48">
        <v>96</v>
      </c>
      <c r="C196" s="62">
        <v>92</v>
      </c>
    </row>
    <row r="197" spans="1:3" x14ac:dyDescent="0.2">
      <c r="A197" s="62" t="s">
        <v>2657</v>
      </c>
      <c r="B197" s="48">
        <v>15</v>
      </c>
      <c r="C197" s="62">
        <v>1</v>
      </c>
    </row>
    <row r="198" spans="1:3" x14ac:dyDescent="0.2">
      <c r="A198" s="62" t="s">
        <v>2548</v>
      </c>
      <c r="B198" s="48">
        <v>92</v>
      </c>
      <c r="C198" s="62">
        <v>96</v>
      </c>
    </row>
    <row r="199" spans="1:3" x14ac:dyDescent="0.2">
      <c r="A199" s="62" t="s">
        <v>2544</v>
      </c>
      <c r="B199" s="48">
        <v>213</v>
      </c>
      <c r="C199" s="62">
        <v>212</v>
      </c>
    </row>
    <row r="200" spans="1:3" x14ac:dyDescent="0.2">
      <c r="A200" s="62" t="s">
        <v>2543</v>
      </c>
      <c r="B200" s="48">
        <v>212</v>
      </c>
      <c r="C200" s="62">
        <v>213</v>
      </c>
    </row>
    <row r="201" spans="1:3" x14ac:dyDescent="0.2">
      <c r="A201" s="62" t="s">
        <v>2542</v>
      </c>
      <c r="B201" s="48">
        <v>91</v>
      </c>
      <c r="C201" s="62">
        <v>95</v>
      </c>
    </row>
    <row r="202" spans="1:3" x14ac:dyDescent="0.2">
      <c r="A202" s="62" t="s">
        <v>2541</v>
      </c>
      <c r="B202" s="48">
        <v>95</v>
      </c>
      <c r="C202" s="62">
        <v>91</v>
      </c>
    </row>
    <row r="203" spans="1:3" x14ac:dyDescent="0.2">
      <c r="A203" s="62" t="s">
        <v>2540</v>
      </c>
      <c r="B203" s="48">
        <v>91</v>
      </c>
      <c r="C203" s="62">
        <v>95</v>
      </c>
    </row>
    <row r="204" spans="1:3" x14ac:dyDescent="0.2">
      <c r="A204" s="62" t="s">
        <v>2539</v>
      </c>
      <c r="B204" s="48">
        <v>212</v>
      </c>
      <c r="C204" s="62">
        <v>213</v>
      </c>
    </row>
    <row r="205" spans="1:3" x14ac:dyDescent="0.2">
      <c r="A205" s="62" t="s">
        <v>2521</v>
      </c>
      <c r="B205" s="48">
        <v>2</v>
      </c>
      <c r="C205" s="62">
        <v>1</v>
      </c>
    </row>
    <row r="206" spans="1:3" x14ac:dyDescent="0.2">
      <c r="A206" s="62" t="s">
        <v>2520</v>
      </c>
      <c r="B206" s="48">
        <v>14</v>
      </c>
      <c r="C206" s="62">
        <v>1</v>
      </c>
    </row>
    <row r="207" spans="1:3" x14ac:dyDescent="0.2">
      <c r="A207" s="62" t="s">
        <v>2519</v>
      </c>
      <c r="B207" s="48">
        <v>14</v>
      </c>
      <c r="C207" s="62">
        <v>1</v>
      </c>
    </row>
    <row r="208" spans="1:3" x14ac:dyDescent="0.2">
      <c r="A208" s="62" t="s">
        <v>2518</v>
      </c>
      <c r="B208" s="48">
        <v>14</v>
      </c>
      <c r="C208" s="62">
        <v>1</v>
      </c>
    </row>
    <row r="209" spans="1:3" x14ac:dyDescent="0.2">
      <c r="A209" s="62" t="s">
        <v>2517</v>
      </c>
      <c r="B209" s="48">
        <v>14</v>
      </c>
      <c r="C209" s="62">
        <v>1</v>
      </c>
    </row>
    <row r="210" spans="1:3" x14ac:dyDescent="0.2">
      <c r="A210" s="62" t="s">
        <v>2515</v>
      </c>
      <c r="B210" s="48">
        <v>76</v>
      </c>
      <c r="C210" s="62">
        <v>78</v>
      </c>
    </row>
    <row r="211" spans="1:3" x14ac:dyDescent="0.2">
      <c r="A211" s="62" t="s">
        <v>2471</v>
      </c>
      <c r="B211" s="48">
        <v>212</v>
      </c>
      <c r="C211" s="62">
        <v>213</v>
      </c>
    </row>
    <row r="212" spans="1:3" x14ac:dyDescent="0.2">
      <c r="A212" s="62" t="s">
        <v>2470</v>
      </c>
      <c r="B212" s="48">
        <v>212</v>
      </c>
      <c r="C212" s="62">
        <v>213</v>
      </c>
    </row>
    <row r="213" spans="1:3" x14ac:dyDescent="0.2">
      <c r="A213" s="62" t="s">
        <v>2462</v>
      </c>
      <c r="B213" s="48">
        <v>96</v>
      </c>
      <c r="C213" s="62">
        <v>92</v>
      </c>
    </row>
    <row r="214" spans="1:3" x14ac:dyDescent="0.2">
      <c r="A214" s="62" t="s">
        <v>2389</v>
      </c>
      <c r="B214" s="48">
        <v>9</v>
      </c>
      <c r="C214" s="62">
        <v>1</v>
      </c>
    </row>
    <row r="215" spans="1:3" x14ac:dyDescent="0.2">
      <c r="A215" s="62" t="s">
        <v>2388</v>
      </c>
      <c r="B215" s="48">
        <v>15</v>
      </c>
      <c r="C215" s="62">
        <v>1</v>
      </c>
    </row>
    <row r="216" spans="1:3" x14ac:dyDescent="0.2">
      <c r="A216" s="62" t="s">
        <v>2358</v>
      </c>
      <c r="B216" s="48">
        <v>74</v>
      </c>
      <c r="C216" s="62">
        <v>1</v>
      </c>
    </row>
    <row r="217" spans="1:3" x14ac:dyDescent="0.2">
      <c r="A217" s="62" t="s">
        <v>2349</v>
      </c>
      <c r="B217" s="48">
        <v>148</v>
      </c>
      <c r="C217" s="62">
        <v>1</v>
      </c>
    </row>
    <row r="218" spans="1:3" x14ac:dyDescent="0.2">
      <c r="A218" s="62" t="s">
        <v>2347</v>
      </c>
      <c r="B218" s="48">
        <v>204</v>
      </c>
      <c r="C218" s="62">
        <v>223</v>
      </c>
    </row>
    <row r="219" spans="1:3" x14ac:dyDescent="0.2">
      <c r="A219" s="62" t="s">
        <v>2289</v>
      </c>
      <c r="B219" s="48">
        <v>76</v>
      </c>
      <c r="C219" s="62">
        <v>78</v>
      </c>
    </row>
    <row r="220" spans="1:3" x14ac:dyDescent="0.2">
      <c r="A220" s="62" t="s">
        <v>2229</v>
      </c>
      <c r="B220" s="48">
        <v>96</v>
      </c>
      <c r="C220" s="62">
        <v>92</v>
      </c>
    </row>
    <row r="221" spans="1:3" x14ac:dyDescent="0.2">
      <c r="A221" s="62" t="s">
        <v>2142</v>
      </c>
      <c r="B221" s="48">
        <v>92</v>
      </c>
      <c r="C221" s="62">
        <v>96</v>
      </c>
    </row>
    <row r="222" spans="1:3" x14ac:dyDescent="0.2">
      <c r="A222" s="62" t="s">
        <v>2136</v>
      </c>
      <c r="B222" s="48">
        <v>92</v>
      </c>
      <c r="C222" s="62">
        <v>96</v>
      </c>
    </row>
    <row r="223" spans="1:3" x14ac:dyDescent="0.2">
      <c r="A223" s="62" t="s">
        <v>2107</v>
      </c>
      <c r="B223" s="48">
        <v>225</v>
      </c>
      <c r="C223" s="62">
        <v>1</v>
      </c>
    </row>
    <row r="224" spans="1:3" x14ac:dyDescent="0.2">
      <c r="A224" s="62" t="s">
        <v>2095</v>
      </c>
      <c r="B224" s="48">
        <v>62</v>
      </c>
      <c r="C224" s="62">
        <v>1</v>
      </c>
    </row>
    <row r="225" spans="1:3" x14ac:dyDescent="0.2">
      <c r="A225" s="62" t="s">
        <v>2093</v>
      </c>
      <c r="B225" s="48">
        <v>74</v>
      </c>
      <c r="C225" s="62">
        <v>1</v>
      </c>
    </row>
    <row r="226" spans="1:3" x14ac:dyDescent="0.2">
      <c r="A226" s="62" t="s">
        <v>2088</v>
      </c>
      <c r="B226" s="48">
        <v>78</v>
      </c>
      <c r="C226" s="62">
        <v>76</v>
      </c>
    </row>
    <row r="227" spans="1:3" x14ac:dyDescent="0.2">
      <c r="A227" s="62" t="s">
        <v>2087</v>
      </c>
      <c r="B227" s="48">
        <v>91</v>
      </c>
      <c r="C227" s="62">
        <v>95</v>
      </c>
    </row>
    <row r="228" spans="1:3" x14ac:dyDescent="0.2">
      <c r="A228" s="62" t="s">
        <v>2086</v>
      </c>
      <c r="B228" s="48">
        <v>95</v>
      </c>
      <c r="C228" s="62">
        <v>91</v>
      </c>
    </row>
    <row r="229" spans="1:3" x14ac:dyDescent="0.2">
      <c r="A229" s="62" t="s">
        <v>2080</v>
      </c>
      <c r="B229" s="48">
        <v>92</v>
      </c>
      <c r="C229" s="62">
        <v>96</v>
      </c>
    </row>
    <row r="230" spans="1:3" x14ac:dyDescent="0.2">
      <c r="A230" s="62" t="s">
        <v>2079</v>
      </c>
      <c r="B230" s="48">
        <v>92</v>
      </c>
      <c r="C230" s="62">
        <v>96</v>
      </c>
    </row>
    <row r="231" spans="1:3" x14ac:dyDescent="0.2">
      <c r="A231" s="62" t="s">
        <v>2078</v>
      </c>
      <c r="B231" s="48">
        <v>96</v>
      </c>
      <c r="C231" s="62">
        <v>92</v>
      </c>
    </row>
    <row r="232" spans="1:3" x14ac:dyDescent="0.2">
      <c r="A232" s="62" t="s">
        <v>2077</v>
      </c>
      <c r="B232" s="48">
        <v>96</v>
      </c>
      <c r="C232" s="62">
        <v>92</v>
      </c>
    </row>
    <row r="233" spans="1:3" x14ac:dyDescent="0.2">
      <c r="A233" s="62" t="s">
        <v>2075</v>
      </c>
      <c r="B233" s="48">
        <v>92</v>
      </c>
      <c r="C233" s="62">
        <v>96</v>
      </c>
    </row>
    <row r="234" spans="1:3" x14ac:dyDescent="0.2">
      <c r="A234" s="62" t="s">
        <v>2063</v>
      </c>
      <c r="B234" s="48">
        <v>55</v>
      </c>
      <c r="C234" s="62">
        <v>1</v>
      </c>
    </row>
    <row r="235" spans="1:3" x14ac:dyDescent="0.2">
      <c r="A235" s="62" t="s">
        <v>2050</v>
      </c>
      <c r="B235" s="48">
        <v>15</v>
      </c>
      <c r="C235" s="62">
        <v>1</v>
      </c>
    </row>
    <row r="236" spans="1:3" x14ac:dyDescent="0.2">
      <c r="A236" s="62" t="s">
        <v>2021</v>
      </c>
      <c r="B236" s="48">
        <v>95</v>
      </c>
      <c r="C236" s="62">
        <v>91</v>
      </c>
    </row>
    <row r="237" spans="1:3" x14ac:dyDescent="0.2">
      <c r="A237" s="62" t="s">
        <v>1984</v>
      </c>
      <c r="B237" s="48">
        <v>19</v>
      </c>
      <c r="C237" s="62">
        <v>4</v>
      </c>
    </row>
    <row r="238" spans="1:3" x14ac:dyDescent="0.2">
      <c r="A238" s="62" t="s">
        <v>1983</v>
      </c>
      <c r="B238" s="48">
        <v>91</v>
      </c>
      <c r="C238" s="62">
        <v>95</v>
      </c>
    </row>
    <row r="239" spans="1:3" x14ac:dyDescent="0.2">
      <c r="A239" s="62" t="s">
        <v>1949</v>
      </c>
      <c r="B239" s="48">
        <v>95</v>
      </c>
      <c r="C239" s="62">
        <v>1</v>
      </c>
    </row>
    <row r="240" spans="1:3" x14ac:dyDescent="0.2">
      <c r="A240" s="62" t="s">
        <v>1947</v>
      </c>
      <c r="B240" s="48">
        <v>2</v>
      </c>
      <c r="C240" s="62">
        <v>1</v>
      </c>
    </row>
    <row r="241" spans="1:3" x14ac:dyDescent="0.2">
      <c r="A241" s="62" t="s">
        <v>1945</v>
      </c>
      <c r="B241" s="48">
        <v>225</v>
      </c>
      <c r="C241" s="62">
        <v>1</v>
      </c>
    </row>
    <row r="242" spans="1:3" x14ac:dyDescent="0.2">
      <c r="A242" s="62" t="s">
        <v>1936</v>
      </c>
      <c r="B242" s="48">
        <v>92</v>
      </c>
      <c r="C242" s="62">
        <v>96</v>
      </c>
    </row>
    <row r="243" spans="1:3" x14ac:dyDescent="0.2">
      <c r="A243" s="62" t="s">
        <v>1904</v>
      </c>
      <c r="B243" s="48">
        <v>92</v>
      </c>
      <c r="C243" s="62">
        <v>96</v>
      </c>
    </row>
    <row r="244" spans="1:3" x14ac:dyDescent="0.2">
      <c r="A244" s="62" t="s">
        <v>1818</v>
      </c>
      <c r="B244" s="48">
        <v>62</v>
      </c>
      <c r="C244" s="62">
        <v>7</v>
      </c>
    </row>
    <row r="245" spans="1:3" x14ac:dyDescent="0.2">
      <c r="A245" s="62" t="s">
        <v>1785</v>
      </c>
      <c r="B245" s="48">
        <v>92</v>
      </c>
      <c r="C245" s="62">
        <v>96</v>
      </c>
    </row>
    <row r="246" spans="1:3" x14ac:dyDescent="0.2">
      <c r="A246" s="62" t="s">
        <v>1750</v>
      </c>
      <c r="B246" s="48">
        <v>96</v>
      </c>
      <c r="C246" s="62">
        <v>92</v>
      </c>
    </row>
    <row r="247" spans="1:3" x14ac:dyDescent="0.2">
      <c r="A247" s="62" t="s">
        <v>1659</v>
      </c>
      <c r="B247" s="48">
        <v>92</v>
      </c>
      <c r="C247" s="62">
        <v>96</v>
      </c>
    </row>
    <row r="248" spans="1:3" x14ac:dyDescent="0.2">
      <c r="A248" s="62" t="s">
        <v>1586</v>
      </c>
      <c r="B248" s="48">
        <v>96</v>
      </c>
      <c r="C248" s="62">
        <v>92</v>
      </c>
    </row>
    <row r="249" spans="1:3" x14ac:dyDescent="0.2">
      <c r="A249" s="62" t="s">
        <v>1574</v>
      </c>
      <c r="B249" s="48">
        <v>76</v>
      </c>
      <c r="C249" s="62">
        <v>78</v>
      </c>
    </row>
    <row r="250" spans="1:3" x14ac:dyDescent="0.2">
      <c r="A250" s="62" t="s">
        <v>1531</v>
      </c>
      <c r="B250" s="48">
        <v>181</v>
      </c>
      <c r="C250" s="62">
        <v>1</v>
      </c>
    </row>
    <row r="251" spans="1:3" x14ac:dyDescent="0.2">
      <c r="A251" s="62" t="s">
        <v>1529</v>
      </c>
      <c r="B251" s="48">
        <v>144</v>
      </c>
      <c r="C251" s="62">
        <v>1</v>
      </c>
    </row>
    <row r="252" spans="1:3" x14ac:dyDescent="0.2">
      <c r="A252" s="62" t="s">
        <v>1510</v>
      </c>
      <c r="B252" s="48">
        <v>15</v>
      </c>
      <c r="C252" s="62">
        <v>9</v>
      </c>
    </row>
    <row r="253" spans="1:3" x14ac:dyDescent="0.2">
      <c r="A253" s="62" t="s">
        <v>1464</v>
      </c>
      <c r="B253" s="48">
        <v>2</v>
      </c>
      <c r="C253" s="62">
        <v>1</v>
      </c>
    </row>
    <row r="254" spans="1:3" x14ac:dyDescent="0.2">
      <c r="A254" s="62" t="s">
        <v>1422</v>
      </c>
      <c r="B254" s="48">
        <v>92</v>
      </c>
      <c r="C254" s="62">
        <v>96</v>
      </c>
    </row>
    <row r="255" spans="1:3" x14ac:dyDescent="0.2">
      <c r="A255" s="62" t="s">
        <v>1362</v>
      </c>
      <c r="B255" s="48">
        <v>148</v>
      </c>
      <c r="C255" s="62">
        <v>1</v>
      </c>
    </row>
    <row r="256" spans="1:3" x14ac:dyDescent="0.2">
      <c r="A256" s="62" t="s">
        <v>1355</v>
      </c>
      <c r="B256" s="48">
        <v>19</v>
      </c>
      <c r="C256" s="62">
        <v>1</v>
      </c>
    </row>
    <row r="257" spans="1:3" x14ac:dyDescent="0.2">
      <c r="A257" s="62" t="s">
        <v>1321</v>
      </c>
      <c r="B257" s="48">
        <v>92</v>
      </c>
      <c r="C257" s="62">
        <v>96</v>
      </c>
    </row>
    <row r="258" spans="1:3" x14ac:dyDescent="0.2">
      <c r="A258" s="62" t="s">
        <v>1320</v>
      </c>
      <c r="B258" s="48">
        <v>92</v>
      </c>
      <c r="C258" s="62">
        <v>96</v>
      </c>
    </row>
    <row r="259" spans="1:3" x14ac:dyDescent="0.2">
      <c r="A259" s="62" t="s">
        <v>1319</v>
      </c>
      <c r="B259" s="48">
        <v>92</v>
      </c>
      <c r="C259" s="62">
        <v>96</v>
      </c>
    </row>
    <row r="260" spans="1:3" x14ac:dyDescent="0.2">
      <c r="A260" s="62" t="s">
        <v>1318</v>
      </c>
      <c r="B260" s="48">
        <v>96</v>
      </c>
      <c r="C260" s="62">
        <v>92</v>
      </c>
    </row>
    <row r="261" spans="1:3" x14ac:dyDescent="0.2">
      <c r="A261" s="62" t="s">
        <v>1317</v>
      </c>
      <c r="B261" s="48">
        <v>92</v>
      </c>
      <c r="C261" s="62">
        <v>96</v>
      </c>
    </row>
    <row r="262" spans="1:3" x14ac:dyDescent="0.2">
      <c r="A262" s="62" t="s">
        <v>1316</v>
      </c>
      <c r="B262" s="48">
        <v>92</v>
      </c>
      <c r="C262" s="62">
        <v>96</v>
      </c>
    </row>
    <row r="263" spans="1:3" x14ac:dyDescent="0.2">
      <c r="A263" s="62" t="s">
        <v>1315</v>
      </c>
      <c r="B263" s="48">
        <v>92</v>
      </c>
      <c r="C263" s="62">
        <v>96</v>
      </c>
    </row>
    <row r="264" spans="1:3" x14ac:dyDescent="0.2">
      <c r="A264" s="62" t="s">
        <v>1314</v>
      </c>
      <c r="B264" s="48">
        <v>92</v>
      </c>
      <c r="C264" s="62">
        <v>96</v>
      </c>
    </row>
    <row r="265" spans="1:3" x14ac:dyDescent="0.2">
      <c r="A265" s="62" t="s">
        <v>1300</v>
      </c>
      <c r="B265" s="48">
        <v>92</v>
      </c>
      <c r="C265" s="62">
        <v>96</v>
      </c>
    </row>
    <row r="266" spans="1:3" x14ac:dyDescent="0.2">
      <c r="A266" s="62" t="s">
        <v>1292</v>
      </c>
      <c r="B266" s="48">
        <v>198</v>
      </c>
      <c r="C266" s="62">
        <v>1</v>
      </c>
    </row>
    <row r="267" spans="1:3" x14ac:dyDescent="0.2">
      <c r="A267" s="62" t="s">
        <v>1280</v>
      </c>
      <c r="B267" s="48">
        <v>44</v>
      </c>
      <c r="C267" s="62">
        <v>1</v>
      </c>
    </row>
    <row r="268" spans="1:3" x14ac:dyDescent="0.2">
      <c r="A268" s="62" t="s">
        <v>1279</v>
      </c>
      <c r="B268" s="48">
        <v>74</v>
      </c>
      <c r="C268" s="62">
        <v>1</v>
      </c>
    </row>
    <row r="269" spans="1:3" x14ac:dyDescent="0.2">
      <c r="A269" s="62" t="s">
        <v>1239</v>
      </c>
      <c r="B269" s="48">
        <v>96</v>
      </c>
      <c r="C269" s="62">
        <v>92</v>
      </c>
    </row>
    <row r="270" spans="1:3" x14ac:dyDescent="0.2">
      <c r="A270" s="62" t="s">
        <v>1115</v>
      </c>
      <c r="B270" s="48">
        <v>96</v>
      </c>
      <c r="C270" s="62">
        <v>92</v>
      </c>
    </row>
    <row r="271" spans="1:3" x14ac:dyDescent="0.2">
      <c r="A271" s="62" t="s">
        <v>1114</v>
      </c>
      <c r="B271" s="48">
        <v>96</v>
      </c>
      <c r="C271" s="62">
        <v>92</v>
      </c>
    </row>
    <row r="272" spans="1:3" x14ac:dyDescent="0.2">
      <c r="A272" s="62" t="s">
        <v>1113</v>
      </c>
      <c r="B272" s="48">
        <v>96</v>
      </c>
      <c r="C272" s="62">
        <v>92</v>
      </c>
    </row>
    <row r="273" spans="1:3" x14ac:dyDescent="0.2">
      <c r="A273" s="62" t="s">
        <v>1112</v>
      </c>
      <c r="B273" s="48">
        <v>92</v>
      </c>
      <c r="C273" s="62">
        <v>96</v>
      </c>
    </row>
    <row r="274" spans="1:3" x14ac:dyDescent="0.2">
      <c r="A274" s="62" t="s">
        <v>1111</v>
      </c>
      <c r="B274" s="48">
        <v>96</v>
      </c>
      <c r="C274" s="62">
        <v>92</v>
      </c>
    </row>
    <row r="275" spans="1:3" x14ac:dyDescent="0.2">
      <c r="A275" s="62" t="s">
        <v>1110</v>
      </c>
      <c r="B275" s="48">
        <v>96</v>
      </c>
      <c r="C275" s="62">
        <v>92</v>
      </c>
    </row>
    <row r="276" spans="1:3" x14ac:dyDescent="0.2">
      <c r="A276" s="62" t="s">
        <v>1109</v>
      </c>
      <c r="B276" s="48">
        <v>96</v>
      </c>
      <c r="C276" s="62">
        <v>92</v>
      </c>
    </row>
    <row r="277" spans="1:3" x14ac:dyDescent="0.2">
      <c r="A277" s="62" t="s">
        <v>1108</v>
      </c>
      <c r="B277" s="48">
        <v>96</v>
      </c>
      <c r="C277" s="62">
        <v>92</v>
      </c>
    </row>
    <row r="278" spans="1:3" x14ac:dyDescent="0.2">
      <c r="A278" s="62" t="s">
        <v>1107</v>
      </c>
      <c r="B278" s="48">
        <v>96</v>
      </c>
      <c r="C278" s="62">
        <v>92</v>
      </c>
    </row>
    <row r="279" spans="1:3" x14ac:dyDescent="0.2">
      <c r="A279" s="62" t="s">
        <v>1019</v>
      </c>
      <c r="B279" s="48">
        <v>113</v>
      </c>
      <c r="C279" s="62">
        <v>1</v>
      </c>
    </row>
    <row r="280" spans="1:3" x14ac:dyDescent="0.2">
      <c r="A280" s="62" t="s">
        <v>1000</v>
      </c>
      <c r="B280" s="48">
        <v>96</v>
      </c>
      <c r="C280" s="62">
        <v>92</v>
      </c>
    </row>
    <row r="281" spans="1:3" x14ac:dyDescent="0.2">
      <c r="A281" s="62" t="s">
        <v>946</v>
      </c>
      <c r="B281" s="48">
        <v>148</v>
      </c>
      <c r="C281" s="62">
        <v>146</v>
      </c>
    </row>
    <row r="282" spans="1:3" x14ac:dyDescent="0.2">
      <c r="A282" s="62" t="s">
        <v>945</v>
      </c>
      <c r="B282" s="48">
        <v>148</v>
      </c>
      <c r="C282" s="62">
        <v>146</v>
      </c>
    </row>
    <row r="283" spans="1:3" x14ac:dyDescent="0.2">
      <c r="A283" s="62" t="s">
        <v>872</v>
      </c>
      <c r="B283" s="48">
        <v>92</v>
      </c>
      <c r="C283" s="62">
        <v>96</v>
      </c>
    </row>
    <row r="284" spans="1:3" x14ac:dyDescent="0.2">
      <c r="A284" s="62" t="s">
        <v>824</v>
      </c>
      <c r="B284" s="48">
        <v>88</v>
      </c>
      <c r="C284" s="62">
        <v>80</v>
      </c>
    </row>
    <row r="285" spans="1:3" x14ac:dyDescent="0.2">
      <c r="A285" s="62" t="s">
        <v>808</v>
      </c>
      <c r="B285" s="48">
        <v>1</v>
      </c>
      <c r="C285" s="62">
        <v>4</v>
      </c>
    </row>
    <row r="286" spans="1:3" x14ac:dyDescent="0.2">
      <c r="A286" s="62" t="s">
        <v>772</v>
      </c>
      <c r="B286" s="48">
        <v>14</v>
      </c>
      <c r="C286" s="62">
        <v>1</v>
      </c>
    </row>
    <row r="287" spans="1:3" x14ac:dyDescent="0.2">
      <c r="A287" s="62" t="s">
        <v>771</v>
      </c>
      <c r="B287" s="48">
        <v>58</v>
      </c>
      <c r="C287" s="62">
        <v>1</v>
      </c>
    </row>
    <row r="288" spans="1:3" x14ac:dyDescent="0.2">
      <c r="A288" s="62" t="s">
        <v>733</v>
      </c>
      <c r="B288" s="48">
        <v>96</v>
      </c>
      <c r="C288" s="62">
        <v>92</v>
      </c>
    </row>
    <row r="289" spans="1:3" x14ac:dyDescent="0.2">
      <c r="A289" s="62" t="s">
        <v>732</v>
      </c>
      <c r="B289" s="48">
        <v>73</v>
      </c>
      <c r="C289" s="62">
        <v>1</v>
      </c>
    </row>
    <row r="290" spans="1:3" x14ac:dyDescent="0.2">
      <c r="A290" s="62" t="s">
        <v>723</v>
      </c>
      <c r="B290" s="48">
        <v>92</v>
      </c>
      <c r="C290" s="62">
        <v>96</v>
      </c>
    </row>
    <row r="291" spans="1:3" x14ac:dyDescent="0.2">
      <c r="A291" s="62" t="s">
        <v>719</v>
      </c>
      <c r="B291" s="48">
        <v>95</v>
      </c>
      <c r="C291" s="62">
        <v>91</v>
      </c>
    </row>
    <row r="292" spans="1:3" x14ac:dyDescent="0.2">
      <c r="A292" s="62" t="s">
        <v>662</v>
      </c>
      <c r="B292" s="48">
        <v>194</v>
      </c>
      <c r="C292" s="62">
        <v>1</v>
      </c>
    </row>
    <row r="293" spans="1:3" x14ac:dyDescent="0.2">
      <c r="A293" s="62" t="s">
        <v>621</v>
      </c>
      <c r="B293" s="48">
        <v>95</v>
      </c>
      <c r="C293" s="62">
        <v>91</v>
      </c>
    </row>
    <row r="294" spans="1:3" x14ac:dyDescent="0.2">
      <c r="A294" s="62" t="s">
        <v>565</v>
      </c>
      <c r="B294" s="48">
        <v>215</v>
      </c>
      <c r="C294" s="62">
        <v>1</v>
      </c>
    </row>
    <row r="295" spans="1:3" x14ac:dyDescent="0.2">
      <c r="A295" s="62" t="s">
        <v>518</v>
      </c>
      <c r="B295" s="48">
        <v>76</v>
      </c>
      <c r="C295" s="62">
        <v>78</v>
      </c>
    </row>
    <row r="296" spans="1:3" x14ac:dyDescent="0.2">
      <c r="A296" s="62" t="s">
        <v>517</v>
      </c>
      <c r="B296" s="48">
        <v>78</v>
      </c>
      <c r="C296" s="62">
        <v>76</v>
      </c>
    </row>
    <row r="297" spans="1:3" x14ac:dyDescent="0.2">
      <c r="A297" s="62" t="s">
        <v>516</v>
      </c>
      <c r="B297" s="48">
        <v>76</v>
      </c>
      <c r="C297" s="62">
        <v>78</v>
      </c>
    </row>
    <row r="298" spans="1:3" x14ac:dyDescent="0.2">
      <c r="A298" s="62" t="s">
        <v>509</v>
      </c>
      <c r="B298" s="48">
        <v>76</v>
      </c>
      <c r="C298" s="62">
        <v>78</v>
      </c>
    </row>
    <row r="299" spans="1:3" x14ac:dyDescent="0.2">
      <c r="A299" s="62" t="s">
        <v>497</v>
      </c>
      <c r="B299" s="48">
        <v>213</v>
      </c>
      <c r="C299" s="62">
        <v>212</v>
      </c>
    </row>
    <row r="300" spans="1:3" x14ac:dyDescent="0.2">
      <c r="A300" s="62" t="s">
        <v>496</v>
      </c>
      <c r="B300" s="48">
        <v>213</v>
      </c>
      <c r="C300" s="62">
        <v>212</v>
      </c>
    </row>
    <row r="301" spans="1:3" x14ac:dyDescent="0.2">
      <c r="A301" s="62" t="s">
        <v>6042</v>
      </c>
      <c r="B301" s="48">
        <v>9</v>
      </c>
      <c r="C301" s="62">
        <v>9</v>
      </c>
    </row>
    <row r="302" spans="1:3" x14ac:dyDescent="0.2">
      <c r="A302" s="62" t="s">
        <v>6041</v>
      </c>
      <c r="B302" s="48">
        <v>14</v>
      </c>
      <c r="C302" s="62">
        <v>14</v>
      </c>
    </row>
    <row r="303" spans="1:3" x14ac:dyDescent="0.2">
      <c r="A303" s="62" t="s">
        <v>6040</v>
      </c>
      <c r="B303" s="48">
        <v>221</v>
      </c>
      <c r="C303" s="62">
        <v>221</v>
      </c>
    </row>
    <row r="304" spans="1:3" x14ac:dyDescent="0.2">
      <c r="A304" s="62" t="s">
        <v>6039</v>
      </c>
      <c r="B304" s="48">
        <v>33</v>
      </c>
      <c r="C304" s="62">
        <v>33</v>
      </c>
    </row>
    <row r="305" spans="1:3" x14ac:dyDescent="0.2">
      <c r="A305" s="62" t="s">
        <v>6038</v>
      </c>
      <c r="B305" s="48">
        <v>33</v>
      </c>
      <c r="C305" s="62">
        <v>33</v>
      </c>
    </row>
    <row r="306" spans="1:3" x14ac:dyDescent="0.2">
      <c r="A306" s="62" t="s">
        <v>6037</v>
      </c>
      <c r="B306" s="48">
        <v>33</v>
      </c>
      <c r="C306" s="62">
        <v>33</v>
      </c>
    </row>
    <row r="307" spans="1:3" x14ac:dyDescent="0.2">
      <c r="A307" s="62" t="s">
        <v>6036</v>
      </c>
      <c r="B307" s="48">
        <v>33</v>
      </c>
      <c r="C307" s="62">
        <v>33</v>
      </c>
    </row>
    <row r="308" spans="1:3" x14ac:dyDescent="0.2">
      <c r="A308" s="62" t="s">
        <v>6035</v>
      </c>
      <c r="B308" s="48">
        <v>33</v>
      </c>
      <c r="C308" s="62">
        <v>33</v>
      </c>
    </row>
    <row r="309" spans="1:3" x14ac:dyDescent="0.2">
      <c r="A309" s="62" t="s">
        <v>6034</v>
      </c>
      <c r="B309" s="48">
        <v>33</v>
      </c>
      <c r="C309" s="62">
        <v>33</v>
      </c>
    </row>
    <row r="310" spans="1:3" x14ac:dyDescent="0.2">
      <c r="A310" s="62" t="s">
        <v>6033</v>
      </c>
      <c r="B310" s="48">
        <v>33</v>
      </c>
      <c r="C310" s="62">
        <v>33</v>
      </c>
    </row>
    <row r="311" spans="1:3" x14ac:dyDescent="0.2">
      <c r="A311" s="62" t="s">
        <v>6032</v>
      </c>
      <c r="B311" s="48">
        <v>2</v>
      </c>
      <c r="C311" s="62">
        <v>2</v>
      </c>
    </row>
    <row r="312" spans="1:3" x14ac:dyDescent="0.2">
      <c r="A312" s="62" t="s">
        <v>6031</v>
      </c>
      <c r="B312" s="48">
        <v>56</v>
      </c>
      <c r="C312" s="62">
        <v>56</v>
      </c>
    </row>
    <row r="313" spans="1:3" x14ac:dyDescent="0.2">
      <c r="A313" s="62" t="s">
        <v>6030</v>
      </c>
      <c r="B313" s="48">
        <v>61</v>
      </c>
      <c r="C313" s="62">
        <v>61</v>
      </c>
    </row>
    <row r="314" spans="1:3" x14ac:dyDescent="0.2">
      <c r="A314" s="62" t="s">
        <v>6029</v>
      </c>
      <c r="B314" s="48">
        <v>56</v>
      </c>
      <c r="C314" s="62">
        <v>56</v>
      </c>
    </row>
    <row r="315" spans="1:3" x14ac:dyDescent="0.2">
      <c r="A315" s="62" t="s">
        <v>6028</v>
      </c>
      <c r="B315" s="48">
        <v>14</v>
      </c>
      <c r="C315" s="62">
        <v>14</v>
      </c>
    </row>
    <row r="316" spans="1:3" x14ac:dyDescent="0.2">
      <c r="A316" s="62" t="s">
        <v>6027</v>
      </c>
      <c r="B316" s="48">
        <v>14</v>
      </c>
      <c r="C316" s="62">
        <v>14</v>
      </c>
    </row>
    <row r="317" spans="1:3" x14ac:dyDescent="0.2">
      <c r="A317" s="62" t="s">
        <v>6026</v>
      </c>
      <c r="B317" s="48">
        <v>14</v>
      </c>
      <c r="C317" s="62">
        <v>14</v>
      </c>
    </row>
    <row r="318" spans="1:3" x14ac:dyDescent="0.2">
      <c r="A318" s="62" t="s">
        <v>6024</v>
      </c>
      <c r="B318" s="48">
        <v>43</v>
      </c>
      <c r="C318" s="62">
        <v>43</v>
      </c>
    </row>
    <row r="319" spans="1:3" x14ac:dyDescent="0.2">
      <c r="A319" s="62" t="s">
        <v>6023</v>
      </c>
      <c r="B319" s="48">
        <v>2</v>
      </c>
      <c r="C319" s="62">
        <v>2</v>
      </c>
    </row>
    <row r="320" spans="1:3" x14ac:dyDescent="0.2">
      <c r="A320" s="62" t="s">
        <v>6022</v>
      </c>
      <c r="B320" s="48">
        <v>108</v>
      </c>
      <c r="C320" s="62">
        <v>108</v>
      </c>
    </row>
    <row r="321" spans="1:3" x14ac:dyDescent="0.2">
      <c r="A321" s="62" t="s">
        <v>6021</v>
      </c>
      <c r="B321" s="48">
        <v>5</v>
      </c>
      <c r="C321" s="62">
        <v>5</v>
      </c>
    </row>
    <row r="322" spans="1:3" x14ac:dyDescent="0.2">
      <c r="A322" s="62" t="s">
        <v>6020</v>
      </c>
      <c r="B322" s="48">
        <v>60</v>
      </c>
      <c r="C322" s="62">
        <v>60</v>
      </c>
    </row>
    <row r="323" spans="1:3" x14ac:dyDescent="0.2">
      <c r="A323" s="62" t="s">
        <v>6019</v>
      </c>
      <c r="B323" s="48">
        <v>13</v>
      </c>
      <c r="C323" s="62">
        <v>13</v>
      </c>
    </row>
    <row r="324" spans="1:3" x14ac:dyDescent="0.2">
      <c r="A324" s="62" t="s">
        <v>6018</v>
      </c>
      <c r="B324" s="48">
        <v>15</v>
      </c>
      <c r="C324" s="62">
        <v>15</v>
      </c>
    </row>
    <row r="325" spans="1:3" x14ac:dyDescent="0.2">
      <c r="A325" s="62" t="s">
        <v>6017</v>
      </c>
      <c r="B325" s="48">
        <v>15</v>
      </c>
      <c r="C325" s="62">
        <v>15</v>
      </c>
    </row>
    <row r="326" spans="1:3" x14ac:dyDescent="0.2">
      <c r="A326" s="62" t="s">
        <v>6016</v>
      </c>
      <c r="B326" s="48">
        <v>9</v>
      </c>
      <c r="C326" s="62">
        <v>9</v>
      </c>
    </row>
    <row r="327" spans="1:3" x14ac:dyDescent="0.2">
      <c r="A327" s="62" t="s">
        <v>6015</v>
      </c>
      <c r="B327" s="48">
        <v>9</v>
      </c>
      <c r="C327" s="62">
        <v>9</v>
      </c>
    </row>
    <row r="328" spans="1:3" x14ac:dyDescent="0.2">
      <c r="A328" s="62" t="s">
        <v>6014</v>
      </c>
      <c r="B328" s="48">
        <v>14</v>
      </c>
      <c r="C328" s="62">
        <v>14</v>
      </c>
    </row>
    <row r="329" spans="1:3" x14ac:dyDescent="0.2">
      <c r="A329" s="62" t="s">
        <v>6013</v>
      </c>
      <c r="B329" s="48">
        <v>15</v>
      </c>
      <c r="C329" s="62">
        <v>15</v>
      </c>
    </row>
    <row r="330" spans="1:3" x14ac:dyDescent="0.2">
      <c r="A330" s="62" t="s">
        <v>6012</v>
      </c>
      <c r="B330" s="48">
        <v>163</v>
      </c>
      <c r="C330" s="62">
        <v>163</v>
      </c>
    </row>
    <row r="331" spans="1:3" x14ac:dyDescent="0.2">
      <c r="A331" s="62" t="s">
        <v>6011</v>
      </c>
      <c r="B331" s="48">
        <v>166</v>
      </c>
      <c r="C331" s="62">
        <v>166</v>
      </c>
    </row>
    <row r="332" spans="1:3" x14ac:dyDescent="0.2">
      <c r="A332" s="62" t="s">
        <v>6010</v>
      </c>
      <c r="B332" s="48">
        <v>148</v>
      </c>
      <c r="C332" s="62">
        <v>148</v>
      </c>
    </row>
    <row r="333" spans="1:3" x14ac:dyDescent="0.2">
      <c r="A333" s="62" t="s">
        <v>6009</v>
      </c>
      <c r="B333" s="48">
        <v>60</v>
      </c>
      <c r="C333" s="62">
        <v>60</v>
      </c>
    </row>
    <row r="334" spans="1:3" x14ac:dyDescent="0.2">
      <c r="A334" s="62" t="s">
        <v>6008</v>
      </c>
      <c r="B334" s="48">
        <v>15</v>
      </c>
      <c r="C334" s="62">
        <v>15</v>
      </c>
    </row>
    <row r="335" spans="1:3" x14ac:dyDescent="0.2">
      <c r="A335" s="62" t="s">
        <v>6007</v>
      </c>
      <c r="B335" s="48">
        <v>15</v>
      </c>
      <c r="C335" s="62">
        <v>15</v>
      </c>
    </row>
    <row r="336" spans="1:3" x14ac:dyDescent="0.2">
      <c r="A336" s="62" t="s">
        <v>6006</v>
      </c>
      <c r="B336" s="48">
        <v>15</v>
      </c>
      <c r="C336" s="62">
        <v>15</v>
      </c>
    </row>
    <row r="337" spans="1:3" x14ac:dyDescent="0.2">
      <c r="A337" s="62" t="s">
        <v>6005</v>
      </c>
      <c r="B337" s="48">
        <v>15</v>
      </c>
      <c r="C337" s="62">
        <v>15</v>
      </c>
    </row>
    <row r="338" spans="1:3" x14ac:dyDescent="0.2">
      <c r="A338" s="62" t="s">
        <v>6004</v>
      </c>
      <c r="B338" s="48">
        <v>205</v>
      </c>
      <c r="C338" s="62">
        <v>205</v>
      </c>
    </row>
    <row r="339" spans="1:3" x14ac:dyDescent="0.2">
      <c r="A339" s="62" t="s">
        <v>6003</v>
      </c>
      <c r="B339" s="48">
        <v>225</v>
      </c>
      <c r="C339" s="62">
        <v>225</v>
      </c>
    </row>
    <row r="340" spans="1:3" x14ac:dyDescent="0.2">
      <c r="A340" s="62" t="s">
        <v>6002</v>
      </c>
      <c r="B340" s="48">
        <v>225</v>
      </c>
      <c r="C340" s="62">
        <v>225</v>
      </c>
    </row>
    <row r="341" spans="1:3" x14ac:dyDescent="0.2">
      <c r="A341" s="62" t="s">
        <v>6001</v>
      </c>
      <c r="B341" s="48">
        <v>202</v>
      </c>
      <c r="C341" s="62">
        <v>202</v>
      </c>
    </row>
    <row r="342" spans="1:3" x14ac:dyDescent="0.2">
      <c r="A342" s="62" t="s">
        <v>6000</v>
      </c>
      <c r="B342" s="48">
        <v>87</v>
      </c>
      <c r="C342" s="62">
        <v>87</v>
      </c>
    </row>
    <row r="343" spans="1:3" x14ac:dyDescent="0.2">
      <c r="A343" s="62" t="s">
        <v>5999</v>
      </c>
      <c r="B343" s="48">
        <v>87</v>
      </c>
      <c r="C343" s="62">
        <v>87</v>
      </c>
    </row>
    <row r="344" spans="1:3" x14ac:dyDescent="0.2">
      <c r="A344" s="62" t="s">
        <v>5998</v>
      </c>
      <c r="B344" s="48">
        <v>202</v>
      </c>
      <c r="C344" s="62">
        <v>202</v>
      </c>
    </row>
    <row r="345" spans="1:3" x14ac:dyDescent="0.2">
      <c r="A345" s="62" t="s">
        <v>5996</v>
      </c>
      <c r="B345" s="48">
        <v>87</v>
      </c>
      <c r="C345" s="62">
        <v>87</v>
      </c>
    </row>
    <row r="346" spans="1:3" x14ac:dyDescent="0.2">
      <c r="A346" s="62" t="s">
        <v>5995</v>
      </c>
      <c r="B346" s="48">
        <v>12</v>
      </c>
      <c r="C346" s="62">
        <v>12</v>
      </c>
    </row>
    <row r="347" spans="1:3" x14ac:dyDescent="0.2">
      <c r="A347" s="62" t="s">
        <v>5994</v>
      </c>
      <c r="B347" s="48">
        <v>2</v>
      </c>
      <c r="C347" s="62">
        <v>2</v>
      </c>
    </row>
    <row r="348" spans="1:3" x14ac:dyDescent="0.2">
      <c r="A348" s="62" t="s">
        <v>5993</v>
      </c>
      <c r="B348" s="48">
        <v>14</v>
      </c>
      <c r="C348" s="62">
        <v>14</v>
      </c>
    </row>
    <row r="349" spans="1:3" x14ac:dyDescent="0.2">
      <c r="A349" s="62" t="s">
        <v>5992</v>
      </c>
      <c r="B349" s="48">
        <v>118</v>
      </c>
      <c r="C349" s="62">
        <v>118</v>
      </c>
    </row>
    <row r="350" spans="1:3" x14ac:dyDescent="0.2">
      <c r="A350" s="62" t="s">
        <v>5991</v>
      </c>
      <c r="B350" s="48">
        <v>118</v>
      </c>
      <c r="C350" s="62">
        <v>118</v>
      </c>
    </row>
    <row r="351" spans="1:3" x14ac:dyDescent="0.2">
      <c r="A351" s="62" t="s">
        <v>5989</v>
      </c>
      <c r="B351" s="48">
        <v>118</v>
      </c>
      <c r="C351" s="62">
        <v>118</v>
      </c>
    </row>
    <row r="352" spans="1:3" x14ac:dyDescent="0.2">
      <c r="A352" s="62" t="s">
        <v>5988</v>
      </c>
      <c r="B352" s="48">
        <v>118</v>
      </c>
      <c r="C352" s="62">
        <v>118</v>
      </c>
    </row>
    <row r="353" spans="1:3" x14ac:dyDescent="0.2">
      <c r="A353" s="62" t="s">
        <v>5987</v>
      </c>
      <c r="B353" s="48">
        <v>118</v>
      </c>
      <c r="C353" s="62">
        <v>118</v>
      </c>
    </row>
    <row r="354" spans="1:3" x14ac:dyDescent="0.2">
      <c r="A354" s="62" t="s">
        <v>5986</v>
      </c>
      <c r="B354" s="48">
        <v>118</v>
      </c>
      <c r="C354" s="62">
        <v>118</v>
      </c>
    </row>
    <row r="355" spans="1:3" x14ac:dyDescent="0.2">
      <c r="A355" s="62" t="s">
        <v>5985</v>
      </c>
      <c r="B355" s="48">
        <v>219</v>
      </c>
      <c r="C355" s="62">
        <v>219</v>
      </c>
    </row>
    <row r="356" spans="1:3" x14ac:dyDescent="0.2">
      <c r="A356" s="62" t="s">
        <v>5984</v>
      </c>
      <c r="B356" s="48">
        <v>5</v>
      </c>
      <c r="C356" s="62">
        <v>5</v>
      </c>
    </row>
    <row r="357" spans="1:3" x14ac:dyDescent="0.2">
      <c r="A357" s="62" t="s">
        <v>5983</v>
      </c>
      <c r="B357" s="48">
        <v>5</v>
      </c>
      <c r="C357" s="62">
        <v>5</v>
      </c>
    </row>
    <row r="358" spans="1:3" x14ac:dyDescent="0.2">
      <c r="A358" s="62" t="s">
        <v>5982</v>
      </c>
      <c r="B358" s="48">
        <v>5</v>
      </c>
      <c r="C358" s="62">
        <v>5</v>
      </c>
    </row>
    <row r="359" spans="1:3" x14ac:dyDescent="0.2">
      <c r="A359" s="62" t="s">
        <v>5981</v>
      </c>
      <c r="B359" s="48">
        <v>228</v>
      </c>
      <c r="C359" s="62">
        <v>228</v>
      </c>
    </row>
    <row r="360" spans="1:3" x14ac:dyDescent="0.2">
      <c r="A360" s="62" t="s">
        <v>5980</v>
      </c>
      <c r="B360" s="48">
        <v>201</v>
      </c>
      <c r="C360" s="62">
        <v>201</v>
      </c>
    </row>
    <row r="361" spans="1:3" x14ac:dyDescent="0.2">
      <c r="A361" s="62" t="s">
        <v>5979</v>
      </c>
      <c r="B361" s="48">
        <v>2</v>
      </c>
      <c r="C361" s="62">
        <v>2</v>
      </c>
    </row>
    <row r="362" spans="1:3" x14ac:dyDescent="0.2">
      <c r="A362" s="62" t="s">
        <v>5976</v>
      </c>
      <c r="B362" s="48">
        <v>70</v>
      </c>
      <c r="C362" s="62">
        <v>70</v>
      </c>
    </row>
    <row r="363" spans="1:3" x14ac:dyDescent="0.2">
      <c r="A363" s="62" t="s">
        <v>5975</v>
      </c>
      <c r="B363" s="48">
        <v>15</v>
      </c>
      <c r="C363" s="62">
        <v>15</v>
      </c>
    </row>
    <row r="364" spans="1:3" x14ac:dyDescent="0.2">
      <c r="A364" s="62" t="s">
        <v>5974</v>
      </c>
      <c r="B364" s="48">
        <v>5</v>
      </c>
      <c r="C364" s="62">
        <v>5</v>
      </c>
    </row>
    <row r="365" spans="1:3" x14ac:dyDescent="0.2">
      <c r="A365" s="62" t="s">
        <v>5973</v>
      </c>
      <c r="B365" s="48">
        <v>4</v>
      </c>
      <c r="C365" s="62">
        <v>4</v>
      </c>
    </row>
    <row r="366" spans="1:3" x14ac:dyDescent="0.2">
      <c r="A366" s="62" t="s">
        <v>5972</v>
      </c>
      <c r="B366" s="48">
        <v>14</v>
      </c>
      <c r="C366" s="62">
        <v>14</v>
      </c>
    </row>
    <row r="367" spans="1:3" x14ac:dyDescent="0.2">
      <c r="A367" s="62" t="s">
        <v>5971</v>
      </c>
      <c r="B367" s="48">
        <v>14</v>
      </c>
      <c r="C367" s="62">
        <v>14</v>
      </c>
    </row>
    <row r="368" spans="1:3" x14ac:dyDescent="0.2">
      <c r="A368" s="62" t="s">
        <v>5970</v>
      </c>
      <c r="B368" s="48">
        <v>43</v>
      </c>
      <c r="C368" s="62">
        <v>43</v>
      </c>
    </row>
    <row r="369" spans="1:3" x14ac:dyDescent="0.2">
      <c r="A369" s="62" t="s">
        <v>5969</v>
      </c>
      <c r="B369" s="48">
        <v>5</v>
      </c>
      <c r="C369" s="62">
        <v>5</v>
      </c>
    </row>
    <row r="370" spans="1:3" x14ac:dyDescent="0.2">
      <c r="A370" s="62" t="s">
        <v>5968</v>
      </c>
      <c r="B370" s="48">
        <v>5</v>
      </c>
      <c r="C370" s="62">
        <v>5</v>
      </c>
    </row>
    <row r="371" spans="1:3" x14ac:dyDescent="0.2">
      <c r="A371" s="62" t="s">
        <v>5967</v>
      </c>
      <c r="B371" s="48">
        <v>5</v>
      </c>
      <c r="C371" s="62">
        <v>5</v>
      </c>
    </row>
    <row r="372" spans="1:3" x14ac:dyDescent="0.2">
      <c r="A372" s="62" t="s">
        <v>5966</v>
      </c>
      <c r="B372" s="48">
        <v>5</v>
      </c>
      <c r="C372" s="62">
        <v>5</v>
      </c>
    </row>
    <row r="373" spans="1:3" x14ac:dyDescent="0.2">
      <c r="A373" s="62" t="s">
        <v>5965</v>
      </c>
      <c r="B373" s="48">
        <v>5</v>
      </c>
      <c r="C373" s="62">
        <v>5</v>
      </c>
    </row>
    <row r="374" spans="1:3" x14ac:dyDescent="0.2">
      <c r="A374" s="62" t="s">
        <v>5964</v>
      </c>
      <c r="B374" s="48">
        <v>5</v>
      </c>
      <c r="C374" s="62">
        <v>5</v>
      </c>
    </row>
    <row r="375" spans="1:3" x14ac:dyDescent="0.2">
      <c r="A375" s="62" t="s">
        <v>5963</v>
      </c>
      <c r="B375" s="48">
        <v>63</v>
      </c>
      <c r="C375" s="62">
        <v>63</v>
      </c>
    </row>
    <row r="376" spans="1:3" x14ac:dyDescent="0.2">
      <c r="A376" s="62" t="s">
        <v>5962</v>
      </c>
      <c r="B376" s="48">
        <v>15</v>
      </c>
      <c r="C376" s="62">
        <v>15</v>
      </c>
    </row>
    <row r="377" spans="1:3" x14ac:dyDescent="0.2">
      <c r="A377" s="62" t="s">
        <v>5961</v>
      </c>
      <c r="B377" s="48">
        <v>15</v>
      </c>
      <c r="C377" s="62">
        <v>15</v>
      </c>
    </row>
    <row r="378" spans="1:3" x14ac:dyDescent="0.2">
      <c r="A378" s="62" t="s">
        <v>5960</v>
      </c>
      <c r="B378" s="48">
        <v>43</v>
      </c>
      <c r="C378" s="62">
        <v>43</v>
      </c>
    </row>
    <row r="379" spans="1:3" x14ac:dyDescent="0.2">
      <c r="A379" s="62" t="s">
        <v>5959</v>
      </c>
      <c r="B379" s="48">
        <v>14</v>
      </c>
      <c r="C379" s="62">
        <v>14</v>
      </c>
    </row>
    <row r="380" spans="1:3" x14ac:dyDescent="0.2">
      <c r="A380" s="62" t="s">
        <v>5958</v>
      </c>
      <c r="B380" s="48">
        <v>62</v>
      </c>
      <c r="C380" s="62">
        <v>62</v>
      </c>
    </row>
    <row r="381" spans="1:3" x14ac:dyDescent="0.2">
      <c r="A381" s="62" t="s">
        <v>5957</v>
      </c>
      <c r="B381" s="48">
        <v>2</v>
      </c>
      <c r="C381" s="62">
        <v>2</v>
      </c>
    </row>
    <row r="382" spans="1:3" x14ac:dyDescent="0.2">
      <c r="A382" s="62" t="s">
        <v>5956</v>
      </c>
      <c r="B382" s="48">
        <v>14</v>
      </c>
      <c r="C382" s="62">
        <v>14</v>
      </c>
    </row>
    <row r="383" spans="1:3" x14ac:dyDescent="0.2">
      <c r="A383" s="62" t="s">
        <v>5955</v>
      </c>
      <c r="B383" s="48">
        <v>60</v>
      </c>
      <c r="C383" s="62">
        <v>60</v>
      </c>
    </row>
    <row r="384" spans="1:3" x14ac:dyDescent="0.2">
      <c r="A384" s="62" t="s">
        <v>5954</v>
      </c>
      <c r="B384" s="48">
        <v>2</v>
      </c>
      <c r="C384" s="62">
        <v>2</v>
      </c>
    </row>
    <row r="385" spans="1:3" x14ac:dyDescent="0.2">
      <c r="A385" s="62" t="s">
        <v>5953</v>
      </c>
      <c r="B385" s="48">
        <v>4</v>
      </c>
      <c r="C385" s="62">
        <v>4</v>
      </c>
    </row>
    <row r="386" spans="1:3" x14ac:dyDescent="0.2">
      <c r="A386" s="62" t="s">
        <v>5952</v>
      </c>
      <c r="B386" s="48">
        <v>12</v>
      </c>
      <c r="C386" s="62">
        <v>12</v>
      </c>
    </row>
    <row r="387" spans="1:3" x14ac:dyDescent="0.2">
      <c r="A387" s="62" t="s">
        <v>5951</v>
      </c>
      <c r="B387" s="48">
        <v>14</v>
      </c>
      <c r="C387" s="62">
        <v>14</v>
      </c>
    </row>
    <row r="388" spans="1:3" x14ac:dyDescent="0.2">
      <c r="A388" s="62" t="s">
        <v>5950</v>
      </c>
      <c r="B388" s="48">
        <v>14</v>
      </c>
      <c r="C388" s="62">
        <v>14</v>
      </c>
    </row>
    <row r="389" spans="1:3" x14ac:dyDescent="0.2">
      <c r="A389" s="62" t="s">
        <v>5949</v>
      </c>
      <c r="B389" s="48">
        <v>158</v>
      </c>
      <c r="C389" s="62">
        <v>158</v>
      </c>
    </row>
    <row r="390" spans="1:3" x14ac:dyDescent="0.2">
      <c r="A390" s="62" t="s">
        <v>5948</v>
      </c>
      <c r="B390" s="48">
        <v>148</v>
      </c>
      <c r="C390" s="62">
        <v>148</v>
      </c>
    </row>
    <row r="391" spans="1:3" x14ac:dyDescent="0.2">
      <c r="A391" s="62" t="s">
        <v>5947</v>
      </c>
      <c r="B391" s="48">
        <v>13</v>
      </c>
      <c r="C391" s="62">
        <v>13</v>
      </c>
    </row>
    <row r="392" spans="1:3" x14ac:dyDescent="0.2">
      <c r="A392" s="62" t="s">
        <v>5946</v>
      </c>
      <c r="B392" s="48">
        <v>15</v>
      </c>
      <c r="C392" s="62">
        <v>15</v>
      </c>
    </row>
    <row r="393" spans="1:3" x14ac:dyDescent="0.2">
      <c r="A393" s="62" t="s">
        <v>5945</v>
      </c>
      <c r="B393" s="48">
        <v>15</v>
      </c>
      <c r="C393" s="62">
        <v>15</v>
      </c>
    </row>
    <row r="394" spans="1:3" x14ac:dyDescent="0.2">
      <c r="A394" s="62" t="s">
        <v>5944</v>
      </c>
      <c r="B394" s="48">
        <v>9</v>
      </c>
      <c r="C394" s="62">
        <v>9</v>
      </c>
    </row>
    <row r="395" spans="1:3" x14ac:dyDescent="0.2">
      <c r="A395" s="62" t="s">
        <v>5943</v>
      </c>
      <c r="B395" s="48">
        <v>15</v>
      </c>
      <c r="C395" s="62">
        <v>15</v>
      </c>
    </row>
    <row r="396" spans="1:3" x14ac:dyDescent="0.2">
      <c r="A396" s="62" t="s">
        <v>5942</v>
      </c>
      <c r="B396" s="48">
        <v>15</v>
      </c>
      <c r="C396" s="62">
        <v>15</v>
      </c>
    </row>
    <row r="397" spans="1:3" x14ac:dyDescent="0.2">
      <c r="A397" s="62" t="s">
        <v>5941</v>
      </c>
      <c r="B397" s="48">
        <v>166</v>
      </c>
      <c r="C397" s="62">
        <v>166</v>
      </c>
    </row>
    <row r="398" spans="1:3" x14ac:dyDescent="0.2">
      <c r="A398" s="62" t="s">
        <v>5940</v>
      </c>
      <c r="B398" s="48">
        <v>73</v>
      </c>
      <c r="C398" s="62">
        <v>73</v>
      </c>
    </row>
    <row r="399" spans="1:3" x14ac:dyDescent="0.2">
      <c r="A399" s="62" t="s">
        <v>5939</v>
      </c>
      <c r="B399" s="48">
        <v>98</v>
      </c>
      <c r="C399" s="62">
        <v>98</v>
      </c>
    </row>
    <row r="400" spans="1:3" x14ac:dyDescent="0.2">
      <c r="A400" s="62" t="s">
        <v>5938</v>
      </c>
      <c r="B400" s="48">
        <v>98</v>
      </c>
      <c r="C400" s="62">
        <v>98</v>
      </c>
    </row>
    <row r="401" spans="1:3" x14ac:dyDescent="0.2">
      <c r="A401" s="62" t="s">
        <v>5936</v>
      </c>
      <c r="B401" s="48">
        <v>14</v>
      </c>
      <c r="C401" s="62">
        <v>14</v>
      </c>
    </row>
    <row r="402" spans="1:3" x14ac:dyDescent="0.2">
      <c r="A402" s="62" t="s">
        <v>5935</v>
      </c>
      <c r="B402" s="48">
        <v>56</v>
      </c>
      <c r="C402" s="62">
        <v>56</v>
      </c>
    </row>
    <row r="403" spans="1:3" x14ac:dyDescent="0.2">
      <c r="A403" s="62" t="s">
        <v>5932</v>
      </c>
      <c r="B403" s="48">
        <v>159</v>
      </c>
      <c r="C403" s="62">
        <v>159</v>
      </c>
    </row>
    <row r="404" spans="1:3" x14ac:dyDescent="0.2">
      <c r="A404" s="62" t="s">
        <v>5931</v>
      </c>
      <c r="B404" s="48">
        <v>159</v>
      </c>
      <c r="C404" s="62">
        <v>159</v>
      </c>
    </row>
    <row r="405" spans="1:3" x14ac:dyDescent="0.2">
      <c r="A405" s="62" t="s">
        <v>5929</v>
      </c>
      <c r="B405" s="48">
        <v>159</v>
      </c>
      <c r="C405" s="62">
        <v>159</v>
      </c>
    </row>
    <row r="406" spans="1:3" x14ac:dyDescent="0.2">
      <c r="A406" s="62" t="s">
        <v>5928</v>
      </c>
      <c r="B406" s="48">
        <v>2</v>
      </c>
      <c r="C406" s="62">
        <v>2</v>
      </c>
    </row>
    <row r="407" spans="1:3" x14ac:dyDescent="0.2">
      <c r="A407" s="62" t="s">
        <v>5927</v>
      </c>
      <c r="B407" s="48">
        <v>2</v>
      </c>
      <c r="C407" s="62">
        <v>2</v>
      </c>
    </row>
    <row r="408" spans="1:3" x14ac:dyDescent="0.2">
      <c r="A408" s="62" t="s">
        <v>5926</v>
      </c>
      <c r="B408" s="48">
        <v>2</v>
      </c>
      <c r="C408" s="62">
        <v>2</v>
      </c>
    </row>
    <row r="409" spans="1:3" x14ac:dyDescent="0.2">
      <c r="A409" s="62" t="s">
        <v>5925</v>
      </c>
      <c r="B409" s="48">
        <v>2</v>
      </c>
      <c r="C409" s="62">
        <v>2</v>
      </c>
    </row>
    <row r="410" spans="1:3" x14ac:dyDescent="0.2">
      <c r="A410" s="62" t="s">
        <v>5924</v>
      </c>
      <c r="B410" s="48">
        <v>2</v>
      </c>
      <c r="C410" s="62">
        <v>2</v>
      </c>
    </row>
    <row r="411" spans="1:3" x14ac:dyDescent="0.2">
      <c r="A411" s="62" t="s">
        <v>5923</v>
      </c>
      <c r="B411" s="48">
        <v>15</v>
      </c>
      <c r="C411" s="62">
        <v>15</v>
      </c>
    </row>
    <row r="412" spans="1:3" x14ac:dyDescent="0.2">
      <c r="A412" s="62" t="s">
        <v>5922</v>
      </c>
      <c r="B412" s="48">
        <v>15</v>
      </c>
      <c r="C412" s="62">
        <v>15</v>
      </c>
    </row>
    <row r="413" spans="1:3" x14ac:dyDescent="0.2">
      <c r="A413" s="62" t="s">
        <v>5921</v>
      </c>
      <c r="B413" s="48">
        <v>15</v>
      </c>
      <c r="C413" s="62">
        <v>15</v>
      </c>
    </row>
    <row r="414" spans="1:3" x14ac:dyDescent="0.2">
      <c r="A414" s="62" t="s">
        <v>5920</v>
      </c>
      <c r="B414" s="48">
        <v>15</v>
      </c>
      <c r="C414" s="62">
        <v>15</v>
      </c>
    </row>
    <row r="415" spans="1:3" x14ac:dyDescent="0.2">
      <c r="A415" s="62" t="s">
        <v>5919</v>
      </c>
      <c r="B415" s="48">
        <v>206</v>
      </c>
      <c r="C415" s="62">
        <v>206</v>
      </c>
    </row>
    <row r="416" spans="1:3" x14ac:dyDescent="0.2">
      <c r="A416" s="62" t="s">
        <v>5918</v>
      </c>
      <c r="B416" s="48">
        <v>2</v>
      </c>
      <c r="C416" s="62">
        <v>2</v>
      </c>
    </row>
    <row r="417" spans="1:3" x14ac:dyDescent="0.2">
      <c r="A417" s="62" t="s">
        <v>5917</v>
      </c>
      <c r="B417" s="48">
        <v>18</v>
      </c>
      <c r="C417" s="62">
        <v>18</v>
      </c>
    </row>
    <row r="418" spans="1:3" x14ac:dyDescent="0.2">
      <c r="A418" s="62" t="s">
        <v>5916</v>
      </c>
      <c r="B418" s="48">
        <v>18</v>
      </c>
      <c r="C418" s="62">
        <v>18</v>
      </c>
    </row>
    <row r="419" spans="1:3" x14ac:dyDescent="0.2">
      <c r="A419" s="62" t="s">
        <v>5915</v>
      </c>
      <c r="B419" s="48">
        <v>18</v>
      </c>
      <c r="C419" s="62">
        <v>18</v>
      </c>
    </row>
    <row r="420" spans="1:3" x14ac:dyDescent="0.2">
      <c r="A420" s="62" t="s">
        <v>5914</v>
      </c>
      <c r="B420" s="48">
        <v>148</v>
      </c>
      <c r="C420" s="62">
        <v>148</v>
      </c>
    </row>
    <row r="421" spans="1:3" x14ac:dyDescent="0.2">
      <c r="A421" s="62" t="s">
        <v>5913</v>
      </c>
      <c r="B421" s="48">
        <v>148</v>
      </c>
      <c r="C421" s="62">
        <v>148</v>
      </c>
    </row>
    <row r="422" spans="1:3" x14ac:dyDescent="0.2">
      <c r="A422" s="62" t="s">
        <v>5912</v>
      </c>
      <c r="B422" s="48">
        <v>148</v>
      </c>
      <c r="C422" s="62">
        <v>148</v>
      </c>
    </row>
    <row r="423" spans="1:3" x14ac:dyDescent="0.2">
      <c r="A423" s="62" t="s">
        <v>5911</v>
      </c>
      <c r="B423" s="48">
        <v>60</v>
      </c>
      <c r="C423" s="62">
        <v>60</v>
      </c>
    </row>
    <row r="424" spans="1:3" x14ac:dyDescent="0.2">
      <c r="A424" s="62" t="s">
        <v>5910</v>
      </c>
      <c r="B424" s="48">
        <v>148</v>
      </c>
      <c r="C424" s="62">
        <v>148</v>
      </c>
    </row>
    <row r="425" spans="1:3" x14ac:dyDescent="0.2">
      <c r="A425" s="62" t="s">
        <v>5909</v>
      </c>
      <c r="B425" s="48">
        <v>2</v>
      </c>
      <c r="C425" s="62">
        <v>2</v>
      </c>
    </row>
    <row r="426" spans="1:3" x14ac:dyDescent="0.2">
      <c r="A426" s="62" t="s">
        <v>5908</v>
      </c>
      <c r="B426" s="48">
        <v>54</v>
      </c>
      <c r="C426" s="62">
        <v>54</v>
      </c>
    </row>
    <row r="427" spans="1:3" x14ac:dyDescent="0.2">
      <c r="A427" s="62" t="s">
        <v>5907</v>
      </c>
      <c r="B427" s="48">
        <v>14</v>
      </c>
      <c r="C427" s="62">
        <v>14</v>
      </c>
    </row>
    <row r="428" spans="1:3" x14ac:dyDescent="0.2">
      <c r="A428" s="62" t="s">
        <v>5906</v>
      </c>
      <c r="B428" s="48">
        <v>9</v>
      </c>
      <c r="C428" s="62">
        <v>9</v>
      </c>
    </row>
    <row r="429" spans="1:3" x14ac:dyDescent="0.2">
      <c r="A429" s="62" t="s">
        <v>5905</v>
      </c>
      <c r="B429" s="48">
        <v>14</v>
      </c>
      <c r="C429" s="62">
        <v>14</v>
      </c>
    </row>
    <row r="430" spans="1:3" x14ac:dyDescent="0.2">
      <c r="A430" s="62" t="s">
        <v>5904</v>
      </c>
      <c r="B430" s="48">
        <v>9</v>
      </c>
      <c r="C430" s="62">
        <v>9</v>
      </c>
    </row>
    <row r="431" spans="1:3" x14ac:dyDescent="0.2">
      <c r="A431" s="62" t="s">
        <v>5903</v>
      </c>
      <c r="B431" s="48">
        <v>14</v>
      </c>
      <c r="C431" s="62">
        <v>14</v>
      </c>
    </row>
    <row r="432" spans="1:3" x14ac:dyDescent="0.2">
      <c r="A432" s="62" t="s">
        <v>5902</v>
      </c>
      <c r="B432" s="48">
        <v>14</v>
      </c>
      <c r="C432" s="62">
        <v>14</v>
      </c>
    </row>
    <row r="433" spans="1:3" x14ac:dyDescent="0.2">
      <c r="A433" s="62" t="s">
        <v>5901</v>
      </c>
      <c r="B433" s="48">
        <v>14</v>
      </c>
      <c r="C433" s="62">
        <v>14</v>
      </c>
    </row>
    <row r="434" spans="1:3" x14ac:dyDescent="0.2">
      <c r="A434" s="62" t="s">
        <v>5900</v>
      </c>
      <c r="B434" s="48">
        <v>14</v>
      </c>
      <c r="C434" s="62">
        <v>14</v>
      </c>
    </row>
    <row r="435" spans="1:3" x14ac:dyDescent="0.2">
      <c r="A435" s="62" t="s">
        <v>5899</v>
      </c>
      <c r="B435" s="48">
        <v>14</v>
      </c>
      <c r="C435" s="62">
        <v>14</v>
      </c>
    </row>
    <row r="436" spans="1:3" x14ac:dyDescent="0.2">
      <c r="A436" s="62" t="s">
        <v>5898</v>
      </c>
      <c r="B436" s="48">
        <v>15</v>
      </c>
      <c r="C436" s="62">
        <v>15</v>
      </c>
    </row>
    <row r="437" spans="1:3" x14ac:dyDescent="0.2">
      <c r="A437" s="62" t="s">
        <v>5897</v>
      </c>
      <c r="B437" s="48">
        <v>19</v>
      </c>
      <c r="C437" s="62">
        <v>19</v>
      </c>
    </row>
    <row r="438" spans="1:3" x14ac:dyDescent="0.2">
      <c r="A438" s="62" t="s">
        <v>5896</v>
      </c>
      <c r="B438" s="48">
        <v>15</v>
      </c>
      <c r="C438" s="62">
        <v>15</v>
      </c>
    </row>
    <row r="439" spans="1:3" x14ac:dyDescent="0.2">
      <c r="A439" s="62" t="s">
        <v>5895</v>
      </c>
      <c r="B439" s="48">
        <v>14</v>
      </c>
      <c r="C439" s="62">
        <v>14</v>
      </c>
    </row>
    <row r="440" spans="1:3" x14ac:dyDescent="0.2">
      <c r="A440" s="62" t="s">
        <v>5893</v>
      </c>
      <c r="B440" s="48">
        <v>148</v>
      </c>
      <c r="C440" s="62">
        <v>148</v>
      </c>
    </row>
    <row r="441" spans="1:3" x14ac:dyDescent="0.2">
      <c r="A441" s="62" t="s">
        <v>5892</v>
      </c>
      <c r="B441" s="48">
        <v>34</v>
      </c>
      <c r="C441" s="62">
        <v>34</v>
      </c>
    </row>
    <row r="442" spans="1:3" x14ac:dyDescent="0.2">
      <c r="A442" s="62" t="s">
        <v>5891</v>
      </c>
      <c r="B442" s="48">
        <v>2</v>
      </c>
      <c r="C442" s="62">
        <v>2</v>
      </c>
    </row>
    <row r="443" spans="1:3" x14ac:dyDescent="0.2">
      <c r="A443" s="62" t="s">
        <v>5890</v>
      </c>
      <c r="B443" s="48">
        <v>2</v>
      </c>
      <c r="C443" s="62">
        <v>2</v>
      </c>
    </row>
    <row r="444" spans="1:3" x14ac:dyDescent="0.2">
      <c r="A444" s="62" t="s">
        <v>5889</v>
      </c>
      <c r="B444" s="48">
        <v>2</v>
      </c>
      <c r="C444" s="62">
        <v>2</v>
      </c>
    </row>
    <row r="445" spans="1:3" x14ac:dyDescent="0.2">
      <c r="A445" s="62" t="s">
        <v>5888</v>
      </c>
      <c r="B445" s="48">
        <v>1</v>
      </c>
      <c r="C445" s="62">
        <v>1</v>
      </c>
    </row>
    <row r="446" spans="1:3" x14ac:dyDescent="0.2">
      <c r="A446" s="62" t="s">
        <v>5887</v>
      </c>
      <c r="B446" s="48">
        <v>2</v>
      </c>
      <c r="C446" s="62">
        <v>2</v>
      </c>
    </row>
    <row r="447" spans="1:3" x14ac:dyDescent="0.2">
      <c r="A447" s="62" t="s">
        <v>5886</v>
      </c>
      <c r="B447" s="48">
        <v>74</v>
      </c>
      <c r="C447" s="62">
        <v>74</v>
      </c>
    </row>
    <row r="448" spans="1:3" x14ac:dyDescent="0.2">
      <c r="A448" s="62" t="s">
        <v>5885</v>
      </c>
      <c r="B448" s="48">
        <v>74</v>
      </c>
      <c r="C448" s="62">
        <v>74</v>
      </c>
    </row>
    <row r="449" spans="1:3" x14ac:dyDescent="0.2">
      <c r="A449" s="62" t="s">
        <v>5883</v>
      </c>
      <c r="B449" s="48">
        <v>71</v>
      </c>
      <c r="C449" s="62">
        <v>71</v>
      </c>
    </row>
    <row r="450" spans="1:3" x14ac:dyDescent="0.2">
      <c r="A450" s="62" t="s">
        <v>5882</v>
      </c>
      <c r="B450" s="48">
        <v>160</v>
      </c>
      <c r="C450" s="62">
        <v>160</v>
      </c>
    </row>
    <row r="451" spans="1:3" x14ac:dyDescent="0.2">
      <c r="A451" s="62" t="s">
        <v>5881</v>
      </c>
      <c r="B451" s="48">
        <v>70</v>
      </c>
      <c r="C451" s="62">
        <v>70</v>
      </c>
    </row>
    <row r="452" spans="1:3" x14ac:dyDescent="0.2">
      <c r="A452" s="62" t="s">
        <v>5880</v>
      </c>
      <c r="B452" s="48">
        <v>15</v>
      </c>
      <c r="C452" s="62">
        <v>15</v>
      </c>
    </row>
    <row r="453" spans="1:3" x14ac:dyDescent="0.2">
      <c r="A453" s="62" t="s">
        <v>5879</v>
      </c>
      <c r="B453" s="48">
        <v>19</v>
      </c>
      <c r="C453" s="62">
        <v>19</v>
      </c>
    </row>
    <row r="454" spans="1:3" x14ac:dyDescent="0.2">
      <c r="A454" s="62" t="s">
        <v>5878</v>
      </c>
      <c r="B454" s="48">
        <v>62</v>
      </c>
      <c r="C454" s="62">
        <v>62</v>
      </c>
    </row>
    <row r="455" spans="1:3" x14ac:dyDescent="0.2">
      <c r="A455" s="62" t="s">
        <v>5876</v>
      </c>
      <c r="B455" s="48">
        <v>62</v>
      </c>
      <c r="C455" s="62">
        <v>62</v>
      </c>
    </row>
    <row r="456" spans="1:3" x14ac:dyDescent="0.2">
      <c r="A456" s="62" t="s">
        <v>5874</v>
      </c>
      <c r="B456" s="48">
        <v>14</v>
      </c>
      <c r="C456" s="62">
        <v>14</v>
      </c>
    </row>
    <row r="457" spans="1:3" x14ac:dyDescent="0.2">
      <c r="A457" s="62" t="s">
        <v>5873</v>
      </c>
      <c r="B457" s="48">
        <v>14</v>
      </c>
      <c r="C457" s="62">
        <v>14</v>
      </c>
    </row>
    <row r="458" spans="1:3" x14ac:dyDescent="0.2">
      <c r="A458" s="62" t="s">
        <v>5872</v>
      </c>
      <c r="B458" s="48">
        <v>15</v>
      </c>
      <c r="C458" s="62">
        <v>15</v>
      </c>
    </row>
    <row r="459" spans="1:3" x14ac:dyDescent="0.2">
      <c r="A459" s="62" t="s">
        <v>5871</v>
      </c>
      <c r="B459" s="48">
        <v>15</v>
      </c>
      <c r="C459" s="62">
        <v>15</v>
      </c>
    </row>
    <row r="460" spans="1:3" x14ac:dyDescent="0.2">
      <c r="A460" s="62" t="s">
        <v>5870</v>
      </c>
      <c r="B460" s="48">
        <v>14</v>
      </c>
      <c r="C460" s="62">
        <v>14</v>
      </c>
    </row>
    <row r="461" spans="1:3" x14ac:dyDescent="0.2">
      <c r="A461" s="62" t="s">
        <v>5869</v>
      </c>
      <c r="B461" s="48">
        <v>7</v>
      </c>
      <c r="C461" s="62">
        <v>7</v>
      </c>
    </row>
    <row r="462" spans="1:3" x14ac:dyDescent="0.2">
      <c r="A462" s="62" t="s">
        <v>5868</v>
      </c>
      <c r="B462" s="48">
        <v>7</v>
      </c>
      <c r="C462" s="62">
        <v>7</v>
      </c>
    </row>
    <row r="463" spans="1:3" x14ac:dyDescent="0.2">
      <c r="A463" s="62" t="s">
        <v>5867</v>
      </c>
      <c r="B463" s="48">
        <v>14</v>
      </c>
      <c r="C463" s="62">
        <v>14</v>
      </c>
    </row>
    <row r="464" spans="1:3" x14ac:dyDescent="0.2">
      <c r="A464" s="62" t="s">
        <v>5866</v>
      </c>
      <c r="B464" s="48">
        <v>1</v>
      </c>
      <c r="C464" s="62">
        <v>1</v>
      </c>
    </row>
    <row r="465" spans="1:3" x14ac:dyDescent="0.2">
      <c r="A465" s="62" t="s">
        <v>5865</v>
      </c>
      <c r="B465" s="48">
        <v>2</v>
      </c>
      <c r="C465" s="62">
        <v>2</v>
      </c>
    </row>
    <row r="466" spans="1:3" x14ac:dyDescent="0.2">
      <c r="A466" s="62" t="s">
        <v>5864</v>
      </c>
      <c r="B466" s="48">
        <v>14</v>
      </c>
      <c r="C466" s="62">
        <v>14</v>
      </c>
    </row>
    <row r="467" spans="1:3" x14ac:dyDescent="0.2">
      <c r="A467" s="62" t="s">
        <v>5862</v>
      </c>
      <c r="B467" s="48">
        <v>52</v>
      </c>
      <c r="C467" s="62">
        <v>52</v>
      </c>
    </row>
    <row r="468" spans="1:3" x14ac:dyDescent="0.2">
      <c r="A468" s="62" t="s">
        <v>5861</v>
      </c>
      <c r="B468" s="48">
        <v>15</v>
      </c>
      <c r="C468" s="62">
        <v>15</v>
      </c>
    </row>
    <row r="469" spans="1:3" x14ac:dyDescent="0.2">
      <c r="A469" s="62" t="s">
        <v>5860</v>
      </c>
      <c r="B469" s="48">
        <v>19</v>
      </c>
      <c r="C469" s="62">
        <v>19</v>
      </c>
    </row>
    <row r="470" spans="1:3" x14ac:dyDescent="0.2">
      <c r="A470" s="62" t="s">
        <v>5859</v>
      </c>
      <c r="B470" s="48">
        <v>106</v>
      </c>
      <c r="C470" s="62">
        <v>106</v>
      </c>
    </row>
    <row r="471" spans="1:3" x14ac:dyDescent="0.2">
      <c r="A471" s="62" t="s">
        <v>5858</v>
      </c>
      <c r="B471" s="48">
        <v>14</v>
      </c>
      <c r="C471" s="62">
        <v>14</v>
      </c>
    </row>
    <row r="472" spans="1:3" x14ac:dyDescent="0.2">
      <c r="A472" s="62" t="s">
        <v>5857</v>
      </c>
      <c r="B472" s="48">
        <v>14</v>
      </c>
      <c r="C472" s="62">
        <v>14</v>
      </c>
    </row>
    <row r="473" spans="1:3" x14ac:dyDescent="0.2">
      <c r="A473" s="62" t="s">
        <v>5856</v>
      </c>
      <c r="B473" s="48">
        <v>14</v>
      </c>
      <c r="C473" s="62">
        <v>14</v>
      </c>
    </row>
    <row r="474" spans="1:3" x14ac:dyDescent="0.2">
      <c r="A474" s="62" t="s">
        <v>5855</v>
      </c>
      <c r="B474" s="48">
        <v>14</v>
      </c>
      <c r="C474" s="62">
        <v>14</v>
      </c>
    </row>
    <row r="475" spans="1:3" x14ac:dyDescent="0.2">
      <c r="A475" s="62" t="s">
        <v>5854</v>
      </c>
      <c r="B475" s="48">
        <v>14</v>
      </c>
      <c r="C475" s="62">
        <v>14</v>
      </c>
    </row>
    <row r="476" spans="1:3" x14ac:dyDescent="0.2">
      <c r="A476" s="62" t="s">
        <v>5853</v>
      </c>
      <c r="B476" s="48">
        <v>14</v>
      </c>
      <c r="C476" s="62">
        <v>14</v>
      </c>
    </row>
    <row r="477" spans="1:3" x14ac:dyDescent="0.2">
      <c r="A477" s="62" t="s">
        <v>5852</v>
      </c>
      <c r="B477" s="48">
        <v>14</v>
      </c>
      <c r="C477" s="62">
        <v>14</v>
      </c>
    </row>
    <row r="478" spans="1:3" x14ac:dyDescent="0.2">
      <c r="A478" s="62" t="s">
        <v>5850</v>
      </c>
      <c r="B478" s="48">
        <v>63</v>
      </c>
      <c r="C478" s="62">
        <v>63</v>
      </c>
    </row>
    <row r="479" spans="1:3" x14ac:dyDescent="0.2">
      <c r="A479" s="62" t="s">
        <v>5848</v>
      </c>
      <c r="B479" s="48">
        <v>12</v>
      </c>
      <c r="C479" s="62">
        <v>12</v>
      </c>
    </row>
    <row r="480" spans="1:3" x14ac:dyDescent="0.2">
      <c r="A480" s="62" t="s">
        <v>5847</v>
      </c>
      <c r="B480" s="48">
        <v>12</v>
      </c>
      <c r="C480" s="62">
        <v>12</v>
      </c>
    </row>
    <row r="481" spans="1:3" x14ac:dyDescent="0.2">
      <c r="A481" s="62" t="s">
        <v>5846</v>
      </c>
      <c r="B481" s="48">
        <v>2</v>
      </c>
      <c r="C481" s="62">
        <v>2</v>
      </c>
    </row>
    <row r="482" spans="1:3" x14ac:dyDescent="0.2">
      <c r="A482" s="62" t="s">
        <v>5845</v>
      </c>
      <c r="B482" s="48">
        <v>61</v>
      </c>
      <c r="C482" s="62">
        <v>61</v>
      </c>
    </row>
    <row r="483" spans="1:3" x14ac:dyDescent="0.2">
      <c r="A483" s="62" t="s">
        <v>5844</v>
      </c>
      <c r="B483" s="48">
        <v>118</v>
      </c>
      <c r="C483" s="62">
        <v>118</v>
      </c>
    </row>
    <row r="484" spans="1:3" x14ac:dyDescent="0.2">
      <c r="A484" s="62" t="s">
        <v>5843</v>
      </c>
      <c r="B484" s="48">
        <v>118</v>
      </c>
      <c r="C484" s="62">
        <v>118</v>
      </c>
    </row>
    <row r="485" spans="1:3" x14ac:dyDescent="0.2">
      <c r="A485" s="62" t="s">
        <v>5842</v>
      </c>
      <c r="B485" s="48">
        <v>118</v>
      </c>
      <c r="C485" s="62">
        <v>118</v>
      </c>
    </row>
    <row r="486" spans="1:3" x14ac:dyDescent="0.2">
      <c r="A486" s="62" t="s">
        <v>5841</v>
      </c>
      <c r="B486" s="48">
        <v>33</v>
      </c>
      <c r="C486" s="62">
        <v>33</v>
      </c>
    </row>
    <row r="487" spans="1:3" x14ac:dyDescent="0.2">
      <c r="A487" s="62" t="s">
        <v>5840</v>
      </c>
      <c r="B487" s="48">
        <v>179</v>
      </c>
      <c r="C487" s="62">
        <v>179</v>
      </c>
    </row>
    <row r="488" spans="1:3" x14ac:dyDescent="0.2">
      <c r="A488" s="62" t="s">
        <v>5839</v>
      </c>
      <c r="B488" s="48">
        <v>36</v>
      </c>
      <c r="C488" s="62">
        <v>36</v>
      </c>
    </row>
    <row r="489" spans="1:3" x14ac:dyDescent="0.2">
      <c r="A489" s="62" t="s">
        <v>5838</v>
      </c>
      <c r="B489" s="48">
        <v>14</v>
      </c>
      <c r="C489" s="62">
        <v>14</v>
      </c>
    </row>
    <row r="490" spans="1:3" x14ac:dyDescent="0.2">
      <c r="A490" s="62" t="s">
        <v>5837</v>
      </c>
      <c r="B490" s="48">
        <v>14</v>
      </c>
      <c r="C490" s="62">
        <v>14</v>
      </c>
    </row>
    <row r="491" spans="1:3" x14ac:dyDescent="0.2">
      <c r="A491" s="62" t="s">
        <v>5836</v>
      </c>
      <c r="B491" s="48">
        <v>14</v>
      </c>
      <c r="C491" s="62">
        <v>14</v>
      </c>
    </row>
    <row r="492" spans="1:3" x14ac:dyDescent="0.2">
      <c r="A492" s="62" t="s">
        <v>5835</v>
      </c>
      <c r="B492" s="48">
        <v>145</v>
      </c>
      <c r="C492" s="62">
        <v>145</v>
      </c>
    </row>
    <row r="493" spans="1:3" x14ac:dyDescent="0.2">
      <c r="A493" s="62" t="s">
        <v>5834</v>
      </c>
      <c r="B493" s="48">
        <v>14</v>
      </c>
      <c r="C493" s="62">
        <v>14</v>
      </c>
    </row>
    <row r="494" spans="1:3" x14ac:dyDescent="0.2">
      <c r="A494" s="62" t="s">
        <v>5832</v>
      </c>
      <c r="B494" s="48">
        <v>13</v>
      </c>
      <c r="C494" s="62">
        <v>13</v>
      </c>
    </row>
    <row r="495" spans="1:3" x14ac:dyDescent="0.2">
      <c r="A495" s="62" t="s">
        <v>5831</v>
      </c>
      <c r="B495" s="48">
        <v>204</v>
      </c>
      <c r="C495" s="62">
        <v>204</v>
      </c>
    </row>
    <row r="496" spans="1:3" x14ac:dyDescent="0.2">
      <c r="A496" s="62" t="s">
        <v>5830</v>
      </c>
      <c r="B496" s="48">
        <v>2</v>
      </c>
      <c r="C496" s="62">
        <v>2</v>
      </c>
    </row>
    <row r="497" spans="1:3" x14ac:dyDescent="0.2">
      <c r="A497" s="62" t="s">
        <v>5829</v>
      </c>
      <c r="B497" s="48">
        <v>166</v>
      </c>
      <c r="C497" s="62">
        <v>166</v>
      </c>
    </row>
    <row r="498" spans="1:3" x14ac:dyDescent="0.2">
      <c r="A498" s="62" t="s">
        <v>5828</v>
      </c>
      <c r="B498" s="48">
        <v>14</v>
      </c>
      <c r="C498" s="62">
        <v>14</v>
      </c>
    </row>
    <row r="499" spans="1:3" x14ac:dyDescent="0.2">
      <c r="A499" s="62" t="s">
        <v>5827</v>
      </c>
      <c r="B499" s="48">
        <v>52</v>
      </c>
      <c r="C499" s="62">
        <v>52</v>
      </c>
    </row>
    <row r="500" spans="1:3" x14ac:dyDescent="0.2">
      <c r="A500" s="62" t="s">
        <v>5826</v>
      </c>
      <c r="B500" s="48">
        <v>17</v>
      </c>
      <c r="C500" s="62">
        <v>17</v>
      </c>
    </row>
    <row r="501" spans="1:3" x14ac:dyDescent="0.2">
      <c r="A501" s="62" t="s">
        <v>5825</v>
      </c>
      <c r="B501" s="48">
        <v>62</v>
      </c>
      <c r="C501" s="62">
        <v>62</v>
      </c>
    </row>
    <row r="502" spans="1:3" x14ac:dyDescent="0.2">
      <c r="A502" s="62" t="s">
        <v>5824</v>
      </c>
      <c r="B502" s="48">
        <v>2</v>
      </c>
      <c r="C502" s="62">
        <v>2</v>
      </c>
    </row>
    <row r="503" spans="1:3" x14ac:dyDescent="0.2">
      <c r="A503" s="62" t="s">
        <v>5823</v>
      </c>
      <c r="B503" s="48">
        <v>14</v>
      </c>
      <c r="C503" s="62">
        <v>14</v>
      </c>
    </row>
    <row r="504" spans="1:3" x14ac:dyDescent="0.2">
      <c r="A504" s="62" t="s">
        <v>5822</v>
      </c>
      <c r="B504" s="48">
        <v>15</v>
      </c>
      <c r="C504" s="62">
        <v>15</v>
      </c>
    </row>
    <row r="505" spans="1:3" x14ac:dyDescent="0.2">
      <c r="A505" s="62" t="s">
        <v>5821</v>
      </c>
      <c r="B505" s="48">
        <v>62</v>
      </c>
      <c r="C505" s="62">
        <v>62</v>
      </c>
    </row>
    <row r="506" spans="1:3" x14ac:dyDescent="0.2">
      <c r="A506" s="62" t="s">
        <v>5820</v>
      </c>
      <c r="B506" s="48">
        <v>13</v>
      </c>
      <c r="C506" s="62">
        <v>13</v>
      </c>
    </row>
    <row r="507" spans="1:3" x14ac:dyDescent="0.2">
      <c r="A507" s="62" t="s">
        <v>5819</v>
      </c>
      <c r="B507" s="48">
        <v>14</v>
      </c>
      <c r="C507" s="62">
        <v>14</v>
      </c>
    </row>
    <row r="508" spans="1:3" x14ac:dyDescent="0.2">
      <c r="A508" s="62" t="s">
        <v>5817</v>
      </c>
      <c r="B508" s="48">
        <v>217</v>
      </c>
      <c r="C508" s="62">
        <v>217</v>
      </c>
    </row>
    <row r="509" spans="1:3" x14ac:dyDescent="0.2">
      <c r="A509" s="62" t="s">
        <v>5816</v>
      </c>
      <c r="B509" s="48">
        <v>142</v>
      </c>
      <c r="C509" s="62">
        <v>142</v>
      </c>
    </row>
    <row r="510" spans="1:3" x14ac:dyDescent="0.2">
      <c r="A510" s="62" t="s">
        <v>5815</v>
      </c>
      <c r="B510" s="48">
        <v>14</v>
      </c>
      <c r="C510" s="62">
        <v>14</v>
      </c>
    </row>
    <row r="511" spans="1:3" x14ac:dyDescent="0.2">
      <c r="A511" s="62" t="s">
        <v>5814</v>
      </c>
      <c r="B511" s="48">
        <v>14</v>
      </c>
      <c r="C511" s="62">
        <v>14</v>
      </c>
    </row>
    <row r="512" spans="1:3" x14ac:dyDescent="0.2">
      <c r="A512" s="62" t="s">
        <v>5813</v>
      </c>
      <c r="B512" s="48">
        <v>2</v>
      </c>
      <c r="C512" s="62">
        <v>2</v>
      </c>
    </row>
    <row r="513" spans="1:3" x14ac:dyDescent="0.2">
      <c r="A513" s="62" t="s">
        <v>5812</v>
      </c>
      <c r="B513" s="48">
        <v>9</v>
      </c>
      <c r="C513" s="62">
        <v>9</v>
      </c>
    </row>
    <row r="514" spans="1:3" x14ac:dyDescent="0.2">
      <c r="A514" s="62" t="s">
        <v>5811</v>
      </c>
      <c r="B514" s="48">
        <v>19</v>
      </c>
      <c r="C514" s="62">
        <v>19</v>
      </c>
    </row>
    <row r="515" spans="1:3" x14ac:dyDescent="0.2">
      <c r="A515" s="62" t="s">
        <v>5810</v>
      </c>
      <c r="B515" s="48">
        <v>2</v>
      </c>
      <c r="C515" s="62">
        <v>2</v>
      </c>
    </row>
    <row r="516" spans="1:3" x14ac:dyDescent="0.2">
      <c r="A516" s="62" t="s">
        <v>5809</v>
      </c>
      <c r="B516" s="48">
        <v>19</v>
      </c>
      <c r="C516" s="62">
        <v>19</v>
      </c>
    </row>
    <row r="517" spans="1:3" x14ac:dyDescent="0.2">
      <c r="A517" s="62" t="s">
        <v>5808</v>
      </c>
      <c r="B517" s="48">
        <v>19</v>
      </c>
      <c r="C517" s="62">
        <v>19</v>
      </c>
    </row>
    <row r="518" spans="1:3" x14ac:dyDescent="0.2">
      <c r="A518" s="62" t="s">
        <v>5807</v>
      </c>
      <c r="B518" s="48">
        <v>104</v>
      </c>
      <c r="C518" s="62">
        <v>104</v>
      </c>
    </row>
    <row r="519" spans="1:3" x14ac:dyDescent="0.2">
      <c r="A519" s="62" t="s">
        <v>5806</v>
      </c>
      <c r="B519" s="48">
        <v>9</v>
      </c>
      <c r="C519" s="62">
        <v>9</v>
      </c>
    </row>
    <row r="520" spans="1:3" x14ac:dyDescent="0.2">
      <c r="A520" s="62" t="s">
        <v>5805</v>
      </c>
      <c r="B520" s="48">
        <v>9</v>
      </c>
      <c r="C520" s="62">
        <v>9</v>
      </c>
    </row>
    <row r="521" spans="1:3" x14ac:dyDescent="0.2">
      <c r="A521" s="62" t="s">
        <v>5804</v>
      </c>
      <c r="B521" s="48">
        <v>9</v>
      </c>
      <c r="C521" s="62">
        <v>9</v>
      </c>
    </row>
    <row r="522" spans="1:3" x14ac:dyDescent="0.2">
      <c r="A522" s="62" t="s">
        <v>5803</v>
      </c>
      <c r="B522" s="48">
        <v>9</v>
      </c>
      <c r="C522" s="62">
        <v>9</v>
      </c>
    </row>
    <row r="523" spans="1:3" x14ac:dyDescent="0.2">
      <c r="A523" s="62" t="s">
        <v>5802</v>
      </c>
      <c r="B523" s="48">
        <v>9</v>
      </c>
      <c r="C523" s="62">
        <v>9</v>
      </c>
    </row>
    <row r="524" spans="1:3" x14ac:dyDescent="0.2">
      <c r="A524" s="62" t="s">
        <v>5801</v>
      </c>
      <c r="B524" s="48">
        <v>14</v>
      </c>
      <c r="C524" s="62">
        <v>14</v>
      </c>
    </row>
    <row r="525" spans="1:3" x14ac:dyDescent="0.2">
      <c r="A525" s="62" t="s">
        <v>5800</v>
      </c>
      <c r="B525" s="48">
        <v>62</v>
      </c>
      <c r="C525" s="62">
        <v>62</v>
      </c>
    </row>
    <row r="526" spans="1:3" x14ac:dyDescent="0.2">
      <c r="A526" s="62" t="s">
        <v>5797</v>
      </c>
      <c r="B526" s="48">
        <v>14</v>
      </c>
      <c r="C526" s="62">
        <v>14</v>
      </c>
    </row>
    <row r="527" spans="1:3" x14ac:dyDescent="0.2">
      <c r="A527" s="62" t="s">
        <v>5796</v>
      </c>
      <c r="B527" s="48">
        <v>14</v>
      </c>
      <c r="C527" s="62">
        <v>14</v>
      </c>
    </row>
    <row r="528" spans="1:3" x14ac:dyDescent="0.2">
      <c r="A528" s="62" t="s">
        <v>5795</v>
      </c>
      <c r="B528" s="48">
        <v>2</v>
      </c>
      <c r="C528" s="62">
        <v>2</v>
      </c>
    </row>
    <row r="529" spans="1:3" x14ac:dyDescent="0.2">
      <c r="A529" s="62" t="s">
        <v>5794</v>
      </c>
      <c r="B529" s="48">
        <v>148</v>
      </c>
      <c r="C529" s="62">
        <v>148</v>
      </c>
    </row>
    <row r="530" spans="1:3" x14ac:dyDescent="0.2">
      <c r="A530" s="62" t="s">
        <v>5793</v>
      </c>
      <c r="B530" s="48">
        <v>2</v>
      </c>
      <c r="C530" s="62">
        <v>2</v>
      </c>
    </row>
    <row r="531" spans="1:3" x14ac:dyDescent="0.2">
      <c r="A531" s="62" t="s">
        <v>5792</v>
      </c>
      <c r="B531" s="48">
        <v>2</v>
      </c>
      <c r="C531" s="62">
        <v>2</v>
      </c>
    </row>
    <row r="532" spans="1:3" x14ac:dyDescent="0.2">
      <c r="A532" s="62" t="s">
        <v>5791</v>
      </c>
      <c r="B532" s="48">
        <v>192</v>
      </c>
      <c r="C532" s="62">
        <v>192</v>
      </c>
    </row>
    <row r="533" spans="1:3" x14ac:dyDescent="0.2">
      <c r="A533" s="62" t="s">
        <v>5790</v>
      </c>
      <c r="B533" s="48">
        <v>167</v>
      </c>
      <c r="C533" s="62">
        <v>167</v>
      </c>
    </row>
    <row r="534" spans="1:3" x14ac:dyDescent="0.2">
      <c r="A534" s="62" t="s">
        <v>5789</v>
      </c>
      <c r="B534" s="48">
        <v>167</v>
      </c>
      <c r="C534" s="62">
        <v>167</v>
      </c>
    </row>
    <row r="535" spans="1:3" x14ac:dyDescent="0.2">
      <c r="A535" s="62" t="s">
        <v>5788</v>
      </c>
      <c r="B535" s="48">
        <v>167</v>
      </c>
      <c r="C535" s="62">
        <v>167</v>
      </c>
    </row>
    <row r="536" spans="1:3" x14ac:dyDescent="0.2">
      <c r="A536" s="62" t="s">
        <v>5787</v>
      </c>
      <c r="B536" s="48">
        <v>14</v>
      </c>
      <c r="C536" s="62">
        <v>14</v>
      </c>
    </row>
    <row r="537" spans="1:3" x14ac:dyDescent="0.2">
      <c r="A537" s="62" t="s">
        <v>5786</v>
      </c>
      <c r="B537" s="48">
        <v>152</v>
      </c>
      <c r="C537" s="62">
        <v>152</v>
      </c>
    </row>
    <row r="538" spans="1:3" x14ac:dyDescent="0.2">
      <c r="A538" s="62" t="s">
        <v>5785</v>
      </c>
      <c r="B538" s="48">
        <v>86</v>
      </c>
      <c r="C538" s="62">
        <v>86</v>
      </c>
    </row>
    <row r="539" spans="1:3" x14ac:dyDescent="0.2">
      <c r="A539" s="62" t="s">
        <v>5784</v>
      </c>
      <c r="B539" s="48">
        <v>56</v>
      </c>
      <c r="C539" s="62">
        <v>56</v>
      </c>
    </row>
    <row r="540" spans="1:3" x14ac:dyDescent="0.2">
      <c r="A540" s="62" t="s">
        <v>5783</v>
      </c>
      <c r="B540" s="48">
        <v>56</v>
      </c>
      <c r="C540" s="62">
        <v>56</v>
      </c>
    </row>
    <row r="541" spans="1:3" x14ac:dyDescent="0.2">
      <c r="A541" s="62" t="s">
        <v>5781</v>
      </c>
      <c r="B541" s="48">
        <v>56</v>
      </c>
      <c r="C541" s="62">
        <v>56</v>
      </c>
    </row>
    <row r="542" spans="1:3" x14ac:dyDescent="0.2">
      <c r="A542" s="62" t="s">
        <v>5779</v>
      </c>
      <c r="B542" s="48">
        <v>56</v>
      </c>
      <c r="C542" s="62">
        <v>56</v>
      </c>
    </row>
    <row r="543" spans="1:3" x14ac:dyDescent="0.2">
      <c r="A543" s="62" t="s">
        <v>5778</v>
      </c>
      <c r="B543" s="48">
        <v>56</v>
      </c>
      <c r="C543" s="62">
        <v>56</v>
      </c>
    </row>
    <row r="544" spans="1:3" x14ac:dyDescent="0.2">
      <c r="A544" s="62" t="s">
        <v>5777</v>
      </c>
      <c r="B544" s="48">
        <v>56</v>
      </c>
      <c r="C544" s="62">
        <v>56</v>
      </c>
    </row>
    <row r="545" spans="1:3" x14ac:dyDescent="0.2">
      <c r="A545" s="62" t="s">
        <v>5776</v>
      </c>
      <c r="B545" s="48">
        <v>15</v>
      </c>
      <c r="C545" s="62">
        <v>15</v>
      </c>
    </row>
    <row r="546" spans="1:3" x14ac:dyDescent="0.2">
      <c r="A546" s="62" t="s">
        <v>5775</v>
      </c>
      <c r="B546" s="48">
        <v>60</v>
      </c>
      <c r="C546" s="62">
        <v>60</v>
      </c>
    </row>
    <row r="547" spans="1:3" x14ac:dyDescent="0.2">
      <c r="A547" s="62" t="s">
        <v>5773</v>
      </c>
      <c r="B547" s="48">
        <v>19</v>
      </c>
      <c r="C547" s="62">
        <v>19</v>
      </c>
    </row>
    <row r="548" spans="1:3" x14ac:dyDescent="0.2">
      <c r="A548" s="62" t="s">
        <v>5772</v>
      </c>
      <c r="B548" s="48">
        <v>223</v>
      </c>
      <c r="C548" s="62">
        <v>223</v>
      </c>
    </row>
    <row r="549" spans="1:3" x14ac:dyDescent="0.2">
      <c r="A549" s="62" t="s">
        <v>5771</v>
      </c>
      <c r="B549" s="48">
        <v>225</v>
      </c>
      <c r="C549" s="62">
        <v>225</v>
      </c>
    </row>
    <row r="550" spans="1:3" x14ac:dyDescent="0.2">
      <c r="A550" s="62" t="s">
        <v>5770</v>
      </c>
      <c r="B550" s="48">
        <v>137</v>
      </c>
      <c r="C550" s="62">
        <v>137</v>
      </c>
    </row>
    <row r="551" spans="1:3" x14ac:dyDescent="0.2">
      <c r="A551" s="62" t="s">
        <v>5769</v>
      </c>
      <c r="B551" s="48">
        <v>176</v>
      </c>
      <c r="C551" s="62">
        <v>176</v>
      </c>
    </row>
    <row r="552" spans="1:3" x14ac:dyDescent="0.2">
      <c r="A552" s="62" t="s">
        <v>5768</v>
      </c>
      <c r="B552" s="48">
        <v>15</v>
      </c>
      <c r="C552" s="62">
        <v>15</v>
      </c>
    </row>
    <row r="553" spans="1:3" x14ac:dyDescent="0.2">
      <c r="A553" s="62" t="s">
        <v>5766</v>
      </c>
      <c r="B553" s="48">
        <v>191</v>
      </c>
      <c r="C553" s="62">
        <v>191</v>
      </c>
    </row>
    <row r="554" spans="1:3" x14ac:dyDescent="0.2">
      <c r="A554" s="62" t="s">
        <v>5763</v>
      </c>
      <c r="B554" s="48">
        <v>198</v>
      </c>
      <c r="C554" s="62">
        <v>198</v>
      </c>
    </row>
    <row r="555" spans="1:3" x14ac:dyDescent="0.2">
      <c r="A555" s="62" t="s">
        <v>5761</v>
      </c>
      <c r="B555" s="48">
        <v>15</v>
      </c>
      <c r="C555" s="62">
        <v>15</v>
      </c>
    </row>
    <row r="556" spans="1:3" x14ac:dyDescent="0.2">
      <c r="A556" s="62" t="s">
        <v>5760</v>
      </c>
      <c r="B556" s="48">
        <v>15</v>
      </c>
      <c r="C556" s="62">
        <v>15</v>
      </c>
    </row>
    <row r="557" spans="1:3" x14ac:dyDescent="0.2">
      <c r="A557" s="62" t="s">
        <v>5758</v>
      </c>
      <c r="B557" s="48">
        <v>15</v>
      </c>
      <c r="C557" s="62">
        <v>15</v>
      </c>
    </row>
    <row r="558" spans="1:3" x14ac:dyDescent="0.2">
      <c r="A558" s="62" t="s">
        <v>5757</v>
      </c>
      <c r="B558" s="48">
        <v>15</v>
      </c>
      <c r="C558" s="62">
        <v>15</v>
      </c>
    </row>
    <row r="559" spans="1:3" x14ac:dyDescent="0.2">
      <c r="A559" s="62" t="s">
        <v>5755</v>
      </c>
      <c r="B559" s="48">
        <v>148</v>
      </c>
      <c r="C559" s="62">
        <v>148</v>
      </c>
    </row>
    <row r="560" spans="1:3" x14ac:dyDescent="0.2">
      <c r="A560" s="62" t="s">
        <v>5754</v>
      </c>
      <c r="B560" s="48">
        <v>61</v>
      </c>
      <c r="C560" s="62">
        <v>61</v>
      </c>
    </row>
    <row r="561" spans="1:3" x14ac:dyDescent="0.2">
      <c r="A561" s="62" t="s">
        <v>5753</v>
      </c>
      <c r="B561" s="48">
        <v>61</v>
      </c>
      <c r="C561" s="62">
        <v>61</v>
      </c>
    </row>
    <row r="562" spans="1:3" x14ac:dyDescent="0.2">
      <c r="A562" s="62" t="s">
        <v>5752</v>
      </c>
      <c r="B562" s="48">
        <v>15</v>
      </c>
      <c r="C562" s="62">
        <v>15</v>
      </c>
    </row>
    <row r="563" spans="1:3" x14ac:dyDescent="0.2">
      <c r="A563" s="62" t="s">
        <v>5751</v>
      </c>
      <c r="B563" s="48">
        <v>15</v>
      </c>
      <c r="C563" s="62">
        <v>15</v>
      </c>
    </row>
    <row r="564" spans="1:3" x14ac:dyDescent="0.2">
      <c r="A564" s="62" t="s">
        <v>5750</v>
      </c>
      <c r="B564" s="48">
        <v>43</v>
      </c>
      <c r="C564" s="62">
        <v>43</v>
      </c>
    </row>
    <row r="565" spans="1:3" x14ac:dyDescent="0.2">
      <c r="A565" s="62" t="s">
        <v>5749</v>
      </c>
      <c r="B565" s="48">
        <v>15</v>
      </c>
      <c r="C565" s="62">
        <v>15</v>
      </c>
    </row>
    <row r="566" spans="1:3" x14ac:dyDescent="0.2">
      <c r="A566" s="62" t="s">
        <v>5748</v>
      </c>
      <c r="B566" s="48">
        <v>15</v>
      </c>
      <c r="C566" s="62">
        <v>15</v>
      </c>
    </row>
    <row r="567" spans="1:3" x14ac:dyDescent="0.2">
      <c r="A567" s="62" t="s">
        <v>5747</v>
      </c>
      <c r="B567" s="48">
        <v>169</v>
      </c>
      <c r="C567" s="62">
        <v>169</v>
      </c>
    </row>
    <row r="568" spans="1:3" x14ac:dyDescent="0.2">
      <c r="A568" s="62" t="s">
        <v>5746</v>
      </c>
      <c r="B568" s="48">
        <v>169</v>
      </c>
      <c r="C568" s="62">
        <v>169</v>
      </c>
    </row>
    <row r="569" spans="1:3" x14ac:dyDescent="0.2">
      <c r="A569" s="62" t="s">
        <v>5745</v>
      </c>
      <c r="B569" s="48">
        <v>169</v>
      </c>
      <c r="C569" s="62">
        <v>169</v>
      </c>
    </row>
    <row r="570" spans="1:3" x14ac:dyDescent="0.2">
      <c r="A570" s="62" t="s">
        <v>5744</v>
      </c>
      <c r="B570" s="48">
        <v>169</v>
      </c>
      <c r="C570" s="62">
        <v>169</v>
      </c>
    </row>
    <row r="571" spans="1:3" x14ac:dyDescent="0.2">
      <c r="A571" s="62" t="s">
        <v>5743</v>
      </c>
      <c r="B571" s="48">
        <v>169</v>
      </c>
      <c r="C571" s="62">
        <v>169</v>
      </c>
    </row>
    <row r="572" spans="1:3" x14ac:dyDescent="0.2">
      <c r="A572" s="62" t="s">
        <v>5742</v>
      </c>
      <c r="B572" s="48">
        <v>169</v>
      </c>
      <c r="C572" s="62">
        <v>169</v>
      </c>
    </row>
    <row r="573" spans="1:3" x14ac:dyDescent="0.2">
      <c r="A573" s="62" t="s">
        <v>5741</v>
      </c>
      <c r="B573" s="48">
        <v>169</v>
      </c>
      <c r="C573" s="62">
        <v>169</v>
      </c>
    </row>
    <row r="574" spans="1:3" x14ac:dyDescent="0.2">
      <c r="A574" s="62" t="s">
        <v>5740</v>
      </c>
      <c r="B574" s="48">
        <v>169</v>
      </c>
      <c r="C574" s="62">
        <v>169</v>
      </c>
    </row>
    <row r="575" spans="1:3" x14ac:dyDescent="0.2">
      <c r="A575" s="62" t="s">
        <v>5739</v>
      </c>
      <c r="B575" s="48">
        <v>169</v>
      </c>
      <c r="C575" s="62">
        <v>169</v>
      </c>
    </row>
    <row r="576" spans="1:3" x14ac:dyDescent="0.2">
      <c r="A576" s="62" t="s">
        <v>5738</v>
      </c>
      <c r="B576" s="48">
        <v>169</v>
      </c>
      <c r="C576" s="62">
        <v>169</v>
      </c>
    </row>
    <row r="577" spans="1:3" x14ac:dyDescent="0.2">
      <c r="A577" s="62" t="s">
        <v>5737</v>
      </c>
      <c r="B577" s="48">
        <v>167</v>
      </c>
      <c r="C577" s="62">
        <v>167</v>
      </c>
    </row>
    <row r="578" spans="1:3" x14ac:dyDescent="0.2">
      <c r="A578" s="62" t="s">
        <v>5736</v>
      </c>
      <c r="B578" s="48">
        <v>167</v>
      </c>
      <c r="C578" s="62">
        <v>167</v>
      </c>
    </row>
    <row r="579" spans="1:3" x14ac:dyDescent="0.2">
      <c r="A579" s="62" t="s">
        <v>5735</v>
      </c>
      <c r="B579" s="48">
        <v>2</v>
      </c>
      <c r="C579" s="62">
        <v>2</v>
      </c>
    </row>
    <row r="580" spans="1:3" x14ac:dyDescent="0.2">
      <c r="A580" s="62" t="s">
        <v>5734</v>
      </c>
      <c r="B580" s="48">
        <v>2</v>
      </c>
      <c r="C580" s="62">
        <v>2</v>
      </c>
    </row>
    <row r="581" spans="1:3" x14ac:dyDescent="0.2">
      <c r="A581" s="62" t="s">
        <v>5733</v>
      </c>
      <c r="B581" s="48">
        <v>2</v>
      </c>
      <c r="C581" s="62">
        <v>2</v>
      </c>
    </row>
    <row r="582" spans="1:3" x14ac:dyDescent="0.2">
      <c r="A582" s="62" t="s">
        <v>5732</v>
      </c>
      <c r="B582" s="48">
        <v>2</v>
      </c>
      <c r="C582" s="62">
        <v>2</v>
      </c>
    </row>
    <row r="583" spans="1:3" x14ac:dyDescent="0.2">
      <c r="A583" s="62" t="s">
        <v>5731</v>
      </c>
      <c r="B583" s="48">
        <v>2</v>
      </c>
      <c r="C583" s="62">
        <v>2</v>
      </c>
    </row>
    <row r="584" spans="1:3" x14ac:dyDescent="0.2">
      <c r="A584" s="62" t="s">
        <v>5730</v>
      </c>
      <c r="B584" s="48">
        <v>15</v>
      </c>
      <c r="C584" s="62">
        <v>15</v>
      </c>
    </row>
    <row r="585" spans="1:3" x14ac:dyDescent="0.2">
      <c r="A585" s="62" t="s">
        <v>5729</v>
      </c>
      <c r="B585" s="48">
        <v>88</v>
      </c>
      <c r="C585" s="62">
        <v>88</v>
      </c>
    </row>
    <row r="586" spans="1:3" x14ac:dyDescent="0.2">
      <c r="A586" s="62" t="s">
        <v>5728</v>
      </c>
      <c r="B586" s="48">
        <v>15</v>
      </c>
      <c r="C586" s="62">
        <v>15</v>
      </c>
    </row>
    <row r="587" spans="1:3" x14ac:dyDescent="0.2">
      <c r="A587" s="62" t="s">
        <v>5727</v>
      </c>
      <c r="B587" s="48">
        <v>126</v>
      </c>
      <c r="C587" s="62">
        <v>126</v>
      </c>
    </row>
    <row r="588" spans="1:3" x14ac:dyDescent="0.2">
      <c r="A588" s="62" t="s">
        <v>5726</v>
      </c>
      <c r="B588" s="48">
        <v>126</v>
      </c>
      <c r="C588" s="62">
        <v>126</v>
      </c>
    </row>
    <row r="589" spans="1:3" x14ac:dyDescent="0.2">
      <c r="A589" s="62" t="s">
        <v>5725</v>
      </c>
      <c r="B589" s="48">
        <v>15</v>
      </c>
      <c r="C589" s="62">
        <v>15</v>
      </c>
    </row>
    <row r="590" spans="1:3" x14ac:dyDescent="0.2">
      <c r="A590" s="62" t="s">
        <v>5724</v>
      </c>
      <c r="B590" s="48">
        <v>15</v>
      </c>
      <c r="C590" s="62">
        <v>15</v>
      </c>
    </row>
    <row r="591" spans="1:3" x14ac:dyDescent="0.2">
      <c r="A591" s="62" t="s">
        <v>5723</v>
      </c>
      <c r="B591" s="48">
        <v>15</v>
      </c>
      <c r="C591" s="62">
        <v>15</v>
      </c>
    </row>
    <row r="592" spans="1:3" x14ac:dyDescent="0.2">
      <c r="A592" s="62" t="s">
        <v>5722</v>
      </c>
      <c r="B592" s="48">
        <v>15</v>
      </c>
      <c r="C592" s="62">
        <v>15</v>
      </c>
    </row>
    <row r="593" spans="1:3" x14ac:dyDescent="0.2">
      <c r="A593" s="62" t="s">
        <v>5721</v>
      </c>
      <c r="B593" s="48">
        <v>15</v>
      </c>
      <c r="C593" s="62">
        <v>15</v>
      </c>
    </row>
    <row r="594" spans="1:3" x14ac:dyDescent="0.2">
      <c r="A594" s="62" t="s">
        <v>5720</v>
      </c>
      <c r="B594" s="48">
        <v>15</v>
      </c>
      <c r="C594" s="62">
        <v>15</v>
      </c>
    </row>
    <row r="595" spans="1:3" x14ac:dyDescent="0.2">
      <c r="A595" s="62" t="s">
        <v>5719</v>
      </c>
      <c r="B595" s="48">
        <v>15</v>
      </c>
      <c r="C595" s="62">
        <v>15</v>
      </c>
    </row>
    <row r="596" spans="1:3" x14ac:dyDescent="0.2">
      <c r="A596" s="62" t="s">
        <v>5718</v>
      </c>
      <c r="B596" s="48">
        <v>15</v>
      </c>
      <c r="C596" s="62">
        <v>15</v>
      </c>
    </row>
    <row r="597" spans="1:3" x14ac:dyDescent="0.2">
      <c r="A597" s="62" t="s">
        <v>5717</v>
      </c>
      <c r="B597" s="48">
        <v>15</v>
      </c>
      <c r="C597" s="62">
        <v>15</v>
      </c>
    </row>
    <row r="598" spans="1:3" x14ac:dyDescent="0.2">
      <c r="A598" s="62" t="s">
        <v>5716</v>
      </c>
      <c r="B598" s="48">
        <v>119</v>
      </c>
      <c r="C598" s="62">
        <v>119</v>
      </c>
    </row>
    <row r="599" spans="1:3" x14ac:dyDescent="0.2">
      <c r="A599" s="62" t="s">
        <v>5714</v>
      </c>
      <c r="B599" s="48">
        <v>88</v>
      </c>
      <c r="C599" s="62">
        <v>88</v>
      </c>
    </row>
    <row r="600" spans="1:3" x14ac:dyDescent="0.2">
      <c r="A600" s="62" t="s">
        <v>5712</v>
      </c>
      <c r="B600" s="48">
        <v>119</v>
      </c>
      <c r="C600" s="62">
        <v>119</v>
      </c>
    </row>
    <row r="601" spans="1:3" x14ac:dyDescent="0.2">
      <c r="A601" s="62" t="s">
        <v>5711</v>
      </c>
      <c r="B601" s="48">
        <v>214</v>
      </c>
      <c r="C601" s="62">
        <v>214</v>
      </c>
    </row>
    <row r="602" spans="1:3" x14ac:dyDescent="0.2">
      <c r="A602" s="62" t="s">
        <v>5710</v>
      </c>
      <c r="B602" s="48">
        <v>214</v>
      </c>
      <c r="C602" s="62">
        <v>214</v>
      </c>
    </row>
    <row r="603" spans="1:3" x14ac:dyDescent="0.2">
      <c r="A603" s="62" t="s">
        <v>5709</v>
      </c>
      <c r="B603" s="48">
        <v>152</v>
      </c>
      <c r="C603" s="62">
        <v>152</v>
      </c>
    </row>
    <row r="604" spans="1:3" x14ac:dyDescent="0.2">
      <c r="A604" s="62" t="s">
        <v>5708</v>
      </c>
      <c r="B604" s="48">
        <v>14</v>
      </c>
      <c r="C604" s="62">
        <v>14</v>
      </c>
    </row>
    <row r="605" spans="1:3" x14ac:dyDescent="0.2">
      <c r="A605" s="62" t="s">
        <v>5707</v>
      </c>
      <c r="B605" s="48">
        <v>14</v>
      </c>
      <c r="C605" s="62">
        <v>14</v>
      </c>
    </row>
    <row r="606" spans="1:3" x14ac:dyDescent="0.2">
      <c r="A606" s="62" t="s">
        <v>5706</v>
      </c>
      <c r="B606" s="48">
        <v>14</v>
      </c>
      <c r="C606" s="62">
        <v>14</v>
      </c>
    </row>
    <row r="607" spans="1:3" x14ac:dyDescent="0.2">
      <c r="A607" s="62" t="s">
        <v>5705</v>
      </c>
      <c r="B607" s="48">
        <v>15</v>
      </c>
      <c r="C607" s="62">
        <v>15</v>
      </c>
    </row>
    <row r="608" spans="1:3" x14ac:dyDescent="0.2">
      <c r="A608" s="62" t="s">
        <v>5704</v>
      </c>
      <c r="B608" s="48">
        <v>14</v>
      </c>
      <c r="C608" s="62">
        <v>14</v>
      </c>
    </row>
    <row r="609" spans="1:3" x14ac:dyDescent="0.2">
      <c r="A609" s="62" t="s">
        <v>5703</v>
      </c>
      <c r="B609" s="48">
        <v>88</v>
      </c>
      <c r="C609" s="62">
        <v>88</v>
      </c>
    </row>
    <row r="610" spans="1:3" x14ac:dyDescent="0.2">
      <c r="A610" s="62" t="s">
        <v>5702</v>
      </c>
      <c r="B610" s="48">
        <v>14</v>
      </c>
      <c r="C610" s="62">
        <v>14</v>
      </c>
    </row>
    <row r="611" spans="1:3" x14ac:dyDescent="0.2">
      <c r="A611" s="62" t="s">
        <v>5701</v>
      </c>
      <c r="B611" s="48">
        <v>19</v>
      </c>
      <c r="C611" s="62">
        <v>19</v>
      </c>
    </row>
    <row r="612" spans="1:3" x14ac:dyDescent="0.2">
      <c r="A612" s="62" t="s">
        <v>5700</v>
      </c>
      <c r="B612" s="48">
        <v>225</v>
      </c>
      <c r="C612" s="62">
        <v>225</v>
      </c>
    </row>
    <row r="613" spans="1:3" x14ac:dyDescent="0.2">
      <c r="A613" s="62" t="s">
        <v>5699</v>
      </c>
      <c r="B613" s="48">
        <v>225</v>
      </c>
      <c r="C613" s="62">
        <v>225</v>
      </c>
    </row>
    <row r="614" spans="1:3" x14ac:dyDescent="0.2">
      <c r="A614" s="62" t="s">
        <v>5698</v>
      </c>
      <c r="B614" s="48">
        <v>150</v>
      </c>
      <c r="C614" s="62">
        <v>150</v>
      </c>
    </row>
    <row r="615" spans="1:3" x14ac:dyDescent="0.2">
      <c r="A615" s="62" t="s">
        <v>5697</v>
      </c>
      <c r="B615" s="48">
        <v>190</v>
      </c>
      <c r="C615" s="62">
        <v>190</v>
      </c>
    </row>
    <row r="616" spans="1:3" x14ac:dyDescent="0.2">
      <c r="A616" s="62" t="s">
        <v>5696</v>
      </c>
      <c r="B616" s="48">
        <v>2</v>
      </c>
      <c r="C616" s="62">
        <v>2</v>
      </c>
    </row>
    <row r="617" spans="1:3" x14ac:dyDescent="0.2">
      <c r="A617" s="62" t="s">
        <v>5695</v>
      </c>
      <c r="B617" s="48">
        <v>2</v>
      </c>
      <c r="C617" s="62">
        <v>2</v>
      </c>
    </row>
    <row r="618" spans="1:3" x14ac:dyDescent="0.2">
      <c r="A618" s="62" t="s">
        <v>5694</v>
      </c>
      <c r="B618" s="48">
        <v>18</v>
      </c>
      <c r="C618" s="62">
        <v>18</v>
      </c>
    </row>
    <row r="619" spans="1:3" x14ac:dyDescent="0.2">
      <c r="A619" s="62" t="s">
        <v>5692</v>
      </c>
      <c r="B619" s="48">
        <v>18</v>
      </c>
      <c r="C619" s="62">
        <v>18</v>
      </c>
    </row>
    <row r="620" spans="1:3" x14ac:dyDescent="0.2">
      <c r="A620" s="62" t="s">
        <v>5690</v>
      </c>
      <c r="B620" s="48">
        <v>15</v>
      </c>
      <c r="C620" s="62">
        <v>15</v>
      </c>
    </row>
    <row r="621" spans="1:3" x14ac:dyDescent="0.2">
      <c r="A621" s="62" t="s">
        <v>5689</v>
      </c>
      <c r="B621" s="48">
        <v>131</v>
      </c>
      <c r="C621" s="62">
        <v>131</v>
      </c>
    </row>
    <row r="622" spans="1:3" x14ac:dyDescent="0.2">
      <c r="A622" s="62" t="s">
        <v>5688</v>
      </c>
      <c r="B622" s="48">
        <v>148</v>
      </c>
      <c r="C622" s="62">
        <v>148</v>
      </c>
    </row>
    <row r="623" spans="1:3" x14ac:dyDescent="0.2">
      <c r="A623" s="62" t="s">
        <v>5685</v>
      </c>
      <c r="B623" s="48">
        <v>2</v>
      </c>
      <c r="C623" s="62">
        <v>2</v>
      </c>
    </row>
    <row r="624" spans="1:3" x14ac:dyDescent="0.2">
      <c r="A624" s="62" t="s">
        <v>5684</v>
      </c>
      <c r="B624" s="48">
        <v>221</v>
      </c>
      <c r="C624" s="62">
        <v>221</v>
      </c>
    </row>
    <row r="625" spans="1:3" x14ac:dyDescent="0.2">
      <c r="A625" s="62" t="s">
        <v>5683</v>
      </c>
      <c r="B625" s="48">
        <v>229</v>
      </c>
      <c r="C625" s="62">
        <v>229</v>
      </c>
    </row>
    <row r="626" spans="1:3" x14ac:dyDescent="0.2">
      <c r="A626" s="62" t="s">
        <v>5682</v>
      </c>
      <c r="B626" s="48">
        <v>14</v>
      </c>
      <c r="C626" s="62">
        <v>14</v>
      </c>
    </row>
    <row r="627" spans="1:3" x14ac:dyDescent="0.2">
      <c r="A627" s="62" t="s">
        <v>5681</v>
      </c>
      <c r="B627" s="48">
        <v>169</v>
      </c>
      <c r="C627" s="62">
        <v>169</v>
      </c>
    </row>
    <row r="628" spans="1:3" x14ac:dyDescent="0.2">
      <c r="A628" s="62" t="s">
        <v>5680</v>
      </c>
      <c r="B628" s="48">
        <v>14</v>
      </c>
      <c r="C628" s="62">
        <v>14</v>
      </c>
    </row>
    <row r="629" spans="1:3" x14ac:dyDescent="0.2">
      <c r="A629" s="62" t="s">
        <v>5679</v>
      </c>
      <c r="B629" s="48">
        <v>9</v>
      </c>
      <c r="C629" s="62">
        <v>9</v>
      </c>
    </row>
    <row r="630" spans="1:3" x14ac:dyDescent="0.2">
      <c r="A630" s="62" t="s">
        <v>5678</v>
      </c>
      <c r="B630" s="48">
        <v>88</v>
      </c>
      <c r="C630" s="62">
        <v>88</v>
      </c>
    </row>
    <row r="631" spans="1:3" x14ac:dyDescent="0.2">
      <c r="A631" s="62" t="s">
        <v>5677</v>
      </c>
      <c r="B631" s="48">
        <v>56</v>
      </c>
      <c r="C631" s="62">
        <v>56</v>
      </c>
    </row>
    <row r="632" spans="1:3" x14ac:dyDescent="0.2">
      <c r="A632" s="62" t="s">
        <v>5676</v>
      </c>
      <c r="B632" s="48">
        <v>15</v>
      </c>
      <c r="C632" s="62">
        <v>15</v>
      </c>
    </row>
    <row r="633" spans="1:3" x14ac:dyDescent="0.2">
      <c r="A633" s="62" t="s">
        <v>5675</v>
      </c>
      <c r="B633" s="48">
        <v>180</v>
      </c>
      <c r="C633" s="62">
        <v>180</v>
      </c>
    </row>
    <row r="634" spans="1:3" x14ac:dyDescent="0.2">
      <c r="A634" s="62" t="s">
        <v>5674</v>
      </c>
      <c r="B634" s="48">
        <v>43</v>
      </c>
      <c r="C634" s="62">
        <v>43</v>
      </c>
    </row>
    <row r="635" spans="1:3" x14ac:dyDescent="0.2">
      <c r="A635" s="62" t="s">
        <v>5673</v>
      </c>
      <c r="B635" s="48">
        <v>15</v>
      </c>
      <c r="C635" s="62">
        <v>15</v>
      </c>
    </row>
    <row r="636" spans="1:3" x14ac:dyDescent="0.2">
      <c r="A636" s="62" t="s">
        <v>5672</v>
      </c>
      <c r="B636" s="48">
        <v>9</v>
      </c>
      <c r="C636" s="62">
        <v>9</v>
      </c>
    </row>
    <row r="637" spans="1:3" x14ac:dyDescent="0.2">
      <c r="A637" s="62" t="s">
        <v>5671</v>
      </c>
      <c r="B637" s="48">
        <v>14</v>
      </c>
      <c r="C637" s="62">
        <v>14</v>
      </c>
    </row>
    <row r="638" spans="1:3" x14ac:dyDescent="0.2">
      <c r="A638" s="62" t="s">
        <v>5670</v>
      </c>
      <c r="B638" s="48">
        <v>15</v>
      </c>
      <c r="C638" s="62">
        <v>15</v>
      </c>
    </row>
    <row r="639" spans="1:3" x14ac:dyDescent="0.2">
      <c r="A639" s="62" t="s">
        <v>5669</v>
      </c>
      <c r="B639" s="48">
        <v>19</v>
      </c>
      <c r="C639" s="62">
        <v>19</v>
      </c>
    </row>
    <row r="640" spans="1:3" x14ac:dyDescent="0.2">
      <c r="A640" s="62" t="s">
        <v>5668</v>
      </c>
      <c r="B640" s="48">
        <v>14</v>
      </c>
      <c r="C640" s="62">
        <v>14</v>
      </c>
    </row>
    <row r="641" spans="1:3" x14ac:dyDescent="0.2">
      <c r="A641" s="62" t="s">
        <v>5667</v>
      </c>
      <c r="B641" s="48">
        <v>73</v>
      </c>
      <c r="C641" s="62">
        <v>73</v>
      </c>
    </row>
    <row r="642" spans="1:3" x14ac:dyDescent="0.2">
      <c r="A642" s="62" t="s">
        <v>5666</v>
      </c>
      <c r="B642" s="48">
        <v>226</v>
      </c>
      <c r="C642" s="62">
        <v>226</v>
      </c>
    </row>
    <row r="643" spans="1:3" x14ac:dyDescent="0.2">
      <c r="A643" s="62" t="s">
        <v>5665</v>
      </c>
      <c r="B643" s="48">
        <v>226</v>
      </c>
      <c r="C643" s="62">
        <v>226</v>
      </c>
    </row>
    <row r="644" spans="1:3" x14ac:dyDescent="0.2">
      <c r="A644" s="62" t="s">
        <v>5664</v>
      </c>
      <c r="B644" s="48">
        <v>58</v>
      </c>
      <c r="C644" s="62">
        <v>58</v>
      </c>
    </row>
    <row r="645" spans="1:3" x14ac:dyDescent="0.2">
      <c r="A645" s="62" t="s">
        <v>5663</v>
      </c>
      <c r="B645" s="48">
        <v>58</v>
      </c>
      <c r="C645" s="62">
        <v>58</v>
      </c>
    </row>
    <row r="646" spans="1:3" x14ac:dyDescent="0.2">
      <c r="A646" s="62" t="s">
        <v>5661</v>
      </c>
      <c r="B646" s="48">
        <v>15</v>
      </c>
      <c r="C646" s="62">
        <v>15</v>
      </c>
    </row>
    <row r="647" spans="1:3" x14ac:dyDescent="0.2">
      <c r="A647" s="62" t="s">
        <v>5660</v>
      </c>
      <c r="B647" s="48">
        <v>14</v>
      </c>
      <c r="C647" s="62">
        <v>14</v>
      </c>
    </row>
    <row r="648" spans="1:3" x14ac:dyDescent="0.2">
      <c r="A648" s="62" t="s">
        <v>5659</v>
      </c>
      <c r="B648" s="48">
        <v>226</v>
      </c>
      <c r="C648" s="62">
        <v>226</v>
      </c>
    </row>
    <row r="649" spans="1:3" x14ac:dyDescent="0.2">
      <c r="A649" s="62" t="s">
        <v>5658</v>
      </c>
      <c r="B649" s="48">
        <v>226</v>
      </c>
      <c r="C649" s="62">
        <v>226</v>
      </c>
    </row>
    <row r="650" spans="1:3" x14ac:dyDescent="0.2">
      <c r="A650" s="62" t="s">
        <v>5657</v>
      </c>
      <c r="B650" s="48">
        <v>226</v>
      </c>
      <c r="C650" s="62">
        <v>226</v>
      </c>
    </row>
    <row r="651" spans="1:3" x14ac:dyDescent="0.2">
      <c r="A651" s="62" t="s">
        <v>5656</v>
      </c>
      <c r="B651" s="48">
        <v>226</v>
      </c>
      <c r="C651" s="62">
        <v>226</v>
      </c>
    </row>
    <row r="652" spans="1:3" x14ac:dyDescent="0.2">
      <c r="A652" s="62" t="s">
        <v>5655</v>
      </c>
      <c r="B652" s="48">
        <v>14</v>
      </c>
      <c r="C652" s="62">
        <v>14</v>
      </c>
    </row>
    <row r="653" spans="1:3" x14ac:dyDescent="0.2">
      <c r="A653" s="62" t="s">
        <v>5654</v>
      </c>
      <c r="B653" s="48">
        <v>14</v>
      </c>
      <c r="C653" s="62">
        <v>14</v>
      </c>
    </row>
    <row r="654" spans="1:3" x14ac:dyDescent="0.2">
      <c r="A654" s="62" t="s">
        <v>5653</v>
      </c>
      <c r="B654" s="48">
        <v>14</v>
      </c>
      <c r="C654" s="62">
        <v>14</v>
      </c>
    </row>
    <row r="655" spans="1:3" x14ac:dyDescent="0.2">
      <c r="A655" s="62" t="s">
        <v>5652</v>
      </c>
      <c r="B655" s="48">
        <v>14</v>
      </c>
      <c r="C655" s="62">
        <v>14</v>
      </c>
    </row>
    <row r="656" spans="1:3" x14ac:dyDescent="0.2">
      <c r="A656" s="62" t="s">
        <v>5651</v>
      </c>
      <c r="B656" s="48">
        <v>19</v>
      </c>
      <c r="C656" s="62">
        <v>19</v>
      </c>
    </row>
    <row r="657" spans="1:3" x14ac:dyDescent="0.2">
      <c r="A657" s="62" t="s">
        <v>5650</v>
      </c>
      <c r="B657" s="48">
        <v>15</v>
      </c>
      <c r="C657" s="62">
        <v>15</v>
      </c>
    </row>
    <row r="658" spans="1:3" x14ac:dyDescent="0.2">
      <c r="A658" s="62" t="s">
        <v>5649</v>
      </c>
      <c r="B658" s="48">
        <v>14</v>
      </c>
      <c r="C658" s="62">
        <v>14</v>
      </c>
    </row>
    <row r="659" spans="1:3" x14ac:dyDescent="0.2">
      <c r="A659" s="62" t="s">
        <v>5648</v>
      </c>
      <c r="B659" s="48">
        <v>14</v>
      </c>
      <c r="C659" s="62">
        <v>14</v>
      </c>
    </row>
    <row r="660" spans="1:3" x14ac:dyDescent="0.2">
      <c r="A660" s="62" t="s">
        <v>5647</v>
      </c>
      <c r="B660" s="48">
        <v>148</v>
      </c>
      <c r="C660" s="62">
        <v>148</v>
      </c>
    </row>
    <row r="661" spans="1:3" x14ac:dyDescent="0.2">
      <c r="A661" s="62" t="s">
        <v>5646</v>
      </c>
      <c r="B661" s="48">
        <v>148</v>
      </c>
      <c r="C661" s="62">
        <v>148</v>
      </c>
    </row>
    <row r="662" spans="1:3" x14ac:dyDescent="0.2">
      <c r="A662" s="62" t="s">
        <v>5645</v>
      </c>
      <c r="B662" s="48">
        <v>49</v>
      </c>
      <c r="C662" s="62">
        <v>49</v>
      </c>
    </row>
    <row r="663" spans="1:3" x14ac:dyDescent="0.2">
      <c r="A663" s="62" t="s">
        <v>5644</v>
      </c>
      <c r="B663" s="48">
        <v>12</v>
      </c>
      <c r="C663" s="62">
        <v>12</v>
      </c>
    </row>
    <row r="664" spans="1:3" x14ac:dyDescent="0.2">
      <c r="A664" s="62" t="s">
        <v>5643</v>
      </c>
      <c r="B664" s="48">
        <v>15</v>
      </c>
      <c r="C664" s="62">
        <v>15</v>
      </c>
    </row>
    <row r="665" spans="1:3" x14ac:dyDescent="0.2">
      <c r="A665" s="62" t="s">
        <v>5642</v>
      </c>
      <c r="B665" s="48">
        <v>148</v>
      </c>
      <c r="C665" s="62">
        <v>148</v>
      </c>
    </row>
    <row r="666" spans="1:3" x14ac:dyDescent="0.2">
      <c r="A666" s="62" t="s">
        <v>5641</v>
      </c>
      <c r="B666" s="48">
        <v>167</v>
      </c>
      <c r="C666" s="62">
        <v>167</v>
      </c>
    </row>
    <row r="667" spans="1:3" x14ac:dyDescent="0.2">
      <c r="A667" s="62" t="s">
        <v>5640</v>
      </c>
      <c r="B667" s="48">
        <v>148</v>
      </c>
      <c r="C667" s="62">
        <v>148</v>
      </c>
    </row>
    <row r="668" spans="1:3" x14ac:dyDescent="0.2">
      <c r="A668" s="62" t="s">
        <v>5639</v>
      </c>
      <c r="B668" s="48">
        <v>148</v>
      </c>
      <c r="C668" s="62">
        <v>148</v>
      </c>
    </row>
    <row r="669" spans="1:3" x14ac:dyDescent="0.2">
      <c r="A669" s="62" t="s">
        <v>5638</v>
      </c>
      <c r="B669" s="48">
        <v>167</v>
      </c>
      <c r="C669" s="62">
        <v>167</v>
      </c>
    </row>
    <row r="670" spans="1:3" x14ac:dyDescent="0.2">
      <c r="A670" s="62" t="s">
        <v>5637</v>
      </c>
      <c r="B670" s="48">
        <v>148</v>
      </c>
      <c r="C670" s="62">
        <v>148</v>
      </c>
    </row>
    <row r="671" spans="1:3" x14ac:dyDescent="0.2">
      <c r="A671" s="62" t="s">
        <v>5636</v>
      </c>
      <c r="B671" s="48">
        <v>148</v>
      </c>
      <c r="C671" s="62">
        <v>148</v>
      </c>
    </row>
    <row r="672" spans="1:3" x14ac:dyDescent="0.2">
      <c r="A672" s="62" t="s">
        <v>5635</v>
      </c>
      <c r="B672" s="48">
        <v>14</v>
      </c>
      <c r="C672" s="62">
        <v>14</v>
      </c>
    </row>
    <row r="673" spans="1:3" x14ac:dyDescent="0.2">
      <c r="A673" s="62" t="s">
        <v>5634</v>
      </c>
      <c r="B673" s="48">
        <v>14</v>
      </c>
      <c r="C673" s="62">
        <v>14</v>
      </c>
    </row>
    <row r="674" spans="1:3" x14ac:dyDescent="0.2">
      <c r="A674" s="62" t="s">
        <v>5633</v>
      </c>
      <c r="B674" s="48">
        <v>148</v>
      </c>
      <c r="C674" s="62">
        <v>148</v>
      </c>
    </row>
    <row r="675" spans="1:3" x14ac:dyDescent="0.2">
      <c r="A675" s="62" t="s">
        <v>5632</v>
      </c>
      <c r="B675" s="48">
        <v>88</v>
      </c>
      <c r="C675" s="62">
        <v>88</v>
      </c>
    </row>
    <row r="676" spans="1:3" x14ac:dyDescent="0.2">
      <c r="A676" s="62" t="s">
        <v>5631</v>
      </c>
      <c r="B676" s="48">
        <v>161</v>
      </c>
      <c r="C676" s="62">
        <v>161</v>
      </c>
    </row>
    <row r="677" spans="1:3" x14ac:dyDescent="0.2">
      <c r="A677" s="62" t="s">
        <v>5630</v>
      </c>
      <c r="B677" s="48">
        <v>2</v>
      </c>
      <c r="C677" s="62">
        <v>2</v>
      </c>
    </row>
    <row r="678" spans="1:3" x14ac:dyDescent="0.2">
      <c r="A678" s="62" t="s">
        <v>5629</v>
      </c>
      <c r="B678" s="48">
        <v>2</v>
      </c>
      <c r="C678" s="62">
        <v>2</v>
      </c>
    </row>
    <row r="679" spans="1:3" x14ac:dyDescent="0.2">
      <c r="A679" s="62" t="s">
        <v>5628</v>
      </c>
      <c r="B679" s="48">
        <v>2</v>
      </c>
      <c r="C679" s="62">
        <v>2</v>
      </c>
    </row>
    <row r="680" spans="1:3" x14ac:dyDescent="0.2">
      <c r="A680" s="62" t="s">
        <v>5627</v>
      </c>
      <c r="B680" s="48">
        <v>11</v>
      </c>
      <c r="C680" s="62">
        <v>11</v>
      </c>
    </row>
    <row r="681" spans="1:3" x14ac:dyDescent="0.2">
      <c r="A681" s="62" t="s">
        <v>5626</v>
      </c>
      <c r="B681" s="48">
        <v>14</v>
      </c>
      <c r="C681" s="62">
        <v>14</v>
      </c>
    </row>
    <row r="682" spans="1:3" x14ac:dyDescent="0.2">
      <c r="A682" s="62" t="s">
        <v>5624</v>
      </c>
      <c r="B682" s="48">
        <v>69</v>
      </c>
      <c r="C682" s="62">
        <v>69</v>
      </c>
    </row>
    <row r="683" spans="1:3" x14ac:dyDescent="0.2">
      <c r="A683" s="62" t="s">
        <v>5623</v>
      </c>
      <c r="B683" s="48">
        <v>69</v>
      </c>
      <c r="C683" s="62">
        <v>69</v>
      </c>
    </row>
    <row r="684" spans="1:3" x14ac:dyDescent="0.2">
      <c r="A684" s="62" t="s">
        <v>5621</v>
      </c>
      <c r="B684" s="48">
        <v>14</v>
      </c>
      <c r="C684" s="62">
        <v>14</v>
      </c>
    </row>
    <row r="685" spans="1:3" x14ac:dyDescent="0.2">
      <c r="A685" s="62" t="s">
        <v>5620</v>
      </c>
      <c r="B685" s="48">
        <v>12</v>
      </c>
      <c r="C685" s="62">
        <v>12</v>
      </c>
    </row>
    <row r="686" spans="1:3" x14ac:dyDescent="0.2">
      <c r="A686" s="62" t="s">
        <v>5618</v>
      </c>
      <c r="B686" s="48">
        <v>14</v>
      </c>
      <c r="C686" s="62">
        <v>14</v>
      </c>
    </row>
    <row r="687" spans="1:3" x14ac:dyDescent="0.2">
      <c r="A687" s="62" t="s">
        <v>5617</v>
      </c>
      <c r="B687" s="48">
        <v>14</v>
      </c>
      <c r="C687" s="62">
        <v>14</v>
      </c>
    </row>
    <row r="688" spans="1:3" x14ac:dyDescent="0.2">
      <c r="A688" s="62" t="s">
        <v>5616</v>
      </c>
      <c r="B688" s="48">
        <v>14</v>
      </c>
      <c r="C688" s="62">
        <v>14</v>
      </c>
    </row>
    <row r="689" spans="1:3" x14ac:dyDescent="0.2">
      <c r="A689" s="62" t="s">
        <v>5615</v>
      </c>
      <c r="B689" s="48">
        <v>14</v>
      </c>
      <c r="C689" s="62">
        <v>14</v>
      </c>
    </row>
    <row r="690" spans="1:3" x14ac:dyDescent="0.2">
      <c r="A690" s="62" t="s">
        <v>5614</v>
      </c>
      <c r="B690" s="48">
        <v>14</v>
      </c>
      <c r="C690" s="62">
        <v>14</v>
      </c>
    </row>
    <row r="691" spans="1:3" x14ac:dyDescent="0.2">
      <c r="A691" s="62" t="s">
        <v>5613</v>
      </c>
      <c r="B691" s="48">
        <v>14</v>
      </c>
      <c r="C691" s="62">
        <v>14</v>
      </c>
    </row>
    <row r="692" spans="1:3" x14ac:dyDescent="0.2">
      <c r="A692" s="62" t="s">
        <v>5612</v>
      </c>
      <c r="B692" s="48">
        <v>14</v>
      </c>
      <c r="C692" s="62">
        <v>14</v>
      </c>
    </row>
    <row r="693" spans="1:3" x14ac:dyDescent="0.2">
      <c r="A693" s="62" t="s">
        <v>5611</v>
      </c>
      <c r="B693" s="48">
        <v>14</v>
      </c>
      <c r="C693" s="62">
        <v>14</v>
      </c>
    </row>
    <row r="694" spans="1:3" x14ac:dyDescent="0.2">
      <c r="A694" s="62" t="s">
        <v>5610</v>
      </c>
      <c r="B694" s="48">
        <v>14</v>
      </c>
      <c r="C694" s="62">
        <v>14</v>
      </c>
    </row>
    <row r="695" spans="1:3" x14ac:dyDescent="0.2">
      <c r="A695" s="62" t="s">
        <v>5609</v>
      </c>
      <c r="B695" s="48">
        <v>2</v>
      </c>
      <c r="C695" s="62">
        <v>2</v>
      </c>
    </row>
    <row r="696" spans="1:3" x14ac:dyDescent="0.2">
      <c r="A696" s="62" t="s">
        <v>5607</v>
      </c>
      <c r="B696" s="48">
        <v>2</v>
      </c>
      <c r="C696" s="62">
        <v>2</v>
      </c>
    </row>
    <row r="697" spans="1:3" x14ac:dyDescent="0.2">
      <c r="A697" s="62" t="s">
        <v>5605</v>
      </c>
      <c r="B697" s="48">
        <v>14</v>
      </c>
      <c r="C697" s="62">
        <v>14</v>
      </c>
    </row>
    <row r="698" spans="1:3" x14ac:dyDescent="0.2">
      <c r="A698" s="62" t="s">
        <v>5603</v>
      </c>
      <c r="B698" s="48">
        <v>169</v>
      </c>
      <c r="C698" s="62">
        <v>169</v>
      </c>
    </row>
    <row r="699" spans="1:3" x14ac:dyDescent="0.2">
      <c r="A699" s="62" t="s">
        <v>5602</v>
      </c>
      <c r="B699" s="48">
        <v>70</v>
      </c>
      <c r="C699" s="62">
        <v>70</v>
      </c>
    </row>
    <row r="700" spans="1:3" x14ac:dyDescent="0.2">
      <c r="A700" s="62" t="s">
        <v>5600</v>
      </c>
      <c r="B700" s="48">
        <v>19</v>
      </c>
      <c r="C700" s="62">
        <v>19</v>
      </c>
    </row>
    <row r="701" spans="1:3" x14ac:dyDescent="0.2">
      <c r="A701" s="62" t="s">
        <v>5599</v>
      </c>
      <c r="B701" s="48">
        <v>14</v>
      </c>
      <c r="C701" s="62">
        <v>14</v>
      </c>
    </row>
    <row r="702" spans="1:3" x14ac:dyDescent="0.2">
      <c r="A702" s="62" t="s">
        <v>5595</v>
      </c>
      <c r="B702" s="48">
        <v>62</v>
      </c>
      <c r="C702" s="62">
        <v>62</v>
      </c>
    </row>
    <row r="703" spans="1:3" x14ac:dyDescent="0.2">
      <c r="A703" s="62" t="s">
        <v>5594</v>
      </c>
      <c r="B703" s="48">
        <v>62</v>
      </c>
      <c r="C703" s="62">
        <v>62</v>
      </c>
    </row>
    <row r="704" spans="1:3" x14ac:dyDescent="0.2">
      <c r="A704" s="62" t="s">
        <v>5593</v>
      </c>
      <c r="B704" s="48">
        <v>4</v>
      </c>
      <c r="C704" s="62">
        <v>4</v>
      </c>
    </row>
    <row r="705" spans="1:3" x14ac:dyDescent="0.2">
      <c r="A705" s="62" t="s">
        <v>5592</v>
      </c>
      <c r="B705" s="48">
        <v>4</v>
      </c>
      <c r="C705" s="62">
        <v>4</v>
      </c>
    </row>
    <row r="706" spans="1:3" x14ac:dyDescent="0.2">
      <c r="A706" s="62" t="s">
        <v>5591</v>
      </c>
      <c r="B706" s="48">
        <v>4</v>
      </c>
      <c r="C706" s="62">
        <v>4</v>
      </c>
    </row>
    <row r="707" spans="1:3" x14ac:dyDescent="0.2">
      <c r="A707" s="62" t="s">
        <v>5590</v>
      </c>
      <c r="B707" s="48">
        <v>19</v>
      </c>
      <c r="C707" s="62">
        <v>19</v>
      </c>
    </row>
    <row r="708" spans="1:3" x14ac:dyDescent="0.2">
      <c r="A708" s="62" t="s">
        <v>5587</v>
      </c>
      <c r="B708" s="48">
        <v>14</v>
      </c>
      <c r="C708" s="62">
        <v>14</v>
      </c>
    </row>
    <row r="709" spans="1:3" x14ac:dyDescent="0.2">
      <c r="A709" s="62" t="s">
        <v>5586</v>
      </c>
      <c r="B709" s="48">
        <v>54</v>
      </c>
      <c r="C709" s="62">
        <v>54</v>
      </c>
    </row>
    <row r="710" spans="1:3" x14ac:dyDescent="0.2">
      <c r="A710" s="62" t="s">
        <v>5585</v>
      </c>
      <c r="B710" s="48">
        <v>14</v>
      </c>
      <c r="C710" s="62">
        <v>14</v>
      </c>
    </row>
    <row r="711" spans="1:3" x14ac:dyDescent="0.2">
      <c r="A711" s="62" t="s">
        <v>5584</v>
      </c>
      <c r="B711" s="48">
        <v>2</v>
      </c>
      <c r="C711" s="62">
        <v>2</v>
      </c>
    </row>
    <row r="712" spans="1:3" x14ac:dyDescent="0.2">
      <c r="A712" s="62" t="s">
        <v>5583</v>
      </c>
      <c r="B712" s="48">
        <v>2</v>
      </c>
      <c r="C712" s="62">
        <v>2</v>
      </c>
    </row>
    <row r="713" spans="1:3" x14ac:dyDescent="0.2">
      <c r="A713" s="62" t="s">
        <v>5581</v>
      </c>
      <c r="B713" s="48">
        <v>179</v>
      </c>
      <c r="C713" s="62">
        <v>179</v>
      </c>
    </row>
    <row r="714" spans="1:3" x14ac:dyDescent="0.2">
      <c r="A714" s="62" t="s">
        <v>5580</v>
      </c>
      <c r="B714" s="48">
        <v>148</v>
      </c>
      <c r="C714" s="62">
        <v>148</v>
      </c>
    </row>
    <row r="715" spans="1:3" x14ac:dyDescent="0.2">
      <c r="A715" s="62" t="s">
        <v>5579</v>
      </c>
      <c r="B715" s="48">
        <v>148</v>
      </c>
      <c r="C715" s="62">
        <v>148</v>
      </c>
    </row>
    <row r="716" spans="1:3" x14ac:dyDescent="0.2">
      <c r="A716" s="62" t="s">
        <v>5578</v>
      </c>
      <c r="B716" s="48">
        <v>148</v>
      </c>
      <c r="C716" s="62">
        <v>148</v>
      </c>
    </row>
    <row r="717" spans="1:3" x14ac:dyDescent="0.2">
      <c r="A717" s="62" t="s">
        <v>5577</v>
      </c>
      <c r="B717" s="48">
        <v>148</v>
      </c>
      <c r="C717" s="62">
        <v>148</v>
      </c>
    </row>
    <row r="718" spans="1:3" x14ac:dyDescent="0.2">
      <c r="A718" s="62" t="s">
        <v>5576</v>
      </c>
      <c r="B718" s="48">
        <v>148</v>
      </c>
      <c r="C718" s="62">
        <v>148</v>
      </c>
    </row>
    <row r="719" spans="1:3" x14ac:dyDescent="0.2">
      <c r="A719" s="62" t="s">
        <v>5575</v>
      </c>
      <c r="B719" s="48">
        <v>148</v>
      </c>
      <c r="C719" s="62">
        <v>148</v>
      </c>
    </row>
    <row r="720" spans="1:3" x14ac:dyDescent="0.2">
      <c r="A720" s="62" t="s">
        <v>5574</v>
      </c>
      <c r="B720" s="48">
        <v>14</v>
      </c>
      <c r="C720" s="62">
        <v>14</v>
      </c>
    </row>
    <row r="721" spans="1:3" x14ac:dyDescent="0.2">
      <c r="A721" s="62" t="s">
        <v>5573</v>
      </c>
      <c r="B721" s="48">
        <v>14</v>
      </c>
      <c r="C721" s="62">
        <v>14</v>
      </c>
    </row>
    <row r="722" spans="1:3" x14ac:dyDescent="0.2">
      <c r="A722" s="62" t="s">
        <v>5572</v>
      </c>
      <c r="B722" s="48">
        <v>79</v>
      </c>
      <c r="C722" s="62">
        <v>79</v>
      </c>
    </row>
    <row r="723" spans="1:3" x14ac:dyDescent="0.2">
      <c r="A723" s="62" t="s">
        <v>5571</v>
      </c>
      <c r="B723" s="48">
        <v>141</v>
      </c>
      <c r="C723" s="62">
        <v>141</v>
      </c>
    </row>
    <row r="724" spans="1:3" x14ac:dyDescent="0.2">
      <c r="A724" s="62" t="s">
        <v>5570</v>
      </c>
      <c r="B724" s="48">
        <v>227</v>
      </c>
      <c r="C724" s="62">
        <v>227</v>
      </c>
    </row>
    <row r="725" spans="1:3" x14ac:dyDescent="0.2">
      <c r="A725" s="62" t="s">
        <v>5569</v>
      </c>
      <c r="B725" s="48">
        <v>2</v>
      </c>
      <c r="C725" s="62">
        <v>2</v>
      </c>
    </row>
    <row r="726" spans="1:3" x14ac:dyDescent="0.2">
      <c r="A726" s="62" t="s">
        <v>5567</v>
      </c>
      <c r="B726" s="48">
        <v>163</v>
      </c>
      <c r="C726" s="62">
        <v>163</v>
      </c>
    </row>
    <row r="727" spans="1:3" x14ac:dyDescent="0.2">
      <c r="A727" s="62" t="s">
        <v>5556</v>
      </c>
      <c r="B727" s="48">
        <v>63</v>
      </c>
      <c r="C727" s="62">
        <v>63</v>
      </c>
    </row>
    <row r="728" spans="1:3" x14ac:dyDescent="0.2">
      <c r="A728" s="62" t="s">
        <v>5555</v>
      </c>
      <c r="B728" s="48">
        <v>15</v>
      </c>
      <c r="C728" s="62">
        <v>15</v>
      </c>
    </row>
    <row r="729" spans="1:3" x14ac:dyDescent="0.2">
      <c r="A729" s="62" t="s">
        <v>5554</v>
      </c>
      <c r="B729" s="48">
        <v>75</v>
      </c>
      <c r="C729" s="62">
        <v>75</v>
      </c>
    </row>
    <row r="730" spans="1:3" x14ac:dyDescent="0.2">
      <c r="A730" s="62" t="s">
        <v>5553</v>
      </c>
      <c r="B730" s="48">
        <v>148</v>
      </c>
      <c r="C730" s="62">
        <v>148</v>
      </c>
    </row>
    <row r="731" spans="1:3" x14ac:dyDescent="0.2">
      <c r="A731" s="62" t="s">
        <v>5552</v>
      </c>
      <c r="B731" s="48">
        <v>148</v>
      </c>
      <c r="C731" s="62">
        <v>148</v>
      </c>
    </row>
    <row r="732" spans="1:3" x14ac:dyDescent="0.2">
      <c r="A732" s="62" t="s">
        <v>5551</v>
      </c>
      <c r="B732" s="48">
        <v>148</v>
      </c>
      <c r="C732" s="62">
        <v>148</v>
      </c>
    </row>
    <row r="733" spans="1:3" x14ac:dyDescent="0.2">
      <c r="A733" s="62" t="s">
        <v>5550</v>
      </c>
      <c r="B733" s="48">
        <v>2</v>
      </c>
      <c r="C733" s="62">
        <v>2</v>
      </c>
    </row>
    <row r="734" spans="1:3" x14ac:dyDescent="0.2">
      <c r="A734" s="62" t="s">
        <v>5549</v>
      </c>
      <c r="B734" s="48">
        <v>14</v>
      </c>
      <c r="C734" s="62">
        <v>14</v>
      </c>
    </row>
    <row r="735" spans="1:3" x14ac:dyDescent="0.2">
      <c r="A735" s="62" t="s">
        <v>5548</v>
      </c>
      <c r="B735" s="48">
        <v>15</v>
      </c>
      <c r="C735" s="62">
        <v>15</v>
      </c>
    </row>
    <row r="736" spans="1:3" x14ac:dyDescent="0.2">
      <c r="A736" s="62" t="s">
        <v>5547</v>
      </c>
      <c r="B736" s="48">
        <v>1</v>
      </c>
      <c r="C736" s="62">
        <v>1</v>
      </c>
    </row>
    <row r="737" spans="1:3" x14ac:dyDescent="0.2">
      <c r="A737" s="62" t="s">
        <v>5546</v>
      </c>
      <c r="B737" s="48">
        <v>4</v>
      </c>
      <c r="C737" s="62">
        <v>4</v>
      </c>
    </row>
    <row r="738" spans="1:3" x14ac:dyDescent="0.2">
      <c r="A738" s="62" t="s">
        <v>5545</v>
      </c>
      <c r="B738" s="48">
        <v>5</v>
      </c>
      <c r="C738" s="62">
        <v>5</v>
      </c>
    </row>
    <row r="739" spans="1:3" x14ac:dyDescent="0.2">
      <c r="A739" s="62" t="s">
        <v>5544</v>
      </c>
      <c r="B739" s="48">
        <v>19</v>
      </c>
      <c r="C739" s="62">
        <v>19</v>
      </c>
    </row>
    <row r="740" spans="1:3" x14ac:dyDescent="0.2">
      <c r="A740" s="62" t="s">
        <v>5543</v>
      </c>
      <c r="B740" s="48">
        <v>19</v>
      </c>
      <c r="C740" s="62">
        <v>19</v>
      </c>
    </row>
    <row r="741" spans="1:3" x14ac:dyDescent="0.2">
      <c r="A741" s="62" t="s">
        <v>5542</v>
      </c>
      <c r="B741" s="48">
        <v>19</v>
      </c>
      <c r="C741" s="62">
        <v>19</v>
      </c>
    </row>
    <row r="742" spans="1:3" x14ac:dyDescent="0.2">
      <c r="A742" s="62" t="s">
        <v>5541</v>
      </c>
      <c r="B742" s="48">
        <v>19</v>
      </c>
      <c r="C742" s="62">
        <v>19</v>
      </c>
    </row>
    <row r="743" spans="1:3" x14ac:dyDescent="0.2">
      <c r="A743" s="62" t="s">
        <v>5540</v>
      </c>
      <c r="B743" s="48">
        <v>19</v>
      </c>
      <c r="C743" s="62">
        <v>19</v>
      </c>
    </row>
    <row r="744" spans="1:3" x14ac:dyDescent="0.2">
      <c r="A744" s="62" t="s">
        <v>5539</v>
      </c>
      <c r="B744" s="48">
        <v>15</v>
      </c>
      <c r="C744" s="62">
        <v>15</v>
      </c>
    </row>
    <row r="745" spans="1:3" x14ac:dyDescent="0.2">
      <c r="A745" s="62" t="s">
        <v>5538</v>
      </c>
      <c r="B745" s="48">
        <v>198</v>
      </c>
      <c r="C745" s="62">
        <v>198</v>
      </c>
    </row>
    <row r="746" spans="1:3" x14ac:dyDescent="0.2">
      <c r="A746" s="62" t="s">
        <v>5537</v>
      </c>
      <c r="B746" s="48">
        <v>14</v>
      </c>
      <c r="C746" s="62">
        <v>14</v>
      </c>
    </row>
    <row r="747" spans="1:3" x14ac:dyDescent="0.2">
      <c r="A747" s="62" t="s">
        <v>5536</v>
      </c>
      <c r="B747" s="48">
        <v>14</v>
      </c>
      <c r="C747" s="62">
        <v>14</v>
      </c>
    </row>
    <row r="748" spans="1:3" x14ac:dyDescent="0.2">
      <c r="A748" s="62" t="s">
        <v>5535</v>
      </c>
      <c r="B748" s="48">
        <v>15</v>
      </c>
      <c r="C748" s="62">
        <v>15</v>
      </c>
    </row>
    <row r="749" spans="1:3" x14ac:dyDescent="0.2">
      <c r="A749" s="62" t="s">
        <v>5534</v>
      </c>
      <c r="B749" s="48">
        <v>192</v>
      </c>
      <c r="C749" s="62">
        <v>192</v>
      </c>
    </row>
    <row r="750" spans="1:3" x14ac:dyDescent="0.2">
      <c r="A750" s="62" t="s">
        <v>5532</v>
      </c>
      <c r="B750" s="48">
        <v>52</v>
      </c>
      <c r="C750" s="62">
        <v>52</v>
      </c>
    </row>
    <row r="751" spans="1:3" x14ac:dyDescent="0.2">
      <c r="A751" s="62" t="s">
        <v>5531</v>
      </c>
      <c r="B751" s="48">
        <v>14</v>
      </c>
      <c r="C751" s="62">
        <v>14</v>
      </c>
    </row>
    <row r="752" spans="1:3" x14ac:dyDescent="0.2">
      <c r="A752" s="62" t="s">
        <v>5530</v>
      </c>
      <c r="B752" s="48">
        <v>14</v>
      </c>
      <c r="C752" s="62">
        <v>14</v>
      </c>
    </row>
    <row r="753" spans="1:3" x14ac:dyDescent="0.2">
      <c r="A753" s="62" t="s">
        <v>5527</v>
      </c>
      <c r="B753" s="48">
        <v>2</v>
      </c>
      <c r="C753" s="62">
        <v>2</v>
      </c>
    </row>
    <row r="754" spans="1:3" x14ac:dyDescent="0.2">
      <c r="A754" s="62" t="s">
        <v>5526</v>
      </c>
      <c r="B754" s="48">
        <v>33</v>
      </c>
      <c r="C754" s="62">
        <v>33</v>
      </c>
    </row>
    <row r="755" spans="1:3" x14ac:dyDescent="0.2">
      <c r="A755" s="62" t="s">
        <v>5525</v>
      </c>
      <c r="B755" s="48">
        <v>33</v>
      </c>
      <c r="C755" s="62">
        <v>33</v>
      </c>
    </row>
    <row r="756" spans="1:3" x14ac:dyDescent="0.2">
      <c r="A756" s="62" t="s">
        <v>5524</v>
      </c>
      <c r="B756" s="48">
        <v>15</v>
      </c>
      <c r="C756" s="62">
        <v>15</v>
      </c>
    </row>
    <row r="757" spans="1:3" x14ac:dyDescent="0.2">
      <c r="A757" s="62" t="s">
        <v>5523</v>
      </c>
      <c r="B757" s="48">
        <v>15</v>
      </c>
      <c r="C757" s="62">
        <v>15</v>
      </c>
    </row>
    <row r="758" spans="1:3" x14ac:dyDescent="0.2">
      <c r="A758" s="62" t="s">
        <v>5522</v>
      </c>
      <c r="B758" s="48">
        <v>2</v>
      </c>
      <c r="C758" s="62">
        <v>2</v>
      </c>
    </row>
    <row r="759" spans="1:3" x14ac:dyDescent="0.2">
      <c r="A759" s="62" t="s">
        <v>5521</v>
      </c>
      <c r="B759" s="48">
        <v>15</v>
      </c>
      <c r="C759" s="62">
        <v>15</v>
      </c>
    </row>
    <row r="760" spans="1:3" x14ac:dyDescent="0.2">
      <c r="A760" s="62" t="s">
        <v>5520</v>
      </c>
      <c r="B760" s="48">
        <v>4</v>
      </c>
      <c r="C760" s="62">
        <v>4</v>
      </c>
    </row>
    <row r="761" spans="1:3" x14ac:dyDescent="0.2">
      <c r="A761" s="62" t="s">
        <v>5519</v>
      </c>
      <c r="B761" s="48">
        <v>19</v>
      </c>
      <c r="C761" s="62">
        <v>19</v>
      </c>
    </row>
    <row r="762" spans="1:3" x14ac:dyDescent="0.2">
      <c r="A762" s="62" t="s">
        <v>5518</v>
      </c>
      <c r="B762" s="48">
        <v>15</v>
      </c>
      <c r="C762" s="62">
        <v>15</v>
      </c>
    </row>
    <row r="763" spans="1:3" x14ac:dyDescent="0.2">
      <c r="A763" s="62" t="s">
        <v>5517</v>
      </c>
      <c r="B763" s="48">
        <v>88</v>
      </c>
      <c r="C763" s="62">
        <v>88</v>
      </c>
    </row>
    <row r="764" spans="1:3" x14ac:dyDescent="0.2">
      <c r="A764" s="62" t="s">
        <v>5516</v>
      </c>
      <c r="B764" s="48">
        <v>141</v>
      </c>
      <c r="C764" s="62">
        <v>141</v>
      </c>
    </row>
    <row r="765" spans="1:3" x14ac:dyDescent="0.2">
      <c r="A765" s="62" t="s">
        <v>5515</v>
      </c>
      <c r="B765" s="48">
        <v>80</v>
      </c>
      <c r="C765" s="62">
        <v>80</v>
      </c>
    </row>
    <row r="766" spans="1:3" x14ac:dyDescent="0.2">
      <c r="A766" s="62" t="s">
        <v>5514</v>
      </c>
      <c r="B766" s="48">
        <v>148</v>
      </c>
      <c r="C766" s="62">
        <v>148</v>
      </c>
    </row>
    <row r="767" spans="1:3" x14ac:dyDescent="0.2">
      <c r="A767" s="62" t="s">
        <v>5513</v>
      </c>
      <c r="B767" s="48">
        <v>148</v>
      </c>
      <c r="C767" s="62">
        <v>148</v>
      </c>
    </row>
    <row r="768" spans="1:3" x14ac:dyDescent="0.2">
      <c r="A768" s="62" t="s">
        <v>5512</v>
      </c>
      <c r="B768" s="48">
        <v>2</v>
      </c>
      <c r="C768" s="62">
        <v>2</v>
      </c>
    </row>
    <row r="769" spans="1:3" x14ac:dyDescent="0.2">
      <c r="A769" s="62" t="s">
        <v>5511</v>
      </c>
      <c r="B769" s="48">
        <v>148</v>
      </c>
      <c r="C769" s="62">
        <v>148</v>
      </c>
    </row>
    <row r="770" spans="1:3" x14ac:dyDescent="0.2">
      <c r="A770" s="62" t="s">
        <v>5510</v>
      </c>
      <c r="B770" s="48">
        <v>190</v>
      </c>
      <c r="C770" s="62">
        <v>190</v>
      </c>
    </row>
    <row r="771" spans="1:3" x14ac:dyDescent="0.2">
      <c r="A771" s="62" t="s">
        <v>5509</v>
      </c>
      <c r="B771" s="48">
        <v>14</v>
      </c>
      <c r="C771" s="62">
        <v>14</v>
      </c>
    </row>
    <row r="772" spans="1:3" x14ac:dyDescent="0.2">
      <c r="A772" s="62" t="s">
        <v>5508</v>
      </c>
      <c r="B772" s="48">
        <v>14</v>
      </c>
      <c r="C772" s="62">
        <v>14</v>
      </c>
    </row>
    <row r="773" spans="1:3" x14ac:dyDescent="0.2">
      <c r="A773" s="62" t="s">
        <v>5507</v>
      </c>
      <c r="B773" s="48">
        <v>2</v>
      </c>
      <c r="C773" s="62">
        <v>2</v>
      </c>
    </row>
    <row r="774" spans="1:3" x14ac:dyDescent="0.2">
      <c r="A774" s="62" t="s">
        <v>5506</v>
      </c>
      <c r="B774" s="48">
        <v>2</v>
      </c>
      <c r="C774" s="62">
        <v>2</v>
      </c>
    </row>
    <row r="775" spans="1:3" x14ac:dyDescent="0.2">
      <c r="A775" s="62" t="s">
        <v>5505</v>
      </c>
      <c r="B775" s="48">
        <v>152</v>
      </c>
      <c r="C775" s="62">
        <v>152</v>
      </c>
    </row>
    <row r="776" spans="1:3" x14ac:dyDescent="0.2">
      <c r="A776" s="62" t="s">
        <v>5504</v>
      </c>
      <c r="B776" s="48">
        <v>160</v>
      </c>
      <c r="C776" s="62">
        <v>160</v>
      </c>
    </row>
    <row r="777" spans="1:3" x14ac:dyDescent="0.2">
      <c r="A777" s="62" t="s">
        <v>5503</v>
      </c>
      <c r="B777" s="48">
        <v>86</v>
      </c>
      <c r="C777" s="62">
        <v>86</v>
      </c>
    </row>
    <row r="778" spans="1:3" x14ac:dyDescent="0.2">
      <c r="A778" s="62" t="s">
        <v>5502</v>
      </c>
      <c r="B778" s="48">
        <v>9</v>
      </c>
      <c r="C778" s="62">
        <v>9</v>
      </c>
    </row>
    <row r="779" spans="1:3" x14ac:dyDescent="0.2">
      <c r="A779" s="62" t="s">
        <v>5501</v>
      </c>
      <c r="B779" s="48">
        <v>15</v>
      </c>
      <c r="C779" s="62">
        <v>15</v>
      </c>
    </row>
    <row r="780" spans="1:3" x14ac:dyDescent="0.2">
      <c r="A780" s="62" t="s">
        <v>5500</v>
      </c>
      <c r="B780" s="48">
        <v>60</v>
      </c>
      <c r="C780" s="62">
        <v>60</v>
      </c>
    </row>
    <row r="781" spans="1:3" x14ac:dyDescent="0.2">
      <c r="A781" s="62" t="s">
        <v>5499</v>
      </c>
      <c r="B781" s="48">
        <v>7</v>
      </c>
      <c r="C781" s="62">
        <v>7</v>
      </c>
    </row>
    <row r="782" spans="1:3" x14ac:dyDescent="0.2">
      <c r="A782" s="62" t="s">
        <v>5498</v>
      </c>
      <c r="B782" s="48">
        <v>60</v>
      </c>
      <c r="C782" s="62">
        <v>60</v>
      </c>
    </row>
    <row r="783" spans="1:3" x14ac:dyDescent="0.2">
      <c r="A783" s="62" t="s">
        <v>5497</v>
      </c>
      <c r="B783" s="48">
        <v>20</v>
      </c>
      <c r="C783" s="62">
        <v>20</v>
      </c>
    </row>
    <row r="784" spans="1:3" x14ac:dyDescent="0.2">
      <c r="A784" s="62" t="s">
        <v>5496</v>
      </c>
      <c r="B784" s="48">
        <v>20</v>
      </c>
      <c r="C784" s="62">
        <v>20</v>
      </c>
    </row>
    <row r="785" spans="1:3" x14ac:dyDescent="0.2">
      <c r="A785" s="62" t="s">
        <v>5494</v>
      </c>
      <c r="B785" s="48">
        <v>1</v>
      </c>
      <c r="C785" s="62">
        <v>1</v>
      </c>
    </row>
    <row r="786" spans="1:3" x14ac:dyDescent="0.2">
      <c r="A786" s="62" t="s">
        <v>5493</v>
      </c>
      <c r="B786" s="48">
        <v>12</v>
      </c>
      <c r="C786" s="62">
        <v>12</v>
      </c>
    </row>
    <row r="787" spans="1:3" x14ac:dyDescent="0.2">
      <c r="A787" s="62" t="s">
        <v>5492</v>
      </c>
      <c r="B787" s="48">
        <v>14</v>
      </c>
      <c r="C787" s="62">
        <v>14</v>
      </c>
    </row>
    <row r="788" spans="1:3" x14ac:dyDescent="0.2">
      <c r="A788" s="62" t="s">
        <v>5491</v>
      </c>
      <c r="B788" s="48">
        <v>15</v>
      </c>
      <c r="C788" s="62">
        <v>15</v>
      </c>
    </row>
    <row r="789" spans="1:3" x14ac:dyDescent="0.2">
      <c r="A789" s="62" t="s">
        <v>5490</v>
      </c>
      <c r="B789" s="48">
        <v>15</v>
      </c>
      <c r="C789" s="62">
        <v>15</v>
      </c>
    </row>
    <row r="790" spans="1:3" x14ac:dyDescent="0.2">
      <c r="A790" s="62" t="s">
        <v>5489</v>
      </c>
      <c r="B790" s="48">
        <v>198</v>
      </c>
      <c r="C790" s="62">
        <v>198</v>
      </c>
    </row>
    <row r="791" spans="1:3" x14ac:dyDescent="0.2">
      <c r="A791" s="62" t="s">
        <v>5488</v>
      </c>
      <c r="B791" s="48">
        <v>45</v>
      </c>
      <c r="C791" s="62">
        <v>45</v>
      </c>
    </row>
    <row r="792" spans="1:3" x14ac:dyDescent="0.2">
      <c r="A792" s="62" t="s">
        <v>5487</v>
      </c>
      <c r="B792" s="48">
        <v>2</v>
      </c>
      <c r="C792" s="62">
        <v>2</v>
      </c>
    </row>
    <row r="793" spans="1:3" x14ac:dyDescent="0.2">
      <c r="A793" s="62" t="s">
        <v>5486</v>
      </c>
      <c r="B793" s="48">
        <v>2</v>
      </c>
      <c r="C793" s="62">
        <v>2</v>
      </c>
    </row>
    <row r="794" spans="1:3" x14ac:dyDescent="0.2">
      <c r="A794" s="62" t="s">
        <v>5485</v>
      </c>
      <c r="B794" s="48">
        <v>9</v>
      </c>
      <c r="C794" s="62">
        <v>9</v>
      </c>
    </row>
    <row r="795" spans="1:3" x14ac:dyDescent="0.2">
      <c r="A795" s="62" t="s">
        <v>5482</v>
      </c>
      <c r="B795" s="48">
        <v>86</v>
      </c>
      <c r="C795" s="62">
        <v>86</v>
      </c>
    </row>
    <row r="796" spans="1:3" x14ac:dyDescent="0.2">
      <c r="A796" s="62" t="s">
        <v>5481</v>
      </c>
      <c r="B796" s="48">
        <v>19</v>
      </c>
      <c r="C796" s="62">
        <v>19</v>
      </c>
    </row>
    <row r="797" spans="1:3" x14ac:dyDescent="0.2">
      <c r="A797" s="62" t="s">
        <v>5480</v>
      </c>
      <c r="B797" s="48">
        <v>19</v>
      </c>
      <c r="C797" s="62">
        <v>19</v>
      </c>
    </row>
    <row r="798" spans="1:3" x14ac:dyDescent="0.2">
      <c r="A798" s="62" t="s">
        <v>5479</v>
      </c>
      <c r="B798" s="48">
        <v>19</v>
      </c>
      <c r="C798" s="62">
        <v>19</v>
      </c>
    </row>
    <row r="799" spans="1:3" x14ac:dyDescent="0.2">
      <c r="A799" s="62" t="s">
        <v>5478</v>
      </c>
      <c r="B799" s="48">
        <v>15</v>
      </c>
      <c r="C799" s="62">
        <v>15</v>
      </c>
    </row>
    <row r="800" spans="1:3" x14ac:dyDescent="0.2">
      <c r="A800" s="62" t="s">
        <v>5477</v>
      </c>
      <c r="B800" s="48">
        <v>56</v>
      </c>
      <c r="C800" s="62">
        <v>56</v>
      </c>
    </row>
    <row r="801" spans="1:3" x14ac:dyDescent="0.2">
      <c r="A801" s="62" t="s">
        <v>5476</v>
      </c>
      <c r="B801" s="48">
        <v>56</v>
      </c>
      <c r="C801" s="62">
        <v>56</v>
      </c>
    </row>
    <row r="802" spans="1:3" x14ac:dyDescent="0.2">
      <c r="A802" s="62" t="s">
        <v>5475</v>
      </c>
      <c r="B802" s="48">
        <v>88</v>
      </c>
      <c r="C802" s="62">
        <v>88</v>
      </c>
    </row>
    <row r="803" spans="1:3" x14ac:dyDescent="0.2">
      <c r="A803" s="62" t="s">
        <v>5474</v>
      </c>
      <c r="B803" s="48">
        <v>11</v>
      </c>
      <c r="C803" s="62">
        <v>11</v>
      </c>
    </row>
    <row r="804" spans="1:3" x14ac:dyDescent="0.2">
      <c r="A804" s="62" t="s">
        <v>5473</v>
      </c>
      <c r="B804" s="48">
        <v>72</v>
      </c>
      <c r="C804" s="62">
        <v>72</v>
      </c>
    </row>
    <row r="805" spans="1:3" x14ac:dyDescent="0.2">
      <c r="A805" s="62" t="s">
        <v>5472</v>
      </c>
      <c r="B805" s="48">
        <v>15</v>
      </c>
      <c r="C805" s="62">
        <v>15</v>
      </c>
    </row>
    <row r="806" spans="1:3" x14ac:dyDescent="0.2">
      <c r="A806" s="62" t="s">
        <v>5471</v>
      </c>
      <c r="B806" s="48">
        <v>15</v>
      </c>
      <c r="C806" s="62">
        <v>15</v>
      </c>
    </row>
    <row r="807" spans="1:3" x14ac:dyDescent="0.2">
      <c r="A807" s="62" t="s">
        <v>5470</v>
      </c>
      <c r="B807" s="48">
        <v>61</v>
      </c>
      <c r="C807" s="62">
        <v>61</v>
      </c>
    </row>
    <row r="808" spans="1:3" x14ac:dyDescent="0.2">
      <c r="A808" s="62" t="s">
        <v>5469</v>
      </c>
      <c r="B808" s="48">
        <v>61</v>
      </c>
      <c r="C808" s="62">
        <v>61</v>
      </c>
    </row>
    <row r="809" spans="1:3" x14ac:dyDescent="0.2">
      <c r="A809" s="62" t="s">
        <v>5468</v>
      </c>
      <c r="B809" s="48">
        <v>61</v>
      </c>
      <c r="C809" s="62">
        <v>61</v>
      </c>
    </row>
    <row r="810" spans="1:3" x14ac:dyDescent="0.2">
      <c r="A810" s="62" t="s">
        <v>5467</v>
      </c>
      <c r="B810" s="48">
        <v>61</v>
      </c>
      <c r="C810" s="62">
        <v>61</v>
      </c>
    </row>
    <row r="811" spans="1:3" x14ac:dyDescent="0.2">
      <c r="A811" s="62" t="s">
        <v>5466</v>
      </c>
      <c r="B811" s="48">
        <v>61</v>
      </c>
      <c r="C811" s="62">
        <v>61</v>
      </c>
    </row>
    <row r="812" spans="1:3" x14ac:dyDescent="0.2">
      <c r="A812" s="62" t="s">
        <v>5465</v>
      </c>
      <c r="B812" s="48">
        <v>2</v>
      </c>
      <c r="C812" s="62">
        <v>2</v>
      </c>
    </row>
    <row r="813" spans="1:3" x14ac:dyDescent="0.2">
      <c r="A813" s="62" t="s">
        <v>5464</v>
      </c>
      <c r="B813" s="48">
        <v>61</v>
      </c>
      <c r="C813" s="62">
        <v>61</v>
      </c>
    </row>
    <row r="814" spans="1:3" x14ac:dyDescent="0.2">
      <c r="A814" s="62" t="s">
        <v>5463</v>
      </c>
      <c r="B814" s="48">
        <v>5</v>
      </c>
      <c r="C814" s="62">
        <v>5</v>
      </c>
    </row>
    <row r="815" spans="1:3" x14ac:dyDescent="0.2">
      <c r="A815" s="62" t="s">
        <v>5462</v>
      </c>
      <c r="B815" s="48">
        <v>19</v>
      </c>
      <c r="C815" s="62">
        <v>19</v>
      </c>
    </row>
    <row r="816" spans="1:3" x14ac:dyDescent="0.2">
      <c r="A816" s="62" t="s">
        <v>5460</v>
      </c>
      <c r="B816" s="48">
        <v>70</v>
      </c>
      <c r="C816" s="62">
        <v>70</v>
      </c>
    </row>
    <row r="817" spans="1:3" x14ac:dyDescent="0.2">
      <c r="A817" s="62" t="s">
        <v>5459</v>
      </c>
      <c r="B817" s="48">
        <v>70</v>
      </c>
      <c r="C817" s="62">
        <v>70</v>
      </c>
    </row>
    <row r="818" spans="1:3" x14ac:dyDescent="0.2">
      <c r="A818" s="62" t="s">
        <v>5458</v>
      </c>
      <c r="B818" s="48">
        <v>205</v>
      </c>
      <c r="C818" s="62">
        <v>205</v>
      </c>
    </row>
    <row r="819" spans="1:3" x14ac:dyDescent="0.2">
      <c r="A819" s="62" t="s">
        <v>5457</v>
      </c>
      <c r="B819" s="48">
        <v>4</v>
      </c>
      <c r="C819" s="62">
        <v>4</v>
      </c>
    </row>
    <row r="820" spans="1:3" x14ac:dyDescent="0.2">
      <c r="A820" s="62" t="s">
        <v>5456</v>
      </c>
      <c r="B820" s="48">
        <v>14</v>
      </c>
      <c r="C820" s="62">
        <v>14</v>
      </c>
    </row>
    <row r="821" spans="1:3" x14ac:dyDescent="0.2">
      <c r="A821" s="62" t="s">
        <v>5455</v>
      </c>
      <c r="B821" s="48">
        <v>17</v>
      </c>
      <c r="C821" s="62">
        <v>17</v>
      </c>
    </row>
    <row r="822" spans="1:3" x14ac:dyDescent="0.2">
      <c r="A822" s="62" t="s">
        <v>5454</v>
      </c>
      <c r="B822" s="48">
        <v>74</v>
      </c>
      <c r="C822" s="62">
        <v>74</v>
      </c>
    </row>
    <row r="823" spans="1:3" x14ac:dyDescent="0.2">
      <c r="A823" s="62" t="s">
        <v>5453</v>
      </c>
      <c r="B823" s="48">
        <v>2</v>
      </c>
      <c r="C823" s="62">
        <v>2</v>
      </c>
    </row>
    <row r="824" spans="1:3" x14ac:dyDescent="0.2">
      <c r="A824" s="62" t="s">
        <v>5452</v>
      </c>
      <c r="B824" s="48">
        <v>15</v>
      </c>
      <c r="C824" s="62">
        <v>15</v>
      </c>
    </row>
    <row r="825" spans="1:3" x14ac:dyDescent="0.2">
      <c r="A825" s="62" t="s">
        <v>5451</v>
      </c>
      <c r="B825" s="48">
        <v>14</v>
      </c>
      <c r="C825" s="62">
        <v>14</v>
      </c>
    </row>
    <row r="826" spans="1:3" x14ac:dyDescent="0.2">
      <c r="A826" s="62" t="s">
        <v>5450</v>
      </c>
      <c r="B826" s="48">
        <v>14</v>
      </c>
      <c r="C826" s="62">
        <v>14</v>
      </c>
    </row>
    <row r="827" spans="1:3" x14ac:dyDescent="0.2">
      <c r="A827" s="62" t="s">
        <v>5449</v>
      </c>
      <c r="B827" s="48">
        <v>14</v>
      </c>
      <c r="C827" s="62">
        <v>14</v>
      </c>
    </row>
    <row r="828" spans="1:3" x14ac:dyDescent="0.2">
      <c r="A828" s="62" t="s">
        <v>5448</v>
      </c>
      <c r="B828" s="48">
        <v>14</v>
      </c>
      <c r="C828" s="62">
        <v>14</v>
      </c>
    </row>
    <row r="829" spans="1:3" x14ac:dyDescent="0.2">
      <c r="A829" s="62" t="s">
        <v>5447</v>
      </c>
      <c r="B829" s="48">
        <v>14</v>
      </c>
      <c r="C829" s="62">
        <v>14</v>
      </c>
    </row>
    <row r="830" spans="1:3" x14ac:dyDescent="0.2">
      <c r="A830" s="62" t="s">
        <v>5446</v>
      </c>
      <c r="B830" s="48">
        <v>15</v>
      </c>
      <c r="C830" s="62">
        <v>15</v>
      </c>
    </row>
    <row r="831" spans="1:3" x14ac:dyDescent="0.2">
      <c r="A831" s="62" t="s">
        <v>5445</v>
      </c>
      <c r="B831" s="48">
        <v>15</v>
      </c>
      <c r="C831" s="62">
        <v>15</v>
      </c>
    </row>
    <row r="832" spans="1:3" x14ac:dyDescent="0.2">
      <c r="A832" s="62" t="s">
        <v>5444</v>
      </c>
      <c r="B832" s="48">
        <v>5</v>
      </c>
      <c r="C832" s="62">
        <v>5</v>
      </c>
    </row>
    <row r="833" spans="1:3" x14ac:dyDescent="0.2">
      <c r="A833" s="62" t="s">
        <v>5443</v>
      </c>
      <c r="B833" s="48">
        <v>14</v>
      </c>
      <c r="C833" s="62">
        <v>14</v>
      </c>
    </row>
    <row r="834" spans="1:3" x14ac:dyDescent="0.2">
      <c r="A834" s="62" t="s">
        <v>5442</v>
      </c>
      <c r="B834" s="48">
        <v>14</v>
      </c>
      <c r="C834" s="62">
        <v>14</v>
      </c>
    </row>
    <row r="835" spans="1:3" x14ac:dyDescent="0.2">
      <c r="A835" s="62" t="s">
        <v>5441</v>
      </c>
      <c r="B835" s="48">
        <v>2</v>
      </c>
      <c r="C835" s="62">
        <v>2</v>
      </c>
    </row>
    <row r="836" spans="1:3" x14ac:dyDescent="0.2">
      <c r="A836" s="62" t="s">
        <v>5440</v>
      </c>
      <c r="B836" s="48">
        <v>14</v>
      </c>
      <c r="C836" s="62">
        <v>14</v>
      </c>
    </row>
    <row r="837" spans="1:3" x14ac:dyDescent="0.2">
      <c r="A837" s="62" t="s">
        <v>5439</v>
      </c>
      <c r="B837" s="48">
        <v>14</v>
      </c>
      <c r="C837" s="62">
        <v>14</v>
      </c>
    </row>
    <row r="838" spans="1:3" x14ac:dyDescent="0.2">
      <c r="A838" s="62" t="s">
        <v>5438</v>
      </c>
      <c r="B838" s="48">
        <v>14</v>
      </c>
      <c r="C838" s="62">
        <v>14</v>
      </c>
    </row>
    <row r="839" spans="1:3" x14ac:dyDescent="0.2">
      <c r="A839" s="62" t="s">
        <v>5437</v>
      </c>
      <c r="B839" s="48">
        <v>15</v>
      </c>
      <c r="C839" s="62">
        <v>15</v>
      </c>
    </row>
    <row r="840" spans="1:3" x14ac:dyDescent="0.2">
      <c r="A840" s="62" t="s">
        <v>5436</v>
      </c>
      <c r="B840" s="48">
        <v>15</v>
      </c>
      <c r="C840" s="62">
        <v>15</v>
      </c>
    </row>
    <row r="841" spans="1:3" x14ac:dyDescent="0.2">
      <c r="A841" s="62" t="s">
        <v>5435</v>
      </c>
      <c r="B841" s="48">
        <v>15</v>
      </c>
      <c r="C841" s="62">
        <v>15</v>
      </c>
    </row>
    <row r="842" spans="1:3" x14ac:dyDescent="0.2">
      <c r="A842" s="62" t="s">
        <v>5434</v>
      </c>
      <c r="B842" s="48">
        <v>15</v>
      </c>
      <c r="C842" s="62">
        <v>15</v>
      </c>
    </row>
    <row r="843" spans="1:3" x14ac:dyDescent="0.2">
      <c r="A843" s="62" t="s">
        <v>5433</v>
      </c>
      <c r="B843" s="48">
        <v>15</v>
      </c>
      <c r="C843" s="62">
        <v>15</v>
      </c>
    </row>
    <row r="844" spans="1:3" x14ac:dyDescent="0.2">
      <c r="A844" s="62" t="s">
        <v>5432</v>
      </c>
      <c r="B844" s="48">
        <v>15</v>
      </c>
      <c r="C844" s="62">
        <v>15</v>
      </c>
    </row>
    <row r="845" spans="1:3" x14ac:dyDescent="0.2">
      <c r="A845" s="62" t="s">
        <v>5431</v>
      </c>
      <c r="B845" s="48">
        <v>58</v>
      </c>
      <c r="C845" s="62">
        <v>58</v>
      </c>
    </row>
    <row r="846" spans="1:3" x14ac:dyDescent="0.2">
      <c r="A846" s="62" t="s">
        <v>5430</v>
      </c>
      <c r="B846" s="48">
        <v>14</v>
      </c>
      <c r="C846" s="62">
        <v>14</v>
      </c>
    </row>
    <row r="847" spans="1:3" x14ac:dyDescent="0.2">
      <c r="A847" s="62" t="s">
        <v>5429</v>
      </c>
      <c r="B847" s="48">
        <v>2</v>
      </c>
      <c r="C847" s="62">
        <v>2</v>
      </c>
    </row>
    <row r="848" spans="1:3" x14ac:dyDescent="0.2">
      <c r="A848" s="62" t="s">
        <v>5428</v>
      </c>
      <c r="B848" s="48">
        <v>19</v>
      </c>
      <c r="C848" s="62">
        <v>19</v>
      </c>
    </row>
    <row r="849" spans="1:3" x14ac:dyDescent="0.2">
      <c r="A849" s="62" t="s">
        <v>5427</v>
      </c>
      <c r="B849" s="48">
        <v>19</v>
      </c>
      <c r="C849" s="62">
        <v>19</v>
      </c>
    </row>
    <row r="850" spans="1:3" x14ac:dyDescent="0.2">
      <c r="A850" s="62" t="s">
        <v>5426</v>
      </c>
      <c r="B850" s="48">
        <v>19</v>
      </c>
      <c r="C850" s="62">
        <v>19</v>
      </c>
    </row>
    <row r="851" spans="1:3" x14ac:dyDescent="0.2">
      <c r="A851" s="62" t="s">
        <v>5425</v>
      </c>
      <c r="B851" s="48">
        <v>148</v>
      </c>
      <c r="C851" s="62">
        <v>148</v>
      </c>
    </row>
    <row r="852" spans="1:3" x14ac:dyDescent="0.2">
      <c r="A852" s="62" t="s">
        <v>5424</v>
      </c>
      <c r="B852" s="48">
        <v>55</v>
      </c>
      <c r="C852" s="62">
        <v>55</v>
      </c>
    </row>
    <row r="853" spans="1:3" x14ac:dyDescent="0.2">
      <c r="A853" s="62" t="s">
        <v>5423</v>
      </c>
      <c r="B853" s="48">
        <v>148</v>
      </c>
      <c r="C853" s="62">
        <v>148</v>
      </c>
    </row>
    <row r="854" spans="1:3" x14ac:dyDescent="0.2">
      <c r="A854" s="62" t="s">
        <v>5422</v>
      </c>
      <c r="B854" s="48">
        <v>2</v>
      </c>
      <c r="C854" s="62">
        <v>2</v>
      </c>
    </row>
    <row r="855" spans="1:3" x14ac:dyDescent="0.2">
      <c r="A855" s="62" t="s">
        <v>5421</v>
      </c>
      <c r="B855" s="48">
        <v>15</v>
      </c>
      <c r="C855" s="62">
        <v>15</v>
      </c>
    </row>
    <row r="856" spans="1:3" x14ac:dyDescent="0.2">
      <c r="A856" s="62" t="s">
        <v>5420</v>
      </c>
      <c r="B856" s="48">
        <v>15</v>
      </c>
      <c r="C856" s="62">
        <v>15</v>
      </c>
    </row>
    <row r="857" spans="1:3" x14ac:dyDescent="0.2">
      <c r="A857" s="62" t="s">
        <v>5419</v>
      </c>
      <c r="B857" s="48">
        <v>15</v>
      </c>
      <c r="C857" s="62">
        <v>15</v>
      </c>
    </row>
    <row r="858" spans="1:3" x14ac:dyDescent="0.2">
      <c r="A858" s="62" t="s">
        <v>5418</v>
      </c>
      <c r="B858" s="48">
        <v>2</v>
      </c>
      <c r="C858" s="62">
        <v>2</v>
      </c>
    </row>
    <row r="859" spans="1:3" x14ac:dyDescent="0.2">
      <c r="A859" s="62" t="s">
        <v>5417</v>
      </c>
      <c r="B859" s="48">
        <v>14</v>
      </c>
      <c r="C859" s="62">
        <v>14</v>
      </c>
    </row>
    <row r="860" spans="1:3" x14ac:dyDescent="0.2">
      <c r="A860" s="62" t="s">
        <v>5416</v>
      </c>
      <c r="B860" s="48">
        <v>88</v>
      </c>
      <c r="C860" s="62">
        <v>88</v>
      </c>
    </row>
    <row r="861" spans="1:3" x14ac:dyDescent="0.2">
      <c r="A861" s="62" t="s">
        <v>5415</v>
      </c>
      <c r="B861" s="48">
        <v>88</v>
      </c>
      <c r="C861" s="62">
        <v>88</v>
      </c>
    </row>
    <row r="862" spans="1:3" x14ac:dyDescent="0.2">
      <c r="A862" s="62" t="s">
        <v>5414</v>
      </c>
      <c r="B862" s="48">
        <v>14</v>
      </c>
      <c r="C862" s="62">
        <v>14</v>
      </c>
    </row>
    <row r="863" spans="1:3" x14ac:dyDescent="0.2">
      <c r="A863" s="62" t="s">
        <v>5413</v>
      </c>
      <c r="B863" s="48">
        <v>14</v>
      </c>
      <c r="C863" s="62">
        <v>14</v>
      </c>
    </row>
    <row r="864" spans="1:3" x14ac:dyDescent="0.2">
      <c r="A864" s="62" t="s">
        <v>5412</v>
      </c>
      <c r="B864" s="48">
        <v>14</v>
      </c>
      <c r="C864" s="62">
        <v>14</v>
      </c>
    </row>
    <row r="865" spans="1:3" x14ac:dyDescent="0.2">
      <c r="A865" s="62" t="s">
        <v>5411</v>
      </c>
      <c r="B865" s="48">
        <v>15</v>
      </c>
      <c r="C865" s="62">
        <v>15</v>
      </c>
    </row>
    <row r="866" spans="1:3" x14ac:dyDescent="0.2">
      <c r="A866" s="62" t="s">
        <v>5410</v>
      </c>
      <c r="B866" s="48">
        <v>217</v>
      </c>
      <c r="C866" s="62">
        <v>217</v>
      </c>
    </row>
    <row r="867" spans="1:3" x14ac:dyDescent="0.2">
      <c r="A867" s="62" t="s">
        <v>5408</v>
      </c>
      <c r="B867" s="48">
        <v>19</v>
      </c>
      <c r="C867" s="62">
        <v>19</v>
      </c>
    </row>
    <row r="868" spans="1:3" x14ac:dyDescent="0.2">
      <c r="A868" s="62" t="s">
        <v>5406</v>
      </c>
      <c r="B868" s="48">
        <v>13</v>
      </c>
      <c r="C868" s="62">
        <v>13</v>
      </c>
    </row>
    <row r="869" spans="1:3" x14ac:dyDescent="0.2">
      <c r="A869" s="62" t="s">
        <v>5405</v>
      </c>
      <c r="B869" s="48">
        <v>2</v>
      </c>
      <c r="C869" s="62">
        <v>2</v>
      </c>
    </row>
    <row r="870" spans="1:3" x14ac:dyDescent="0.2">
      <c r="A870" s="62" t="s">
        <v>5404</v>
      </c>
      <c r="B870" s="48">
        <v>2</v>
      </c>
      <c r="C870" s="62">
        <v>2</v>
      </c>
    </row>
    <row r="871" spans="1:3" x14ac:dyDescent="0.2">
      <c r="A871" s="62" t="s">
        <v>5403</v>
      </c>
      <c r="B871" s="48">
        <v>148</v>
      </c>
      <c r="C871" s="62">
        <v>148</v>
      </c>
    </row>
    <row r="872" spans="1:3" x14ac:dyDescent="0.2">
      <c r="A872" s="62" t="s">
        <v>5401</v>
      </c>
      <c r="B872" s="48">
        <v>148</v>
      </c>
      <c r="C872" s="62">
        <v>148</v>
      </c>
    </row>
    <row r="873" spans="1:3" x14ac:dyDescent="0.2">
      <c r="A873" s="62" t="s">
        <v>5399</v>
      </c>
      <c r="B873" s="48">
        <v>148</v>
      </c>
      <c r="C873" s="62">
        <v>148</v>
      </c>
    </row>
    <row r="874" spans="1:3" x14ac:dyDescent="0.2">
      <c r="A874" s="62" t="s">
        <v>5398</v>
      </c>
      <c r="B874" s="48">
        <v>15</v>
      </c>
      <c r="C874" s="62">
        <v>15</v>
      </c>
    </row>
    <row r="875" spans="1:3" x14ac:dyDescent="0.2">
      <c r="A875" s="62" t="s">
        <v>5397</v>
      </c>
      <c r="B875" s="48">
        <v>14</v>
      </c>
      <c r="C875" s="62">
        <v>14</v>
      </c>
    </row>
    <row r="876" spans="1:3" x14ac:dyDescent="0.2">
      <c r="A876" s="62" t="s">
        <v>5396</v>
      </c>
      <c r="B876" s="48">
        <v>2</v>
      </c>
      <c r="C876" s="62">
        <v>2</v>
      </c>
    </row>
    <row r="877" spans="1:3" x14ac:dyDescent="0.2">
      <c r="A877" s="62" t="s">
        <v>5395</v>
      </c>
      <c r="B877" s="48">
        <v>14</v>
      </c>
      <c r="C877" s="62">
        <v>14</v>
      </c>
    </row>
    <row r="878" spans="1:3" x14ac:dyDescent="0.2">
      <c r="A878" s="62" t="s">
        <v>5394</v>
      </c>
      <c r="B878" s="48">
        <v>15</v>
      </c>
      <c r="C878" s="62">
        <v>15</v>
      </c>
    </row>
    <row r="879" spans="1:3" x14ac:dyDescent="0.2">
      <c r="A879" s="62" t="s">
        <v>5393</v>
      </c>
      <c r="B879" s="48">
        <v>52</v>
      </c>
      <c r="C879" s="62">
        <v>52</v>
      </c>
    </row>
    <row r="880" spans="1:3" x14ac:dyDescent="0.2">
      <c r="A880" s="62" t="s">
        <v>5390</v>
      </c>
      <c r="B880" s="48">
        <v>14</v>
      </c>
      <c r="C880" s="62">
        <v>14</v>
      </c>
    </row>
    <row r="881" spans="1:3" x14ac:dyDescent="0.2">
      <c r="A881" s="62" t="s">
        <v>5389</v>
      </c>
      <c r="B881" s="48">
        <v>2</v>
      </c>
      <c r="C881" s="62">
        <v>2</v>
      </c>
    </row>
    <row r="882" spans="1:3" x14ac:dyDescent="0.2">
      <c r="A882" s="62" t="s">
        <v>5388</v>
      </c>
      <c r="B882" s="48">
        <v>2</v>
      </c>
      <c r="C882" s="62">
        <v>2</v>
      </c>
    </row>
    <row r="883" spans="1:3" x14ac:dyDescent="0.2">
      <c r="A883" s="62" t="s">
        <v>5387</v>
      </c>
      <c r="B883" s="48">
        <v>2</v>
      </c>
      <c r="C883" s="62">
        <v>2</v>
      </c>
    </row>
    <row r="884" spans="1:3" x14ac:dyDescent="0.2">
      <c r="A884" s="62" t="s">
        <v>5386</v>
      </c>
      <c r="B884" s="48">
        <v>14</v>
      </c>
      <c r="C884" s="62">
        <v>14</v>
      </c>
    </row>
    <row r="885" spans="1:3" x14ac:dyDescent="0.2">
      <c r="A885" s="62" t="s">
        <v>5385</v>
      </c>
      <c r="B885" s="48">
        <v>33</v>
      </c>
      <c r="C885" s="62">
        <v>33</v>
      </c>
    </row>
    <row r="886" spans="1:3" x14ac:dyDescent="0.2">
      <c r="A886" s="62" t="s">
        <v>5384</v>
      </c>
      <c r="B886" s="48">
        <v>13</v>
      </c>
      <c r="C886" s="62">
        <v>13</v>
      </c>
    </row>
    <row r="887" spans="1:3" x14ac:dyDescent="0.2">
      <c r="A887" s="62" t="s">
        <v>5382</v>
      </c>
      <c r="B887" s="48">
        <v>14</v>
      </c>
      <c r="C887" s="62">
        <v>14</v>
      </c>
    </row>
    <row r="888" spans="1:3" x14ac:dyDescent="0.2">
      <c r="A888" s="62" t="s">
        <v>5380</v>
      </c>
      <c r="B888" s="48">
        <v>15</v>
      </c>
      <c r="C888" s="62">
        <v>15</v>
      </c>
    </row>
    <row r="889" spans="1:3" x14ac:dyDescent="0.2">
      <c r="A889" s="62" t="s">
        <v>5379</v>
      </c>
      <c r="B889" s="48">
        <v>57</v>
      </c>
      <c r="C889" s="62">
        <v>57</v>
      </c>
    </row>
    <row r="890" spans="1:3" x14ac:dyDescent="0.2">
      <c r="A890" s="62" t="s">
        <v>5378</v>
      </c>
      <c r="B890" s="48">
        <v>57</v>
      </c>
      <c r="C890" s="62">
        <v>57</v>
      </c>
    </row>
    <row r="891" spans="1:3" x14ac:dyDescent="0.2">
      <c r="A891" s="62" t="s">
        <v>5377</v>
      </c>
      <c r="B891" s="48">
        <v>19</v>
      </c>
      <c r="C891" s="62">
        <v>19</v>
      </c>
    </row>
    <row r="892" spans="1:3" x14ac:dyDescent="0.2">
      <c r="A892" s="62" t="s">
        <v>5376</v>
      </c>
      <c r="B892" s="48">
        <v>85</v>
      </c>
      <c r="C892" s="62">
        <v>85</v>
      </c>
    </row>
    <row r="893" spans="1:3" x14ac:dyDescent="0.2">
      <c r="A893" s="62" t="s">
        <v>5375</v>
      </c>
      <c r="B893" s="48">
        <v>85</v>
      </c>
      <c r="C893" s="62">
        <v>85</v>
      </c>
    </row>
    <row r="894" spans="1:3" x14ac:dyDescent="0.2">
      <c r="A894" s="62" t="s">
        <v>5374</v>
      </c>
      <c r="B894" s="48">
        <v>85</v>
      </c>
      <c r="C894" s="62">
        <v>85</v>
      </c>
    </row>
    <row r="895" spans="1:3" x14ac:dyDescent="0.2">
      <c r="A895" s="62" t="s">
        <v>5373</v>
      </c>
      <c r="B895" s="48">
        <v>225</v>
      </c>
      <c r="C895" s="62">
        <v>225</v>
      </c>
    </row>
    <row r="896" spans="1:3" x14ac:dyDescent="0.2">
      <c r="A896" s="62" t="s">
        <v>5372</v>
      </c>
      <c r="B896" s="48">
        <v>225</v>
      </c>
      <c r="C896" s="62">
        <v>225</v>
      </c>
    </row>
    <row r="897" spans="1:3" x14ac:dyDescent="0.2">
      <c r="A897" s="62" t="s">
        <v>5371</v>
      </c>
      <c r="B897" s="48">
        <v>29</v>
      </c>
      <c r="C897" s="62">
        <v>29</v>
      </c>
    </row>
    <row r="898" spans="1:3" x14ac:dyDescent="0.2">
      <c r="A898" s="62" t="s">
        <v>5369</v>
      </c>
      <c r="B898" s="48">
        <v>136</v>
      </c>
      <c r="C898" s="62">
        <v>136</v>
      </c>
    </row>
    <row r="899" spans="1:3" x14ac:dyDescent="0.2">
      <c r="A899" s="62" t="s">
        <v>5368</v>
      </c>
      <c r="B899" s="48">
        <v>15</v>
      </c>
      <c r="C899" s="62">
        <v>15</v>
      </c>
    </row>
    <row r="900" spans="1:3" x14ac:dyDescent="0.2">
      <c r="A900" s="62" t="s">
        <v>5367</v>
      </c>
      <c r="B900" s="48">
        <v>13</v>
      </c>
      <c r="C900" s="62">
        <v>13</v>
      </c>
    </row>
    <row r="901" spans="1:3" x14ac:dyDescent="0.2">
      <c r="A901" s="62" t="s">
        <v>5366</v>
      </c>
      <c r="B901" s="48">
        <v>13</v>
      </c>
      <c r="C901" s="62">
        <v>13</v>
      </c>
    </row>
    <row r="902" spans="1:3" x14ac:dyDescent="0.2">
      <c r="A902" s="62" t="s">
        <v>5365</v>
      </c>
      <c r="B902" s="48">
        <v>13</v>
      </c>
      <c r="C902" s="62">
        <v>13</v>
      </c>
    </row>
    <row r="903" spans="1:3" x14ac:dyDescent="0.2">
      <c r="A903" s="62" t="s">
        <v>5364</v>
      </c>
      <c r="B903" s="48">
        <v>13</v>
      </c>
      <c r="C903" s="62">
        <v>13</v>
      </c>
    </row>
    <row r="904" spans="1:3" x14ac:dyDescent="0.2">
      <c r="A904" s="62" t="s">
        <v>5363</v>
      </c>
      <c r="B904" s="48">
        <v>13</v>
      </c>
      <c r="C904" s="62">
        <v>13</v>
      </c>
    </row>
    <row r="905" spans="1:3" x14ac:dyDescent="0.2">
      <c r="A905" s="62" t="s">
        <v>5362</v>
      </c>
      <c r="B905" s="48">
        <v>13</v>
      </c>
      <c r="C905" s="62">
        <v>13</v>
      </c>
    </row>
    <row r="906" spans="1:3" x14ac:dyDescent="0.2">
      <c r="A906" s="62" t="s">
        <v>5361</v>
      </c>
      <c r="B906" s="48">
        <v>13</v>
      </c>
      <c r="C906" s="62">
        <v>13</v>
      </c>
    </row>
    <row r="907" spans="1:3" x14ac:dyDescent="0.2">
      <c r="A907" s="62" t="s">
        <v>5360</v>
      </c>
      <c r="B907" s="48">
        <v>13</v>
      </c>
      <c r="C907" s="62">
        <v>13</v>
      </c>
    </row>
    <row r="908" spans="1:3" x14ac:dyDescent="0.2">
      <c r="A908" s="62" t="s">
        <v>5359</v>
      </c>
      <c r="B908" s="48">
        <v>13</v>
      </c>
      <c r="C908" s="62">
        <v>13</v>
      </c>
    </row>
    <row r="909" spans="1:3" x14ac:dyDescent="0.2">
      <c r="A909" s="62" t="s">
        <v>5358</v>
      </c>
      <c r="B909" s="48">
        <v>13</v>
      </c>
      <c r="C909" s="62">
        <v>13</v>
      </c>
    </row>
    <row r="910" spans="1:3" x14ac:dyDescent="0.2">
      <c r="A910" s="62" t="s">
        <v>5357</v>
      </c>
      <c r="B910" s="48">
        <v>13</v>
      </c>
      <c r="C910" s="62">
        <v>13</v>
      </c>
    </row>
    <row r="911" spans="1:3" x14ac:dyDescent="0.2">
      <c r="A911" s="62" t="s">
        <v>5356</v>
      </c>
      <c r="B911" s="48">
        <v>18</v>
      </c>
      <c r="C911" s="62">
        <v>18</v>
      </c>
    </row>
    <row r="912" spans="1:3" x14ac:dyDescent="0.2">
      <c r="A912" s="62" t="s">
        <v>5354</v>
      </c>
      <c r="B912" s="48">
        <v>1</v>
      </c>
      <c r="C912" s="62">
        <v>1</v>
      </c>
    </row>
    <row r="913" spans="1:3" x14ac:dyDescent="0.2">
      <c r="A913" s="62" t="s">
        <v>5353</v>
      </c>
      <c r="B913" s="48">
        <v>2</v>
      </c>
      <c r="C913" s="62">
        <v>2</v>
      </c>
    </row>
    <row r="914" spans="1:3" x14ac:dyDescent="0.2">
      <c r="A914" s="62" t="s">
        <v>5352</v>
      </c>
      <c r="B914" s="48">
        <v>62</v>
      </c>
      <c r="C914" s="62">
        <v>62</v>
      </c>
    </row>
    <row r="915" spans="1:3" x14ac:dyDescent="0.2">
      <c r="A915" s="62" t="s">
        <v>5351</v>
      </c>
      <c r="B915" s="48">
        <v>88</v>
      </c>
      <c r="C915" s="62">
        <v>88</v>
      </c>
    </row>
    <row r="916" spans="1:3" x14ac:dyDescent="0.2">
      <c r="A916" s="62" t="s">
        <v>5350</v>
      </c>
      <c r="B916" s="48">
        <v>15</v>
      </c>
      <c r="C916" s="62">
        <v>15</v>
      </c>
    </row>
    <row r="917" spans="1:3" x14ac:dyDescent="0.2">
      <c r="A917" s="62" t="s">
        <v>5349</v>
      </c>
      <c r="B917" s="48">
        <v>18</v>
      </c>
      <c r="C917" s="62">
        <v>18</v>
      </c>
    </row>
    <row r="918" spans="1:3" x14ac:dyDescent="0.2">
      <c r="A918" s="62" t="s">
        <v>5348</v>
      </c>
      <c r="B918" s="48">
        <v>18</v>
      </c>
      <c r="C918" s="62">
        <v>18</v>
      </c>
    </row>
    <row r="919" spans="1:3" x14ac:dyDescent="0.2">
      <c r="A919" s="62" t="s">
        <v>5347</v>
      </c>
      <c r="B919" s="48">
        <v>18</v>
      </c>
      <c r="C919" s="62">
        <v>18</v>
      </c>
    </row>
    <row r="920" spans="1:3" x14ac:dyDescent="0.2">
      <c r="A920" s="62" t="s">
        <v>5346</v>
      </c>
      <c r="B920" s="48">
        <v>18</v>
      </c>
      <c r="C920" s="62">
        <v>18</v>
      </c>
    </row>
    <row r="921" spans="1:3" x14ac:dyDescent="0.2">
      <c r="A921" s="62" t="s">
        <v>5345</v>
      </c>
      <c r="B921" s="48">
        <v>60</v>
      </c>
      <c r="C921" s="62">
        <v>60</v>
      </c>
    </row>
    <row r="922" spans="1:3" x14ac:dyDescent="0.2">
      <c r="A922" s="62" t="s">
        <v>5344</v>
      </c>
      <c r="B922" s="48">
        <v>15</v>
      </c>
      <c r="C922" s="62">
        <v>15</v>
      </c>
    </row>
    <row r="923" spans="1:3" x14ac:dyDescent="0.2">
      <c r="A923" s="62" t="s">
        <v>5343</v>
      </c>
      <c r="B923" s="48">
        <v>13</v>
      </c>
      <c r="C923" s="62">
        <v>13</v>
      </c>
    </row>
    <row r="924" spans="1:3" x14ac:dyDescent="0.2">
      <c r="A924" s="62" t="s">
        <v>5342</v>
      </c>
      <c r="B924" s="48">
        <v>225</v>
      </c>
      <c r="C924" s="62">
        <v>225</v>
      </c>
    </row>
    <row r="925" spans="1:3" x14ac:dyDescent="0.2">
      <c r="A925" s="62" t="s">
        <v>5340</v>
      </c>
      <c r="B925" s="48">
        <v>61</v>
      </c>
      <c r="C925" s="62">
        <v>61</v>
      </c>
    </row>
    <row r="926" spans="1:3" x14ac:dyDescent="0.2">
      <c r="A926" s="62" t="s">
        <v>5339</v>
      </c>
      <c r="B926" s="48">
        <v>2</v>
      </c>
      <c r="C926" s="62">
        <v>2</v>
      </c>
    </row>
    <row r="927" spans="1:3" x14ac:dyDescent="0.2">
      <c r="A927" s="62" t="s">
        <v>5338</v>
      </c>
      <c r="B927" s="62">
        <v>12</v>
      </c>
      <c r="C927" s="62">
        <v>12</v>
      </c>
    </row>
    <row r="928" spans="1:3" x14ac:dyDescent="0.2">
      <c r="A928" s="62" t="s">
        <v>5337</v>
      </c>
      <c r="B928" s="48">
        <v>12</v>
      </c>
      <c r="C928" s="62">
        <v>12</v>
      </c>
    </row>
    <row r="929" spans="1:3" x14ac:dyDescent="0.2">
      <c r="A929" s="62" t="s">
        <v>5336</v>
      </c>
      <c r="B929" s="48">
        <v>12</v>
      </c>
      <c r="C929" s="62">
        <v>12</v>
      </c>
    </row>
    <row r="930" spans="1:3" x14ac:dyDescent="0.2">
      <c r="A930" s="62" t="s">
        <v>5335</v>
      </c>
      <c r="B930" s="48">
        <v>12</v>
      </c>
      <c r="C930" s="62">
        <v>12</v>
      </c>
    </row>
    <row r="931" spans="1:3" x14ac:dyDescent="0.2">
      <c r="A931" s="62" t="s">
        <v>5334</v>
      </c>
      <c r="B931" s="48">
        <v>15</v>
      </c>
      <c r="C931" s="62">
        <v>15</v>
      </c>
    </row>
    <row r="932" spans="1:3" x14ac:dyDescent="0.2">
      <c r="A932" s="62" t="s">
        <v>5333</v>
      </c>
      <c r="B932" s="48">
        <v>12</v>
      </c>
      <c r="C932" s="62">
        <v>12</v>
      </c>
    </row>
    <row r="933" spans="1:3" x14ac:dyDescent="0.2">
      <c r="A933" s="62" t="s">
        <v>5332</v>
      </c>
      <c r="B933" s="48">
        <v>14</v>
      </c>
      <c r="C933" s="62">
        <v>14</v>
      </c>
    </row>
    <row r="934" spans="1:3" x14ac:dyDescent="0.2">
      <c r="A934" s="62" t="s">
        <v>5331</v>
      </c>
      <c r="B934" s="48">
        <v>14</v>
      </c>
      <c r="C934" s="62">
        <v>14</v>
      </c>
    </row>
    <row r="935" spans="1:3" x14ac:dyDescent="0.2">
      <c r="A935" s="62" t="s">
        <v>5330</v>
      </c>
      <c r="B935" s="48">
        <v>13</v>
      </c>
      <c r="C935" s="62">
        <v>13</v>
      </c>
    </row>
    <row r="936" spans="1:3" x14ac:dyDescent="0.2">
      <c r="A936" s="62" t="s">
        <v>5329</v>
      </c>
      <c r="B936" s="48">
        <v>180</v>
      </c>
      <c r="C936" s="62">
        <v>180</v>
      </c>
    </row>
    <row r="937" spans="1:3" x14ac:dyDescent="0.2">
      <c r="A937" s="62" t="s">
        <v>5328</v>
      </c>
      <c r="B937" s="48">
        <v>181</v>
      </c>
      <c r="C937" s="62">
        <v>181</v>
      </c>
    </row>
    <row r="938" spans="1:3" x14ac:dyDescent="0.2">
      <c r="A938" s="62" t="s">
        <v>5327</v>
      </c>
      <c r="B938" s="48">
        <v>14</v>
      </c>
      <c r="C938" s="62">
        <v>14</v>
      </c>
    </row>
    <row r="939" spans="1:3" x14ac:dyDescent="0.2">
      <c r="A939" s="62" t="s">
        <v>5326</v>
      </c>
      <c r="B939" s="48">
        <v>14</v>
      </c>
      <c r="C939" s="62">
        <v>14</v>
      </c>
    </row>
    <row r="940" spans="1:3" x14ac:dyDescent="0.2">
      <c r="A940" s="62" t="s">
        <v>5325</v>
      </c>
      <c r="B940" s="48">
        <v>14</v>
      </c>
      <c r="C940" s="62">
        <v>14</v>
      </c>
    </row>
    <row r="941" spans="1:3" x14ac:dyDescent="0.2">
      <c r="A941" s="62" t="s">
        <v>5324</v>
      </c>
      <c r="B941" s="48">
        <v>228</v>
      </c>
      <c r="C941" s="62">
        <v>228</v>
      </c>
    </row>
    <row r="942" spans="1:3" x14ac:dyDescent="0.2">
      <c r="A942" s="62" t="s">
        <v>5323</v>
      </c>
      <c r="B942" s="48">
        <v>1</v>
      </c>
      <c r="C942" s="62">
        <v>1</v>
      </c>
    </row>
    <row r="943" spans="1:3" x14ac:dyDescent="0.2">
      <c r="A943" s="62" t="s">
        <v>5322</v>
      </c>
      <c r="B943" s="48">
        <v>15</v>
      </c>
      <c r="C943" s="62">
        <v>15</v>
      </c>
    </row>
    <row r="944" spans="1:3" x14ac:dyDescent="0.2">
      <c r="A944" s="62" t="s">
        <v>5321</v>
      </c>
      <c r="B944" s="48">
        <v>15</v>
      </c>
      <c r="C944" s="62">
        <v>15</v>
      </c>
    </row>
    <row r="945" spans="1:3" x14ac:dyDescent="0.2">
      <c r="A945" s="62" t="s">
        <v>5320</v>
      </c>
      <c r="B945" s="48">
        <v>61</v>
      </c>
      <c r="C945" s="62">
        <v>61</v>
      </c>
    </row>
    <row r="946" spans="1:3" x14ac:dyDescent="0.2">
      <c r="A946" s="62" t="s">
        <v>5319</v>
      </c>
      <c r="B946" s="48">
        <v>14</v>
      </c>
      <c r="C946" s="62">
        <v>14</v>
      </c>
    </row>
    <row r="947" spans="1:3" x14ac:dyDescent="0.2">
      <c r="A947" s="62" t="s">
        <v>5318</v>
      </c>
      <c r="B947" s="48">
        <v>23</v>
      </c>
      <c r="C947" s="62">
        <v>23</v>
      </c>
    </row>
    <row r="948" spans="1:3" x14ac:dyDescent="0.2">
      <c r="A948" s="62" t="s">
        <v>5317</v>
      </c>
      <c r="B948" s="48">
        <v>14</v>
      </c>
      <c r="C948" s="62">
        <v>14</v>
      </c>
    </row>
    <row r="949" spans="1:3" x14ac:dyDescent="0.2">
      <c r="A949" s="62" t="s">
        <v>5315</v>
      </c>
      <c r="B949" s="48">
        <v>13</v>
      </c>
      <c r="C949" s="62">
        <v>13</v>
      </c>
    </row>
    <row r="950" spans="1:3" x14ac:dyDescent="0.2">
      <c r="A950" s="62" t="s">
        <v>5314</v>
      </c>
      <c r="B950" s="48">
        <v>2</v>
      </c>
      <c r="C950" s="62">
        <v>2</v>
      </c>
    </row>
    <row r="951" spans="1:3" x14ac:dyDescent="0.2">
      <c r="A951" s="62" t="s">
        <v>5312</v>
      </c>
      <c r="B951" s="48">
        <v>4</v>
      </c>
      <c r="C951" s="62">
        <v>4</v>
      </c>
    </row>
    <row r="952" spans="1:3" x14ac:dyDescent="0.2">
      <c r="A952" s="62" t="s">
        <v>5311</v>
      </c>
      <c r="B952" s="48">
        <v>61</v>
      </c>
      <c r="C952" s="62">
        <v>61</v>
      </c>
    </row>
    <row r="953" spans="1:3" x14ac:dyDescent="0.2">
      <c r="A953" s="62" t="s">
        <v>5310</v>
      </c>
      <c r="B953" s="48">
        <v>14</v>
      </c>
      <c r="C953" s="62">
        <v>14</v>
      </c>
    </row>
    <row r="954" spans="1:3" x14ac:dyDescent="0.2">
      <c r="A954" s="62" t="s">
        <v>5309</v>
      </c>
      <c r="B954" s="48">
        <v>14</v>
      </c>
      <c r="C954" s="62">
        <v>14</v>
      </c>
    </row>
    <row r="955" spans="1:3" x14ac:dyDescent="0.2">
      <c r="A955" s="62" t="s">
        <v>5308</v>
      </c>
      <c r="B955" s="48">
        <v>15</v>
      </c>
      <c r="C955" s="62">
        <v>15</v>
      </c>
    </row>
    <row r="956" spans="1:3" x14ac:dyDescent="0.2">
      <c r="A956" s="62" t="s">
        <v>5307</v>
      </c>
      <c r="B956" s="48">
        <v>14</v>
      </c>
      <c r="C956" s="62">
        <v>14</v>
      </c>
    </row>
    <row r="957" spans="1:3" x14ac:dyDescent="0.2">
      <c r="A957" s="62" t="s">
        <v>5306</v>
      </c>
      <c r="B957" s="48">
        <v>14</v>
      </c>
      <c r="C957" s="62">
        <v>14</v>
      </c>
    </row>
    <row r="958" spans="1:3" x14ac:dyDescent="0.2">
      <c r="A958" s="62" t="s">
        <v>5305</v>
      </c>
      <c r="B958" s="48">
        <v>148</v>
      </c>
      <c r="C958" s="62">
        <v>148</v>
      </c>
    </row>
    <row r="959" spans="1:3" x14ac:dyDescent="0.2">
      <c r="A959" s="62" t="s">
        <v>5304</v>
      </c>
      <c r="B959" s="48">
        <v>10</v>
      </c>
      <c r="C959" s="62">
        <v>10</v>
      </c>
    </row>
    <row r="960" spans="1:3" x14ac:dyDescent="0.2">
      <c r="A960" s="62" t="s">
        <v>5303</v>
      </c>
      <c r="B960" s="48">
        <v>2</v>
      </c>
      <c r="C960" s="62">
        <v>2</v>
      </c>
    </row>
    <row r="961" spans="1:3" x14ac:dyDescent="0.2">
      <c r="A961" s="62" t="s">
        <v>5302</v>
      </c>
      <c r="B961" s="48">
        <v>2</v>
      </c>
      <c r="C961" s="62">
        <v>2</v>
      </c>
    </row>
    <row r="962" spans="1:3" x14ac:dyDescent="0.2">
      <c r="A962" s="62" t="s">
        <v>5301</v>
      </c>
      <c r="B962" s="48">
        <v>2</v>
      </c>
      <c r="C962" s="62">
        <v>2</v>
      </c>
    </row>
    <row r="963" spans="1:3" x14ac:dyDescent="0.2">
      <c r="A963" s="62" t="s">
        <v>5300</v>
      </c>
      <c r="B963" s="48">
        <v>60</v>
      </c>
      <c r="C963" s="62">
        <v>60</v>
      </c>
    </row>
    <row r="964" spans="1:3" x14ac:dyDescent="0.2">
      <c r="A964" s="62" t="s">
        <v>5298</v>
      </c>
      <c r="B964" s="48">
        <v>14</v>
      </c>
      <c r="C964" s="62">
        <v>14</v>
      </c>
    </row>
    <row r="965" spans="1:3" x14ac:dyDescent="0.2">
      <c r="A965" s="62" t="s">
        <v>5297</v>
      </c>
      <c r="B965" s="48">
        <v>88</v>
      </c>
      <c r="C965" s="62">
        <v>88</v>
      </c>
    </row>
    <row r="966" spans="1:3" x14ac:dyDescent="0.2">
      <c r="A966" s="62" t="s">
        <v>5296</v>
      </c>
      <c r="B966" s="48">
        <v>60</v>
      </c>
      <c r="C966" s="62">
        <v>60</v>
      </c>
    </row>
    <row r="967" spans="1:3" x14ac:dyDescent="0.2">
      <c r="A967" s="62" t="s">
        <v>5295</v>
      </c>
      <c r="B967" s="48">
        <v>14</v>
      </c>
      <c r="C967" s="62">
        <v>14</v>
      </c>
    </row>
    <row r="968" spans="1:3" x14ac:dyDescent="0.2">
      <c r="A968" s="62" t="s">
        <v>5294</v>
      </c>
      <c r="B968" s="48">
        <v>15</v>
      </c>
      <c r="C968" s="62">
        <v>15</v>
      </c>
    </row>
    <row r="969" spans="1:3" x14ac:dyDescent="0.2">
      <c r="A969" s="62" t="s">
        <v>5293</v>
      </c>
      <c r="B969" s="48">
        <v>15</v>
      </c>
      <c r="C969" s="62">
        <v>15</v>
      </c>
    </row>
    <row r="970" spans="1:3" x14ac:dyDescent="0.2">
      <c r="A970" s="62" t="s">
        <v>5292</v>
      </c>
      <c r="B970" s="48">
        <v>15</v>
      </c>
      <c r="C970" s="62">
        <v>15</v>
      </c>
    </row>
    <row r="971" spans="1:3" x14ac:dyDescent="0.2">
      <c r="A971" s="62" t="s">
        <v>5291</v>
      </c>
      <c r="B971" s="48">
        <v>204</v>
      </c>
      <c r="C971" s="62">
        <v>204</v>
      </c>
    </row>
    <row r="972" spans="1:3" x14ac:dyDescent="0.2">
      <c r="A972" s="62" t="s">
        <v>5290</v>
      </c>
      <c r="B972" s="48">
        <v>62</v>
      </c>
      <c r="C972" s="62">
        <v>62</v>
      </c>
    </row>
    <row r="973" spans="1:3" x14ac:dyDescent="0.2">
      <c r="A973" s="62" t="s">
        <v>5289</v>
      </c>
      <c r="B973" s="48">
        <v>62</v>
      </c>
      <c r="C973" s="62">
        <v>62</v>
      </c>
    </row>
    <row r="974" spans="1:3" x14ac:dyDescent="0.2">
      <c r="A974" s="62" t="s">
        <v>5288</v>
      </c>
      <c r="B974" s="48">
        <v>142</v>
      </c>
      <c r="C974" s="62">
        <v>142</v>
      </c>
    </row>
    <row r="975" spans="1:3" x14ac:dyDescent="0.2">
      <c r="A975" s="62" t="s">
        <v>5287</v>
      </c>
      <c r="B975" s="48">
        <v>2</v>
      </c>
      <c r="C975" s="62">
        <v>2</v>
      </c>
    </row>
    <row r="976" spans="1:3" x14ac:dyDescent="0.2">
      <c r="A976" s="62" t="s">
        <v>5286</v>
      </c>
      <c r="B976" s="48">
        <v>142</v>
      </c>
      <c r="C976" s="62">
        <v>142</v>
      </c>
    </row>
    <row r="977" spans="1:3" x14ac:dyDescent="0.2">
      <c r="A977" s="62" t="s">
        <v>5285</v>
      </c>
      <c r="B977" s="48">
        <v>2</v>
      </c>
      <c r="C977" s="62">
        <v>2</v>
      </c>
    </row>
    <row r="978" spans="1:3" x14ac:dyDescent="0.2">
      <c r="A978" s="62" t="s">
        <v>5284</v>
      </c>
      <c r="B978" s="48">
        <v>2</v>
      </c>
      <c r="C978" s="62">
        <v>2</v>
      </c>
    </row>
    <row r="979" spans="1:3" x14ac:dyDescent="0.2">
      <c r="A979" s="62" t="s">
        <v>5283</v>
      </c>
      <c r="B979" s="48">
        <v>2</v>
      </c>
      <c r="C979" s="62">
        <v>2</v>
      </c>
    </row>
    <row r="980" spans="1:3" x14ac:dyDescent="0.2">
      <c r="A980" s="62" t="s">
        <v>5282</v>
      </c>
      <c r="B980" s="48">
        <v>166</v>
      </c>
      <c r="C980" s="62">
        <v>166</v>
      </c>
    </row>
    <row r="981" spans="1:3" x14ac:dyDescent="0.2">
      <c r="A981" s="62" t="s">
        <v>5281</v>
      </c>
      <c r="B981" s="48">
        <v>14</v>
      </c>
      <c r="C981" s="62">
        <v>14</v>
      </c>
    </row>
    <row r="982" spans="1:3" x14ac:dyDescent="0.2">
      <c r="A982" s="62" t="s">
        <v>5280</v>
      </c>
      <c r="B982" s="48">
        <v>14</v>
      </c>
      <c r="C982" s="62">
        <v>14</v>
      </c>
    </row>
    <row r="983" spans="1:3" x14ac:dyDescent="0.2">
      <c r="A983" s="62" t="s">
        <v>5279</v>
      </c>
      <c r="B983" s="48">
        <v>14</v>
      </c>
      <c r="C983" s="62">
        <v>14</v>
      </c>
    </row>
    <row r="984" spans="1:3" x14ac:dyDescent="0.2">
      <c r="A984" s="62" t="s">
        <v>5278</v>
      </c>
      <c r="B984" s="48">
        <v>90</v>
      </c>
      <c r="C984" s="62">
        <v>90</v>
      </c>
    </row>
    <row r="985" spans="1:3" x14ac:dyDescent="0.2">
      <c r="A985" s="62" t="s">
        <v>5277</v>
      </c>
      <c r="B985" s="48">
        <v>90</v>
      </c>
      <c r="C985" s="62">
        <v>90</v>
      </c>
    </row>
    <row r="986" spans="1:3" x14ac:dyDescent="0.2">
      <c r="A986" s="62" t="s">
        <v>5276</v>
      </c>
      <c r="B986" s="48">
        <v>90</v>
      </c>
      <c r="C986" s="62">
        <v>90</v>
      </c>
    </row>
    <row r="987" spans="1:3" x14ac:dyDescent="0.2">
      <c r="A987" s="62" t="s">
        <v>5275</v>
      </c>
      <c r="B987" s="48">
        <v>90</v>
      </c>
      <c r="C987" s="62">
        <v>90</v>
      </c>
    </row>
    <row r="988" spans="1:3" x14ac:dyDescent="0.2">
      <c r="A988" s="62" t="s">
        <v>5274</v>
      </c>
      <c r="B988" s="48">
        <v>15</v>
      </c>
      <c r="C988" s="62">
        <v>15</v>
      </c>
    </row>
    <row r="989" spans="1:3" x14ac:dyDescent="0.2">
      <c r="A989" s="62" t="s">
        <v>5273</v>
      </c>
      <c r="B989" s="48">
        <v>18</v>
      </c>
      <c r="C989" s="62">
        <v>18</v>
      </c>
    </row>
    <row r="990" spans="1:3" x14ac:dyDescent="0.2">
      <c r="A990" s="62" t="s">
        <v>5272</v>
      </c>
      <c r="B990" s="48">
        <v>64</v>
      </c>
      <c r="C990" s="62">
        <v>64</v>
      </c>
    </row>
    <row r="991" spans="1:3" x14ac:dyDescent="0.2">
      <c r="A991" s="62" t="s">
        <v>5271</v>
      </c>
      <c r="B991" s="48">
        <v>45</v>
      </c>
      <c r="C991" s="62">
        <v>45</v>
      </c>
    </row>
    <row r="992" spans="1:3" x14ac:dyDescent="0.2">
      <c r="A992" s="62" t="s">
        <v>5270</v>
      </c>
      <c r="B992" s="48">
        <v>87</v>
      </c>
      <c r="C992" s="62">
        <v>87</v>
      </c>
    </row>
    <row r="993" spans="1:3" x14ac:dyDescent="0.2">
      <c r="A993" s="62" t="s">
        <v>5269</v>
      </c>
      <c r="B993" s="48">
        <v>87</v>
      </c>
      <c r="C993" s="62">
        <v>87</v>
      </c>
    </row>
    <row r="994" spans="1:3" x14ac:dyDescent="0.2">
      <c r="A994" s="62" t="s">
        <v>5268</v>
      </c>
      <c r="B994" s="48">
        <v>33</v>
      </c>
      <c r="C994" s="62">
        <v>33</v>
      </c>
    </row>
    <row r="995" spans="1:3" x14ac:dyDescent="0.2">
      <c r="A995" s="62" t="s">
        <v>5267</v>
      </c>
      <c r="B995" s="48">
        <v>2</v>
      </c>
      <c r="C995" s="62">
        <v>2</v>
      </c>
    </row>
    <row r="996" spans="1:3" x14ac:dyDescent="0.2">
      <c r="A996" s="62" t="s">
        <v>5266</v>
      </c>
      <c r="B996" s="48">
        <v>61</v>
      </c>
      <c r="C996" s="62">
        <v>61</v>
      </c>
    </row>
    <row r="997" spans="1:3" x14ac:dyDescent="0.2">
      <c r="A997" s="62" t="s">
        <v>5265</v>
      </c>
      <c r="B997" s="48">
        <v>2</v>
      </c>
      <c r="C997" s="62">
        <v>2</v>
      </c>
    </row>
    <row r="998" spans="1:3" x14ac:dyDescent="0.2">
      <c r="A998" s="62" t="s">
        <v>5264</v>
      </c>
      <c r="B998" s="48">
        <v>2</v>
      </c>
      <c r="C998" s="62">
        <v>2</v>
      </c>
    </row>
    <row r="999" spans="1:3" x14ac:dyDescent="0.2">
      <c r="A999" s="62" t="s">
        <v>5263</v>
      </c>
      <c r="B999" s="48">
        <v>15</v>
      </c>
      <c r="C999" s="62">
        <v>15</v>
      </c>
    </row>
    <row r="1000" spans="1:3" x14ac:dyDescent="0.2">
      <c r="A1000" s="62" t="s">
        <v>5262</v>
      </c>
      <c r="B1000" s="48">
        <v>2</v>
      </c>
      <c r="C1000" s="62">
        <v>2</v>
      </c>
    </row>
    <row r="1001" spans="1:3" x14ac:dyDescent="0.2">
      <c r="A1001" s="62" t="s">
        <v>5261</v>
      </c>
      <c r="B1001" s="48">
        <v>14</v>
      </c>
      <c r="C1001" s="62">
        <v>14</v>
      </c>
    </row>
    <row r="1002" spans="1:3" x14ac:dyDescent="0.2">
      <c r="A1002" s="62" t="s">
        <v>5260</v>
      </c>
      <c r="B1002" s="48">
        <v>14</v>
      </c>
      <c r="C1002" s="62">
        <v>14</v>
      </c>
    </row>
    <row r="1003" spans="1:3" x14ac:dyDescent="0.2">
      <c r="A1003" s="62" t="s">
        <v>5259</v>
      </c>
      <c r="B1003" s="48">
        <v>148</v>
      </c>
      <c r="C1003" s="62">
        <v>148</v>
      </c>
    </row>
    <row r="1004" spans="1:3" x14ac:dyDescent="0.2">
      <c r="A1004" s="62" t="s">
        <v>5258</v>
      </c>
      <c r="B1004" s="48">
        <v>15</v>
      </c>
      <c r="C1004" s="62">
        <v>15</v>
      </c>
    </row>
    <row r="1005" spans="1:3" x14ac:dyDescent="0.2">
      <c r="A1005" s="62" t="s">
        <v>5257</v>
      </c>
      <c r="B1005" s="48">
        <v>13</v>
      </c>
      <c r="C1005" s="62">
        <v>13</v>
      </c>
    </row>
    <row r="1006" spans="1:3" x14ac:dyDescent="0.2">
      <c r="A1006" s="62" t="s">
        <v>5256</v>
      </c>
      <c r="B1006" s="48">
        <v>15</v>
      </c>
      <c r="C1006" s="62">
        <v>15</v>
      </c>
    </row>
    <row r="1007" spans="1:3" x14ac:dyDescent="0.2">
      <c r="A1007" s="62" t="s">
        <v>5255</v>
      </c>
      <c r="B1007" s="48">
        <v>15</v>
      </c>
      <c r="C1007" s="62">
        <v>15</v>
      </c>
    </row>
    <row r="1008" spans="1:3" x14ac:dyDescent="0.2">
      <c r="A1008" s="62" t="s">
        <v>5254</v>
      </c>
      <c r="B1008" s="48">
        <v>15</v>
      </c>
      <c r="C1008" s="62">
        <v>15</v>
      </c>
    </row>
    <row r="1009" spans="1:3" x14ac:dyDescent="0.2">
      <c r="A1009" s="62" t="s">
        <v>5253</v>
      </c>
      <c r="B1009" s="48">
        <v>88</v>
      </c>
      <c r="C1009" s="62">
        <v>88</v>
      </c>
    </row>
    <row r="1010" spans="1:3" x14ac:dyDescent="0.2">
      <c r="A1010" s="62" t="s">
        <v>5251</v>
      </c>
      <c r="B1010" s="48">
        <v>15</v>
      </c>
      <c r="C1010" s="62">
        <v>15</v>
      </c>
    </row>
    <row r="1011" spans="1:3" x14ac:dyDescent="0.2">
      <c r="A1011" s="62" t="s">
        <v>5250</v>
      </c>
      <c r="B1011" s="48">
        <v>14</v>
      </c>
      <c r="C1011" s="62">
        <v>14</v>
      </c>
    </row>
    <row r="1012" spans="1:3" x14ac:dyDescent="0.2">
      <c r="A1012" s="62" t="s">
        <v>5249</v>
      </c>
      <c r="B1012" s="48">
        <v>14</v>
      </c>
      <c r="C1012" s="62">
        <v>14</v>
      </c>
    </row>
    <row r="1013" spans="1:3" x14ac:dyDescent="0.2">
      <c r="A1013" s="62" t="s">
        <v>5248</v>
      </c>
      <c r="B1013" s="48">
        <v>14</v>
      </c>
      <c r="C1013" s="62">
        <v>14</v>
      </c>
    </row>
    <row r="1014" spans="1:3" x14ac:dyDescent="0.2">
      <c r="A1014" s="62" t="s">
        <v>5247</v>
      </c>
      <c r="B1014" s="48">
        <v>14</v>
      </c>
      <c r="C1014" s="62">
        <v>14</v>
      </c>
    </row>
    <row r="1015" spans="1:3" x14ac:dyDescent="0.2">
      <c r="A1015" s="62" t="s">
        <v>5246</v>
      </c>
      <c r="B1015" s="48">
        <v>14</v>
      </c>
      <c r="C1015" s="62">
        <v>14</v>
      </c>
    </row>
    <row r="1016" spans="1:3" x14ac:dyDescent="0.2">
      <c r="A1016" s="62" t="s">
        <v>5245</v>
      </c>
      <c r="B1016" s="48">
        <v>14</v>
      </c>
      <c r="C1016" s="62">
        <v>14</v>
      </c>
    </row>
    <row r="1017" spans="1:3" x14ac:dyDescent="0.2">
      <c r="A1017" s="62" t="s">
        <v>5244</v>
      </c>
      <c r="B1017" s="48">
        <v>15</v>
      </c>
      <c r="C1017" s="62">
        <v>15</v>
      </c>
    </row>
    <row r="1018" spans="1:3" x14ac:dyDescent="0.2">
      <c r="A1018" s="62" t="s">
        <v>5243</v>
      </c>
      <c r="B1018" s="48">
        <v>14</v>
      </c>
      <c r="C1018" s="62">
        <v>14</v>
      </c>
    </row>
    <row r="1019" spans="1:3" x14ac:dyDescent="0.2">
      <c r="A1019" s="62" t="s">
        <v>5242</v>
      </c>
      <c r="B1019" s="48">
        <v>152</v>
      </c>
      <c r="C1019" s="62">
        <v>152</v>
      </c>
    </row>
    <row r="1020" spans="1:3" x14ac:dyDescent="0.2">
      <c r="A1020" s="62" t="s">
        <v>5240</v>
      </c>
      <c r="B1020" s="48">
        <v>14</v>
      </c>
      <c r="C1020" s="62">
        <v>14</v>
      </c>
    </row>
    <row r="1021" spans="1:3" x14ac:dyDescent="0.2">
      <c r="A1021" s="62" t="s">
        <v>5239</v>
      </c>
      <c r="B1021" s="48">
        <v>225</v>
      </c>
      <c r="C1021" s="62">
        <v>225</v>
      </c>
    </row>
    <row r="1022" spans="1:3" x14ac:dyDescent="0.2">
      <c r="A1022" s="62" t="s">
        <v>5238</v>
      </c>
      <c r="B1022" s="48">
        <v>225</v>
      </c>
      <c r="C1022" s="62">
        <v>225</v>
      </c>
    </row>
    <row r="1023" spans="1:3" x14ac:dyDescent="0.2">
      <c r="A1023" s="62" t="s">
        <v>5237</v>
      </c>
      <c r="B1023" s="48">
        <v>225</v>
      </c>
      <c r="C1023" s="62">
        <v>225</v>
      </c>
    </row>
    <row r="1024" spans="1:3" x14ac:dyDescent="0.2">
      <c r="A1024" s="62" t="s">
        <v>5236</v>
      </c>
      <c r="B1024" s="48">
        <v>225</v>
      </c>
      <c r="C1024" s="62">
        <v>225</v>
      </c>
    </row>
    <row r="1025" spans="1:3" x14ac:dyDescent="0.2">
      <c r="A1025" s="62" t="s">
        <v>5235</v>
      </c>
      <c r="B1025" s="48">
        <v>225</v>
      </c>
      <c r="C1025" s="62">
        <v>225</v>
      </c>
    </row>
    <row r="1026" spans="1:3" x14ac:dyDescent="0.2">
      <c r="A1026" s="62" t="s">
        <v>5234</v>
      </c>
      <c r="B1026" s="48">
        <v>225</v>
      </c>
      <c r="C1026" s="62">
        <v>225</v>
      </c>
    </row>
    <row r="1027" spans="1:3" x14ac:dyDescent="0.2">
      <c r="A1027" s="62" t="s">
        <v>5233</v>
      </c>
      <c r="B1027" s="48">
        <v>225</v>
      </c>
      <c r="C1027" s="62">
        <v>225</v>
      </c>
    </row>
    <row r="1028" spans="1:3" x14ac:dyDescent="0.2">
      <c r="A1028" s="62" t="s">
        <v>5232</v>
      </c>
      <c r="B1028" s="48">
        <v>225</v>
      </c>
      <c r="C1028" s="62">
        <v>225</v>
      </c>
    </row>
    <row r="1029" spans="1:3" x14ac:dyDescent="0.2">
      <c r="A1029" s="62" t="s">
        <v>5231</v>
      </c>
      <c r="B1029" s="48">
        <v>225</v>
      </c>
      <c r="C1029" s="62">
        <v>225</v>
      </c>
    </row>
    <row r="1030" spans="1:3" x14ac:dyDescent="0.2">
      <c r="A1030" s="62" t="s">
        <v>5230</v>
      </c>
      <c r="B1030" s="48">
        <v>225</v>
      </c>
      <c r="C1030" s="62">
        <v>225</v>
      </c>
    </row>
    <row r="1031" spans="1:3" x14ac:dyDescent="0.2">
      <c r="A1031" s="62" t="s">
        <v>5229</v>
      </c>
      <c r="B1031" s="48">
        <v>225</v>
      </c>
      <c r="C1031" s="62">
        <v>225</v>
      </c>
    </row>
    <row r="1032" spans="1:3" x14ac:dyDescent="0.2">
      <c r="A1032" s="62" t="s">
        <v>5228</v>
      </c>
      <c r="B1032" s="48">
        <v>225</v>
      </c>
      <c r="C1032" s="62">
        <v>225</v>
      </c>
    </row>
    <row r="1033" spans="1:3" x14ac:dyDescent="0.2">
      <c r="A1033" s="62" t="s">
        <v>5227</v>
      </c>
      <c r="B1033" s="48">
        <v>225</v>
      </c>
      <c r="C1033" s="62">
        <v>225</v>
      </c>
    </row>
    <row r="1034" spans="1:3" x14ac:dyDescent="0.2">
      <c r="A1034" s="62" t="s">
        <v>5226</v>
      </c>
      <c r="B1034" s="48">
        <v>225</v>
      </c>
      <c r="C1034" s="62">
        <v>225</v>
      </c>
    </row>
    <row r="1035" spans="1:3" x14ac:dyDescent="0.2">
      <c r="A1035" s="62" t="s">
        <v>5225</v>
      </c>
      <c r="B1035" s="48">
        <v>225</v>
      </c>
      <c r="C1035" s="62">
        <v>225</v>
      </c>
    </row>
    <row r="1036" spans="1:3" x14ac:dyDescent="0.2">
      <c r="A1036" s="62" t="s">
        <v>5224</v>
      </c>
      <c r="B1036" s="48">
        <v>225</v>
      </c>
      <c r="C1036" s="62">
        <v>225</v>
      </c>
    </row>
    <row r="1037" spans="1:3" x14ac:dyDescent="0.2">
      <c r="A1037" s="62" t="s">
        <v>5223</v>
      </c>
      <c r="B1037" s="48">
        <v>225</v>
      </c>
      <c r="C1037" s="62">
        <v>225</v>
      </c>
    </row>
    <row r="1038" spans="1:3" x14ac:dyDescent="0.2">
      <c r="A1038" s="62" t="s">
        <v>5222</v>
      </c>
      <c r="B1038" s="48">
        <v>225</v>
      </c>
      <c r="C1038" s="62">
        <v>225</v>
      </c>
    </row>
    <row r="1039" spans="1:3" x14ac:dyDescent="0.2">
      <c r="A1039" s="62" t="s">
        <v>5221</v>
      </c>
      <c r="B1039" s="48">
        <v>225</v>
      </c>
      <c r="C1039" s="62">
        <v>225</v>
      </c>
    </row>
    <row r="1040" spans="1:3" x14ac:dyDescent="0.2">
      <c r="A1040" s="62" t="s">
        <v>5220</v>
      </c>
      <c r="B1040" s="48">
        <v>225</v>
      </c>
      <c r="C1040" s="62">
        <v>225</v>
      </c>
    </row>
    <row r="1041" spans="1:3" x14ac:dyDescent="0.2">
      <c r="A1041" s="62" t="s">
        <v>5219</v>
      </c>
      <c r="B1041" s="48">
        <v>225</v>
      </c>
      <c r="C1041" s="62">
        <v>225</v>
      </c>
    </row>
    <row r="1042" spans="1:3" x14ac:dyDescent="0.2">
      <c r="A1042" s="62" t="s">
        <v>5218</v>
      </c>
      <c r="B1042" s="48">
        <v>225</v>
      </c>
      <c r="C1042" s="62">
        <v>225</v>
      </c>
    </row>
    <row r="1043" spans="1:3" x14ac:dyDescent="0.2">
      <c r="A1043" s="62" t="s">
        <v>5217</v>
      </c>
      <c r="B1043" s="48">
        <v>225</v>
      </c>
      <c r="C1043" s="62">
        <v>225</v>
      </c>
    </row>
    <row r="1044" spans="1:3" x14ac:dyDescent="0.2">
      <c r="A1044" s="62" t="s">
        <v>5216</v>
      </c>
      <c r="B1044" s="48">
        <v>225</v>
      </c>
      <c r="C1044" s="62">
        <v>225</v>
      </c>
    </row>
    <row r="1045" spans="1:3" x14ac:dyDescent="0.2">
      <c r="A1045" s="62" t="s">
        <v>5215</v>
      </c>
      <c r="B1045" s="48">
        <v>225</v>
      </c>
      <c r="C1045" s="62">
        <v>225</v>
      </c>
    </row>
    <row r="1046" spans="1:3" x14ac:dyDescent="0.2">
      <c r="A1046" s="62" t="s">
        <v>5214</v>
      </c>
      <c r="B1046" s="48">
        <v>225</v>
      </c>
      <c r="C1046" s="62">
        <v>225</v>
      </c>
    </row>
    <row r="1047" spans="1:3" x14ac:dyDescent="0.2">
      <c r="A1047" s="62" t="s">
        <v>5213</v>
      </c>
      <c r="B1047" s="48">
        <v>225</v>
      </c>
      <c r="C1047" s="62">
        <v>225</v>
      </c>
    </row>
    <row r="1048" spans="1:3" x14ac:dyDescent="0.2">
      <c r="A1048" s="62" t="s">
        <v>5212</v>
      </c>
      <c r="B1048" s="48">
        <v>225</v>
      </c>
      <c r="C1048" s="62">
        <v>225</v>
      </c>
    </row>
    <row r="1049" spans="1:3" x14ac:dyDescent="0.2">
      <c r="A1049" s="62" t="s">
        <v>5211</v>
      </c>
      <c r="B1049" s="48">
        <v>225</v>
      </c>
      <c r="C1049" s="62">
        <v>225</v>
      </c>
    </row>
    <row r="1050" spans="1:3" x14ac:dyDescent="0.2">
      <c r="A1050" s="62" t="s">
        <v>5210</v>
      </c>
      <c r="B1050" s="48">
        <v>225</v>
      </c>
      <c r="C1050" s="62">
        <v>225</v>
      </c>
    </row>
    <row r="1051" spans="1:3" x14ac:dyDescent="0.2">
      <c r="A1051" s="62" t="s">
        <v>5209</v>
      </c>
      <c r="B1051" s="48">
        <v>225</v>
      </c>
      <c r="C1051" s="62">
        <v>225</v>
      </c>
    </row>
    <row r="1052" spans="1:3" x14ac:dyDescent="0.2">
      <c r="A1052" s="62" t="s">
        <v>5208</v>
      </c>
      <c r="B1052" s="48">
        <v>225</v>
      </c>
      <c r="C1052" s="62">
        <v>225</v>
      </c>
    </row>
    <row r="1053" spans="1:3" x14ac:dyDescent="0.2">
      <c r="A1053" s="62" t="s">
        <v>5207</v>
      </c>
      <c r="B1053" s="48">
        <v>225</v>
      </c>
      <c r="C1053" s="62">
        <v>225</v>
      </c>
    </row>
    <row r="1054" spans="1:3" x14ac:dyDescent="0.2">
      <c r="A1054" s="62" t="s">
        <v>5206</v>
      </c>
      <c r="B1054" s="48">
        <v>225</v>
      </c>
      <c r="C1054" s="62">
        <v>225</v>
      </c>
    </row>
    <row r="1055" spans="1:3" x14ac:dyDescent="0.2">
      <c r="A1055" s="62" t="s">
        <v>5205</v>
      </c>
      <c r="B1055" s="48">
        <v>225</v>
      </c>
      <c r="C1055" s="62">
        <v>225</v>
      </c>
    </row>
    <row r="1056" spans="1:3" x14ac:dyDescent="0.2">
      <c r="A1056" s="62" t="s">
        <v>5204</v>
      </c>
      <c r="B1056" s="48">
        <v>225</v>
      </c>
      <c r="C1056" s="62">
        <v>225</v>
      </c>
    </row>
    <row r="1057" spans="1:3" x14ac:dyDescent="0.2">
      <c r="A1057" s="62" t="s">
        <v>5203</v>
      </c>
      <c r="B1057" s="48">
        <v>225</v>
      </c>
      <c r="C1057" s="62">
        <v>225</v>
      </c>
    </row>
    <row r="1058" spans="1:3" x14ac:dyDescent="0.2">
      <c r="A1058" s="62" t="s">
        <v>5202</v>
      </c>
      <c r="B1058" s="48">
        <v>225</v>
      </c>
      <c r="C1058" s="62">
        <v>225</v>
      </c>
    </row>
    <row r="1059" spans="1:3" x14ac:dyDescent="0.2">
      <c r="A1059" s="62" t="s">
        <v>5201</v>
      </c>
      <c r="B1059" s="48">
        <v>225</v>
      </c>
      <c r="C1059" s="62">
        <v>225</v>
      </c>
    </row>
    <row r="1060" spans="1:3" x14ac:dyDescent="0.2">
      <c r="A1060" s="62" t="s">
        <v>5200</v>
      </c>
      <c r="B1060" s="48">
        <v>225</v>
      </c>
      <c r="C1060" s="62">
        <v>225</v>
      </c>
    </row>
    <row r="1061" spans="1:3" x14ac:dyDescent="0.2">
      <c r="A1061" s="62" t="s">
        <v>5199</v>
      </c>
      <c r="B1061" s="48">
        <v>225</v>
      </c>
      <c r="C1061" s="62">
        <v>225</v>
      </c>
    </row>
    <row r="1062" spans="1:3" x14ac:dyDescent="0.2">
      <c r="A1062" s="62" t="s">
        <v>5198</v>
      </c>
      <c r="B1062" s="48">
        <v>225</v>
      </c>
      <c r="C1062" s="62">
        <v>225</v>
      </c>
    </row>
    <row r="1063" spans="1:3" x14ac:dyDescent="0.2">
      <c r="A1063" s="62" t="s">
        <v>5197</v>
      </c>
      <c r="B1063" s="48">
        <v>225</v>
      </c>
      <c r="C1063" s="62">
        <v>225</v>
      </c>
    </row>
    <row r="1064" spans="1:3" x14ac:dyDescent="0.2">
      <c r="A1064" s="62" t="s">
        <v>5196</v>
      </c>
      <c r="B1064" s="48">
        <v>154</v>
      </c>
      <c r="C1064" s="62">
        <v>154</v>
      </c>
    </row>
    <row r="1065" spans="1:3" x14ac:dyDescent="0.2">
      <c r="A1065" s="62" t="s">
        <v>5195</v>
      </c>
      <c r="B1065" s="48">
        <v>190</v>
      </c>
      <c r="C1065" s="62">
        <v>190</v>
      </c>
    </row>
    <row r="1066" spans="1:3" x14ac:dyDescent="0.2">
      <c r="A1066" s="62" t="s">
        <v>5194</v>
      </c>
      <c r="B1066" s="48">
        <v>11</v>
      </c>
      <c r="C1066" s="62">
        <v>11</v>
      </c>
    </row>
    <row r="1067" spans="1:3" x14ac:dyDescent="0.2">
      <c r="A1067" s="62" t="s">
        <v>5193</v>
      </c>
      <c r="B1067" s="48">
        <v>14</v>
      </c>
      <c r="C1067" s="62">
        <v>14</v>
      </c>
    </row>
    <row r="1068" spans="1:3" x14ac:dyDescent="0.2">
      <c r="A1068" s="62" t="s">
        <v>5192</v>
      </c>
      <c r="B1068" s="48">
        <v>14</v>
      </c>
      <c r="C1068" s="62">
        <v>14</v>
      </c>
    </row>
    <row r="1069" spans="1:3" x14ac:dyDescent="0.2">
      <c r="A1069" s="62" t="s">
        <v>5191</v>
      </c>
      <c r="B1069" s="48">
        <v>14</v>
      </c>
      <c r="C1069" s="62">
        <v>14</v>
      </c>
    </row>
    <row r="1070" spans="1:3" x14ac:dyDescent="0.2">
      <c r="A1070" s="62" t="s">
        <v>5190</v>
      </c>
      <c r="B1070" s="48">
        <v>4</v>
      </c>
      <c r="C1070" s="62">
        <v>4</v>
      </c>
    </row>
    <row r="1071" spans="1:3" x14ac:dyDescent="0.2">
      <c r="A1071" s="62" t="s">
        <v>5189</v>
      </c>
      <c r="B1071" s="48">
        <v>192</v>
      </c>
      <c r="C1071" s="62">
        <v>192</v>
      </c>
    </row>
    <row r="1072" spans="1:3" x14ac:dyDescent="0.2">
      <c r="A1072" s="62" t="s">
        <v>5187</v>
      </c>
      <c r="B1072" s="48">
        <v>192</v>
      </c>
      <c r="C1072" s="62">
        <v>192</v>
      </c>
    </row>
    <row r="1073" spans="1:3" x14ac:dyDescent="0.2">
      <c r="A1073" s="62" t="s">
        <v>5185</v>
      </c>
      <c r="B1073" s="48">
        <v>192</v>
      </c>
      <c r="C1073" s="62">
        <v>192</v>
      </c>
    </row>
    <row r="1074" spans="1:3" x14ac:dyDescent="0.2">
      <c r="A1074" s="62" t="s">
        <v>5183</v>
      </c>
      <c r="B1074" s="48">
        <v>14</v>
      </c>
      <c r="C1074" s="62">
        <v>14</v>
      </c>
    </row>
    <row r="1075" spans="1:3" x14ac:dyDescent="0.2">
      <c r="A1075" s="62" t="s">
        <v>5182</v>
      </c>
      <c r="B1075" s="48">
        <v>14</v>
      </c>
      <c r="C1075" s="62">
        <v>14</v>
      </c>
    </row>
    <row r="1076" spans="1:3" x14ac:dyDescent="0.2">
      <c r="A1076" s="62" t="s">
        <v>5181</v>
      </c>
      <c r="B1076" s="48">
        <v>24</v>
      </c>
      <c r="C1076" s="62">
        <v>24</v>
      </c>
    </row>
    <row r="1077" spans="1:3" x14ac:dyDescent="0.2">
      <c r="A1077" s="62" t="s">
        <v>5180</v>
      </c>
      <c r="B1077" s="48">
        <v>68</v>
      </c>
      <c r="C1077" s="62">
        <v>68</v>
      </c>
    </row>
    <row r="1078" spans="1:3" x14ac:dyDescent="0.2">
      <c r="A1078" s="62" t="s">
        <v>5179</v>
      </c>
      <c r="B1078" s="48">
        <v>68</v>
      </c>
      <c r="C1078" s="62">
        <v>68</v>
      </c>
    </row>
    <row r="1079" spans="1:3" x14ac:dyDescent="0.2">
      <c r="A1079" s="62" t="s">
        <v>5178</v>
      </c>
      <c r="B1079" s="48">
        <v>1</v>
      </c>
      <c r="C1079" s="62">
        <v>1</v>
      </c>
    </row>
    <row r="1080" spans="1:3" x14ac:dyDescent="0.2">
      <c r="A1080" s="62" t="s">
        <v>5177</v>
      </c>
      <c r="B1080" s="48">
        <v>15</v>
      </c>
      <c r="C1080" s="62">
        <v>15</v>
      </c>
    </row>
    <row r="1081" spans="1:3" x14ac:dyDescent="0.2">
      <c r="A1081" s="62" t="s">
        <v>5176</v>
      </c>
      <c r="B1081" s="48">
        <v>60</v>
      </c>
      <c r="C1081" s="62">
        <v>60</v>
      </c>
    </row>
    <row r="1082" spans="1:3" x14ac:dyDescent="0.2">
      <c r="A1082" s="62" t="s">
        <v>5175</v>
      </c>
      <c r="B1082" s="48">
        <v>131</v>
      </c>
      <c r="C1082" s="62">
        <v>131</v>
      </c>
    </row>
    <row r="1083" spans="1:3" x14ac:dyDescent="0.2">
      <c r="A1083" s="62" t="s">
        <v>5174</v>
      </c>
      <c r="B1083" s="48">
        <v>61</v>
      </c>
      <c r="C1083" s="62">
        <v>61</v>
      </c>
    </row>
    <row r="1084" spans="1:3" x14ac:dyDescent="0.2">
      <c r="A1084" s="62" t="s">
        <v>5173</v>
      </c>
      <c r="B1084" s="48">
        <v>61</v>
      </c>
      <c r="C1084" s="62">
        <v>61</v>
      </c>
    </row>
    <row r="1085" spans="1:3" x14ac:dyDescent="0.2">
      <c r="A1085" s="62" t="s">
        <v>5171</v>
      </c>
      <c r="B1085" s="48">
        <v>61</v>
      </c>
      <c r="C1085" s="62">
        <v>61</v>
      </c>
    </row>
    <row r="1086" spans="1:3" x14ac:dyDescent="0.2">
      <c r="A1086" s="62" t="s">
        <v>5170</v>
      </c>
      <c r="B1086" s="48">
        <v>61</v>
      </c>
      <c r="C1086" s="62">
        <v>61</v>
      </c>
    </row>
    <row r="1087" spans="1:3" x14ac:dyDescent="0.2">
      <c r="A1087" s="62" t="s">
        <v>5168</v>
      </c>
      <c r="B1087" s="48">
        <v>217</v>
      </c>
      <c r="C1087" s="62">
        <v>217</v>
      </c>
    </row>
    <row r="1088" spans="1:3" x14ac:dyDescent="0.2">
      <c r="A1088" s="62" t="s">
        <v>5167</v>
      </c>
      <c r="B1088" s="48">
        <v>15</v>
      </c>
      <c r="C1088" s="62">
        <v>15</v>
      </c>
    </row>
    <row r="1089" spans="1:3" x14ac:dyDescent="0.2">
      <c r="A1089" s="62" t="s">
        <v>5166</v>
      </c>
      <c r="B1089" s="48">
        <v>2</v>
      </c>
      <c r="C1089" s="62">
        <v>2</v>
      </c>
    </row>
    <row r="1090" spans="1:3" x14ac:dyDescent="0.2">
      <c r="A1090" s="62" t="s">
        <v>5165</v>
      </c>
      <c r="B1090" s="48">
        <v>11</v>
      </c>
      <c r="C1090" s="62">
        <v>11</v>
      </c>
    </row>
    <row r="1091" spans="1:3" x14ac:dyDescent="0.2">
      <c r="A1091" s="62" t="s">
        <v>5164</v>
      </c>
      <c r="B1091" s="48">
        <v>15</v>
      </c>
      <c r="C1091" s="62">
        <v>15</v>
      </c>
    </row>
    <row r="1092" spans="1:3" x14ac:dyDescent="0.2">
      <c r="A1092" s="62" t="s">
        <v>5163</v>
      </c>
      <c r="B1092" s="48">
        <v>15</v>
      </c>
      <c r="C1092" s="62">
        <v>15</v>
      </c>
    </row>
    <row r="1093" spans="1:3" x14ac:dyDescent="0.2">
      <c r="A1093" s="62" t="s">
        <v>5162</v>
      </c>
      <c r="B1093" s="48">
        <v>15</v>
      </c>
      <c r="C1093" s="62">
        <v>15</v>
      </c>
    </row>
    <row r="1094" spans="1:3" x14ac:dyDescent="0.2">
      <c r="A1094" s="62" t="s">
        <v>5161</v>
      </c>
      <c r="B1094" s="48">
        <v>15</v>
      </c>
      <c r="C1094" s="62">
        <v>15</v>
      </c>
    </row>
    <row r="1095" spans="1:3" x14ac:dyDescent="0.2">
      <c r="A1095" s="62" t="s">
        <v>5160</v>
      </c>
      <c r="B1095" s="48">
        <v>15</v>
      </c>
      <c r="C1095" s="62">
        <v>15</v>
      </c>
    </row>
    <row r="1096" spans="1:3" x14ac:dyDescent="0.2">
      <c r="A1096" s="62" t="s">
        <v>5159</v>
      </c>
      <c r="B1096" s="48">
        <v>14</v>
      </c>
      <c r="C1096" s="62">
        <v>14</v>
      </c>
    </row>
    <row r="1097" spans="1:3" x14ac:dyDescent="0.2">
      <c r="A1097" s="62" t="s">
        <v>5152</v>
      </c>
      <c r="B1097" s="48">
        <v>15</v>
      </c>
      <c r="C1097" s="62">
        <v>15</v>
      </c>
    </row>
    <row r="1098" spans="1:3" x14ac:dyDescent="0.2">
      <c r="A1098" s="62" t="s">
        <v>5151</v>
      </c>
      <c r="B1098" s="48">
        <v>15</v>
      </c>
      <c r="C1098" s="62">
        <v>15</v>
      </c>
    </row>
    <row r="1099" spans="1:3" x14ac:dyDescent="0.2">
      <c r="A1099" s="62" t="s">
        <v>5149</v>
      </c>
      <c r="B1099" s="48">
        <v>15</v>
      </c>
      <c r="C1099" s="62">
        <v>15</v>
      </c>
    </row>
    <row r="1100" spans="1:3" x14ac:dyDescent="0.2">
      <c r="A1100" s="62" t="s">
        <v>5148</v>
      </c>
      <c r="B1100" s="48">
        <v>54</v>
      </c>
      <c r="C1100" s="62">
        <v>54</v>
      </c>
    </row>
    <row r="1101" spans="1:3" x14ac:dyDescent="0.2">
      <c r="A1101" s="62" t="s">
        <v>5147</v>
      </c>
      <c r="B1101" s="48">
        <v>61</v>
      </c>
      <c r="C1101" s="62">
        <v>61</v>
      </c>
    </row>
    <row r="1102" spans="1:3" x14ac:dyDescent="0.2">
      <c r="A1102" s="62" t="s">
        <v>5146</v>
      </c>
      <c r="B1102" s="48">
        <v>29</v>
      </c>
      <c r="C1102" s="62">
        <v>29</v>
      </c>
    </row>
    <row r="1103" spans="1:3" x14ac:dyDescent="0.2">
      <c r="A1103" s="62" t="s">
        <v>5145</v>
      </c>
      <c r="B1103" s="48">
        <v>2</v>
      </c>
      <c r="C1103" s="62">
        <v>2</v>
      </c>
    </row>
    <row r="1104" spans="1:3" x14ac:dyDescent="0.2">
      <c r="A1104" s="62" t="s">
        <v>5144</v>
      </c>
      <c r="B1104" s="48">
        <v>12</v>
      </c>
      <c r="C1104" s="62">
        <v>12</v>
      </c>
    </row>
    <row r="1105" spans="1:3" x14ac:dyDescent="0.2">
      <c r="A1105" s="62" t="s">
        <v>5143</v>
      </c>
      <c r="B1105" s="48">
        <v>59</v>
      </c>
      <c r="C1105" s="62">
        <v>59</v>
      </c>
    </row>
    <row r="1106" spans="1:3" x14ac:dyDescent="0.2">
      <c r="A1106" s="62" t="s">
        <v>5142</v>
      </c>
      <c r="B1106" s="48">
        <v>88</v>
      </c>
      <c r="C1106" s="62">
        <v>88</v>
      </c>
    </row>
    <row r="1107" spans="1:3" x14ac:dyDescent="0.2">
      <c r="A1107" s="62" t="s">
        <v>5141</v>
      </c>
      <c r="B1107" s="48">
        <v>15</v>
      </c>
      <c r="C1107" s="62">
        <v>15</v>
      </c>
    </row>
    <row r="1108" spans="1:3" x14ac:dyDescent="0.2">
      <c r="A1108" s="62" t="s">
        <v>5140</v>
      </c>
      <c r="B1108" s="48">
        <v>14</v>
      </c>
      <c r="C1108" s="62">
        <v>14</v>
      </c>
    </row>
    <row r="1109" spans="1:3" x14ac:dyDescent="0.2">
      <c r="A1109" s="62" t="s">
        <v>5139</v>
      </c>
      <c r="B1109" s="48">
        <v>13</v>
      </c>
      <c r="C1109" s="62">
        <v>13</v>
      </c>
    </row>
    <row r="1110" spans="1:3" x14ac:dyDescent="0.2">
      <c r="A1110" s="62" t="s">
        <v>5138</v>
      </c>
      <c r="B1110" s="48">
        <v>9</v>
      </c>
      <c r="C1110" s="62">
        <v>9</v>
      </c>
    </row>
    <row r="1111" spans="1:3" x14ac:dyDescent="0.2">
      <c r="A1111" s="62" t="s">
        <v>5137</v>
      </c>
      <c r="B1111" s="48">
        <v>147</v>
      </c>
      <c r="C1111" s="62">
        <v>147</v>
      </c>
    </row>
    <row r="1112" spans="1:3" x14ac:dyDescent="0.2">
      <c r="A1112" s="62" t="s">
        <v>5136</v>
      </c>
      <c r="B1112" s="48">
        <v>148</v>
      </c>
      <c r="C1112" s="62">
        <v>148</v>
      </c>
    </row>
    <row r="1113" spans="1:3" x14ac:dyDescent="0.2">
      <c r="A1113" s="62" t="s">
        <v>5135</v>
      </c>
      <c r="B1113" s="48">
        <v>148</v>
      </c>
      <c r="C1113" s="62">
        <v>148</v>
      </c>
    </row>
    <row r="1114" spans="1:3" x14ac:dyDescent="0.2">
      <c r="A1114" s="62" t="s">
        <v>5134</v>
      </c>
      <c r="B1114" s="48">
        <v>148</v>
      </c>
      <c r="C1114" s="62">
        <v>148</v>
      </c>
    </row>
    <row r="1115" spans="1:3" x14ac:dyDescent="0.2">
      <c r="A1115" s="62" t="s">
        <v>5133</v>
      </c>
      <c r="B1115" s="48">
        <v>147</v>
      </c>
      <c r="C1115" s="62">
        <v>147</v>
      </c>
    </row>
    <row r="1116" spans="1:3" x14ac:dyDescent="0.2">
      <c r="A1116" s="62" t="s">
        <v>5132</v>
      </c>
      <c r="B1116" s="48">
        <v>15</v>
      </c>
      <c r="C1116" s="62">
        <v>15</v>
      </c>
    </row>
    <row r="1117" spans="1:3" x14ac:dyDescent="0.2">
      <c r="A1117" s="62" t="s">
        <v>5131</v>
      </c>
      <c r="B1117" s="48">
        <v>14</v>
      </c>
      <c r="C1117" s="62">
        <v>14</v>
      </c>
    </row>
    <row r="1118" spans="1:3" x14ac:dyDescent="0.2">
      <c r="A1118" s="62" t="s">
        <v>5130</v>
      </c>
      <c r="B1118" s="48">
        <v>12</v>
      </c>
      <c r="C1118" s="62">
        <v>12</v>
      </c>
    </row>
    <row r="1119" spans="1:3" x14ac:dyDescent="0.2">
      <c r="A1119" s="62" t="s">
        <v>5129</v>
      </c>
      <c r="B1119" s="48">
        <v>12</v>
      </c>
      <c r="C1119" s="62">
        <v>12</v>
      </c>
    </row>
    <row r="1120" spans="1:3" x14ac:dyDescent="0.2">
      <c r="A1120" s="62" t="s">
        <v>5128</v>
      </c>
      <c r="B1120" s="48">
        <v>14</v>
      </c>
      <c r="C1120" s="62">
        <v>14</v>
      </c>
    </row>
    <row r="1121" spans="1:3" x14ac:dyDescent="0.2">
      <c r="A1121" s="62" t="s">
        <v>5127</v>
      </c>
      <c r="B1121" s="48">
        <v>2</v>
      </c>
      <c r="C1121" s="62">
        <v>2</v>
      </c>
    </row>
    <row r="1122" spans="1:3" x14ac:dyDescent="0.2">
      <c r="A1122" s="62" t="s">
        <v>5126</v>
      </c>
      <c r="B1122" s="48">
        <v>61</v>
      </c>
      <c r="C1122" s="62">
        <v>61</v>
      </c>
    </row>
    <row r="1123" spans="1:3" x14ac:dyDescent="0.2">
      <c r="A1123" s="62" t="s">
        <v>5125</v>
      </c>
      <c r="B1123" s="48">
        <v>14</v>
      </c>
      <c r="C1123" s="62">
        <v>14</v>
      </c>
    </row>
    <row r="1124" spans="1:3" x14ac:dyDescent="0.2">
      <c r="A1124" s="62" t="s">
        <v>5122</v>
      </c>
      <c r="B1124" s="48">
        <v>2</v>
      </c>
      <c r="C1124" s="62">
        <v>2</v>
      </c>
    </row>
    <row r="1125" spans="1:3" x14ac:dyDescent="0.2">
      <c r="A1125" s="62" t="s">
        <v>5121</v>
      </c>
      <c r="B1125" s="48">
        <v>2</v>
      </c>
      <c r="C1125" s="62">
        <v>2</v>
      </c>
    </row>
    <row r="1126" spans="1:3" x14ac:dyDescent="0.2">
      <c r="A1126" s="62" t="s">
        <v>5120</v>
      </c>
      <c r="B1126" s="48">
        <v>165</v>
      </c>
      <c r="C1126" s="62">
        <v>165</v>
      </c>
    </row>
    <row r="1127" spans="1:3" x14ac:dyDescent="0.2">
      <c r="A1127" s="62" t="s">
        <v>5119</v>
      </c>
      <c r="B1127" s="48">
        <v>62</v>
      </c>
      <c r="C1127" s="62">
        <v>62</v>
      </c>
    </row>
    <row r="1128" spans="1:3" x14ac:dyDescent="0.2">
      <c r="A1128" s="62" t="s">
        <v>5118</v>
      </c>
      <c r="B1128" s="48">
        <v>2</v>
      </c>
      <c r="C1128" s="62">
        <v>2</v>
      </c>
    </row>
    <row r="1129" spans="1:3" x14ac:dyDescent="0.2">
      <c r="A1129" s="62" t="s">
        <v>5117</v>
      </c>
      <c r="B1129" s="48">
        <v>2</v>
      </c>
      <c r="C1129" s="62">
        <v>2</v>
      </c>
    </row>
    <row r="1130" spans="1:3" x14ac:dyDescent="0.2">
      <c r="A1130" s="62" t="s">
        <v>5116</v>
      </c>
      <c r="B1130" s="48">
        <v>2</v>
      </c>
      <c r="C1130" s="62">
        <v>2</v>
      </c>
    </row>
    <row r="1131" spans="1:3" x14ac:dyDescent="0.2">
      <c r="A1131" s="62" t="s">
        <v>5115</v>
      </c>
      <c r="B1131" s="48">
        <v>2</v>
      </c>
      <c r="C1131" s="62">
        <v>2</v>
      </c>
    </row>
    <row r="1132" spans="1:3" x14ac:dyDescent="0.2">
      <c r="A1132" s="62" t="s">
        <v>5114</v>
      </c>
      <c r="B1132" s="48">
        <v>2</v>
      </c>
      <c r="C1132" s="62">
        <v>2</v>
      </c>
    </row>
    <row r="1133" spans="1:3" x14ac:dyDescent="0.2">
      <c r="A1133" s="62" t="s">
        <v>5113</v>
      </c>
      <c r="B1133" s="48">
        <v>36</v>
      </c>
      <c r="C1133" s="62">
        <v>36</v>
      </c>
    </row>
    <row r="1134" spans="1:3" x14ac:dyDescent="0.2">
      <c r="A1134" s="62" t="s">
        <v>5112</v>
      </c>
      <c r="B1134" s="48">
        <v>36</v>
      </c>
      <c r="C1134" s="62">
        <v>36</v>
      </c>
    </row>
    <row r="1135" spans="1:3" x14ac:dyDescent="0.2">
      <c r="A1135" s="62" t="s">
        <v>5111</v>
      </c>
      <c r="B1135" s="48">
        <v>36</v>
      </c>
      <c r="C1135" s="62">
        <v>36</v>
      </c>
    </row>
    <row r="1136" spans="1:3" x14ac:dyDescent="0.2">
      <c r="A1136" s="62" t="s">
        <v>5110</v>
      </c>
      <c r="B1136" s="48">
        <v>36</v>
      </c>
      <c r="C1136" s="62">
        <v>36</v>
      </c>
    </row>
    <row r="1137" spans="1:3" x14ac:dyDescent="0.2">
      <c r="A1137" s="62" t="s">
        <v>5109</v>
      </c>
      <c r="B1137" s="48">
        <v>14</v>
      </c>
      <c r="C1137" s="62">
        <v>14</v>
      </c>
    </row>
    <row r="1138" spans="1:3" x14ac:dyDescent="0.2">
      <c r="A1138" s="62" t="s">
        <v>5108</v>
      </c>
      <c r="B1138" s="48">
        <v>2</v>
      </c>
      <c r="C1138" s="62">
        <v>2</v>
      </c>
    </row>
    <row r="1139" spans="1:3" x14ac:dyDescent="0.2">
      <c r="A1139" s="62" t="s">
        <v>5107</v>
      </c>
      <c r="B1139" s="48">
        <v>14</v>
      </c>
      <c r="C1139" s="62">
        <v>14</v>
      </c>
    </row>
    <row r="1140" spans="1:3" x14ac:dyDescent="0.2">
      <c r="A1140" s="62" t="s">
        <v>5106</v>
      </c>
      <c r="B1140" s="48">
        <v>2</v>
      </c>
      <c r="C1140" s="62">
        <v>2</v>
      </c>
    </row>
    <row r="1141" spans="1:3" x14ac:dyDescent="0.2">
      <c r="A1141" s="62" t="s">
        <v>5105</v>
      </c>
      <c r="B1141" s="48">
        <v>14</v>
      </c>
      <c r="C1141" s="62">
        <v>14</v>
      </c>
    </row>
    <row r="1142" spans="1:3" x14ac:dyDescent="0.2">
      <c r="A1142" s="62" t="s">
        <v>5104</v>
      </c>
      <c r="B1142" s="48">
        <v>14</v>
      </c>
      <c r="C1142" s="62">
        <v>14</v>
      </c>
    </row>
    <row r="1143" spans="1:3" x14ac:dyDescent="0.2">
      <c r="A1143" s="62" t="s">
        <v>5103</v>
      </c>
      <c r="B1143" s="48">
        <v>14</v>
      </c>
      <c r="C1143" s="62">
        <v>14</v>
      </c>
    </row>
    <row r="1144" spans="1:3" x14ac:dyDescent="0.2">
      <c r="A1144" s="62" t="s">
        <v>5101</v>
      </c>
      <c r="B1144" s="48">
        <v>148</v>
      </c>
      <c r="C1144" s="62">
        <v>148</v>
      </c>
    </row>
    <row r="1145" spans="1:3" x14ac:dyDescent="0.2">
      <c r="A1145" s="62" t="s">
        <v>5100</v>
      </c>
      <c r="B1145" s="48">
        <v>2</v>
      </c>
      <c r="C1145" s="62">
        <v>2</v>
      </c>
    </row>
    <row r="1146" spans="1:3" x14ac:dyDescent="0.2">
      <c r="A1146" s="62" t="s">
        <v>5099</v>
      </c>
      <c r="B1146" s="48">
        <v>2</v>
      </c>
      <c r="C1146" s="62">
        <v>2</v>
      </c>
    </row>
    <row r="1147" spans="1:3" x14ac:dyDescent="0.2">
      <c r="A1147" s="62" t="s">
        <v>5098</v>
      </c>
      <c r="B1147" s="48">
        <v>15</v>
      </c>
      <c r="C1147" s="62">
        <v>15</v>
      </c>
    </row>
    <row r="1148" spans="1:3" x14ac:dyDescent="0.2">
      <c r="A1148" s="62" t="s">
        <v>5097</v>
      </c>
      <c r="B1148" s="48">
        <v>152</v>
      </c>
      <c r="C1148" s="62">
        <v>152</v>
      </c>
    </row>
    <row r="1149" spans="1:3" x14ac:dyDescent="0.2">
      <c r="A1149" s="62" t="s">
        <v>5096</v>
      </c>
      <c r="B1149" s="48">
        <v>152</v>
      </c>
      <c r="C1149" s="62">
        <v>152</v>
      </c>
    </row>
    <row r="1150" spans="1:3" x14ac:dyDescent="0.2">
      <c r="A1150" s="62" t="s">
        <v>5095</v>
      </c>
      <c r="B1150" s="48">
        <v>225</v>
      </c>
      <c r="C1150" s="62">
        <v>225</v>
      </c>
    </row>
    <row r="1151" spans="1:3" x14ac:dyDescent="0.2">
      <c r="A1151" s="62" t="s">
        <v>5094</v>
      </c>
      <c r="B1151" s="48">
        <v>225</v>
      </c>
      <c r="C1151" s="62">
        <v>225</v>
      </c>
    </row>
    <row r="1152" spans="1:3" x14ac:dyDescent="0.2">
      <c r="A1152" s="62" t="s">
        <v>5093</v>
      </c>
      <c r="B1152" s="48">
        <v>15</v>
      </c>
      <c r="C1152" s="62">
        <v>15</v>
      </c>
    </row>
    <row r="1153" spans="1:3" x14ac:dyDescent="0.2">
      <c r="A1153" s="62" t="s">
        <v>5092</v>
      </c>
      <c r="B1153" s="48">
        <v>15</v>
      </c>
      <c r="C1153" s="62">
        <v>15</v>
      </c>
    </row>
    <row r="1154" spans="1:3" x14ac:dyDescent="0.2">
      <c r="A1154" s="62" t="s">
        <v>5091</v>
      </c>
      <c r="B1154" s="48">
        <v>1</v>
      </c>
      <c r="C1154" s="62">
        <v>1</v>
      </c>
    </row>
    <row r="1155" spans="1:3" x14ac:dyDescent="0.2">
      <c r="A1155" s="62" t="s">
        <v>5090</v>
      </c>
      <c r="B1155" s="48">
        <v>205</v>
      </c>
      <c r="C1155" s="62">
        <v>205</v>
      </c>
    </row>
    <row r="1156" spans="1:3" x14ac:dyDescent="0.2">
      <c r="A1156" s="62" t="s">
        <v>5089</v>
      </c>
      <c r="B1156" s="48">
        <v>61</v>
      </c>
      <c r="C1156" s="62">
        <v>61</v>
      </c>
    </row>
    <row r="1157" spans="1:3" x14ac:dyDescent="0.2">
      <c r="A1157" s="62" t="s">
        <v>5088</v>
      </c>
      <c r="B1157" s="48">
        <v>61</v>
      </c>
      <c r="C1157" s="62">
        <v>61</v>
      </c>
    </row>
    <row r="1158" spans="1:3" x14ac:dyDescent="0.2">
      <c r="A1158" s="62" t="s">
        <v>5087</v>
      </c>
      <c r="B1158" s="48">
        <v>61</v>
      </c>
      <c r="C1158" s="62">
        <v>61</v>
      </c>
    </row>
    <row r="1159" spans="1:3" x14ac:dyDescent="0.2">
      <c r="A1159" s="62" t="s">
        <v>5086</v>
      </c>
      <c r="B1159" s="48">
        <v>62</v>
      </c>
      <c r="C1159" s="62">
        <v>62</v>
      </c>
    </row>
    <row r="1160" spans="1:3" x14ac:dyDescent="0.2">
      <c r="A1160" s="62" t="s">
        <v>5085</v>
      </c>
      <c r="B1160" s="48">
        <v>62</v>
      </c>
      <c r="C1160" s="62">
        <v>62</v>
      </c>
    </row>
    <row r="1161" spans="1:3" x14ac:dyDescent="0.2">
      <c r="A1161" s="62" t="s">
        <v>5083</v>
      </c>
      <c r="B1161" s="48">
        <v>106</v>
      </c>
      <c r="C1161" s="62">
        <v>106</v>
      </c>
    </row>
    <row r="1162" spans="1:3" x14ac:dyDescent="0.2">
      <c r="A1162" s="62" t="s">
        <v>5082</v>
      </c>
      <c r="B1162" s="48">
        <v>141</v>
      </c>
      <c r="C1162" s="62">
        <v>141</v>
      </c>
    </row>
    <row r="1163" spans="1:3" x14ac:dyDescent="0.2">
      <c r="A1163" s="62" t="s">
        <v>5077</v>
      </c>
      <c r="B1163" s="48">
        <v>2</v>
      </c>
      <c r="C1163" s="62">
        <v>2</v>
      </c>
    </row>
    <row r="1164" spans="1:3" x14ac:dyDescent="0.2">
      <c r="A1164" s="62" t="s">
        <v>5075</v>
      </c>
      <c r="B1164" s="48">
        <v>167</v>
      </c>
      <c r="C1164" s="62">
        <v>167</v>
      </c>
    </row>
    <row r="1165" spans="1:3" x14ac:dyDescent="0.2">
      <c r="A1165" s="62" t="s">
        <v>5074</v>
      </c>
      <c r="B1165" s="48">
        <v>70</v>
      </c>
      <c r="C1165" s="62">
        <v>70</v>
      </c>
    </row>
    <row r="1166" spans="1:3" x14ac:dyDescent="0.2">
      <c r="A1166" s="62" t="s">
        <v>5073</v>
      </c>
      <c r="B1166" s="48">
        <v>55</v>
      </c>
      <c r="C1166" s="62">
        <v>55</v>
      </c>
    </row>
    <row r="1167" spans="1:3" x14ac:dyDescent="0.2">
      <c r="A1167" s="62" t="s">
        <v>5072</v>
      </c>
      <c r="B1167" s="48">
        <v>165</v>
      </c>
      <c r="C1167" s="62">
        <v>165</v>
      </c>
    </row>
    <row r="1168" spans="1:3" x14ac:dyDescent="0.2">
      <c r="A1168" s="62" t="s">
        <v>5071</v>
      </c>
      <c r="B1168" s="48">
        <v>15</v>
      </c>
      <c r="C1168" s="62">
        <v>15</v>
      </c>
    </row>
    <row r="1169" spans="1:3" x14ac:dyDescent="0.2">
      <c r="A1169" s="62" t="s">
        <v>5070</v>
      </c>
      <c r="B1169" s="48">
        <v>2</v>
      </c>
      <c r="C1169" s="62">
        <v>2</v>
      </c>
    </row>
    <row r="1170" spans="1:3" x14ac:dyDescent="0.2">
      <c r="A1170" s="62" t="s">
        <v>5069</v>
      </c>
      <c r="B1170" s="48">
        <v>204</v>
      </c>
      <c r="C1170" s="62">
        <v>204</v>
      </c>
    </row>
    <row r="1171" spans="1:3" x14ac:dyDescent="0.2">
      <c r="A1171" s="62" t="s">
        <v>5068</v>
      </c>
      <c r="B1171" s="48">
        <v>204</v>
      </c>
      <c r="C1171" s="62">
        <v>204</v>
      </c>
    </row>
    <row r="1172" spans="1:3" x14ac:dyDescent="0.2">
      <c r="A1172" s="62" t="s">
        <v>5066</v>
      </c>
      <c r="B1172" s="48">
        <v>2</v>
      </c>
      <c r="C1172" s="62">
        <v>2</v>
      </c>
    </row>
    <row r="1173" spans="1:3" x14ac:dyDescent="0.2">
      <c r="A1173" s="62" t="s">
        <v>5065</v>
      </c>
      <c r="B1173" s="48">
        <v>2</v>
      </c>
      <c r="C1173" s="62">
        <v>2</v>
      </c>
    </row>
    <row r="1174" spans="1:3" x14ac:dyDescent="0.2">
      <c r="A1174" s="62" t="s">
        <v>5064</v>
      </c>
      <c r="B1174" s="48">
        <v>148</v>
      </c>
      <c r="C1174" s="62">
        <v>148</v>
      </c>
    </row>
    <row r="1175" spans="1:3" x14ac:dyDescent="0.2">
      <c r="A1175" s="62" t="s">
        <v>5063</v>
      </c>
      <c r="B1175" s="48">
        <v>2</v>
      </c>
      <c r="C1175" s="62">
        <v>2</v>
      </c>
    </row>
    <row r="1176" spans="1:3" x14ac:dyDescent="0.2">
      <c r="A1176" s="62" t="s">
        <v>5062</v>
      </c>
      <c r="B1176" s="48">
        <v>2</v>
      </c>
      <c r="C1176" s="62">
        <v>2</v>
      </c>
    </row>
    <row r="1177" spans="1:3" x14ac:dyDescent="0.2">
      <c r="A1177" s="62" t="s">
        <v>5061</v>
      </c>
      <c r="B1177" s="48">
        <v>14</v>
      </c>
      <c r="C1177" s="62">
        <v>14</v>
      </c>
    </row>
    <row r="1178" spans="1:3" x14ac:dyDescent="0.2">
      <c r="A1178" s="62" t="s">
        <v>5058</v>
      </c>
      <c r="B1178" s="48">
        <v>120</v>
      </c>
      <c r="C1178" s="62">
        <v>120</v>
      </c>
    </row>
    <row r="1179" spans="1:3" x14ac:dyDescent="0.2">
      <c r="A1179" s="62" t="s">
        <v>5057</v>
      </c>
      <c r="B1179" s="48">
        <v>83</v>
      </c>
      <c r="C1179" s="62">
        <v>83</v>
      </c>
    </row>
    <row r="1180" spans="1:3" x14ac:dyDescent="0.2">
      <c r="A1180" s="62" t="s">
        <v>5055</v>
      </c>
      <c r="B1180" s="48">
        <v>182</v>
      </c>
      <c r="C1180" s="62">
        <v>182</v>
      </c>
    </row>
    <row r="1181" spans="1:3" x14ac:dyDescent="0.2">
      <c r="A1181" s="62" t="s">
        <v>5054</v>
      </c>
      <c r="B1181" s="48">
        <v>2</v>
      </c>
      <c r="C1181" s="62">
        <v>2</v>
      </c>
    </row>
    <row r="1182" spans="1:3" x14ac:dyDescent="0.2">
      <c r="A1182" s="62" t="s">
        <v>5053</v>
      </c>
      <c r="B1182" s="48">
        <v>14</v>
      </c>
      <c r="C1182" s="62">
        <v>14</v>
      </c>
    </row>
    <row r="1183" spans="1:3" x14ac:dyDescent="0.2">
      <c r="A1183" s="62" t="s">
        <v>5052</v>
      </c>
      <c r="B1183" s="48">
        <v>2</v>
      </c>
      <c r="C1183" s="62">
        <v>2</v>
      </c>
    </row>
    <row r="1184" spans="1:3" x14ac:dyDescent="0.2">
      <c r="A1184" s="62" t="s">
        <v>5051</v>
      </c>
      <c r="B1184" s="48">
        <v>11</v>
      </c>
      <c r="C1184" s="62">
        <v>11</v>
      </c>
    </row>
    <row r="1185" spans="1:3" x14ac:dyDescent="0.2">
      <c r="A1185" s="62" t="s">
        <v>5050</v>
      </c>
      <c r="B1185" s="48">
        <v>11</v>
      </c>
      <c r="C1185" s="62">
        <v>11</v>
      </c>
    </row>
    <row r="1186" spans="1:3" x14ac:dyDescent="0.2">
      <c r="A1186" s="62" t="s">
        <v>5049</v>
      </c>
      <c r="B1186" s="48">
        <v>11</v>
      </c>
      <c r="C1186" s="62">
        <v>11</v>
      </c>
    </row>
    <row r="1187" spans="1:3" x14ac:dyDescent="0.2">
      <c r="A1187" s="62" t="s">
        <v>5048</v>
      </c>
      <c r="B1187" s="48">
        <v>2</v>
      </c>
      <c r="C1187" s="62">
        <v>2</v>
      </c>
    </row>
    <row r="1188" spans="1:3" x14ac:dyDescent="0.2">
      <c r="A1188" s="62" t="s">
        <v>5047</v>
      </c>
      <c r="B1188" s="48">
        <v>2</v>
      </c>
      <c r="C1188" s="62">
        <v>2</v>
      </c>
    </row>
    <row r="1189" spans="1:3" x14ac:dyDescent="0.2">
      <c r="A1189" s="62" t="s">
        <v>5046</v>
      </c>
      <c r="B1189" s="48">
        <v>2</v>
      </c>
      <c r="C1189" s="62">
        <v>2</v>
      </c>
    </row>
    <row r="1190" spans="1:3" x14ac:dyDescent="0.2">
      <c r="A1190" s="62" t="s">
        <v>5045</v>
      </c>
      <c r="B1190" s="48">
        <v>2</v>
      </c>
      <c r="C1190" s="62">
        <v>2</v>
      </c>
    </row>
    <row r="1191" spans="1:3" x14ac:dyDescent="0.2">
      <c r="A1191" s="62" t="s">
        <v>5044</v>
      </c>
      <c r="B1191" s="48">
        <v>2</v>
      </c>
      <c r="C1191" s="62">
        <v>2</v>
      </c>
    </row>
    <row r="1192" spans="1:3" x14ac:dyDescent="0.2">
      <c r="A1192" s="62" t="s">
        <v>5043</v>
      </c>
      <c r="B1192" s="48">
        <v>2</v>
      </c>
      <c r="C1192" s="62">
        <v>2</v>
      </c>
    </row>
    <row r="1193" spans="1:3" x14ac:dyDescent="0.2">
      <c r="A1193" s="62" t="s">
        <v>5042</v>
      </c>
      <c r="B1193" s="48">
        <v>2</v>
      </c>
      <c r="C1193" s="62">
        <v>2</v>
      </c>
    </row>
    <row r="1194" spans="1:3" x14ac:dyDescent="0.2">
      <c r="A1194" s="62" t="s">
        <v>5041</v>
      </c>
      <c r="B1194" s="48">
        <v>2</v>
      </c>
      <c r="C1194" s="62">
        <v>2</v>
      </c>
    </row>
    <row r="1195" spans="1:3" x14ac:dyDescent="0.2">
      <c r="A1195" s="62" t="s">
        <v>5040</v>
      </c>
      <c r="B1195" s="48">
        <v>2</v>
      </c>
      <c r="C1195" s="62">
        <v>2</v>
      </c>
    </row>
    <row r="1196" spans="1:3" x14ac:dyDescent="0.2">
      <c r="A1196" s="62" t="s">
        <v>5039</v>
      </c>
      <c r="B1196" s="48">
        <v>2</v>
      </c>
      <c r="C1196" s="62">
        <v>2</v>
      </c>
    </row>
    <row r="1197" spans="1:3" x14ac:dyDescent="0.2">
      <c r="A1197" s="62" t="s">
        <v>5038</v>
      </c>
      <c r="B1197" s="48">
        <v>70</v>
      </c>
      <c r="C1197" s="62">
        <v>70</v>
      </c>
    </row>
    <row r="1198" spans="1:3" x14ac:dyDescent="0.2">
      <c r="A1198" s="62" t="s">
        <v>5037</v>
      </c>
      <c r="B1198" s="48">
        <v>148</v>
      </c>
      <c r="C1198" s="62">
        <v>148</v>
      </c>
    </row>
    <row r="1199" spans="1:3" x14ac:dyDescent="0.2">
      <c r="A1199" s="62" t="s">
        <v>5035</v>
      </c>
      <c r="B1199" s="48">
        <v>181</v>
      </c>
      <c r="C1199" s="62">
        <v>181</v>
      </c>
    </row>
    <row r="1200" spans="1:3" x14ac:dyDescent="0.2">
      <c r="A1200" s="62" t="s">
        <v>5034</v>
      </c>
      <c r="B1200" s="48">
        <v>2</v>
      </c>
      <c r="C1200" s="62">
        <v>2</v>
      </c>
    </row>
    <row r="1201" spans="1:3" x14ac:dyDescent="0.2">
      <c r="A1201" s="62" t="s">
        <v>5033</v>
      </c>
      <c r="B1201" s="48">
        <v>14</v>
      </c>
      <c r="C1201" s="62">
        <v>14</v>
      </c>
    </row>
    <row r="1202" spans="1:3" x14ac:dyDescent="0.2">
      <c r="A1202" s="62" t="s">
        <v>5032</v>
      </c>
      <c r="B1202" s="48">
        <v>61</v>
      </c>
      <c r="C1202" s="62">
        <v>61</v>
      </c>
    </row>
    <row r="1203" spans="1:3" x14ac:dyDescent="0.2">
      <c r="A1203" s="62" t="s">
        <v>5031</v>
      </c>
      <c r="B1203" s="48">
        <v>15</v>
      </c>
      <c r="C1203" s="62">
        <v>15</v>
      </c>
    </row>
    <row r="1204" spans="1:3" x14ac:dyDescent="0.2">
      <c r="A1204" s="62" t="s">
        <v>5030</v>
      </c>
      <c r="B1204" s="48">
        <v>122</v>
      </c>
      <c r="C1204" s="62">
        <v>122</v>
      </c>
    </row>
    <row r="1205" spans="1:3" x14ac:dyDescent="0.2">
      <c r="A1205" s="62" t="s">
        <v>5029</v>
      </c>
      <c r="B1205" s="48">
        <v>61</v>
      </c>
      <c r="C1205" s="62">
        <v>61</v>
      </c>
    </row>
    <row r="1206" spans="1:3" x14ac:dyDescent="0.2">
      <c r="A1206" s="62" t="s">
        <v>5028</v>
      </c>
      <c r="B1206" s="48">
        <v>19</v>
      </c>
      <c r="C1206" s="62">
        <v>19</v>
      </c>
    </row>
    <row r="1207" spans="1:3" x14ac:dyDescent="0.2">
      <c r="A1207" s="62" t="s">
        <v>5027</v>
      </c>
      <c r="B1207" s="48">
        <v>61</v>
      </c>
      <c r="C1207" s="62">
        <v>61</v>
      </c>
    </row>
    <row r="1208" spans="1:3" x14ac:dyDescent="0.2">
      <c r="A1208" s="62" t="s">
        <v>5026</v>
      </c>
      <c r="B1208" s="48">
        <v>61</v>
      </c>
      <c r="C1208" s="62">
        <v>61</v>
      </c>
    </row>
    <row r="1209" spans="1:3" x14ac:dyDescent="0.2">
      <c r="A1209" s="62" t="s">
        <v>5025</v>
      </c>
      <c r="B1209" s="48">
        <v>122</v>
      </c>
      <c r="C1209" s="62">
        <v>122</v>
      </c>
    </row>
    <row r="1210" spans="1:3" x14ac:dyDescent="0.2">
      <c r="A1210" s="62" t="s">
        <v>5024</v>
      </c>
      <c r="B1210" s="48">
        <v>61</v>
      </c>
      <c r="C1210" s="62">
        <v>61</v>
      </c>
    </row>
    <row r="1211" spans="1:3" x14ac:dyDescent="0.2">
      <c r="A1211" s="62" t="s">
        <v>5022</v>
      </c>
      <c r="B1211" s="48">
        <v>14</v>
      </c>
      <c r="C1211" s="62">
        <v>14</v>
      </c>
    </row>
    <row r="1212" spans="1:3" x14ac:dyDescent="0.2">
      <c r="A1212" s="62" t="s">
        <v>5021</v>
      </c>
      <c r="B1212" s="48">
        <v>14</v>
      </c>
      <c r="C1212" s="62">
        <v>14</v>
      </c>
    </row>
    <row r="1213" spans="1:3" x14ac:dyDescent="0.2">
      <c r="A1213" s="62" t="s">
        <v>5020</v>
      </c>
      <c r="B1213" s="48">
        <v>57</v>
      </c>
      <c r="C1213" s="62">
        <v>57</v>
      </c>
    </row>
    <row r="1214" spans="1:3" x14ac:dyDescent="0.2">
      <c r="A1214" s="62" t="s">
        <v>5019</v>
      </c>
      <c r="B1214" s="48">
        <v>2</v>
      </c>
      <c r="C1214" s="62">
        <v>2</v>
      </c>
    </row>
    <row r="1215" spans="1:3" x14ac:dyDescent="0.2">
      <c r="A1215" s="62" t="s">
        <v>5018</v>
      </c>
      <c r="B1215" s="48">
        <v>19</v>
      </c>
      <c r="C1215" s="62">
        <v>19</v>
      </c>
    </row>
    <row r="1216" spans="1:3" x14ac:dyDescent="0.2">
      <c r="A1216" s="62" t="s">
        <v>5017</v>
      </c>
      <c r="B1216" s="48">
        <v>147</v>
      </c>
      <c r="C1216" s="62">
        <v>147</v>
      </c>
    </row>
    <row r="1217" spans="1:3" x14ac:dyDescent="0.2">
      <c r="A1217" s="62" t="s">
        <v>5016</v>
      </c>
      <c r="B1217" s="48">
        <v>223</v>
      </c>
      <c r="C1217" s="62">
        <v>223</v>
      </c>
    </row>
    <row r="1218" spans="1:3" x14ac:dyDescent="0.2">
      <c r="A1218" s="62" t="s">
        <v>5015</v>
      </c>
      <c r="B1218" s="48">
        <v>2</v>
      </c>
      <c r="C1218" s="62">
        <v>2</v>
      </c>
    </row>
    <row r="1219" spans="1:3" x14ac:dyDescent="0.2">
      <c r="A1219" s="62" t="s">
        <v>5014</v>
      </c>
      <c r="B1219" s="48">
        <v>15</v>
      </c>
      <c r="C1219" s="62">
        <v>15</v>
      </c>
    </row>
    <row r="1220" spans="1:3" x14ac:dyDescent="0.2">
      <c r="A1220" s="62" t="s">
        <v>5013</v>
      </c>
      <c r="B1220" s="48">
        <v>15</v>
      </c>
      <c r="C1220" s="62">
        <v>15</v>
      </c>
    </row>
    <row r="1221" spans="1:3" x14ac:dyDescent="0.2">
      <c r="A1221" s="62" t="s">
        <v>5011</v>
      </c>
      <c r="B1221" s="48">
        <v>131</v>
      </c>
      <c r="C1221" s="62">
        <v>131</v>
      </c>
    </row>
    <row r="1222" spans="1:3" x14ac:dyDescent="0.2">
      <c r="A1222" s="62" t="s">
        <v>5010</v>
      </c>
      <c r="B1222" s="48">
        <v>20</v>
      </c>
      <c r="C1222" s="62">
        <v>20</v>
      </c>
    </row>
    <row r="1223" spans="1:3" x14ac:dyDescent="0.2">
      <c r="A1223" s="62" t="s">
        <v>5009</v>
      </c>
      <c r="B1223" s="48">
        <v>15</v>
      </c>
      <c r="C1223" s="62">
        <v>15</v>
      </c>
    </row>
    <row r="1224" spans="1:3" x14ac:dyDescent="0.2">
      <c r="A1224" s="62" t="s">
        <v>5008</v>
      </c>
      <c r="B1224" s="48">
        <v>48</v>
      </c>
      <c r="C1224" s="62">
        <v>48</v>
      </c>
    </row>
    <row r="1225" spans="1:3" x14ac:dyDescent="0.2">
      <c r="A1225" s="62" t="s">
        <v>5007</v>
      </c>
      <c r="B1225" s="48">
        <v>15</v>
      </c>
      <c r="C1225" s="62">
        <v>15</v>
      </c>
    </row>
    <row r="1226" spans="1:3" x14ac:dyDescent="0.2">
      <c r="A1226" s="62" t="s">
        <v>5006</v>
      </c>
      <c r="B1226" s="48">
        <v>167</v>
      </c>
      <c r="C1226" s="62">
        <v>167</v>
      </c>
    </row>
    <row r="1227" spans="1:3" x14ac:dyDescent="0.2">
      <c r="A1227" s="62" t="s">
        <v>5002</v>
      </c>
      <c r="B1227" s="48">
        <v>130</v>
      </c>
      <c r="C1227" s="62">
        <v>130</v>
      </c>
    </row>
    <row r="1228" spans="1:3" x14ac:dyDescent="0.2">
      <c r="A1228" s="62" t="s">
        <v>5001</v>
      </c>
      <c r="B1228" s="48">
        <v>15</v>
      </c>
      <c r="C1228" s="62">
        <v>15</v>
      </c>
    </row>
    <row r="1229" spans="1:3" x14ac:dyDescent="0.2">
      <c r="A1229" s="62" t="s">
        <v>5000</v>
      </c>
      <c r="B1229" s="48">
        <v>2</v>
      </c>
      <c r="C1229" s="62">
        <v>2</v>
      </c>
    </row>
    <row r="1230" spans="1:3" x14ac:dyDescent="0.2">
      <c r="A1230" s="62" t="s">
        <v>4999</v>
      </c>
      <c r="B1230" s="48">
        <v>60</v>
      </c>
      <c r="C1230" s="62">
        <v>60</v>
      </c>
    </row>
    <row r="1231" spans="1:3" x14ac:dyDescent="0.2">
      <c r="A1231" s="62" t="s">
        <v>4998</v>
      </c>
      <c r="B1231" s="48">
        <v>2</v>
      </c>
      <c r="C1231" s="62">
        <v>2</v>
      </c>
    </row>
    <row r="1232" spans="1:3" x14ac:dyDescent="0.2">
      <c r="A1232" s="62" t="s">
        <v>4997</v>
      </c>
      <c r="B1232" s="48">
        <v>2</v>
      </c>
      <c r="C1232" s="62">
        <v>2</v>
      </c>
    </row>
    <row r="1233" spans="1:3" x14ac:dyDescent="0.2">
      <c r="A1233" s="62" t="s">
        <v>4996</v>
      </c>
      <c r="B1233" s="48">
        <v>19</v>
      </c>
      <c r="C1233" s="62">
        <v>19</v>
      </c>
    </row>
    <row r="1234" spans="1:3" x14ac:dyDescent="0.2">
      <c r="A1234" s="62" t="s">
        <v>4995</v>
      </c>
      <c r="B1234" s="48">
        <v>14</v>
      </c>
      <c r="C1234" s="62">
        <v>14</v>
      </c>
    </row>
    <row r="1235" spans="1:3" x14ac:dyDescent="0.2">
      <c r="A1235" s="62" t="s">
        <v>4994</v>
      </c>
      <c r="B1235" s="48">
        <v>88</v>
      </c>
      <c r="C1235" s="62">
        <v>88</v>
      </c>
    </row>
    <row r="1236" spans="1:3" x14ac:dyDescent="0.2">
      <c r="A1236" s="62" t="s">
        <v>4993</v>
      </c>
      <c r="B1236" s="48">
        <v>14</v>
      </c>
      <c r="C1236" s="62">
        <v>14</v>
      </c>
    </row>
    <row r="1237" spans="1:3" x14ac:dyDescent="0.2">
      <c r="A1237" s="62" t="s">
        <v>4992</v>
      </c>
      <c r="B1237" s="48">
        <v>14</v>
      </c>
      <c r="C1237" s="62">
        <v>14</v>
      </c>
    </row>
    <row r="1238" spans="1:3" x14ac:dyDescent="0.2">
      <c r="A1238" s="62" t="s">
        <v>4990</v>
      </c>
      <c r="B1238" s="48">
        <v>43</v>
      </c>
      <c r="C1238" s="62">
        <v>43</v>
      </c>
    </row>
    <row r="1239" spans="1:3" x14ac:dyDescent="0.2">
      <c r="A1239" s="62" t="s">
        <v>4989</v>
      </c>
      <c r="B1239" s="48">
        <v>61</v>
      </c>
      <c r="C1239" s="62">
        <v>61</v>
      </c>
    </row>
    <row r="1240" spans="1:3" x14ac:dyDescent="0.2">
      <c r="A1240" s="62" t="s">
        <v>4988</v>
      </c>
      <c r="B1240" s="48">
        <v>43</v>
      </c>
      <c r="C1240" s="62">
        <v>43</v>
      </c>
    </row>
    <row r="1241" spans="1:3" x14ac:dyDescent="0.2">
      <c r="A1241" s="62" t="s">
        <v>4987</v>
      </c>
      <c r="B1241" s="48">
        <v>114</v>
      </c>
      <c r="C1241" s="62">
        <v>114</v>
      </c>
    </row>
    <row r="1242" spans="1:3" x14ac:dyDescent="0.2">
      <c r="A1242" s="62" t="s">
        <v>4986</v>
      </c>
      <c r="B1242" s="48">
        <v>114</v>
      </c>
      <c r="C1242" s="62">
        <v>114</v>
      </c>
    </row>
    <row r="1243" spans="1:3" x14ac:dyDescent="0.2">
      <c r="A1243" s="62" t="s">
        <v>4985</v>
      </c>
      <c r="B1243" s="48">
        <v>114</v>
      </c>
      <c r="C1243" s="62">
        <v>114</v>
      </c>
    </row>
    <row r="1244" spans="1:3" x14ac:dyDescent="0.2">
      <c r="A1244" s="62" t="s">
        <v>4984</v>
      </c>
      <c r="B1244" s="48">
        <v>2</v>
      </c>
      <c r="C1244" s="62">
        <v>2</v>
      </c>
    </row>
    <row r="1245" spans="1:3" x14ac:dyDescent="0.2">
      <c r="A1245" s="62" t="s">
        <v>4983</v>
      </c>
      <c r="B1245" s="48">
        <v>33</v>
      </c>
      <c r="C1245" s="62">
        <v>33</v>
      </c>
    </row>
    <row r="1246" spans="1:3" x14ac:dyDescent="0.2">
      <c r="A1246" s="62" t="s">
        <v>4982</v>
      </c>
      <c r="B1246" s="48">
        <v>15</v>
      </c>
      <c r="C1246" s="62">
        <v>15</v>
      </c>
    </row>
    <row r="1247" spans="1:3" x14ac:dyDescent="0.2">
      <c r="A1247" s="62" t="s">
        <v>4981</v>
      </c>
      <c r="B1247" s="48">
        <v>2</v>
      </c>
      <c r="C1247" s="62">
        <v>2</v>
      </c>
    </row>
    <row r="1248" spans="1:3" x14ac:dyDescent="0.2">
      <c r="A1248" s="62" t="s">
        <v>4980</v>
      </c>
      <c r="B1248" s="48">
        <v>2</v>
      </c>
      <c r="C1248" s="62">
        <v>2</v>
      </c>
    </row>
    <row r="1249" spans="1:3" x14ac:dyDescent="0.2">
      <c r="A1249" s="62" t="s">
        <v>4979</v>
      </c>
      <c r="B1249" s="48">
        <v>128</v>
      </c>
      <c r="C1249" s="62">
        <v>128</v>
      </c>
    </row>
    <row r="1250" spans="1:3" x14ac:dyDescent="0.2">
      <c r="A1250" s="62" t="s">
        <v>4978</v>
      </c>
      <c r="B1250" s="48">
        <v>13</v>
      </c>
      <c r="C1250" s="62">
        <v>13</v>
      </c>
    </row>
    <row r="1251" spans="1:3" x14ac:dyDescent="0.2">
      <c r="A1251" s="62" t="s">
        <v>4977</v>
      </c>
      <c r="B1251" s="48">
        <v>13</v>
      </c>
      <c r="C1251" s="62">
        <v>13</v>
      </c>
    </row>
    <row r="1252" spans="1:3" x14ac:dyDescent="0.2">
      <c r="A1252" s="62" t="s">
        <v>4976</v>
      </c>
      <c r="B1252" s="48">
        <v>19</v>
      </c>
      <c r="C1252" s="62">
        <v>19</v>
      </c>
    </row>
    <row r="1253" spans="1:3" x14ac:dyDescent="0.2">
      <c r="A1253" s="62" t="s">
        <v>4975</v>
      </c>
      <c r="B1253" s="48">
        <v>19</v>
      </c>
      <c r="C1253" s="62">
        <v>19</v>
      </c>
    </row>
    <row r="1254" spans="1:3" x14ac:dyDescent="0.2">
      <c r="A1254" s="62" t="s">
        <v>4974</v>
      </c>
      <c r="B1254" s="48">
        <v>165</v>
      </c>
      <c r="C1254" s="62">
        <v>165</v>
      </c>
    </row>
    <row r="1255" spans="1:3" x14ac:dyDescent="0.2">
      <c r="A1255" s="62" t="s">
        <v>4973</v>
      </c>
      <c r="B1255" s="48">
        <v>151</v>
      </c>
      <c r="C1255" s="62">
        <v>151</v>
      </c>
    </row>
    <row r="1256" spans="1:3" x14ac:dyDescent="0.2">
      <c r="A1256" s="62" t="s">
        <v>4972</v>
      </c>
      <c r="B1256" s="48">
        <v>15</v>
      </c>
      <c r="C1256" s="62">
        <v>15</v>
      </c>
    </row>
    <row r="1257" spans="1:3" x14ac:dyDescent="0.2">
      <c r="A1257" s="62" t="s">
        <v>4971</v>
      </c>
      <c r="B1257" s="48">
        <v>2</v>
      </c>
      <c r="C1257" s="62">
        <v>2</v>
      </c>
    </row>
    <row r="1258" spans="1:3" x14ac:dyDescent="0.2">
      <c r="A1258" s="62" t="s">
        <v>4970</v>
      </c>
      <c r="B1258" s="48">
        <v>2</v>
      </c>
      <c r="C1258" s="62">
        <v>2</v>
      </c>
    </row>
    <row r="1259" spans="1:3" x14ac:dyDescent="0.2">
      <c r="A1259" s="62" t="s">
        <v>4969</v>
      </c>
      <c r="B1259" s="48">
        <v>2</v>
      </c>
      <c r="C1259" s="62">
        <v>2</v>
      </c>
    </row>
    <row r="1260" spans="1:3" x14ac:dyDescent="0.2">
      <c r="A1260" s="62" t="s">
        <v>4968</v>
      </c>
      <c r="B1260" s="48">
        <v>2</v>
      </c>
      <c r="C1260" s="62">
        <v>2</v>
      </c>
    </row>
    <row r="1261" spans="1:3" x14ac:dyDescent="0.2">
      <c r="A1261" s="62" t="s">
        <v>4967</v>
      </c>
      <c r="B1261" s="48">
        <v>2</v>
      </c>
      <c r="C1261" s="62">
        <v>2</v>
      </c>
    </row>
    <row r="1262" spans="1:3" x14ac:dyDescent="0.2">
      <c r="A1262" s="62" t="s">
        <v>4965</v>
      </c>
      <c r="B1262" s="48">
        <v>2</v>
      </c>
      <c r="C1262" s="62">
        <v>2</v>
      </c>
    </row>
    <row r="1263" spans="1:3" x14ac:dyDescent="0.2">
      <c r="A1263" s="62" t="s">
        <v>4964</v>
      </c>
      <c r="B1263" s="48">
        <v>14</v>
      </c>
      <c r="C1263" s="62">
        <v>14</v>
      </c>
    </row>
    <row r="1264" spans="1:3" x14ac:dyDescent="0.2">
      <c r="A1264" s="62" t="s">
        <v>4963</v>
      </c>
      <c r="B1264" s="48">
        <v>2</v>
      </c>
      <c r="C1264" s="62">
        <v>2</v>
      </c>
    </row>
    <row r="1265" spans="1:3" x14ac:dyDescent="0.2">
      <c r="A1265" s="62" t="s">
        <v>4962</v>
      </c>
      <c r="B1265" s="48">
        <v>217</v>
      </c>
      <c r="C1265" s="62">
        <v>217</v>
      </c>
    </row>
    <row r="1266" spans="1:3" x14ac:dyDescent="0.2">
      <c r="A1266" s="62" t="s">
        <v>4961</v>
      </c>
      <c r="B1266" s="48">
        <v>192</v>
      </c>
      <c r="C1266" s="62">
        <v>192</v>
      </c>
    </row>
    <row r="1267" spans="1:3" x14ac:dyDescent="0.2">
      <c r="A1267" s="62" t="s">
        <v>4959</v>
      </c>
      <c r="B1267" s="48">
        <v>15</v>
      </c>
      <c r="C1267" s="62">
        <v>15</v>
      </c>
    </row>
    <row r="1268" spans="1:3" x14ac:dyDescent="0.2">
      <c r="A1268" s="62" t="s">
        <v>4958</v>
      </c>
      <c r="B1268" s="48">
        <v>14</v>
      </c>
      <c r="C1268" s="62">
        <v>14</v>
      </c>
    </row>
    <row r="1269" spans="1:3" x14ac:dyDescent="0.2">
      <c r="A1269" s="62" t="s">
        <v>4957</v>
      </c>
      <c r="B1269" s="48">
        <v>14</v>
      </c>
      <c r="C1269" s="62">
        <v>14</v>
      </c>
    </row>
    <row r="1270" spans="1:3" x14ac:dyDescent="0.2">
      <c r="A1270" s="62" t="s">
        <v>4956</v>
      </c>
      <c r="B1270" s="48">
        <v>167</v>
      </c>
      <c r="C1270" s="62">
        <v>167</v>
      </c>
    </row>
    <row r="1271" spans="1:3" x14ac:dyDescent="0.2">
      <c r="A1271" s="62" t="s">
        <v>4954</v>
      </c>
      <c r="B1271" s="48">
        <v>15</v>
      </c>
      <c r="C1271" s="62">
        <v>15</v>
      </c>
    </row>
    <row r="1272" spans="1:3" x14ac:dyDescent="0.2">
      <c r="A1272" s="62" t="s">
        <v>4953</v>
      </c>
      <c r="B1272" s="48">
        <v>15</v>
      </c>
      <c r="C1272" s="62">
        <v>15</v>
      </c>
    </row>
    <row r="1273" spans="1:3" x14ac:dyDescent="0.2">
      <c r="A1273" s="62" t="s">
        <v>4952</v>
      </c>
      <c r="B1273" s="48">
        <v>15</v>
      </c>
      <c r="C1273" s="62">
        <v>15</v>
      </c>
    </row>
    <row r="1274" spans="1:3" x14ac:dyDescent="0.2">
      <c r="A1274" s="62" t="s">
        <v>4950</v>
      </c>
      <c r="B1274" s="48">
        <v>60</v>
      </c>
      <c r="C1274" s="62">
        <v>60</v>
      </c>
    </row>
    <row r="1275" spans="1:3" x14ac:dyDescent="0.2">
      <c r="A1275" s="62" t="s">
        <v>4949</v>
      </c>
      <c r="B1275" s="48">
        <v>2</v>
      </c>
      <c r="C1275" s="62">
        <v>2</v>
      </c>
    </row>
    <row r="1276" spans="1:3" x14ac:dyDescent="0.2">
      <c r="A1276" s="62" t="s">
        <v>4948</v>
      </c>
      <c r="B1276" s="48">
        <v>2</v>
      </c>
      <c r="C1276" s="62">
        <v>2</v>
      </c>
    </row>
    <row r="1277" spans="1:3" x14ac:dyDescent="0.2">
      <c r="A1277" s="62" t="s">
        <v>4947</v>
      </c>
      <c r="B1277" s="48">
        <v>2</v>
      </c>
      <c r="C1277" s="62">
        <v>2</v>
      </c>
    </row>
    <row r="1278" spans="1:3" x14ac:dyDescent="0.2">
      <c r="A1278" s="62" t="s">
        <v>4946</v>
      </c>
      <c r="B1278" s="48">
        <v>167</v>
      </c>
      <c r="C1278" s="62">
        <v>167</v>
      </c>
    </row>
    <row r="1279" spans="1:3" x14ac:dyDescent="0.2">
      <c r="A1279" s="62" t="s">
        <v>4945</v>
      </c>
      <c r="B1279" s="48">
        <v>68</v>
      </c>
      <c r="C1279" s="62">
        <v>68</v>
      </c>
    </row>
    <row r="1280" spans="1:3" x14ac:dyDescent="0.2">
      <c r="A1280" s="62" t="s">
        <v>4944</v>
      </c>
      <c r="B1280" s="48">
        <v>9</v>
      </c>
      <c r="C1280" s="62">
        <v>9</v>
      </c>
    </row>
    <row r="1281" spans="1:3" x14ac:dyDescent="0.2">
      <c r="A1281" s="62" t="s">
        <v>4942</v>
      </c>
      <c r="B1281" s="48">
        <v>14</v>
      </c>
      <c r="C1281" s="62">
        <v>14</v>
      </c>
    </row>
    <row r="1282" spans="1:3" x14ac:dyDescent="0.2">
      <c r="A1282" s="62" t="s">
        <v>4941</v>
      </c>
      <c r="B1282" s="48">
        <v>14</v>
      </c>
      <c r="C1282" s="62">
        <v>14</v>
      </c>
    </row>
    <row r="1283" spans="1:3" x14ac:dyDescent="0.2">
      <c r="A1283" s="62" t="s">
        <v>4940</v>
      </c>
      <c r="B1283" s="48">
        <v>14</v>
      </c>
      <c r="C1283" s="62">
        <v>14</v>
      </c>
    </row>
    <row r="1284" spans="1:3" x14ac:dyDescent="0.2">
      <c r="A1284" s="62" t="s">
        <v>4939</v>
      </c>
      <c r="B1284" s="48">
        <v>70</v>
      </c>
      <c r="C1284" s="62">
        <v>70</v>
      </c>
    </row>
    <row r="1285" spans="1:3" x14ac:dyDescent="0.2">
      <c r="A1285" s="62" t="s">
        <v>4938</v>
      </c>
      <c r="B1285" s="48">
        <v>70</v>
      </c>
      <c r="C1285" s="62">
        <v>70</v>
      </c>
    </row>
    <row r="1286" spans="1:3" x14ac:dyDescent="0.2">
      <c r="A1286" s="62" t="s">
        <v>4937</v>
      </c>
      <c r="B1286" s="48">
        <v>15</v>
      </c>
      <c r="C1286" s="62">
        <v>15</v>
      </c>
    </row>
    <row r="1287" spans="1:3" x14ac:dyDescent="0.2">
      <c r="A1287" s="62" t="s">
        <v>4936</v>
      </c>
      <c r="B1287" s="48">
        <v>24</v>
      </c>
      <c r="C1287" s="62">
        <v>24</v>
      </c>
    </row>
    <row r="1288" spans="1:3" x14ac:dyDescent="0.2">
      <c r="A1288" s="62" t="s">
        <v>4935</v>
      </c>
      <c r="B1288" s="48">
        <v>98</v>
      </c>
      <c r="C1288" s="62">
        <v>98</v>
      </c>
    </row>
    <row r="1289" spans="1:3" x14ac:dyDescent="0.2">
      <c r="A1289" s="62" t="s">
        <v>4934</v>
      </c>
      <c r="B1289" s="48">
        <v>15</v>
      </c>
      <c r="C1289" s="62">
        <v>15</v>
      </c>
    </row>
    <row r="1290" spans="1:3" x14ac:dyDescent="0.2">
      <c r="A1290" s="62" t="s">
        <v>4933</v>
      </c>
      <c r="B1290" s="48">
        <v>138</v>
      </c>
      <c r="C1290" s="62">
        <v>138</v>
      </c>
    </row>
    <row r="1291" spans="1:3" x14ac:dyDescent="0.2">
      <c r="A1291" s="62" t="s">
        <v>4932</v>
      </c>
      <c r="B1291" s="48">
        <v>2</v>
      </c>
      <c r="C1291" s="62">
        <v>2</v>
      </c>
    </row>
    <row r="1292" spans="1:3" x14ac:dyDescent="0.2">
      <c r="A1292" s="62" t="s">
        <v>4931</v>
      </c>
      <c r="B1292" s="48">
        <v>7</v>
      </c>
      <c r="C1292" s="62">
        <v>7</v>
      </c>
    </row>
    <row r="1293" spans="1:3" x14ac:dyDescent="0.2">
      <c r="A1293" s="62" t="s">
        <v>4930</v>
      </c>
      <c r="B1293" s="48">
        <v>219</v>
      </c>
      <c r="C1293" s="62">
        <v>219</v>
      </c>
    </row>
    <row r="1294" spans="1:3" x14ac:dyDescent="0.2">
      <c r="A1294" s="62" t="s">
        <v>4929</v>
      </c>
      <c r="B1294" s="48">
        <v>154</v>
      </c>
      <c r="C1294" s="62">
        <v>154</v>
      </c>
    </row>
    <row r="1295" spans="1:3" x14ac:dyDescent="0.2">
      <c r="A1295" s="62" t="s">
        <v>4928</v>
      </c>
      <c r="B1295" s="48">
        <v>12</v>
      </c>
      <c r="C1295" s="62">
        <v>12</v>
      </c>
    </row>
    <row r="1296" spans="1:3" x14ac:dyDescent="0.2">
      <c r="A1296" s="62" t="s">
        <v>4927</v>
      </c>
      <c r="B1296" s="48">
        <v>12</v>
      </c>
      <c r="C1296" s="62">
        <v>12</v>
      </c>
    </row>
    <row r="1297" spans="1:3" x14ac:dyDescent="0.2">
      <c r="A1297" s="62" t="s">
        <v>4926</v>
      </c>
      <c r="B1297" s="48">
        <v>15</v>
      </c>
      <c r="C1297" s="62">
        <v>15</v>
      </c>
    </row>
    <row r="1298" spans="1:3" x14ac:dyDescent="0.2">
      <c r="A1298" s="62" t="s">
        <v>4925</v>
      </c>
      <c r="B1298" s="48">
        <v>15</v>
      </c>
      <c r="C1298" s="62">
        <v>15</v>
      </c>
    </row>
    <row r="1299" spans="1:3" x14ac:dyDescent="0.2">
      <c r="A1299" s="62" t="s">
        <v>4924</v>
      </c>
      <c r="B1299" s="48">
        <v>29</v>
      </c>
      <c r="C1299" s="62">
        <v>29</v>
      </c>
    </row>
    <row r="1300" spans="1:3" x14ac:dyDescent="0.2">
      <c r="A1300" s="62" t="s">
        <v>4923</v>
      </c>
      <c r="B1300" s="48">
        <v>90</v>
      </c>
      <c r="C1300" s="62">
        <v>90</v>
      </c>
    </row>
    <row r="1301" spans="1:3" x14ac:dyDescent="0.2">
      <c r="A1301" s="62" t="s">
        <v>4922</v>
      </c>
      <c r="B1301" s="48">
        <v>90</v>
      </c>
      <c r="C1301" s="62">
        <v>90</v>
      </c>
    </row>
    <row r="1302" spans="1:3" x14ac:dyDescent="0.2">
      <c r="A1302" s="62" t="s">
        <v>4921</v>
      </c>
      <c r="B1302" s="48">
        <v>41</v>
      </c>
      <c r="C1302" s="62">
        <v>41</v>
      </c>
    </row>
    <row r="1303" spans="1:3" x14ac:dyDescent="0.2">
      <c r="A1303" s="62" t="s">
        <v>4920</v>
      </c>
      <c r="B1303" s="48">
        <v>54</v>
      </c>
      <c r="C1303" s="62">
        <v>54</v>
      </c>
    </row>
    <row r="1304" spans="1:3" x14ac:dyDescent="0.2">
      <c r="A1304" s="62" t="s">
        <v>4918</v>
      </c>
      <c r="B1304" s="48">
        <v>36</v>
      </c>
      <c r="C1304" s="62">
        <v>36</v>
      </c>
    </row>
    <row r="1305" spans="1:3" x14ac:dyDescent="0.2">
      <c r="A1305" s="62" t="s">
        <v>4917</v>
      </c>
      <c r="B1305" s="48">
        <v>167</v>
      </c>
      <c r="C1305" s="62">
        <v>167</v>
      </c>
    </row>
    <row r="1306" spans="1:3" x14ac:dyDescent="0.2">
      <c r="A1306" s="62" t="s">
        <v>4916</v>
      </c>
      <c r="B1306" s="48">
        <v>167</v>
      </c>
      <c r="C1306" s="62">
        <v>167</v>
      </c>
    </row>
    <row r="1307" spans="1:3" x14ac:dyDescent="0.2">
      <c r="A1307" s="62" t="s">
        <v>4915</v>
      </c>
      <c r="B1307" s="48">
        <v>15</v>
      </c>
      <c r="C1307" s="62">
        <v>15</v>
      </c>
    </row>
    <row r="1308" spans="1:3" x14ac:dyDescent="0.2">
      <c r="A1308" s="62" t="s">
        <v>4914</v>
      </c>
      <c r="B1308" s="48">
        <v>15</v>
      </c>
      <c r="C1308" s="62">
        <v>15</v>
      </c>
    </row>
    <row r="1309" spans="1:3" x14ac:dyDescent="0.2">
      <c r="A1309" s="62" t="s">
        <v>4913</v>
      </c>
      <c r="B1309" s="48">
        <v>225</v>
      </c>
      <c r="C1309" s="62">
        <v>225</v>
      </c>
    </row>
    <row r="1310" spans="1:3" x14ac:dyDescent="0.2">
      <c r="A1310" s="62" t="s">
        <v>4912</v>
      </c>
      <c r="B1310" s="48">
        <v>19</v>
      </c>
      <c r="C1310" s="62">
        <v>19</v>
      </c>
    </row>
    <row r="1311" spans="1:3" x14ac:dyDescent="0.2">
      <c r="A1311" s="62" t="s">
        <v>4911</v>
      </c>
      <c r="B1311" s="48">
        <v>15</v>
      </c>
      <c r="C1311" s="62">
        <v>15</v>
      </c>
    </row>
    <row r="1312" spans="1:3" x14ac:dyDescent="0.2">
      <c r="A1312" s="62" t="s">
        <v>4909</v>
      </c>
      <c r="B1312" s="48">
        <v>167</v>
      </c>
      <c r="C1312" s="62">
        <v>167</v>
      </c>
    </row>
    <row r="1313" spans="1:3" x14ac:dyDescent="0.2">
      <c r="A1313" s="62" t="s">
        <v>4908</v>
      </c>
      <c r="B1313" s="48">
        <v>167</v>
      </c>
      <c r="C1313" s="62">
        <v>167</v>
      </c>
    </row>
    <row r="1314" spans="1:3" x14ac:dyDescent="0.2">
      <c r="A1314" s="62" t="s">
        <v>4907</v>
      </c>
      <c r="B1314" s="48">
        <v>1</v>
      </c>
      <c r="C1314" s="62">
        <v>1</v>
      </c>
    </row>
    <row r="1315" spans="1:3" x14ac:dyDescent="0.2">
      <c r="A1315" s="62" t="s">
        <v>4905</v>
      </c>
      <c r="B1315" s="48">
        <v>15</v>
      </c>
      <c r="C1315" s="62">
        <v>15</v>
      </c>
    </row>
    <row r="1316" spans="1:3" x14ac:dyDescent="0.2">
      <c r="A1316" s="62" t="s">
        <v>4904</v>
      </c>
      <c r="B1316" s="48">
        <v>15</v>
      </c>
      <c r="C1316" s="62">
        <v>15</v>
      </c>
    </row>
    <row r="1317" spans="1:3" x14ac:dyDescent="0.2">
      <c r="A1317" s="62" t="s">
        <v>4903</v>
      </c>
      <c r="B1317" s="48">
        <v>14</v>
      </c>
      <c r="C1317" s="62">
        <v>14</v>
      </c>
    </row>
    <row r="1318" spans="1:3" x14ac:dyDescent="0.2">
      <c r="A1318" s="62" t="s">
        <v>4902</v>
      </c>
      <c r="B1318" s="48">
        <v>2</v>
      </c>
      <c r="C1318" s="62">
        <v>2</v>
      </c>
    </row>
    <row r="1319" spans="1:3" x14ac:dyDescent="0.2">
      <c r="A1319" s="62" t="s">
        <v>4901</v>
      </c>
      <c r="B1319" s="48">
        <v>19</v>
      </c>
      <c r="C1319" s="62">
        <v>19</v>
      </c>
    </row>
    <row r="1320" spans="1:3" x14ac:dyDescent="0.2">
      <c r="A1320" s="62" t="s">
        <v>4900</v>
      </c>
      <c r="B1320" s="48">
        <v>136</v>
      </c>
      <c r="C1320" s="62">
        <v>136</v>
      </c>
    </row>
    <row r="1321" spans="1:3" x14ac:dyDescent="0.2">
      <c r="A1321" s="62" t="s">
        <v>4899</v>
      </c>
      <c r="B1321" s="48">
        <v>220</v>
      </c>
      <c r="C1321" s="62">
        <v>220</v>
      </c>
    </row>
    <row r="1322" spans="1:3" x14ac:dyDescent="0.2">
      <c r="A1322" s="62" t="s">
        <v>4898</v>
      </c>
      <c r="B1322" s="48">
        <v>58</v>
      </c>
      <c r="C1322" s="62">
        <v>58</v>
      </c>
    </row>
    <row r="1323" spans="1:3" x14ac:dyDescent="0.2">
      <c r="A1323" s="62" t="s">
        <v>4897</v>
      </c>
      <c r="B1323" s="48">
        <v>192</v>
      </c>
      <c r="C1323" s="62">
        <v>192</v>
      </c>
    </row>
    <row r="1324" spans="1:3" x14ac:dyDescent="0.2">
      <c r="A1324" s="62" t="s">
        <v>4896</v>
      </c>
      <c r="B1324" s="48">
        <v>192</v>
      </c>
      <c r="C1324" s="62">
        <v>192</v>
      </c>
    </row>
    <row r="1325" spans="1:3" x14ac:dyDescent="0.2">
      <c r="A1325" s="62" t="s">
        <v>4894</v>
      </c>
      <c r="B1325" s="48">
        <v>14</v>
      </c>
      <c r="C1325" s="62">
        <v>14</v>
      </c>
    </row>
    <row r="1326" spans="1:3" x14ac:dyDescent="0.2">
      <c r="A1326" s="62" t="s">
        <v>4893</v>
      </c>
      <c r="B1326" s="48">
        <v>14</v>
      </c>
      <c r="C1326" s="62">
        <v>14</v>
      </c>
    </row>
    <row r="1327" spans="1:3" x14ac:dyDescent="0.2">
      <c r="A1327" s="62" t="s">
        <v>4892</v>
      </c>
      <c r="B1327" s="48">
        <v>162</v>
      </c>
      <c r="C1327" s="62">
        <v>162</v>
      </c>
    </row>
    <row r="1328" spans="1:3" x14ac:dyDescent="0.2">
      <c r="A1328" s="62" t="s">
        <v>4891</v>
      </c>
      <c r="B1328" s="48">
        <v>162</v>
      </c>
      <c r="C1328" s="62">
        <v>162</v>
      </c>
    </row>
    <row r="1329" spans="1:3" x14ac:dyDescent="0.2">
      <c r="A1329" s="62" t="s">
        <v>4890</v>
      </c>
      <c r="B1329" s="48">
        <v>193</v>
      </c>
      <c r="C1329" s="62">
        <v>193</v>
      </c>
    </row>
    <row r="1330" spans="1:3" x14ac:dyDescent="0.2">
      <c r="A1330" s="62" t="s">
        <v>4889</v>
      </c>
      <c r="B1330" s="48">
        <v>228</v>
      </c>
      <c r="C1330" s="62">
        <v>228</v>
      </c>
    </row>
    <row r="1331" spans="1:3" x14ac:dyDescent="0.2">
      <c r="A1331" s="62" t="s">
        <v>4888</v>
      </c>
      <c r="B1331" s="48">
        <v>19</v>
      </c>
      <c r="C1331" s="62">
        <v>19</v>
      </c>
    </row>
    <row r="1332" spans="1:3" x14ac:dyDescent="0.2">
      <c r="A1332" s="62" t="s">
        <v>4887</v>
      </c>
      <c r="B1332" s="48">
        <v>147</v>
      </c>
      <c r="C1332" s="62">
        <v>147</v>
      </c>
    </row>
    <row r="1333" spans="1:3" x14ac:dyDescent="0.2">
      <c r="A1333" s="62" t="s">
        <v>4886</v>
      </c>
      <c r="B1333" s="48">
        <v>147</v>
      </c>
      <c r="C1333" s="62">
        <v>147</v>
      </c>
    </row>
    <row r="1334" spans="1:3" x14ac:dyDescent="0.2">
      <c r="A1334" s="62" t="s">
        <v>4885</v>
      </c>
      <c r="B1334" s="48">
        <v>147</v>
      </c>
      <c r="C1334" s="62">
        <v>147</v>
      </c>
    </row>
    <row r="1335" spans="1:3" x14ac:dyDescent="0.2">
      <c r="A1335" s="62" t="s">
        <v>4884</v>
      </c>
      <c r="B1335" s="48">
        <v>14</v>
      </c>
      <c r="C1335" s="62">
        <v>14</v>
      </c>
    </row>
    <row r="1336" spans="1:3" x14ac:dyDescent="0.2">
      <c r="A1336" s="62" t="s">
        <v>4883</v>
      </c>
      <c r="B1336" s="48">
        <v>14</v>
      </c>
      <c r="C1336" s="62">
        <v>14</v>
      </c>
    </row>
    <row r="1337" spans="1:3" x14ac:dyDescent="0.2">
      <c r="A1337" s="62" t="s">
        <v>4882</v>
      </c>
      <c r="B1337" s="48">
        <v>14</v>
      </c>
      <c r="C1337" s="62">
        <v>14</v>
      </c>
    </row>
    <row r="1338" spans="1:3" x14ac:dyDescent="0.2">
      <c r="A1338" s="62" t="s">
        <v>4881</v>
      </c>
      <c r="B1338" s="48">
        <v>2</v>
      </c>
      <c r="C1338" s="62">
        <v>2</v>
      </c>
    </row>
    <row r="1339" spans="1:3" x14ac:dyDescent="0.2">
      <c r="A1339" s="62" t="s">
        <v>4880</v>
      </c>
      <c r="B1339" s="48">
        <v>14</v>
      </c>
      <c r="C1339" s="62">
        <v>14</v>
      </c>
    </row>
    <row r="1340" spans="1:3" x14ac:dyDescent="0.2">
      <c r="A1340" s="62" t="s">
        <v>4879</v>
      </c>
      <c r="B1340" s="48">
        <v>14</v>
      </c>
      <c r="C1340" s="62">
        <v>14</v>
      </c>
    </row>
    <row r="1341" spans="1:3" x14ac:dyDescent="0.2">
      <c r="A1341" s="62" t="s">
        <v>4878</v>
      </c>
      <c r="B1341" s="48">
        <v>159</v>
      </c>
      <c r="C1341" s="62">
        <v>159</v>
      </c>
    </row>
    <row r="1342" spans="1:3" x14ac:dyDescent="0.2">
      <c r="A1342" s="62" t="s">
        <v>4877</v>
      </c>
      <c r="B1342" s="48">
        <v>159</v>
      </c>
      <c r="C1342" s="62">
        <v>159</v>
      </c>
    </row>
    <row r="1343" spans="1:3" x14ac:dyDescent="0.2">
      <c r="A1343" s="62" t="s">
        <v>4876</v>
      </c>
      <c r="B1343" s="48">
        <v>18</v>
      </c>
      <c r="C1343" s="62">
        <v>18</v>
      </c>
    </row>
    <row r="1344" spans="1:3" x14ac:dyDescent="0.2">
      <c r="A1344" s="62" t="s">
        <v>4875</v>
      </c>
      <c r="B1344" s="48">
        <v>55</v>
      </c>
      <c r="C1344" s="62">
        <v>55</v>
      </c>
    </row>
    <row r="1345" spans="1:3" x14ac:dyDescent="0.2">
      <c r="A1345" s="62" t="s">
        <v>4874</v>
      </c>
      <c r="B1345" s="48">
        <v>55</v>
      </c>
      <c r="C1345" s="62">
        <v>55</v>
      </c>
    </row>
    <row r="1346" spans="1:3" x14ac:dyDescent="0.2">
      <c r="A1346" s="62" t="s">
        <v>4873</v>
      </c>
      <c r="B1346" s="48">
        <v>55</v>
      </c>
      <c r="C1346" s="62">
        <v>55</v>
      </c>
    </row>
    <row r="1347" spans="1:3" x14ac:dyDescent="0.2">
      <c r="A1347" s="62" t="s">
        <v>4872</v>
      </c>
      <c r="B1347" s="48">
        <v>80</v>
      </c>
      <c r="C1347" s="62">
        <v>80</v>
      </c>
    </row>
    <row r="1348" spans="1:3" x14ac:dyDescent="0.2">
      <c r="A1348" s="62" t="s">
        <v>4871</v>
      </c>
      <c r="B1348" s="48">
        <v>88</v>
      </c>
      <c r="C1348" s="62">
        <v>88</v>
      </c>
    </row>
    <row r="1349" spans="1:3" x14ac:dyDescent="0.2">
      <c r="A1349" s="62" t="s">
        <v>4870</v>
      </c>
      <c r="B1349" s="48">
        <v>167</v>
      </c>
      <c r="C1349" s="62">
        <v>167</v>
      </c>
    </row>
    <row r="1350" spans="1:3" x14ac:dyDescent="0.2">
      <c r="A1350" s="62" t="s">
        <v>4869</v>
      </c>
      <c r="B1350" s="48">
        <v>167</v>
      </c>
      <c r="C1350" s="62">
        <v>167</v>
      </c>
    </row>
    <row r="1351" spans="1:3" x14ac:dyDescent="0.2">
      <c r="A1351" s="62" t="s">
        <v>4868</v>
      </c>
      <c r="B1351" s="48">
        <v>15</v>
      </c>
      <c r="C1351" s="62">
        <v>15</v>
      </c>
    </row>
    <row r="1352" spans="1:3" x14ac:dyDescent="0.2">
      <c r="A1352" s="62" t="s">
        <v>4867</v>
      </c>
      <c r="B1352" s="48">
        <v>15</v>
      </c>
      <c r="C1352" s="62">
        <v>15</v>
      </c>
    </row>
    <row r="1353" spans="1:3" x14ac:dyDescent="0.2">
      <c r="A1353" s="62" t="s">
        <v>4866</v>
      </c>
      <c r="B1353" s="48">
        <v>15</v>
      </c>
      <c r="C1353" s="62">
        <v>15</v>
      </c>
    </row>
    <row r="1354" spans="1:3" x14ac:dyDescent="0.2">
      <c r="A1354" s="62" t="s">
        <v>4865</v>
      </c>
      <c r="B1354" s="48">
        <v>15</v>
      </c>
      <c r="C1354" s="62">
        <v>15</v>
      </c>
    </row>
    <row r="1355" spans="1:3" x14ac:dyDescent="0.2">
      <c r="A1355" s="62" t="s">
        <v>4864</v>
      </c>
      <c r="B1355" s="48">
        <v>15</v>
      </c>
      <c r="C1355" s="62">
        <v>15</v>
      </c>
    </row>
    <row r="1356" spans="1:3" x14ac:dyDescent="0.2">
      <c r="A1356" s="62" t="s">
        <v>4863</v>
      </c>
      <c r="B1356" s="48">
        <v>59</v>
      </c>
      <c r="C1356" s="62">
        <v>59</v>
      </c>
    </row>
    <row r="1357" spans="1:3" x14ac:dyDescent="0.2">
      <c r="A1357" s="62" t="s">
        <v>4861</v>
      </c>
      <c r="B1357" s="48">
        <v>63</v>
      </c>
      <c r="C1357" s="62">
        <v>63</v>
      </c>
    </row>
    <row r="1358" spans="1:3" x14ac:dyDescent="0.2">
      <c r="A1358" s="62" t="s">
        <v>4859</v>
      </c>
      <c r="B1358" s="48">
        <v>80</v>
      </c>
      <c r="C1358" s="62">
        <v>80</v>
      </c>
    </row>
    <row r="1359" spans="1:3" x14ac:dyDescent="0.2">
      <c r="A1359" s="62" t="s">
        <v>4858</v>
      </c>
      <c r="B1359" s="48">
        <v>142</v>
      </c>
      <c r="C1359" s="62">
        <v>142</v>
      </c>
    </row>
    <row r="1360" spans="1:3" x14ac:dyDescent="0.2">
      <c r="A1360" s="62" t="s">
        <v>4854</v>
      </c>
      <c r="B1360" s="48">
        <v>13</v>
      </c>
      <c r="C1360" s="62">
        <v>13</v>
      </c>
    </row>
    <row r="1361" spans="1:3" x14ac:dyDescent="0.2">
      <c r="A1361" s="62" t="s">
        <v>4853</v>
      </c>
      <c r="B1361" s="48">
        <v>142</v>
      </c>
      <c r="C1361" s="62">
        <v>142</v>
      </c>
    </row>
    <row r="1362" spans="1:3" x14ac:dyDescent="0.2">
      <c r="A1362" s="62" t="s">
        <v>4852</v>
      </c>
      <c r="B1362" s="48">
        <v>15</v>
      </c>
      <c r="C1362" s="62">
        <v>15</v>
      </c>
    </row>
    <row r="1363" spans="1:3" x14ac:dyDescent="0.2">
      <c r="A1363" s="62" t="s">
        <v>4850</v>
      </c>
      <c r="B1363" s="48">
        <v>14</v>
      </c>
      <c r="C1363" s="62">
        <v>14</v>
      </c>
    </row>
    <row r="1364" spans="1:3" x14ac:dyDescent="0.2">
      <c r="A1364" s="62" t="s">
        <v>4849</v>
      </c>
      <c r="B1364" s="48">
        <v>14</v>
      </c>
      <c r="C1364" s="62">
        <v>14</v>
      </c>
    </row>
    <row r="1365" spans="1:3" x14ac:dyDescent="0.2">
      <c r="A1365" s="62" t="s">
        <v>4848</v>
      </c>
      <c r="B1365" s="48">
        <v>148</v>
      </c>
      <c r="C1365" s="62">
        <v>148</v>
      </c>
    </row>
    <row r="1366" spans="1:3" x14ac:dyDescent="0.2">
      <c r="A1366" s="62" t="s">
        <v>4847</v>
      </c>
      <c r="B1366" s="48">
        <v>14</v>
      </c>
      <c r="C1366" s="62">
        <v>14</v>
      </c>
    </row>
    <row r="1367" spans="1:3" x14ac:dyDescent="0.2">
      <c r="A1367" s="62" t="s">
        <v>4846</v>
      </c>
      <c r="B1367" s="48">
        <v>14</v>
      </c>
      <c r="C1367" s="62">
        <v>14</v>
      </c>
    </row>
    <row r="1368" spans="1:3" x14ac:dyDescent="0.2">
      <c r="A1368" s="62" t="s">
        <v>4845</v>
      </c>
      <c r="B1368" s="48">
        <v>14</v>
      </c>
      <c r="C1368" s="62">
        <v>14</v>
      </c>
    </row>
    <row r="1369" spans="1:3" x14ac:dyDescent="0.2">
      <c r="A1369" s="62" t="s">
        <v>4844</v>
      </c>
      <c r="B1369" s="48">
        <v>2</v>
      </c>
      <c r="C1369" s="62">
        <v>2</v>
      </c>
    </row>
    <row r="1370" spans="1:3" x14ac:dyDescent="0.2">
      <c r="A1370" s="62" t="s">
        <v>4843</v>
      </c>
      <c r="B1370" s="48">
        <v>9</v>
      </c>
      <c r="C1370" s="62">
        <v>9</v>
      </c>
    </row>
    <row r="1371" spans="1:3" x14ac:dyDescent="0.2">
      <c r="A1371" s="62" t="s">
        <v>4842</v>
      </c>
      <c r="B1371" s="48">
        <v>217</v>
      </c>
      <c r="C1371" s="62">
        <v>217</v>
      </c>
    </row>
    <row r="1372" spans="1:3" x14ac:dyDescent="0.2">
      <c r="A1372" s="62" t="s">
        <v>4841</v>
      </c>
      <c r="B1372" s="48">
        <v>217</v>
      </c>
      <c r="C1372" s="62">
        <v>217</v>
      </c>
    </row>
    <row r="1373" spans="1:3" x14ac:dyDescent="0.2">
      <c r="A1373" s="62" t="s">
        <v>4840</v>
      </c>
      <c r="B1373" s="48">
        <v>217</v>
      </c>
      <c r="C1373" s="62">
        <v>217</v>
      </c>
    </row>
    <row r="1374" spans="1:3" x14ac:dyDescent="0.2">
      <c r="A1374" s="62" t="s">
        <v>4838</v>
      </c>
      <c r="B1374" s="48">
        <v>82</v>
      </c>
      <c r="C1374" s="62">
        <v>82</v>
      </c>
    </row>
    <row r="1375" spans="1:3" x14ac:dyDescent="0.2">
      <c r="A1375" s="62" t="s">
        <v>4837</v>
      </c>
      <c r="B1375" s="48">
        <v>15</v>
      </c>
      <c r="C1375" s="62">
        <v>15</v>
      </c>
    </row>
    <row r="1376" spans="1:3" x14ac:dyDescent="0.2">
      <c r="A1376" s="62" t="s">
        <v>4836</v>
      </c>
      <c r="B1376" s="48">
        <v>15</v>
      </c>
      <c r="C1376" s="62">
        <v>15</v>
      </c>
    </row>
    <row r="1377" spans="1:3" x14ac:dyDescent="0.2">
      <c r="A1377" s="62" t="s">
        <v>4835</v>
      </c>
      <c r="B1377" s="48">
        <v>2</v>
      </c>
      <c r="C1377" s="62">
        <v>2</v>
      </c>
    </row>
    <row r="1378" spans="1:3" x14ac:dyDescent="0.2">
      <c r="A1378" s="62" t="s">
        <v>4834</v>
      </c>
      <c r="B1378" s="48">
        <v>15</v>
      </c>
      <c r="C1378" s="62">
        <v>15</v>
      </c>
    </row>
    <row r="1379" spans="1:3" x14ac:dyDescent="0.2">
      <c r="A1379" s="62" t="s">
        <v>4833</v>
      </c>
      <c r="B1379" s="48">
        <v>15</v>
      </c>
      <c r="C1379" s="62">
        <v>15</v>
      </c>
    </row>
    <row r="1380" spans="1:3" x14ac:dyDescent="0.2">
      <c r="A1380" s="62" t="s">
        <v>4832</v>
      </c>
      <c r="B1380" s="48">
        <v>15</v>
      </c>
      <c r="C1380" s="62">
        <v>15</v>
      </c>
    </row>
    <row r="1381" spans="1:3" x14ac:dyDescent="0.2">
      <c r="A1381" s="62" t="s">
        <v>4831</v>
      </c>
      <c r="B1381" s="48">
        <v>5</v>
      </c>
      <c r="C1381" s="62">
        <v>5</v>
      </c>
    </row>
    <row r="1382" spans="1:3" x14ac:dyDescent="0.2">
      <c r="A1382" s="62" t="s">
        <v>4830</v>
      </c>
      <c r="B1382" s="48">
        <v>15</v>
      </c>
      <c r="C1382" s="62">
        <v>15</v>
      </c>
    </row>
    <row r="1383" spans="1:3" x14ac:dyDescent="0.2">
      <c r="A1383" s="62" t="s">
        <v>4829</v>
      </c>
      <c r="B1383" s="48">
        <v>15</v>
      </c>
      <c r="C1383" s="62">
        <v>15</v>
      </c>
    </row>
    <row r="1384" spans="1:3" x14ac:dyDescent="0.2">
      <c r="A1384" s="62" t="s">
        <v>4828</v>
      </c>
      <c r="B1384" s="48">
        <v>15</v>
      </c>
      <c r="C1384" s="62">
        <v>15</v>
      </c>
    </row>
    <row r="1385" spans="1:3" x14ac:dyDescent="0.2">
      <c r="A1385" s="62" t="s">
        <v>4827</v>
      </c>
      <c r="B1385" s="48">
        <v>15</v>
      </c>
      <c r="C1385" s="62">
        <v>15</v>
      </c>
    </row>
    <row r="1386" spans="1:3" x14ac:dyDescent="0.2">
      <c r="A1386" s="62" t="s">
        <v>4826</v>
      </c>
      <c r="B1386" s="48">
        <v>110</v>
      </c>
      <c r="C1386" s="62">
        <v>110</v>
      </c>
    </row>
    <row r="1387" spans="1:3" x14ac:dyDescent="0.2">
      <c r="A1387" s="62" t="s">
        <v>4824</v>
      </c>
      <c r="B1387" s="48">
        <v>148</v>
      </c>
      <c r="C1387" s="62">
        <v>148</v>
      </c>
    </row>
    <row r="1388" spans="1:3" x14ac:dyDescent="0.2">
      <c r="A1388" s="62" t="s">
        <v>4823</v>
      </c>
      <c r="B1388" s="48">
        <v>2</v>
      </c>
      <c r="C1388" s="62">
        <v>2</v>
      </c>
    </row>
    <row r="1389" spans="1:3" x14ac:dyDescent="0.2">
      <c r="A1389" s="62" t="s">
        <v>4822</v>
      </c>
      <c r="B1389" s="48">
        <v>2</v>
      </c>
      <c r="C1389" s="62">
        <v>2</v>
      </c>
    </row>
    <row r="1390" spans="1:3" x14ac:dyDescent="0.2">
      <c r="A1390" s="62" t="s">
        <v>4821</v>
      </c>
      <c r="B1390" s="48">
        <v>219</v>
      </c>
      <c r="C1390" s="62">
        <v>219</v>
      </c>
    </row>
    <row r="1391" spans="1:3" x14ac:dyDescent="0.2">
      <c r="A1391" s="62" t="s">
        <v>4820</v>
      </c>
      <c r="B1391" s="48">
        <v>98</v>
      </c>
      <c r="C1391" s="62">
        <v>98</v>
      </c>
    </row>
    <row r="1392" spans="1:3" x14ac:dyDescent="0.2">
      <c r="A1392" s="62" t="s">
        <v>4819</v>
      </c>
      <c r="B1392" s="48">
        <v>146</v>
      </c>
      <c r="C1392" s="62">
        <v>146</v>
      </c>
    </row>
    <row r="1393" spans="1:3" x14ac:dyDescent="0.2">
      <c r="A1393" s="62" t="s">
        <v>4818</v>
      </c>
      <c r="B1393" s="48">
        <v>15</v>
      </c>
      <c r="C1393" s="62">
        <v>15</v>
      </c>
    </row>
    <row r="1394" spans="1:3" x14ac:dyDescent="0.2">
      <c r="A1394" s="62" t="s">
        <v>4817</v>
      </c>
      <c r="B1394" s="48">
        <v>2</v>
      </c>
      <c r="C1394" s="62">
        <v>2</v>
      </c>
    </row>
    <row r="1395" spans="1:3" x14ac:dyDescent="0.2">
      <c r="A1395" s="62" t="s">
        <v>4816</v>
      </c>
      <c r="B1395" s="48">
        <v>179</v>
      </c>
      <c r="C1395" s="62">
        <v>179</v>
      </c>
    </row>
    <row r="1396" spans="1:3" x14ac:dyDescent="0.2">
      <c r="A1396" s="62" t="s">
        <v>4815</v>
      </c>
      <c r="B1396" s="48">
        <v>57</v>
      </c>
      <c r="C1396" s="62">
        <v>57</v>
      </c>
    </row>
    <row r="1397" spans="1:3" x14ac:dyDescent="0.2">
      <c r="A1397" s="62" t="s">
        <v>4814</v>
      </c>
      <c r="B1397" s="48">
        <v>14</v>
      </c>
      <c r="C1397" s="62">
        <v>14</v>
      </c>
    </row>
    <row r="1398" spans="1:3" x14ac:dyDescent="0.2">
      <c r="A1398" s="62" t="s">
        <v>4813</v>
      </c>
      <c r="B1398" s="48">
        <v>2</v>
      </c>
      <c r="C1398" s="62">
        <v>2</v>
      </c>
    </row>
    <row r="1399" spans="1:3" x14ac:dyDescent="0.2">
      <c r="A1399" s="62" t="s">
        <v>4810</v>
      </c>
      <c r="B1399" s="48">
        <v>2</v>
      </c>
      <c r="C1399" s="62">
        <v>2</v>
      </c>
    </row>
    <row r="1400" spans="1:3" x14ac:dyDescent="0.2">
      <c r="A1400" s="62" t="s">
        <v>4809</v>
      </c>
      <c r="B1400" s="48">
        <v>93</v>
      </c>
      <c r="C1400" s="62">
        <v>93</v>
      </c>
    </row>
    <row r="1401" spans="1:3" x14ac:dyDescent="0.2">
      <c r="A1401" s="62" t="s">
        <v>4808</v>
      </c>
      <c r="B1401" s="48">
        <v>2</v>
      </c>
      <c r="C1401" s="62">
        <v>2</v>
      </c>
    </row>
    <row r="1402" spans="1:3" x14ac:dyDescent="0.2">
      <c r="A1402" s="62" t="s">
        <v>4807</v>
      </c>
      <c r="B1402" s="48">
        <v>2</v>
      </c>
      <c r="C1402" s="62">
        <v>2</v>
      </c>
    </row>
    <row r="1403" spans="1:3" x14ac:dyDescent="0.2">
      <c r="A1403" s="62" t="s">
        <v>4804</v>
      </c>
      <c r="B1403" s="48">
        <v>33</v>
      </c>
      <c r="C1403" s="62">
        <v>33</v>
      </c>
    </row>
    <row r="1404" spans="1:3" x14ac:dyDescent="0.2">
      <c r="A1404" s="62" t="s">
        <v>4803</v>
      </c>
      <c r="B1404" s="48">
        <v>73</v>
      </c>
      <c r="C1404" s="62">
        <v>73</v>
      </c>
    </row>
    <row r="1405" spans="1:3" x14ac:dyDescent="0.2">
      <c r="A1405" s="62" t="s">
        <v>4802</v>
      </c>
      <c r="B1405" s="48">
        <v>33</v>
      </c>
      <c r="C1405" s="62">
        <v>33</v>
      </c>
    </row>
    <row r="1406" spans="1:3" x14ac:dyDescent="0.2">
      <c r="A1406" s="62" t="s">
        <v>4801</v>
      </c>
      <c r="B1406" s="48">
        <v>228</v>
      </c>
      <c r="C1406" s="62">
        <v>228</v>
      </c>
    </row>
    <row r="1407" spans="1:3" x14ac:dyDescent="0.2">
      <c r="A1407" s="62" t="s">
        <v>4799</v>
      </c>
      <c r="B1407" s="48">
        <v>228</v>
      </c>
      <c r="C1407" s="62">
        <v>228</v>
      </c>
    </row>
    <row r="1408" spans="1:3" x14ac:dyDescent="0.2">
      <c r="A1408" s="62" t="s">
        <v>4797</v>
      </c>
      <c r="B1408" s="48">
        <v>228</v>
      </c>
      <c r="C1408" s="62">
        <v>228</v>
      </c>
    </row>
    <row r="1409" spans="1:3" x14ac:dyDescent="0.2">
      <c r="A1409" s="62" t="s">
        <v>4796</v>
      </c>
      <c r="B1409" s="48">
        <v>228</v>
      </c>
      <c r="C1409" s="62">
        <v>228</v>
      </c>
    </row>
    <row r="1410" spans="1:3" x14ac:dyDescent="0.2">
      <c r="A1410" s="62" t="s">
        <v>4794</v>
      </c>
      <c r="B1410" s="48">
        <v>228</v>
      </c>
      <c r="C1410" s="62">
        <v>228</v>
      </c>
    </row>
    <row r="1411" spans="1:3" x14ac:dyDescent="0.2">
      <c r="A1411" s="62" t="s">
        <v>4792</v>
      </c>
      <c r="B1411" s="48">
        <v>228</v>
      </c>
      <c r="C1411" s="62">
        <v>228</v>
      </c>
    </row>
    <row r="1412" spans="1:3" x14ac:dyDescent="0.2">
      <c r="A1412" s="62" t="s">
        <v>4791</v>
      </c>
      <c r="B1412" s="48">
        <v>228</v>
      </c>
      <c r="C1412" s="62">
        <v>228</v>
      </c>
    </row>
    <row r="1413" spans="1:3" x14ac:dyDescent="0.2">
      <c r="A1413" s="62" t="s">
        <v>4789</v>
      </c>
      <c r="B1413" s="48">
        <v>228</v>
      </c>
      <c r="C1413" s="62">
        <v>228</v>
      </c>
    </row>
    <row r="1414" spans="1:3" x14ac:dyDescent="0.2">
      <c r="A1414" s="62" t="s">
        <v>4787</v>
      </c>
      <c r="B1414" s="48">
        <v>228</v>
      </c>
      <c r="C1414" s="62">
        <v>228</v>
      </c>
    </row>
    <row r="1415" spans="1:3" x14ac:dyDescent="0.2">
      <c r="A1415" s="62" t="s">
        <v>4785</v>
      </c>
      <c r="B1415" s="48">
        <v>122</v>
      </c>
      <c r="C1415" s="62">
        <v>122</v>
      </c>
    </row>
    <row r="1416" spans="1:3" x14ac:dyDescent="0.2">
      <c r="A1416" s="62" t="s">
        <v>4784</v>
      </c>
      <c r="B1416" s="48">
        <v>113</v>
      </c>
      <c r="C1416" s="62">
        <v>113</v>
      </c>
    </row>
    <row r="1417" spans="1:3" x14ac:dyDescent="0.2">
      <c r="A1417" s="62" t="s">
        <v>4783</v>
      </c>
      <c r="B1417" s="48">
        <v>88</v>
      </c>
      <c r="C1417" s="62">
        <v>88</v>
      </c>
    </row>
    <row r="1418" spans="1:3" x14ac:dyDescent="0.2">
      <c r="A1418" s="62" t="s">
        <v>4782</v>
      </c>
      <c r="B1418" s="48">
        <v>122</v>
      </c>
      <c r="C1418" s="62">
        <v>122</v>
      </c>
    </row>
    <row r="1419" spans="1:3" x14ac:dyDescent="0.2">
      <c r="A1419" s="62" t="s">
        <v>4781</v>
      </c>
      <c r="B1419" s="48">
        <v>148</v>
      </c>
      <c r="C1419" s="62">
        <v>148</v>
      </c>
    </row>
    <row r="1420" spans="1:3" x14ac:dyDescent="0.2">
      <c r="A1420" s="62" t="s">
        <v>4780</v>
      </c>
      <c r="B1420" s="48">
        <v>166</v>
      </c>
      <c r="C1420" s="62">
        <v>166</v>
      </c>
    </row>
    <row r="1421" spans="1:3" x14ac:dyDescent="0.2">
      <c r="A1421" s="62" t="s">
        <v>4779</v>
      </c>
      <c r="B1421" s="48">
        <v>166</v>
      </c>
      <c r="C1421" s="62">
        <v>166</v>
      </c>
    </row>
    <row r="1422" spans="1:3" x14ac:dyDescent="0.2">
      <c r="A1422" s="62" t="s">
        <v>4778</v>
      </c>
      <c r="B1422" s="48">
        <v>166</v>
      </c>
      <c r="C1422" s="62">
        <v>166</v>
      </c>
    </row>
    <row r="1423" spans="1:3" x14ac:dyDescent="0.2">
      <c r="A1423" s="62" t="s">
        <v>4777</v>
      </c>
      <c r="B1423" s="48">
        <v>2</v>
      </c>
      <c r="C1423" s="62">
        <v>2</v>
      </c>
    </row>
    <row r="1424" spans="1:3" x14ac:dyDescent="0.2">
      <c r="A1424" s="62" t="s">
        <v>4776</v>
      </c>
      <c r="B1424" s="48">
        <v>14</v>
      </c>
      <c r="C1424" s="62">
        <v>14</v>
      </c>
    </row>
    <row r="1425" spans="1:3" x14ac:dyDescent="0.2">
      <c r="A1425" s="62" t="s">
        <v>4775</v>
      </c>
      <c r="B1425" s="48">
        <v>14</v>
      </c>
      <c r="C1425" s="62">
        <v>14</v>
      </c>
    </row>
    <row r="1426" spans="1:3" x14ac:dyDescent="0.2">
      <c r="A1426" s="62" t="s">
        <v>4774</v>
      </c>
      <c r="B1426" s="48">
        <v>88</v>
      </c>
      <c r="C1426" s="62">
        <v>88</v>
      </c>
    </row>
    <row r="1427" spans="1:3" x14ac:dyDescent="0.2">
      <c r="A1427" s="62" t="s">
        <v>4773</v>
      </c>
      <c r="B1427" s="48">
        <v>2</v>
      </c>
      <c r="C1427" s="62">
        <v>2</v>
      </c>
    </row>
    <row r="1428" spans="1:3" x14ac:dyDescent="0.2">
      <c r="A1428" s="62" t="s">
        <v>4772</v>
      </c>
      <c r="B1428" s="48">
        <v>2</v>
      </c>
      <c r="C1428" s="62">
        <v>2</v>
      </c>
    </row>
    <row r="1429" spans="1:3" x14ac:dyDescent="0.2">
      <c r="A1429" s="62" t="s">
        <v>4771</v>
      </c>
      <c r="B1429" s="48">
        <v>14</v>
      </c>
      <c r="C1429" s="62">
        <v>14</v>
      </c>
    </row>
    <row r="1430" spans="1:3" x14ac:dyDescent="0.2">
      <c r="A1430" s="62" t="s">
        <v>4770</v>
      </c>
      <c r="B1430" s="48">
        <v>14</v>
      </c>
      <c r="C1430" s="62">
        <v>14</v>
      </c>
    </row>
    <row r="1431" spans="1:3" x14ac:dyDescent="0.2">
      <c r="A1431" s="62" t="s">
        <v>4769</v>
      </c>
      <c r="B1431" s="48">
        <v>15</v>
      </c>
      <c r="C1431" s="62">
        <v>15</v>
      </c>
    </row>
    <row r="1432" spans="1:3" x14ac:dyDescent="0.2">
      <c r="A1432" s="62" t="s">
        <v>4768</v>
      </c>
      <c r="B1432" s="48">
        <v>15</v>
      </c>
      <c r="C1432" s="62">
        <v>15</v>
      </c>
    </row>
    <row r="1433" spans="1:3" x14ac:dyDescent="0.2">
      <c r="A1433" s="62" t="s">
        <v>4767</v>
      </c>
      <c r="B1433" s="48">
        <v>14</v>
      </c>
      <c r="C1433" s="62">
        <v>14</v>
      </c>
    </row>
    <row r="1434" spans="1:3" x14ac:dyDescent="0.2">
      <c r="A1434" s="62" t="s">
        <v>4766</v>
      </c>
      <c r="B1434" s="48">
        <v>148</v>
      </c>
      <c r="C1434" s="62">
        <v>148</v>
      </c>
    </row>
    <row r="1435" spans="1:3" x14ac:dyDescent="0.2">
      <c r="A1435" s="62" t="s">
        <v>4764</v>
      </c>
      <c r="B1435" s="48">
        <v>148</v>
      </c>
      <c r="C1435" s="62">
        <v>148</v>
      </c>
    </row>
    <row r="1436" spans="1:3" x14ac:dyDescent="0.2">
      <c r="A1436" s="62" t="s">
        <v>4763</v>
      </c>
      <c r="B1436" s="48">
        <v>12</v>
      </c>
      <c r="C1436" s="62">
        <v>12</v>
      </c>
    </row>
    <row r="1437" spans="1:3" x14ac:dyDescent="0.2">
      <c r="A1437" s="62" t="s">
        <v>4762</v>
      </c>
      <c r="B1437" s="48">
        <v>158</v>
      </c>
      <c r="C1437" s="62">
        <v>158</v>
      </c>
    </row>
    <row r="1438" spans="1:3" x14ac:dyDescent="0.2">
      <c r="A1438" s="62" t="s">
        <v>4761</v>
      </c>
      <c r="B1438" s="48">
        <v>197</v>
      </c>
      <c r="C1438" s="62">
        <v>197</v>
      </c>
    </row>
    <row r="1439" spans="1:3" x14ac:dyDescent="0.2">
      <c r="A1439" s="62" t="s">
        <v>4760</v>
      </c>
      <c r="B1439" s="48">
        <v>152</v>
      </c>
      <c r="C1439" s="62">
        <v>152</v>
      </c>
    </row>
    <row r="1440" spans="1:3" x14ac:dyDescent="0.2">
      <c r="A1440" s="62" t="s">
        <v>4759</v>
      </c>
      <c r="B1440" s="48">
        <v>14</v>
      </c>
      <c r="C1440" s="62">
        <v>14</v>
      </c>
    </row>
    <row r="1441" spans="1:3" x14ac:dyDescent="0.2">
      <c r="A1441" s="62" t="s">
        <v>4758</v>
      </c>
      <c r="B1441" s="48">
        <v>14</v>
      </c>
      <c r="C1441" s="62">
        <v>14</v>
      </c>
    </row>
    <row r="1442" spans="1:3" x14ac:dyDescent="0.2">
      <c r="A1442" s="62" t="s">
        <v>4757</v>
      </c>
      <c r="B1442" s="48">
        <v>14</v>
      </c>
      <c r="C1442" s="62">
        <v>14</v>
      </c>
    </row>
    <row r="1443" spans="1:3" x14ac:dyDescent="0.2">
      <c r="A1443" s="62" t="s">
        <v>4756</v>
      </c>
      <c r="B1443" s="48">
        <v>2</v>
      </c>
      <c r="C1443" s="62">
        <v>2</v>
      </c>
    </row>
    <row r="1444" spans="1:3" x14ac:dyDescent="0.2">
      <c r="A1444" s="62" t="s">
        <v>4755</v>
      </c>
      <c r="B1444" s="48">
        <v>14</v>
      </c>
      <c r="C1444" s="62">
        <v>14</v>
      </c>
    </row>
    <row r="1445" spans="1:3" x14ac:dyDescent="0.2">
      <c r="A1445" s="62" t="s">
        <v>4754</v>
      </c>
      <c r="B1445" s="48">
        <v>14</v>
      </c>
      <c r="C1445" s="62">
        <v>14</v>
      </c>
    </row>
    <row r="1446" spans="1:3" x14ac:dyDescent="0.2">
      <c r="A1446" s="62" t="s">
        <v>4752</v>
      </c>
      <c r="B1446" s="48">
        <v>2</v>
      </c>
      <c r="C1446" s="62">
        <v>2</v>
      </c>
    </row>
    <row r="1447" spans="1:3" x14ac:dyDescent="0.2">
      <c r="A1447" s="62" t="s">
        <v>4751</v>
      </c>
      <c r="B1447" s="48">
        <v>2</v>
      </c>
      <c r="C1447" s="62">
        <v>2</v>
      </c>
    </row>
    <row r="1448" spans="1:3" x14ac:dyDescent="0.2">
      <c r="A1448" s="62" t="s">
        <v>4749</v>
      </c>
      <c r="B1448" s="48">
        <v>169</v>
      </c>
      <c r="C1448" s="62">
        <v>169</v>
      </c>
    </row>
    <row r="1449" spans="1:3" x14ac:dyDescent="0.2">
      <c r="A1449" s="62" t="s">
        <v>4748</v>
      </c>
      <c r="B1449" s="48">
        <v>169</v>
      </c>
      <c r="C1449" s="62">
        <v>169</v>
      </c>
    </row>
    <row r="1450" spans="1:3" x14ac:dyDescent="0.2">
      <c r="A1450" s="62" t="s">
        <v>4747</v>
      </c>
      <c r="B1450" s="48">
        <v>60</v>
      </c>
      <c r="C1450" s="62">
        <v>60</v>
      </c>
    </row>
    <row r="1451" spans="1:3" x14ac:dyDescent="0.2">
      <c r="A1451" s="62" t="s">
        <v>4746</v>
      </c>
      <c r="B1451" s="48">
        <v>169</v>
      </c>
      <c r="C1451" s="62">
        <v>169</v>
      </c>
    </row>
    <row r="1452" spans="1:3" x14ac:dyDescent="0.2">
      <c r="A1452" s="62" t="s">
        <v>4745</v>
      </c>
      <c r="B1452" s="48">
        <v>60</v>
      </c>
      <c r="C1452" s="62">
        <v>60</v>
      </c>
    </row>
    <row r="1453" spans="1:3" x14ac:dyDescent="0.2">
      <c r="A1453" s="62" t="s">
        <v>4744</v>
      </c>
      <c r="B1453" s="48">
        <v>169</v>
      </c>
      <c r="C1453" s="62">
        <v>169</v>
      </c>
    </row>
    <row r="1454" spans="1:3" x14ac:dyDescent="0.2">
      <c r="A1454" s="62" t="s">
        <v>4743</v>
      </c>
      <c r="B1454" s="48">
        <v>9</v>
      </c>
      <c r="C1454" s="62">
        <v>9</v>
      </c>
    </row>
    <row r="1455" spans="1:3" x14ac:dyDescent="0.2">
      <c r="A1455" s="62" t="s">
        <v>4742</v>
      </c>
      <c r="B1455" s="48">
        <v>9</v>
      </c>
      <c r="C1455" s="62">
        <v>9</v>
      </c>
    </row>
    <row r="1456" spans="1:3" x14ac:dyDescent="0.2">
      <c r="A1456" s="62" t="s">
        <v>4741</v>
      </c>
      <c r="B1456" s="48">
        <v>9</v>
      </c>
      <c r="C1456" s="62">
        <v>9</v>
      </c>
    </row>
    <row r="1457" spans="1:3" x14ac:dyDescent="0.2">
      <c r="A1457" s="62" t="s">
        <v>4740</v>
      </c>
      <c r="B1457" s="48">
        <v>9</v>
      </c>
      <c r="C1457" s="62">
        <v>9</v>
      </c>
    </row>
    <row r="1458" spans="1:3" x14ac:dyDescent="0.2">
      <c r="A1458" s="62" t="s">
        <v>4739</v>
      </c>
      <c r="B1458" s="48">
        <v>32</v>
      </c>
      <c r="C1458" s="62">
        <v>32</v>
      </c>
    </row>
    <row r="1459" spans="1:3" x14ac:dyDescent="0.2">
      <c r="A1459" s="62" t="s">
        <v>4738</v>
      </c>
      <c r="B1459" s="48">
        <v>2</v>
      </c>
      <c r="C1459" s="62">
        <v>2</v>
      </c>
    </row>
    <row r="1460" spans="1:3" x14ac:dyDescent="0.2">
      <c r="A1460" s="62" t="s">
        <v>4737</v>
      </c>
      <c r="B1460" s="48">
        <v>5</v>
      </c>
      <c r="C1460" s="62">
        <v>5</v>
      </c>
    </row>
    <row r="1461" spans="1:3" x14ac:dyDescent="0.2">
      <c r="A1461" s="62" t="s">
        <v>4736</v>
      </c>
      <c r="B1461" s="48">
        <v>14</v>
      </c>
      <c r="C1461" s="62">
        <v>14</v>
      </c>
    </row>
    <row r="1462" spans="1:3" x14ac:dyDescent="0.2">
      <c r="A1462" s="62" t="s">
        <v>4735</v>
      </c>
      <c r="B1462" s="48">
        <v>5</v>
      </c>
      <c r="C1462" s="62">
        <v>5</v>
      </c>
    </row>
    <row r="1463" spans="1:3" x14ac:dyDescent="0.2">
      <c r="A1463" s="62" t="s">
        <v>4734</v>
      </c>
      <c r="B1463" s="48">
        <v>2</v>
      </c>
      <c r="C1463" s="62">
        <v>2</v>
      </c>
    </row>
    <row r="1464" spans="1:3" x14ac:dyDescent="0.2">
      <c r="A1464" s="62" t="s">
        <v>4733</v>
      </c>
      <c r="B1464" s="48">
        <v>175</v>
      </c>
      <c r="C1464" s="62">
        <v>175</v>
      </c>
    </row>
    <row r="1465" spans="1:3" x14ac:dyDescent="0.2">
      <c r="A1465" s="62" t="s">
        <v>4732</v>
      </c>
      <c r="B1465" s="48">
        <v>14</v>
      </c>
      <c r="C1465" s="62">
        <v>14</v>
      </c>
    </row>
    <row r="1466" spans="1:3" x14ac:dyDescent="0.2">
      <c r="A1466" s="62" t="s">
        <v>4731</v>
      </c>
      <c r="B1466" s="48">
        <v>2</v>
      </c>
      <c r="C1466" s="62">
        <v>2</v>
      </c>
    </row>
    <row r="1467" spans="1:3" x14ac:dyDescent="0.2">
      <c r="A1467" s="62" t="s">
        <v>4730</v>
      </c>
      <c r="B1467" s="48">
        <v>15</v>
      </c>
      <c r="C1467" s="62">
        <v>15</v>
      </c>
    </row>
    <row r="1468" spans="1:3" x14ac:dyDescent="0.2">
      <c r="A1468" s="62" t="s">
        <v>4729</v>
      </c>
      <c r="B1468" s="48">
        <v>33</v>
      </c>
      <c r="C1468" s="62">
        <v>33</v>
      </c>
    </row>
    <row r="1469" spans="1:3" x14ac:dyDescent="0.2">
      <c r="A1469" s="62" t="s">
        <v>4728</v>
      </c>
      <c r="B1469" s="48">
        <v>14</v>
      </c>
      <c r="C1469" s="62">
        <v>14</v>
      </c>
    </row>
    <row r="1470" spans="1:3" x14ac:dyDescent="0.2">
      <c r="A1470" s="62" t="s">
        <v>4727</v>
      </c>
      <c r="B1470" s="48">
        <v>14</v>
      </c>
      <c r="C1470" s="62">
        <v>14</v>
      </c>
    </row>
    <row r="1471" spans="1:3" x14ac:dyDescent="0.2">
      <c r="A1471" s="62" t="s">
        <v>4726</v>
      </c>
      <c r="B1471" s="48">
        <v>15</v>
      </c>
      <c r="C1471" s="62">
        <v>15</v>
      </c>
    </row>
    <row r="1472" spans="1:3" x14ac:dyDescent="0.2">
      <c r="A1472" s="62" t="s">
        <v>4725</v>
      </c>
      <c r="B1472" s="48">
        <v>15</v>
      </c>
      <c r="C1472" s="62">
        <v>15</v>
      </c>
    </row>
    <row r="1473" spans="1:3" x14ac:dyDescent="0.2">
      <c r="A1473" s="62" t="s">
        <v>4724</v>
      </c>
      <c r="B1473" s="48">
        <v>15</v>
      </c>
      <c r="C1473" s="62">
        <v>15</v>
      </c>
    </row>
    <row r="1474" spans="1:3" x14ac:dyDescent="0.2">
      <c r="A1474" s="62" t="s">
        <v>4723</v>
      </c>
      <c r="B1474" s="48">
        <v>15</v>
      </c>
      <c r="C1474" s="62">
        <v>15</v>
      </c>
    </row>
    <row r="1475" spans="1:3" x14ac:dyDescent="0.2">
      <c r="A1475" s="62" t="s">
        <v>4722</v>
      </c>
      <c r="B1475" s="48">
        <v>15</v>
      </c>
      <c r="C1475" s="62">
        <v>15</v>
      </c>
    </row>
    <row r="1476" spans="1:3" x14ac:dyDescent="0.2">
      <c r="A1476" s="62" t="s">
        <v>4721</v>
      </c>
      <c r="B1476" s="48">
        <v>15</v>
      </c>
      <c r="C1476" s="62">
        <v>15</v>
      </c>
    </row>
    <row r="1477" spans="1:3" x14ac:dyDescent="0.2">
      <c r="A1477" s="62" t="s">
        <v>4720</v>
      </c>
      <c r="B1477" s="48">
        <v>15</v>
      </c>
      <c r="C1477" s="62">
        <v>15</v>
      </c>
    </row>
    <row r="1478" spans="1:3" x14ac:dyDescent="0.2">
      <c r="A1478" s="62" t="s">
        <v>4719</v>
      </c>
      <c r="B1478" s="48">
        <v>15</v>
      </c>
      <c r="C1478" s="62">
        <v>15</v>
      </c>
    </row>
    <row r="1479" spans="1:3" x14ac:dyDescent="0.2">
      <c r="A1479" s="62" t="s">
        <v>4718</v>
      </c>
      <c r="B1479" s="48">
        <v>15</v>
      </c>
      <c r="C1479" s="62">
        <v>15</v>
      </c>
    </row>
    <row r="1480" spans="1:3" x14ac:dyDescent="0.2">
      <c r="A1480" s="62" t="s">
        <v>4717</v>
      </c>
      <c r="B1480" s="48">
        <v>15</v>
      </c>
      <c r="C1480" s="62">
        <v>15</v>
      </c>
    </row>
    <row r="1481" spans="1:3" x14ac:dyDescent="0.2">
      <c r="A1481" s="62" t="s">
        <v>4716</v>
      </c>
      <c r="B1481" s="48">
        <v>15</v>
      </c>
      <c r="C1481" s="62">
        <v>15</v>
      </c>
    </row>
    <row r="1482" spans="1:3" x14ac:dyDescent="0.2">
      <c r="A1482" s="62" t="s">
        <v>4715</v>
      </c>
      <c r="B1482" s="48">
        <v>15</v>
      </c>
      <c r="C1482" s="62">
        <v>15</v>
      </c>
    </row>
    <row r="1483" spans="1:3" x14ac:dyDescent="0.2">
      <c r="A1483" s="62" t="s">
        <v>4714</v>
      </c>
      <c r="B1483" s="48">
        <v>15</v>
      </c>
      <c r="C1483" s="62">
        <v>15</v>
      </c>
    </row>
    <row r="1484" spans="1:3" x14ac:dyDescent="0.2">
      <c r="A1484" s="62" t="s">
        <v>4713</v>
      </c>
      <c r="B1484" s="48">
        <v>148</v>
      </c>
      <c r="C1484" s="62">
        <v>148</v>
      </c>
    </row>
    <row r="1485" spans="1:3" x14ac:dyDescent="0.2">
      <c r="A1485" s="62" t="s">
        <v>4712</v>
      </c>
      <c r="B1485" s="48">
        <v>14</v>
      </c>
      <c r="C1485" s="62">
        <v>14</v>
      </c>
    </row>
    <row r="1486" spans="1:3" x14ac:dyDescent="0.2">
      <c r="A1486" s="62" t="s">
        <v>4709</v>
      </c>
      <c r="B1486" s="48">
        <v>2</v>
      </c>
      <c r="C1486" s="62">
        <v>2</v>
      </c>
    </row>
    <row r="1487" spans="1:3" x14ac:dyDescent="0.2">
      <c r="A1487" s="62" t="s">
        <v>4708</v>
      </c>
      <c r="B1487" s="48">
        <v>2</v>
      </c>
      <c r="C1487" s="62">
        <v>2</v>
      </c>
    </row>
    <row r="1488" spans="1:3" x14ac:dyDescent="0.2">
      <c r="A1488" s="62" t="s">
        <v>4707</v>
      </c>
      <c r="B1488" s="48">
        <v>2</v>
      </c>
      <c r="C1488" s="62">
        <v>2</v>
      </c>
    </row>
    <row r="1489" spans="1:3" x14ac:dyDescent="0.2">
      <c r="A1489" s="62" t="s">
        <v>4706</v>
      </c>
      <c r="B1489" s="48">
        <v>14</v>
      </c>
      <c r="C1489" s="62">
        <v>14</v>
      </c>
    </row>
    <row r="1490" spans="1:3" x14ac:dyDescent="0.2">
      <c r="A1490" s="62" t="s">
        <v>4705</v>
      </c>
      <c r="B1490" s="48">
        <v>2</v>
      </c>
      <c r="C1490" s="62">
        <v>2</v>
      </c>
    </row>
    <row r="1491" spans="1:3" x14ac:dyDescent="0.2">
      <c r="A1491" s="62" t="s">
        <v>4704</v>
      </c>
      <c r="B1491" s="48">
        <v>15</v>
      </c>
      <c r="C1491" s="62">
        <v>15</v>
      </c>
    </row>
    <row r="1492" spans="1:3" x14ac:dyDescent="0.2">
      <c r="A1492" s="62" t="s">
        <v>4703</v>
      </c>
      <c r="B1492" s="48">
        <v>2</v>
      </c>
      <c r="C1492" s="62">
        <v>2</v>
      </c>
    </row>
    <row r="1493" spans="1:3" x14ac:dyDescent="0.2">
      <c r="A1493" s="62" t="s">
        <v>4702</v>
      </c>
      <c r="B1493" s="48">
        <v>2</v>
      </c>
      <c r="C1493" s="62">
        <v>2</v>
      </c>
    </row>
    <row r="1494" spans="1:3" x14ac:dyDescent="0.2">
      <c r="A1494" s="62" t="s">
        <v>4701</v>
      </c>
      <c r="B1494" s="48">
        <v>4</v>
      </c>
      <c r="C1494" s="62">
        <v>4</v>
      </c>
    </row>
    <row r="1495" spans="1:3" x14ac:dyDescent="0.2">
      <c r="A1495" s="62" t="s">
        <v>4700</v>
      </c>
      <c r="B1495" s="48">
        <v>4</v>
      </c>
      <c r="C1495" s="62">
        <v>4</v>
      </c>
    </row>
    <row r="1496" spans="1:3" x14ac:dyDescent="0.2">
      <c r="A1496" s="62" t="s">
        <v>4699</v>
      </c>
      <c r="B1496" s="48">
        <v>4</v>
      </c>
      <c r="C1496" s="62">
        <v>4</v>
      </c>
    </row>
    <row r="1497" spans="1:3" x14ac:dyDescent="0.2">
      <c r="A1497" s="62" t="s">
        <v>4698</v>
      </c>
      <c r="B1497" s="48">
        <v>225</v>
      </c>
      <c r="C1497" s="62">
        <v>225</v>
      </c>
    </row>
    <row r="1498" spans="1:3" x14ac:dyDescent="0.2">
      <c r="A1498" s="62" t="s">
        <v>4697</v>
      </c>
      <c r="B1498" s="48">
        <v>14</v>
      </c>
      <c r="C1498" s="62">
        <v>14</v>
      </c>
    </row>
    <row r="1499" spans="1:3" x14ac:dyDescent="0.2">
      <c r="A1499" s="62" t="s">
        <v>4696</v>
      </c>
      <c r="B1499" s="48">
        <v>14</v>
      </c>
      <c r="C1499" s="62">
        <v>14</v>
      </c>
    </row>
    <row r="1500" spans="1:3" x14ac:dyDescent="0.2">
      <c r="A1500" s="62" t="s">
        <v>4695</v>
      </c>
      <c r="B1500" s="48">
        <v>122</v>
      </c>
      <c r="C1500" s="62">
        <v>122</v>
      </c>
    </row>
    <row r="1501" spans="1:3" x14ac:dyDescent="0.2">
      <c r="A1501" s="62" t="s">
        <v>4694</v>
      </c>
      <c r="B1501" s="48">
        <v>14</v>
      </c>
      <c r="C1501" s="62">
        <v>14</v>
      </c>
    </row>
    <row r="1502" spans="1:3" x14ac:dyDescent="0.2">
      <c r="A1502" s="62" t="s">
        <v>4693</v>
      </c>
      <c r="B1502" s="48">
        <v>14</v>
      </c>
      <c r="C1502" s="62">
        <v>14</v>
      </c>
    </row>
    <row r="1503" spans="1:3" x14ac:dyDescent="0.2">
      <c r="A1503" s="62" t="s">
        <v>4692</v>
      </c>
      <c r="B1503" s="48">
        <v>14</v>
      </c>
      <c r="C1503" s="62">
        <v>14</v>
      </c>
    </row>
    <row r="1504" spans="1:3" x14ac:dyDescent="0.2">
      <c r="A1504" s="62" t="s">
        <v>4691</v>
      </c>
      <c r="B1504" s="48">
        <v>14</v>
      </c>
      <c r="C1504" s="62">
        <v>14</v>
      </c>
    </row>
    <row r="1505" spans="1:3" x14ac:dyDescent="0.2">
      <c r="A1505" s="62" t="s">
        <v>4690</v>
      </c>
      <c r="B1505" s="48">
        <v>15</v>
      </c>
      <c r="C1505" s="62">
        <v>15</v>
      </c>
    </row>
    <row r="1506" spans="1:3" x14ac:dyDescent="0.2">
      <c r="A1506" s="62" t="s">
        <v>4689</v>
      </c>
      <c r="B1506" s="48">
        <v>12</v>
      </c>
      <c r="C1506" s="62">
        <v>12</v>
      </c>
    </row>
    <row r="1507" spans="1:3" x14ac:dyDescent="0.2">
      <c r="A1507" s="62" t="s">
        <v>4688</v>
      </c>
      <c r="B1507" s="48">
        <v>12</v>
      </c>
      <c r="C1507" s="62">
        <v>12</v>
      </c>
    </row>
    <row r="1508" spans="1:3" x14ac:dyDescent="0.2">
      <c r="A1508" s="62" t="s">
        <v>4687</v>
      </c>
      <c r="B1508" s="48">
        <v>9</v>
      </c>
      <c r="C1508" s="62">
        <v>9</v>
      </c>
    </row>
    <row r="1509" spans="1:3" x14ac:dyDescent="0.2">
      <c r="A1509" s="62" t="s">
        <v>4686</v>
      </c>
      <c r="B1509" s="48">
        <v>15</v>
      </c>
      <c r="C1509" s="62">
        <v>15</v>
      </c>
    </row>
    <row r="1510" spans="1:3" x14ac:dyDescent="0.2">
      <c r="A1510" s="62" t="s">
        <v>4685</v>
      </c>
      <c r="B1510" s="48">
        <v>14</v>
      </c>
      <c r="C1510" s="62">
        <v>14</v>
      </c>
    </row>
    <row r="1511" spans="1:3" x14ac:dyDescent="0.2">
      <c r="A1511" s="62" t="s">
        <v>4684</v>
      </c>
      <c r="B1511" s="48">
        <v>33</v>
      </c>
      <c r="C1511" s="62">
        <v>33</v>
      </c>
    </row>
    <row r="1512" spans="1:3" x14ac:dyDescent="0.2">
      <c r="A1512" s="62" t="s">
        <v>4683</v>
      </c>
      <c r="B1512" s="48">
        <v>14</v>
      </c>
      <c r="C1512" s="62">
        <v>14</v>
      </c>
    </row>
    <row r="1513" spans="1:3" x14ac:dyDescent="0.2">
      <c r="A1513" s="62" t="s">
        <v>4681</v>
      </c>
      <c r="B1513" s="48">
        <v>14</v>
      </c>
      <c r="C1513" s="62">
        <v>14</v>
      </c>
    </row>
    <row r="1514" spans="1:3" x14ac:dyDescent="0.2">
      <c r="A1514" s="62" t="s">
        <v>4679</v>
      </c>
      <c r="B1514" s="48">
        <v>15</v>
      </c>
      <c r="C1514" s="62">
        <v>15</v>
      </c>
    </row>
    <row r="1515" spans="1:3" x14ac:dyDescent="0.2">
      <c r="A1515" s="62" t="s">
        <v>4678</v>
      </c>
      <c r="B1515" s="48">
        <v>198</v>
      </c>
      <c r="C1515" s="62">
        <v>198</v>
      </c>
    </row>
    <row r="1516" spans="1:3" x14ac:dyDescent="0.2">
      <c r="A1516" s="62" t="s">
        <v>4677</v>
      </c>
      <c r="B1516" s="48">
        <v>2</v>
      </c>
      <c r="C1516" s="62">
        <v>2</v>
      </c>
    </row>
    <row r="1517" spans="1:3" x14ac:dyDescent="0.2">
      <c r="A1517" s="62" t="s">
        <v>4676</v>
      </c>
      <c r="B1517" s="48">
        <v>15</v>
      </c>
      <c r="C1517" s="62">
        <v>15</v>
      </c>
    </row>
    <row r="1518" spans="1:3" x14ac:dyDescent="0.2">
      <c r="A1518" s="62" t="s">
        <v>4675</v>
      </c>
      <c r="B1518" s="48">
        <v>61</v>
      </c>
      <c r="C1518" s="62">
        <v>61</v>
      </c>
    </row>
    <row r="1519" spans="1:3" x14ac:dyDescent="0.2">
      <c r="A1519" s="62" t="s">
        <v>4674</v>
      </c>
      <c r="B1519" s="48">
        <v>61</v>
      </c>
      <c r="C1519" s="62">
        <v>61</v>
      </c>
    </row>
    <row r="1520" spans="1:3" x14ac:dyDescent="0.2">
      <c r="A1520" s="62" t="s">
        <v>4673</v>
      </c>
      <c r="B1520" s="48">
        <v>123</v>
      </c>
      <c r="C1520" s="62">
        <v>123</v>
      </c>
    </row>
    <row r="1521" spans="1:3" x14ac:dyDescent="0.2">
      <c r="A1521" s="62" t="s">
        <v>4672</v>
      </c>
      <c r="B1521" s="48">
        <v>33</v>
      </c>
      <c r="C1521" s="62">
        <v>33</v>
      </c>
    </row>
    <row r="1522" spans="1:3" x14ac:dyDescent="0.2">
      <c r="A1522" s="62" t="s">
        <v>4671</v>
      </c>
      <c r="B1522" s="48">
        <v>14</v>
      </c>
      <c r="C1522" s="62">
        <v>14</v>
      </c>
    </row>
    <row r="1523" spans="1:3" x14ac:dyDescent="0.2">
      <c r="A1523" s="62" t="s">
        <v>4670</v>
      </c>
      <c r="B1523" s="48">
        <v>33</v>
      </c>
      <c r="C1523" s="62">
        <v>33</v>
      </c>
    </row>
    <row r="1524" spans="1:3" x14ac:dyDescent="0.2">
      <c r="A1524" s="62" t="s">
        <v>4669</v>
      </c>
      <c r="B1524" s="48">
        <v>4</v>
      </c>
      <c r="C1524" s="62">
        <v>4</v>
      </c>
    </row>
    <row r="1525" spans="1:3" x14ac:dyDescent="0.2">
      <c r="A1525" s="62" t="s">
        <v>4668</v>
      </c>
      <c r="B1525" s="48">
        <v>47</v>
      </c>
      <c r="C1525" s="62">
        <v>47</v>
      </c>
    </row>
    <row r="1526" spans="1:3" x14ac:dyDescent="0.2">
      <c r="A1526" s="62" t="s">
        <v>4667</v>
      </c>
      <c r="B1526" s="48">
        <v>26</v>
      </c>
      <c r="C1526" s="62">
        <v>26</v>
      </c>
    </row>
    <row r="1527" spans="1:3" x14ac:dyDescent="0.2">
      <c r="A1527" s="62" t="s">
        <v>4666</v>
      </c>
      <c r="B1527" s="48">
        <v>10</v>
      </c>
      <c r="C1527" s="62">
        <v>10</v>
      </c>
    </row>
    <row r="1528" spans="1:3" x14ac:dyDescent="0.2">
      <c r="A1528" s="62" t="s">
        <v>4665</v>
      </c>
      <c r="B1528" s="48">
        <v>4</v>
      </c>
      <c r="C1528" s="62">
        <v>4</v>
      </c>
    </row>
    <row r="1529" spans="1:3" x14ac:dyDescent="0.2">
      <c r="A1529" s="62" t="s">
        <v>4664</v>
      </c>
      <c r="B1529" s="48">
        <v>10</v>
      </c>
      <c r="C1529" s="62">
        <v>10</v>
      </c>
    </row>
    <row r="1530" spans="1:3" x14ac:dyDescent="0.2">
      <c r="A1530" s="62" t="s">
        <v>4663</v>
      </c>
      <c r="B1530" s="48">
        <v>228</v>
      </c>
      <c r="C1530" s="62">
        <v>228</v>
      </c>
    </row>
    <row r="1531" spans="1:3" x14ac:dyDescent="0.2">
      <c r="A1531" s="62" t="s">
        <v>4662</v>
      </c>
      <c r="B1531" s="48">
        <v>148</v>
      </c>
      <c r="C1531" s="62">
        <v>148</v>
      </c>
    </row>
    <row r="1532" spans="1:3" x14ac:dyDescent="0.2">
      <c r="A1532" s="62" t="s">
        <v>4656</v>
      </c>
      <c r="B1532" s="48">
        <v>58</v>
      </c>
      <c r="C1532" s="62">
        <v>58</v>
      </c>
    </row>
    <row r="1533" spans="1:3" x14ac:dyDescent="0.2">
      <c r="A1533" s="62" t="s">
        <v>4655</v>
      </c>
      <c r="B1533" s="48">
        <v>152</v>
      </c>
      <c r="C1533" s="62">
        <v>152</v>
      </c>
    </row>
    <row r="1534" spans="1:3" x14ac:dyDescent="0.2">
      <c r="A1534" s="62" t="s">
        <v>4654</v>
      </c>
      <c r="B1534" s="48">
        <v>19</v>
      </c>
      <c r="C1534" s="62">
        <v>19</v>
      </c>
    </row>
    <row r="1535" spans="1:3" x14ac:dyDescent="0.2">
      <c r="A1535" s="62" t="s">
        <v>4653</v>
      </c>
      <c r="B1535" s="48">
        <v>166</v>
      </c>
      <c r="C1535" s="62">
        <v>166</v>
      </c>
    </row>
    <row r="1536" spans="1:3" x14ac:dyDescent="0.2">
      <c r="A1536" s="62" t="s">
        <v>4651</v>
      </c>
      <c r="B1536" s="48">
        <v>15</v>
      </c>
      <c r="C1536" s="62">
        <v>15</v>
      </c>
    </row>
    <row r="1537" spans="1:3" x14ac:dyDescent="0.2">
      <c r="A1537" s="62" t="s">
        <v>4650</v>
      </c>
      <c r="B1537" s="48">
        <v>19</v>
      </c>
      <c r="C1537" s="62">
        <v>19</v>
      </c>
    </row>
    <row r="1538" spans="1:3" x14ac:dyDescent="0.2">
      <c r="A1538" s="62" t="s">
        <v>4649</v>
      </c>
      <c r="B1538" s="48">
        <v>62</v>
      </c>
      <c r="C1538" s="62">
        <v>62</v>
      </c>
    </row>
    <row r="1539" spans="1:3" x14ac:dyDescent="0.2">
      <c r="A1539" s="62" t="s">
        <v>4648</v>
      </c>
      <c r="B1539" s="48">
        <v>2</v>
      </c>
      <c r="C1539" s="62">
        <v>2</v>
      </c>
    </row>
    <row r="1540" spans="1:3" x14ac:dyDescent="0.2">
      <c r="A1540" s="62" t="s">
        <v>4647</v>
      </c>
      <c r="B1540" s="48">
        <v>86</v>
      </c>
      <c r="C1540" s="62">
        <v>86</v>
      </c>
    </row>
    <row r="1541" spans="1:3" x14ac:dyDescent="0.2">
      <c r="A1541" s="62" t="s">
        <v>4646</v>
      </c>
      <c r="B1541" s="48">
        <v>19</v>
      </c>
      <c r="C1541" s="62">
        <v>19</v>
      </c>
    </row>
    <row r="1542" spans="1:3" x14ac:dyDescent="0.2">
      <c r="A1542" s="62" t="s">
        <v>4645</v>
      </c>
      <c r="B1542" s="48">
        <v>19</v>
      </c>
      <c r="C1542" s="62">
        <v>19</v>
      </c>
    </row>
    <row r="1543" spans="1:3" x14ac:dyDescent="0.2">
      <c r="A1543" s="62" t="s">
        <v>4644</v>
      </c>
      <c r="B1543" s="48">
        <v>19</v>
      </c>
      <c r="C1543" s="62">
        <v>19</v>
      </c>
    </row>
    <row r="1544" spans="1:3" x14ac:dyDescent="0.2">
      <c r="A1544" s="62" t="s">
        <v>4643</v>
      </c>
      <c r="B1544" s="48">
        <v>192</v>
      </c>
      <c r="C1544" s="62">
        <v>192</v>
      </c>
    </row>
    <row r="1545" spans="1:3" x14ac:dyDescent="0.2">
      <c r="A1545" s="62" t="s">
        <v>4642</v>
      </c>
      <c r="B1545" s="48">
        <v>15</v>
      </c>
      <c r="C1545" s="62">
        <v>15</v>
      </c>
    </row>
    <row r="1546" spans="1:3" x14ac:dyDescent="0.2">
      <c r="A1546" s="62" t="s">
        <v>4641</v>
      </c>
      <c r="B1546" s="48">
        <v>225</v>
      </c>
      <c r="C1546" s="62">
        <v>225</v>
      </c>
    </row>
    <row r="1547" spans="1:3" x14ac:dyDescent="0.2">
      <c r="A1547" s="62" t="s">
        <v>4640</v>
      </c>
      <c r="B1547" s="48">
        <v>14</v>
      </c>
      <c r="C1547" s="62">
        <v>14</v>
      </c>
    </row>
    <row r="1548" spans="1:3" x14ac:dyDescent="0.2">
      <c r="A1548" s="62" t="s">
        <v>4639</v>
      </c>
      <c r="B1548" s="48">
        <v>15</v>
      </c>
      <c r="C1548" s="62">
        <v>15</v>
      </c>
    </row>
    <row r="1549" spans="1:3" x14ac:dyDescent="0.2">
      <c r="A1549" s="62" t="s">
        <v>4638</v>
      </c>
      <c r="B1549" s="48">
        <v>15</v>
      </c>
      <c r="C1549" s="62">
        <v>15</v>
      </c>
    </row>
    <row r="1550" spans="1:3" x14ac:dyDescent="0.2">
      <c r="A1550" s="62" t="s">
        <v>4637</v>
      </c>
      <c r="B1550" s="48">
        <v>15</v>
      </c>
      <c r="C1550" s="62">
        <v>15</v>
      </c>
    </row>
    <row r="1551" spans="1:3" x14ac:dyDescent="0.2">
      <c r="A1551" s="62" t="s">
        <v>4636</v>
      </c>
      <c r="B1551" s="48">
        <v>15</v>
      </c>
      <c r="C1551" s="62">
        <v>15</v>
      </c>
    </row>
    <row r="1552" spans="1:3" x14ac:dyDescent="0.2">
      <c r="A1552" s="62" t="s">
        <v>4635</v>
      </c>
      <c r="B1552" s="48">
        <v>33</v>
      </c>
      <c r="C1552" s="62">
        <v>33</v>
      </c>
    </row>
    <row r="1553" spans="1:3" x14ac:dyDescent="0.2">
      <c r="A1553" s="62" t="s">
        <v>4634</v>
      </c>
      <c r="B1553" s="48">
        <v>14</v>
      </c>
      <c r="C1553" s="62">
        <v>14</v>
      </c>
    </row>
    <row r="1554" spans="1:3" x14ac:dyDescent="0.2">
      <c r="A1554" s="62" t="s">
        <v>4633</v>
      </c>
      <c r="B1554" s="48">
        <v>14</v>
      </c>
      <c r="C1554" s="62">
        <v>14</v>
      </c>
    </row>
    <row r="1555" spans="1:3" x14ac:dyDescent="0.2">
      <c r="A1555" s="62" t="s">
        <v>4632</v>
      </c>
      <c r="B1555" s="48">
        <v>14</v>
      </c>
      <c r="C1555" s="62">
        <v>14</v>
      </c>
    </row>
    <row r="1556" spans="1:3" x14ac:dyDescent="0.2">
      <c r="A1556" s="62" t="s">
        <v>4631</v>
      </c>
      <c r="B1556" s="48">
        <v>14</v>
      </c>
      <c r="C1556" s="62">
        <v>14</v>
      </c>
    </row>
    <row r="1557" spans="1:3" x14ac:dyDescent="0.2">
      <c r="A1557" s="62" t="s">
        <v>4630</v>
      </c>
      <c r="B1557" s="48">
        <v>14</v>
      </c>
      <c r="C1557" s="62">
        <v>14</v>
      </c>
    </row>
    <row r="1558" spans="1:3" x14ac:dyDescent="0.2">
      <c r="A1558" s="62" t="s">
        <v>4629</v>
      </c>
      <c r="B1558" s="48">
        <v>14</v>
      </c>
      <c r="C1558" s="62">
        <v>14</v>
      </c>
    </row>
    <row r="1559" spans="1:3" x14ac:dyDescent="0.2">
      <c r="A1559" s="62" t="s">
        <v>4628</v>
      </c>
      <c r="B1559" s="48">
        <v>14</v>
      </c>
      <c r="C1559" s="62">
        <v>14</v>
      </c>
    </row>
    <row r="1560" spans="1:3" x14ac:dyDescent="0.2">
      <c r="A1560" s="62" t="s">
        <v>4627</v>
      </c>
      <c r="B1560" s="48">
        <v>90</v>
      </c>
      <c r="C1560" s="62">
        <v>90</v>
      </c>
    </row>
    <row r="1561" spans="1:3" x14ac:dyDescent="0.2">
      <c r="A1561" s="62" t="s">
        <v>4626</v>
      </c>
      <c r="B1561" s="48">
        <v>14</v>
      </c>
      <c r="C1561" s="62">
        <v>14</v>
      </c>
    </row>
    <row r="1562" spans="1:3" x14ac:dyDescent="0.2">
      <c r="A1562" s="62" t="s">
        <v>4625</v>
      </c>
      <c r="B1562" s="48">
        <v>14</v>
      </c>
      <c r="C1562" s="62">
        <v>14</v>
      </c>
    </row>
    <row r="1563" spans="1:3" x14ac:dyDescent="0.2">
      <c r="A1563" s="62" t="s">
        <v>4623</v>
      </c>
      <c r="B1563" s="48">
        <v>70</v>
      </c>
      <c r="C1563" s="62">
        <v>70</v>
      </c>
    </row>
    <row r="1564" spans="1:3" x14ac:dyDescent="0.2">
      <c r="A1564" s="62" t="s">
        <v>4622</v>
      </c>
      <c r="B1564" s="48">
        <v>2</v>
      </c>
      <c r="C1564" s="62">
        <v>2</v>
      </c>
    </row>
    <row r="1565" spans="1:3" x14ac:dyDescent="0.2">
      <c r="A1565" s="62" t="s">
        <v>4621</v>
      </c>
      <c r="B1565" s="48">
        <v>2</v>
      </c>
      <c r="C1565" s="62">
        <v>2</v>
      </c>
    </row>
    <row r="1566" spans="1:3" x14ac:dyDescent="0.2">
      <c r="A1566" s="62" t="s">
        <v>4620</v>
      </c>
      <c r="B1566" s="48">
        <v>2</v>
      </c>
      <c r="C1566" s="62">
        <v>2</v>
      </c>
    </row>
    <row r="1567" spans="1:3" x14ac:dyDescent="0.2">
      <c r="A1567" s="62" t="s">
        <v>4619</v>
      </c>
      <c r="B1567" s="48">
        <v>2</v>
      </c>
      <c r="C1567" s="62">
        <v>2</v>
      </c>
    </row>
    <row r="1568" spans="1:3" x14ac:dyDescent="0.2">
      <c r="A1568" s="62" t="s">
        <v>4618</v>
      </c>
      <c r="B1568" s="48">
        <v>2</v>
      </c>
      <c r="C1568" s="62">
        <v>2</v>
      </c>
    </row>
    <row r="1569" spans="1:3" x14ac:dyDescent="0.2">
      <c r="A1569" s="62" t="s">
        <v>4617</v>
      </c>
      <c r="B1569" s="48">
        <v>87</v>
      </c>
      <c r="C1569" s="62">
        <v>87</v>
      </c>
    </row>
    <row r="1570" spans="1:3" x14ac:dyDescent="0.2">
      <c r="A1570" s="62" t="s">
        <v>4616</v>
      </c>
      <c r="B1570" s="48">
        <v>227</v>
      </c>
      <c r="C1570" s="62">
        <v>227</v>
      </c>
    </row>
    <row r="1571" spans="1:3" x14ac:dyDescent="0.2">
      <c r="A1571" s="62" t="s">
        <v>4615</v>
      </c>
      <c r="B1571" s="48">
        <v>15</v>
      </c>
      <c r="C1571" s="62">
        <v>15</v>
      </c>
    </row>
    <row r="1572" spans="1:3" x14ac:dyDescent="0.2">
      <c r="A1572" s="62" t="s">
        <v>4614</v>
      </c>
      <c r="B1572" s="48">
        <v>70</v>
      </c>
      <c r="C1572" s="62">
        <v>70</v>
      </c>
    </row>
    <row r="1573" spans="1:3" x14ac:dyDescent="0.2">
      <c r="A1573" s="62" t="s">
        <v>4613</v>
      </c>
      <c r="B1573" s="48">
        <v>150</v>
      </c>
      <c r="C1573" s="62">
        <v>150</v>
      </c>
    </row>
    <row r="1574" spans="1:3" x14ac:dyDescent="0.2">
      <c r="A1574" s="62" t="s">
        <v>4612</v>
      </c>
      <c r="B1574" s="48">
        <v>2</v>
      </c>
      <c r="C1574" s="62">
        <v>2</v>
      </c>
    </row>
    <row r="1575" spans="1:3" x14ac:dyDescent="0.2">
      <c r="A1575" s="62" t="s">
        <v>4611</v>
      </c>
      <c r="B1575" s="48">
        <v>15</v>
      </c>
      <c r="C1575" s="62">
        <v>15</v>
      </c>
    </row>
    <row r="1576" spans="1:3" x14ac:dyDescent="0.2">
      <c r="A1576" s="62" t="s">
        <v>4610</v>
      </c>
      <c r="B1576" s="48">
        <v>14</v>
      </c>
      <c r="C1576" s="62">
        <v>14</v>
      </c>
    </row>
    <row r="1577" spans="1:3" x14ac:dyDescent="0.2">
      <c r="A1577" s="62" t="s">
        <v>4609</v>
      </c>
      <c r="B1577" s="48">
        <v>14</v>
      </c>
      <c r="C1577" s="62">
        <v>14</v>
      </c>
    </row>
    <row r="1578" spans="1:3" x14ac:dyDescent="0.2">
      <c r="A1578" s="62" t="s">
        <v>4608</v>
      </c>
      <c r="B1578" s="48">
        <v>2</v>
      </c>
      <c r="C1578" s="62">
        <v>2</v>
      </c>
    </row>
    <row r="1579" spans="1:3" x14ac:dyDescent="0.2">
      <c r="A1579" s="62" t="s">
        <v>4607</v>
      </c>
      <c r="B1579" s="48">
        <v>14</v>
      </c>
      <c r="C1579" s="62">
        <v>14</v>
      </c>
    </row>
    <row r="1580" spans="1:3" x14ac:dyDescent="0.2">
      <c r="A1580" s="62" t="s">
        <v>4606</v>
      </c>
      <c r="B1580" s="48">
        <v>2</v>
      </c>
      <c r="C1580" s="62">
        <v>2</v>
      </c>
    </row>
    <row r="1581" spans="1:3" x14ac:dyDescent="0.2">
      <c r="A1581" s="62" t="s">
        <v>4605</v>
      </c>
      <c r="B1581" s="48">
        <v>31</v>
      </c>
      <c r="C1581" s="62">
        <v>31</v>
      </c>
    </row>
    <row r="1582" spans="1:3" x14ac:dyDescent="0.2">
      <c r="A1582" s="62" t="s">
        <v>4604</v>
      </c>
      <c r="B1582" s="48">
        <v>15</v>
      </c>
      <c r="C1582" s="62">
        <v>15</v>
      </c>
    </row>
    <row r="1583" spans="1:3" x14ac:dyDescent="0.2">
      <c r="A1583" s="62" t="s">
        <v>4603</v>
      </c>
      <c r="B1583" s="48">
        <v>15</v>
      </c>
      <c r="C1583" s="62">
        <v>15</v>
      </c>
    </row>
    <row r="1584" spans="1:3" x14ac:dyDescent="0.2">
      <c r="A1584" s="62" t="s">
        <v>4602</v>
      </c>
      <c r="B1584" s="48">
        <v>15</v>
      </c>
      <c r="C1584" s="62">
        <v>15</v>
      </c>
    </row>
    <row r="1585" spans="1:3" x14ac:dyDescent="0.2">
      <c r="A1585" s="62" t="s">
        <v>4601</v>
      </c>
      <c r="B1585" s="48">
        <v>163</v>
      </c>
      <c r="C1585" s="62">
        <v>163</v>
      </c>
    </row>
    <row r="1586" spans="1:3" x14ac:dyDescent="0.2">
      <c r="A1586" s="62" t="s">
        <v>4600</v>
      </c>
      <c r="B1586" s="48">
        <v>52</v>
      </c>
      <c r="C1586" s="62">
        <v>52</v>
      </c>
    </row>
    <row r="1587" spans="1:3" x14ac:dyDescent="0.2">
      <c r="A1587" s="62" t="s">
        <v>4599</v>
      </c>
      <c r="B1587" s="48">
        <v>15</v>
      </c>
      <c r="C1587" s="62">
        <v>15</v>
      </c>
    </row>
    <row r="1588" spans="1:3" x14ac:dyDescent="0.2">
      <c r="A1588" s="62" t="s">
        <v>4598</v>
      </c>
      <c r="B1588" s="48">
        <v>14</v>
      </c>
      <c r="C1588" s="62">
        <v>14</v>
      </c>
    </row>
    <row r="1589" spans="1:3" x14ac:dyDescent="0.2">
      <c r="A1589" s="62" t="s">
        <v>4597</v>
      </c>
      <c r="B1589" s="48">
        <v>14</v>
      </c>
      <c r="C1589" s="62">
        <v>14</v>
      </c>
    </row>
    <row r="1590" spans="1:3" x14ac:dyDescent="0.2">
      <c r="A1590" s="62" t="s">
        <v>4595</v>
      </c>
      <c r="B1590" s="48">
        <v>15</v>
      </c>
      <c r="C1590" s="62">
        <v>15</v>
      </c>
    </row>
    <row r="1591" spans="1:3" x14ac:dyDescent="0.2">
      <c r="A1591" s="62" t="s">
        <v>4594</v>
      </c>
      <c r="B1591" s="48">
        <v>131</v>
      </c>
      <c r="C1591" s="62">
        <v>131</v>
      </c>
    </row>
    <row r="1592" spans="1:3" x14ac:dyDescent="0.2">
      <c r="A1592" s="62" t="s">
        <v>4593</v>
      </c>
      <c r="B1592" s="48">
        <v>178</v>
      </c>
      <c r="C1592" s="62">
        <v>178</v>
      </c>
    </row>
    <row r="1593" spans="1:3" x14ac:dyDescent="0.2">
      <c r="A1593" s="62" t="s">
        <v>4592</v>
      </c>
      <c r="B1593" s="48">
        <v>74</v>
      </c>
      <c r="C1593" s="62">
        <v>74</v>
      </c>
    </row>
    <row r="1594" spans="1:3" x14ac:dyDescent="0.2">
      <c r="A1594" s="62" t="s">
        <v>4591</v>
      </c>
      <c r="B1594" s="48">
        <v>127</v>
      </c>
      <c r="C1594" s="62">
        <v>127</v>
      </c>
    </row>
    <row r="1595" spans="1:3" x14ac:dyDescent="0.2">
      <c r="A1595" s="62" t="s">
        <v>4590</v>
      </c>
      <c r="B1595" s="48">
        <v>205</v>
      </c>
      <c r="C1595" s="62">
        <v>205</v>
      </c>
    </row>
    <row r="1596" spans="1:3" x14ac:dyDescent="0.2">
      <c r="A1596" s="62" t="s">
        <v>4589</v>
      </c>
      <c r="B1596" s="48">
        <v>19</v>
      </c>
      <c r="C1596" s="62">
        <v>19</v>
      </c>
    </row>
    <row r="1597" spans="1:3" x14ac:dyDescent="0.2">
      <c r="A1597" s="62" t="s">
        <v>4588</v>
      </c>
      <c r="B1597" s="48">
        <v>15</v>
      </c>
      <c r="C1597" s="62">
        <v>15</v>
      </c>
    </row>
    <row r="1598" spans="1:3" x14ac:dyDescent="0.2">
      <c r="A1598" s="62" t="s">
        <v>4587</v>
      </c>
      <c r="B1598" s="48">
        <v>15</v>
      </c>
      <c r="C1598" s="62">
        <v>15</v>
      </c>
    </row>
    <row r="1599" spans="1:3" x14ac:dyDescent="0.2">
      <c r="A1599" s="62" t="s">
        <v>4586</v>
      </c>
      <c r="B1599" s="48">
        <v>15</v>
      </c>
      <c r="C1599" s="62">
        <v>15</v>
      </c>
    </row>
    <row r="1600" spans="1:3" x14ac:dyDescent="0.2">
      <c r="A1600" s="62" t="s">
        <v>4585</v>
      </c>
      <c r="B1600" s="48">
        <v>15</v>
      </c>
      <c r="C1600" s="62">
        <v>15</v>
      </c>
    </row>
    <row r="1601" spans="1:3" x14ac:dyDescent="0.2">
      <c r="A1601" s="62" t="s">
        <v>4584</v>
      </c>
      <c r="B1601" s="48">
        <v>15</v>
      </c>
      <c r="C1601" s="62">
        <v>15</v>
      </c>
    </row>
    <row r="1602" spans="1:3" x14ac:dyDescent="0.2">
      <c r="A1602" s="62" t="s">
        <v>4583</v>
      </c>
      <c r="B1602" s="48">
        <v>15</v>
      </c>
      <c r="C1602" s="62">
        <v>15</v>
      </c>
    </row>
    <row r="1603" spans="1:3" x14ac:dyDescent="0.2">
      <c r="A1603" s="62" t="s">
        <v>4582</v>
      </c>
      <c r="B1603" s="48">
        <v>122</v>
      </c>
      <c r="C1603" s="62">
        <v>122</v>
      </c>
    </row>
    <row r="1604" spans="1:3" x14ac:dyDescent="0.2">
      <c r="A1604" s="62" t="s">
        <v>4581</v>
      </c>
      <c r="B1604" s="48">
        <v>15</v>
      </c>
      <c r="C1604" s="62">
        <v>15</v>
      </c>
    </row>
    <row r="1605" spans="1:3" x14ac:dyDescent="0.2">
      <c r="A1605" s="62" t="s">
        <v>4580</v>
      </c>
      <c r="B1605" s="48">
        <v>148</v>
      </c>
      <c r="C1605" s="62">
        <v>148</v>
      </c>
    </row>
    <row r="1606" spans="1:3" x14ac:dyDescent="0.2">
      <c r="A1606" s="62" t="s">
        <v>4579</v>
      </c>
      <c r="B1606" s="48">
        <v>148</v>
      </c>
      <c r="C1606" s="62">
        <v>148</v>
      </c>
    </row>
    <row r="1607" spans="1:3" x14ac:dyDescent="0.2">
      <c r="A1607" s="62" t="s">
        <v>4578</v>
      </c>
      <c r="B1607" s="48">
        <v>104</v>
      </c>
      <c r="C1607" s="62">
        <v>104</v>
      </c>
    </row>
    <row r="1608" spans="1:3" x14ac:dyDescent="0.2">
      <c r="A1608" s="62" t="s">
        <v>4577</v>
      </c>
      <c r="B1608" s="48">
        <v>15</v>
      </c>
      <c r="C1608" s="62">
        <v>15</v>
      </c>
    </row>
    <row r="1609" spans="1:3" x14ac:dyDescent="0.2">
      <c r="A1609" s="62" t="s">
        <v>4576</v>
      </c>
      <c r="B1609" s="48">
        <v>15</v>
      </c>
      <c r="C1609" s="62">
        <v>15</v>
      </c>
    </row>
    <row r="1610" spans="1:3" x14ac:dyDescent="0.2">
      <c r="A1610" s="62" t="s">
        <v>4575</v>
      </c>
      <c r="B1610" s="48">
        <v>15</v>
      </c>
      <c r="C1610" s="62">
        <v>15</v>
      </c>
    </row>
    <row r="1611" spans="1:3" x14ac:dyDescent="0.2">
      <c r="A1611" s="62" t="s">
        <v>4574</v>
      </c>
      <c r="B1611" s="48">
        <v>15</v>
      </c>
      <c r="C1611" s="62">
        <v>15</v>
      </c>
    </row>
    <row r="1612" spans="1:3" x14ac:dyDescent="0.2">
      <c r="A1612" s="62" t="s">
        <v>4573</v>
      </c>
      <c r="B1612" s="48">
        <v>15</v>
      </c>
      <c r="C1612" s="62">
        <v>15</v>
      </c>
    </row>
    <row r="1613" spans="1:3" x14ac:dyDescent="0.2">
      <c r="A1613" s="62" t="s">
        <v>4572</v>
      </c>
      <c r="B1613" s="48">
        <v>15</v>
      </c>
      <c r="C1613" s="62">
        <v>15</v>
      </c>
    </row>
    <row r="1614" spans="1:3" x14ac:dyDescent="0.2">
      <c r="A1614" s="62" t="s">
        <v>4571</v>
      </c>
      <c r="B1614" s="48">
        <v>15</v>
      </c>
      <c r="C1614" s="62">
        <v>15</v>
      </c>
    </row>
    <row r="1615" spans="1:3" x14ac:dyDescent="0.2">
      <c r="A1615" s="62" t="s">
        <v>4570</v>
      </c>
      <c r="B1615" s="48">
        <v>15</v>
      </c>
      <c r="C1615" s="62">
        <v>15</v>
      </c>
    </row>
    <row r="1616" spans="1:3" x14ac:dyDescent="0.2">
      <c r="A1616" s="62" t="s">
        <v>4569</v>
      </c>
      <c r="B1616" s="48">
        <v>15</v>
      </c>
      <c r="C1616" s="62">
        <v>15</v>
      </c>
    </row>
    <row r="1617" spans="1:3" x14ac:dyDescent="0.2">
      <c r="A1617" s="62" t="s">
        <v>4568</v>
      </c>
      <c r="B1617" s="48">
        <v>15</v>
      </c>
      <c r="C1617" s="62">
        <v>15</v>
      </c>
    </row>
    <row r="1618" spans="1:3" x14ac:dyDescent="0.2">
      <c r="A1618" s="62" t="s">
        <v>4567</v>
      </c>
      <c r="B1618" s="48">
        <v>15</v>
      </c>
      <c r="C1618" s="62">
        <v>15</v>
      </c>
    </row>
    <row r="1619" spans="1:3" x14ac:dyDescent="0.2">
      <c r="A1619" s="62" t="s">
        <v>4566</v>
      </c>
      <c r="B1619" s="48">
        <v>15</v>
      </c>
      <c r="C1619" s="62">
        <v>15</v>
      </c>
    </row>
    <row r="1620" spans="1:3" x14ac:dyDescent="0.2">
      <c r="A1620" s="62" t="s">
        <v>4565</v>
      </c>
      <c r="B1620" s="48">
        <v>2</v>
      </c>
      <c r="C1620" s="62">
        <v>2</v>
      </c>
    </row>
    <row r="1621" spans="1:3" x14ac:dyDescent="0.2">
      <c r="A1621" s="62" t="s">
        <v>4564</v>
      </c>
      <c r="B1621" s="48">
        <v>15</v>
      </c>
      <c r="C1621" s="62">
        <v>15</v>
      </c>
    </row>
    <row r="1622" spans="1:3" x14ac:dyDescent="0.2">
      <c r="A1622" s="62" t="s">
        <v>4563</v>
      </c>
      <c r="B1622" s="48">
        <v>9</v>
      </c>
      <c r="C1622" s="62">
        <v>9</v>
      </c>
    </row>
    <row r="1623" spans="1:3" x14ac:dyDescent="0.2">
      <c r="A1623" s="62" t="s">
        <v>4562</v>
      </c>
      <c r="B1623" s="48">
        <v>154</v>
      </c>
      <c r="C1623" s="62">
        <v>154</v>
      </c>
    </row>
    <row r="1624" spans="1:3" x14ac:dyDescent="0.2">
      <c r="A1624" s="62" t="s">
        <v>4561</v>
      </c>
      <c r="B1624" s="48">
        <v>154</v>
      </c>
      <c r="C1624" s="62">
        <v>154</v>
      </c>
    </row>
    <row r="1625" spans="1:3" x14ac:dyDescent="0.2">
      <c r="A1625" s="62" t="s">
        <v>4560</v>
      </c>
      <c r="B1625" s="48">
        <v>57</v>
      </c>
      <c r="C1625" s="62">
        <v>57</v>
      </c>
    </row>
    <row r="1626" spans="1:3" x14ac:dyDescent="0.2">
      <c r="A1626" s="62" t="s">
        <v>4559</v>
      </c>
      <c r="B1626" s="48">
        <v>64</v>
      </c>
      <c r="C1626" s="62">
        <v>64</v>
      </c>
    </row>
    <row r="1627" spans="1:3" x14ac:dyDescent="0.2">
      <c r="A1627" s="62" t="s">
        <v>4558</v>
      </c>
      <c r="B1627" s="48">
        <v>13</v>
      </c>
      <c r="C1627" s="62">
        <v>13</v>
      </c>
    </row>
    <row r="1628" spans="1:3" x14ac:dyDescent="0.2">
      <c r="A1628" s="62" t="s">
        <v>4556</v>
      </c>
      <c r="B1628" s="48">
        <v>15</v>
      </c>
      <c r="C1628" s="62">
        <v>15</v>
      </c>
    </row>
    <row r="1629" spans="1:3" x14ac:dyDescent="0.2">
      <c r="A1629" s="62" t="s">
        <v>4554</v>
      </c>
      <c r="B1629" s="48">
        <v>61</v>
      </c>
      <c r="C1629" s="62">
        <v>61</v>
      </c>
    </row>
    <row r="1630" spans="1:3" x14ac:dyDescent="0.2">
      <c r="A1630" s="62" t="s">
        <v>4553</v>
      </c>
      <c r="B1630" s="48">
        <v>154</v>
      </c>
      <c r="C1630" s="62">
        <v>154</v>
      </c>
    </row>
    <row r="1631" spans="1:3" x14ac:dyDescent="0.2">
      <c r="A1631" s="62" t="s">
        <v>4552</v>
      </c>
      <c r="B1631" s="48">
        <v>152</v>
      </c>
      <c r="C1631" s="62">
        <v>152</v>
      </c>
    </row>
    <row r="1632" spans="1:3" x14ac:dyDescent="0.2">
      <c r="A1632" s="62" t="s">
        <v>4551</v>
      </c>
      <c r="B1632" s="48">
        <v>154</v>
      </c>
      <c r="C1632" s="62">
        <v>154</v>
      </c>
    </row>
    <row r="1633" spans="1:3" x14ac:dyDescent="0.2">
      <c r="A1633" s="62" t="s">
        <v>4550</v>
      </c>
      <c r="B1633" s="48">
        <v>152</v>
      </c>
      <c r="C1633" s="62">
        <v>152</v>
      </c>
    </row>
    <row r="1634" spans="1:3" x14ac:dyDescent="0.2">
      <c r="A1634" s="62" t="s">
        <v>4549</v>
      </c>
      <c r="B1634" s="48">
        <v>152</v>
      </c>
      <c r="C1634" s="62">
        <v>152</v>
      </c>
    </row>
    <row r="1635" spans="1:3" x14ac:dyDescent="0.2">
      <c r="A1635" s="62" t="s">
        <v>4548</v>
      </c>
      <c r="B1635" s="48">
        <v>13</v>
      </c>
      <c r="C1635" s="62">
        <v>13</v>
      </c>
    </row>
    <row r="1636" spans="1:3" x14ac:dyDescent="0.2">
      <c r="A1636" s="62" t="s">
        <v>4547</v>
      </c>
      <c r="B1636" s="48">
        <v>15</v>
      </c>
      <c r="C1636" s="62">
        <v>15</v>
      </c>
    </row>
    <row r="1637" spans="1:3" x14ac:dyDescent="0.2">
      <c r="A1637" s="62" t="s">
        <v>4546</v>
      </c>
      <c r="B1637" s="48">
        <v>14</v>
      </c>
      <c r="C1637" s="62">
        <v>14</v>
      </c>
    </row>
    <row r="1638" spans="1:3" x14ac:dyDescent="0.2">
      <c r="A1638" s="62" t="s">
        <v>4545</v>
      </c>
      <c r="B1638" s="48">
        <v>18</v>
      </c>
      <c r="C1638" s="62">
        <v>18</v>
      </c>
    </row>
    <row r="1639" spans="1:3" x14ac:dyDescent="0.2">
      <c r="A1639" s="62" t="s">
        <v>4544</v>
      </c>
      <c r="B1639" s="48">
        <v>192</v>
      </c>
      <c r="C1639" s="62">
        <v>192</v>
      </c>
    </row>
    <row r="1640" spans="1:3" x14ac:dyDescent="0.2">
      <c r="A1640" s="62" t="s">
        <v>4543</v>
      </c>
      <c r="B1640" s="48">
        <v>129</v>
      </c>
      <c r="C1640" s="62">
        <v>129</v>
      </c>
    </row>
    <row r="1641" spans="1:3" x14ac:dyDescent="0.2">
      <c r="A1641" s="62" t="s">
        <v>4542</v>
      </c>
      <c r="B1641" s="48">
        <v>15</v>
      </c>
      <c r="C1641" s="62">
        <v>15</v>
      </c>
    </row>
    <row r="1642" spans="1:3" x14ac:dyDescent="0.2">
      <c r="A1642" s="62" t="s">
        <v>4541</v>
      </c>
      <c r="B1642" s="48">
        <v>15</v>
      </c>
      <c r="C1642" s="62">
        <v>15</v>
      </c>
    </row>
    <row r="1643" spans="1:3" x14ac:dyDescent="0.2">
      <c r="A1643" s="62" t="s">
        <v>4540</v>
      </c>
      <c r="B1643" s="48">
        <v>198</v>
      </c>
      <c r="C1643" s="62">
        <v>198</v>
      </c>
    </row>
    <row r="1644" spans="1:3" x14ac:dyDescent="0.2">
      <c r="A1644" s="62" t="s">
        <v>4539</v>
      </c>
      <c r="B1644" s="48">
        <v>198</v>
      </c>
      <c r="C1644" s="62">
        <v>198</v>
      </c>
    </row>
    <row r="1645" spans="1:3" x14ac:dyDescent="0.2">
      <c r="A1645" s="62" t="s">
        <v>4537</v>
      </c>
      <c r="B1645" s="48">
        <v>15</v>
      </c>
      <c r="C1645" s="62">
        <v>15</v>
      </c>
    </row>
    <row r="1646" spans="1:3" x14ac:dyDescent="0.2">
      <c r="A1646" s="62" t="s">
        <v>4536</v>
      </c>
      <c r="B1646" s="48">
        <v>15</v>
      </c>
      <c r="C1646" s="62">
        <v>15</v>
      </c>
    </row>
    <row r="1647" spans="1:3" x14ac:dyDescent="0.2">
      <c r="A1647" s="62" t="s">
        <v>4535</v>
      </c>
      <c r="B1647" s="48">
        <v>14</v>
      </c>
      <c r="C1647" s="62">
        <v>14</v>
      </c>
    </row>
    <row r="1648" spans="1:3" x14ac:dyDescent="0.2">
      <c r="A1648" s="62" t="s">
        <v>4534</v>
      </c>
      <c r="B1648" s="48">
        <v>2</v>
      </c>
      <c r="C1648" s="62">
        <v>2</v>
      </c>
    </row>
    <row r="1649" spans="1:3" x14ac:dyDescent="0.2">
      <c r="A1649" s="62" t="s">
        <v>4533</v>
      </c>
      <c r="B1649" s="48">
        <v>15</v>
      </c>
      <c r="C1649" s="62">
        <v>15</v>
      </c>
    </row>
    <row r="1650" spans="1:3" x14ac:dyDescent="0.2">
      <c r="A1650" s="62" t="s">
        <v>4532</v>
      </c>
      <c r="B1650" s="48">
        <v>14</v>
      </c>
      <c r="C1650" s="62">
        <v>14</v>
      </c>
    </row>
    <row r="1651" spans="1:3" x14ac:dyDescent="0.2">
      <c r="A1651" s="62" t="s">
        <v>4531</v>
      </c>
      <c r="B1651" s="48">
        <v>2</v>
      </c>
      <c r="C1651" s="62">
        <v>2</v>
      </c>
    </row>
    <row r="1652" spans="1:3" x14ac:dyDescent="0.2">
      <c r="A1652" s="62" t="s">
        <v>4530</v>
      </c>
      <c r="B1652" s="48">
        <v>15</v>
      </c>
      <c r="C1652" s="62">
        <v>15</v>
      </c>
    </row>
    <row r="1653" spans="1:3" x14ac:dyDescent="0.2">
      <c r="A1653" s="62" t="s">
        <v>4529</v>
      </c>
      <c r="B1653" s="48">
        <v>130</v>
      </c>
      <c r="C1653" s="62">
        <v>130</v>
      </c>
    </row>
    <row r="1654" spans="1:3" x14ac:dyDescent="0.2">
      <c r="A1654" s="62" t="s">
        <v>4528</v>
      </c>
      <c r="B1654" s="48">
        <v>15</v>
      </c>
      <c r="C1654" s="62">
        <v>15</v>
      </c>
    </row>
    <row r="1655" spans="1:3" x14ac:dyDescent="0.2">
      <c r="A1655" s="62" t="s">
        <v>4527</v>
      </c>
      <c r="B1655" s="48">
        <v>205</v>
      </c>
      <c r="C1655" s="62">
        <v>205</v>
      </c>
    </row>
    <row r="1656" spans="1:3" x14ac:dyDescent="0.2">
      <c r="A1656" s="62" t="s">
        <v>4526</v>
      </c>
      <c r="B1656" s="48">
        <v>61</v>
      </c>
      <c r="C1656" s="62">
        <v>61</v>
      </c>
    </row>
    <row r="1657" spans="1:3" x14ac:dyDescent="0.2">
      <c r="A1657" s="62" t="s">
        <v>4525</v>
      </c>
      <c r="B1657" s="48">
        <v>19</v>
      </c>
      <c r="C1657" s="62">
        <v>19</v>
      </c>
    </row>
    <row r="1658" spans="1:3" x14ac:dyDescent="0.2">
      <c r="A1658" s="62" t="s">
        <v>4524</v>
      </c>
      <c r="B1658" s="48">
        <v>19</v>
      </c>
      <c r="C1658" s="62">
        <v>19</v>
      </c>
    </row>
    <row r="1659" spans="1:3" x14ac:dyDescent="0.2">
      <c r="A1659" s="62" t="s">
        <v>4523</v>
      </c>
      <c r="B1659" s="48">
        <v>2</v>
      </c>
      <c r="C1659" s="62">
        <v>2</v>
      </c>
    </row>
    <row r="1660" spans="1:3" x14ac:dyDescent="0.2">
      <c r="A1660" s="62" t="s">
        <v>4522</v>
      </c>
      <c r="B1660" s="48">
        <v>10</v>
      </c>
      <c r="C1660" s="62">
        <v>10</v>
      </c>
    </row>
    <row r="1661" spans="1:3" x14ac:dyDescent="0.2">
      <c r="A1661" s="62" t="s">
        <v>4521</v>
      </c>
      <c r="B1661" s="48">
        <v>62</v>
      </c>
      <c r="C1661" s="62">
        <v>62</v>
      </c>
    </row>
    <row r="1662" spans="1:3" x14ac:dyDescent="0.2">
      <c r="A1662" s="62" t="s">
        <v>4520</v>
      </c>
      <c r="B1662" s="48">
        <v>14</v>
      </c>
      <c r="C1662" s="62">
        <v>14</v>
      </c>
    </row>
    <row r="1663" spans="1:3" x14ac:dyDescent="0.2">
      <c r="A1663" s="62" t="s">
        <v>4519</v>
      </c>
      <c r="B1663" s="48">
        <v>155</v>
      </c>
      <c r="C1663" s="62">
        <v>155</v>
      </c>
    </row>
    <row r="1664" spans="1:3" x14ac:dyDescent="0.2">
      <c r="A1664" s="62" t="s">
        <v>4518</v>
      </c>
      <c r="B1664" s="48">
        <v>155</v>
      </c>
      <c r="C1664" s="62">
        <v>155</v>
      </c>
    </row>
    <row r="1665" spans="1:3" x14ac:dyDescent="0.2">
      <c r="A1665" s="62" t="s">
        <v>4517</v>
      </c>
      <c r="B1665" s="48">
        <v>14</v>
      </c>
      <c r="C1665" s="62">
        <v>14</v>
      </c>
    </row>
    <row r="1666" spans="1:3" x14ac:dyDescent="0.2">
      <c r="A1666" s="62" t="s">
        <v>4516</v>
      </c>
      <c r="B1666" s="48">
        <v>14</v>
      </c>
      <c r="C1666" s="62">
        <v>14</v>
      </c>
    </row>
    <row r="1667" spans="1:3" x14ac:dyDescent="0.2">
      <c r="A1667" s="62" t="s">
        <v>4515</v>
      </c>
      <c r="B1667" s="48">
        <v>14</v>
      </c>
      <c r="C1667" s="62">
        <v>14</v>
      </c>
    </row>
    <row r="1668" spans="1:3" x14ac:dyDescent="0.2">
      <c r="A1668" s="62" t="s">
        <v>4514</v>
      </c>
      <c r="B1668" s="48">
        <v>14</v>
      </c>
      <c r="C1668" s="62">
        <v>14</v>
      </c>
    </row>
    <row r="1669" spans="1:3" x14ac:dyDescent="0.2">
      <c r="A1669" s="62" t="s">
        <v>4513</v>
      </c>
      <c r="B1669" s="48">
        <v>14</v>
      </c>
      <c r="C1669" s="62">
        <v>14</v>
      </c>
    </row>
    <row r="1670" spans="1:3" x14ac:dyDescent="0.2">
      <c r="A1670" s="62" t="s">
        <v>4512</v>
      </c>
      <c r="B1670" s="48">
        <v>14</v>
      </c>
      <c r="C1670" s="62">
        <v>14</v>
      </c>
    </row>
    <row r="1671" spans="1:3" x14ac:dyDescent="0.2">
      <c r="A1671" s="62" t="s">
        <v>4511</v>
      </c>
      <c r="B1671" s="48">
        <v>14</v>
      </c>
      <c r="C1671" s="62">
        <v>14</v>
      </c>
    </row>
    <row r="1672" spans="1:3" x14ac:dyDescent="0.2">
      <c r="A1672" s="62" t="s">
        <v>4510</v>
      </c>
      <c r="B1672" s="48">
        <v>14</v>
      </c>
      <c r="C1672" s="62">
        <v>14</v>
      </c>
    </row>
    <row r="1673" spans="1:3" x14ac:dyDescent="0.2">
      <c r="A1673" s="62" t="s">
        <v>4509</v>
      </c>
      <c r="B1673" s="48">
        <v>14</v>
      </c>
      <c r="C1673" s="62">
        <v>14</v>
      </c>
    </row>
    <row r="1674" spans="1:3" x14ac:dyDescent="0.2">
      <c r="A1674" s="62" t="s">
        <v>4508</v>
      </c>
      <c r="B1674" s="48">
        <v>14</v>
      </c>
      <c r="C1674" s="62">
        <v>14</v>
      </c>
    </row>
    <row r="1675" spans="1:3" x14ac:dyDescent="0.2">
      <c r="A1675" s="62" t="s">
        <v>4507</v>
      </c>
      <c r="B1675" s="48">
        <v>14</v>
      </c>
      <c r="C1675" s="62">
        <v>14</v>
      </c>
    </row>
    <row r="1676" spans="1:3" x14ac:dyDescent="0.2">
      <c r="A1676" s="62" t="s">
        <v>4506</v>
      </c>
      <c r="B1676" s="48">
        <v>14</v>
      </c>
      <c r="C1676" s="62">
        <v>14</v>
      </c>
    </row>
    <row r="1677" spans="1:3" x14ac:dyDescent="0.2">
      <c r="A1677" s="62" t="s">
        <v>4505</v>
      </c>
      <c r="B1677" s="48">
        <v>14</v>
      </c>
      <c r="C1677" s="62">
        <v>14</v>
      </c>
    </row>
    <row r="1678" spans="1:3" x14ac:dyDescent="0.2">
      <c r="A1678" s="62" t="s">
        <v>4504</v>
      </c>
      <c r="B1678" s="48">
        <v>19</v>
      </c>
      <c r="C1678" s="62">
        <v>19</v>
      </c>
    </row>
    <row r="1679" spans="1:3" x14ac:dyDescent="0.2">
      <c r="A1679" s="62" t="s">
        <v>4503</v>
      </c>
      <c r="B1679" s="48">
        <v>87</v>
      </c>
      <c r="C1679" s="62">
        <v>87</v>
      </c>
    </row>
    <row r="1680" spans="1:3" x14ac:dyDescent="0.2">
      <c r="A1680" s="62" t="s">
        <v>4502</v>
      </c>
      <c r="B1680" s="48">
        <v>62</v>
      </c>
      <c r="C1680" s="62">
        <v>62</v>
      </c>
    </row>
    <row r="1681" spans="1:3" x14ac:dyDescent="0.2">
      <c r="A1681" s="62" t="s">
        <v>4501</v>
      </c>
      <c r="B1681" s="48">
        <v>14</v>
      </c>
      <c r="C1681" s="62">
        <v>14</v>
      </c>
    </row>
    <row r="1682" spans="1:3" x14ac:dyDescent="0.2">
      <c r="A1682" s="62" t="s">
        <v>4500</v>
      </c>
      <c r="B1682" s="48">
        <v>4</v>
      </c>
      <c r="C1682" s="62">
        <v>4</v>
      </c>
    </row>
    <row r="1683" spans="1:3" x14ac:dyDescent="0.2">
      <c r="A1683" s="62" t="s">
        <v>4499</v>
      </c>
      <c r="B1683" s="48">
        <v>178</v>
      </c>
      <c r="C1683" s="62">
        <v>178</v>
      </c>
    </row>
    <row r="1684" spans="1:3" x14ac:dyDescent="0.2">
      <c r="A1684" s="62" t="s">
        <v>4498</v>
      </c>
      <c r="B1684" s="48">
        <v>15</v>
      </c>
      <c r="C1684" s="62">
        <v>15</v>
      </c>
    </row>
    <row r="1685" spans="1:3" x14ac:dyDescent="0.2">
      <c r="A1685" s="62" t="s">
        <v>4496</v>
      </c>
      <c r="B1685" s="48">
        <v>15</v>
      </c>
      <c r="C1685" s="62">
        <v>15</v>
      </c>
    </row>
    <row r="1686" spans="1:3" x14ac:dyDescent="0.2">
      <c r="A1686" s="62" t="s">
        <v>4494</v>
      </c>
      <c r="B1686" s="48">
        <v>15</v>
      </c>
      <c r="C1686" s="62">
        <v>15</v>
      </c>
    </row>
    <row r="1687" spans="1:3" x14ac:dyDescent="0.2">
      <c r="A1687" s="62" t="s">
        <v>4492</v>
      </c>
      <c r="B1687" s="48">
        <v>15</v>
      </c>
      <c r="C1687" s="62">
        <v>15</v>
      </c>
    </row>
    <row r="1688" spans="1:3" x14ac:dyDescent="0.2">
      <c r="A1688" s="62" t="s">
        <v>4491</v>
      </c>
      <c r="B1688" s="48">
        <v>15</v>
      </c>
      <c r="C1688" s="62">
        <v>15</v>
      </c>
    </row>
    <row r="1689" spans="1:3" x14ac:dyDescent="0.2">
      <c r="A1689" s="62" t="s">
        <v>4489</v>
      </c>
      <c r="B1689" s="48">
        <v>15</v>
      </c>
      <c r="C1689" s="62">
        <v>15</v>
      </c>
    </row>
    <row r="1690" spans="1:3" x14ac:dyDescent="0.2">
      <c r="A1690" s="62" t="s">
        <v>4487</v>
      </c>
      <c r="B1690" s="48">
        <v>15</v>
      </c>
      <c r="C1690" s="62">
        <v>15</v>
      </c>
    </row>
    <row r="1691" spans="1:3" x14ac:dyDescent="0.2">
      <c r="A1691" s="62" t="s">
        <v>4486</v>
      </c>
      <c r="B1691" s="48">
        <v>15</v>
      </c>
      <c r="C1691" s="62">
        <v>15</v>
      </c>
    </row>
    <row r="1692" spans="1:3" x14ac:dyDescent="0.2">
      <c r="A1692" s="62" t="s">
        <v>4484</v>
      </c>
      <c r="B1692" s="48">
        <v>15</v>
      </c>
      <c r="C1692" s="62">
        <v>15</v>
      </c>
    </row>
    <row r="1693" spans="1:3" x14ac:dyDescent="0.2">
      <c r="A1693" s="62" t="s">
        <v>4482</v>
      </c>
      <c r="B1693" s="48">
        <v>2</v>
      </c>
      <c r="C1693" s="62">
        <v>2</v>
      </c>
    </row>
    <row r="1694" spans="1:3" x14ac:dyDescent="0.2">
      <c r="A1694" s="62" t="s">
        <v>4481</v>
      </c>
      <c r="B1694" s="48">
        <v>14</v>
      </c>
      <c r="C1694" s="62">
        <v>14</v>
      </c>
    </row>
    <row r="1695" spans="1:3" x14ac:dyDescent="0.2">
      <c r="A1695" s="62" t="s">
        <v>4480</v>
      </c>
      <c r="B1695" s="48">
        <v>14</v>
      </c>
      <c r="C1695" s="62">
        <v>14</v>
      </c>
    </row>
    <row r="1696" spans="1:3" x14ac:dyDescent="0.2">
      <c r="A1696" s="62" t="s">
        <v>4479</v>
      </c>
      <c r="B1696" s="48">
        <v>14</v>
      </c>
      <c r="C1696" s="62">
        <v>14</v>
      </c>
    </row>
    <row r="1697" spans="1:3" x14ac:dyDescent="0.2">
      <c r="A1697" s="62" t="s">
        <v>4478</v>
      </c>
      <c r="B1697" s="48">
        <v>217</v>
      </c>
      <c r="C1697" s="62">
        <v>217</v>
      </c>
    </row>
    <row r="1698" spans="1:3" x14ac:dyDescent="0.2">
      <c r="A1698" s="62" t="s">
        <v>4475</v>
      </c>
      <c r="B1698" s="48">
        <v>194</v>
      </c>
      <c r="C1698" s="62">
        <v>194</v>
      </c>
    </row>
    <row r="1699" spans="1:3" x14ac:dyDescent="0.2">
      <c r="A1699" s="62" t="s">
        <v>4474</v>
      </c>
      <c r="B1699" s="48">
        <v>194</v>
      </c>
      <c r="C1699" s="62">
        <v>194</v>
      </c>
    </row>
    <row r="1700" spans="1:3" x14ac:dyDescent="0.2">
      <c r="A1700" s="62" t="s">
        <v>4473</v>
      </c>
      <c r="B1700" s="48">
        <v>194</v>
      </c>
      <c r="C1700" s="62">
        <v>194</v>
      </c>
    </row>
    <row r="1701" spans="1:3" x14ac:dyDescent="0.2">
      <c r="A1701" s="62" t="s">
        <v>4472</v>
      </c>
      <c r="B1701" s="48">
        <v>221</v>
      </c>
      <c r="C1701" s="62">
        <v>221</v>
      </c>
    </row>
    <row r="1702" spans="1:3" x14ac:dyDescent="0.2">
      <c r="A1702" s="62" t="s">
        <v>4471</v>
      </c>
      <c r="B1702" s="48">
        <v>221</v>
      </c>
      <c r="C1702" s="62">
        <v>221</v>
      </c>
    </row>
    <row r="1703" spans="1:3" x14ac:dyDescent="0.2">
      <c r="A1703" s="62" t="s">
        <v>4470</v>
      </c>
      <c r="B1703" s="48">
        <v>72</v>
      </c>
      <c r="C1703" s="62">
        <v>72</v>
      </c>
    </row>
    <row r="1704" spans="1:3" x14ac:dyDescent="0.2">
      <c r="A1704" s="62" t="s">
        <v>4469</v>
      </c>
      <c r="B1704" s="48">
        <v>88</v>
      </c>
      <c r="C1704" s="62">
        <v>88</v>
      </c>
    </row>
    <row r="1705" spans="1:3" x14ac:dyDescent="0.2">
      <c r="A1705" s="62" t="s">
        <v>4468</v>
      </c>
      <c r="B1705" s="48">
        <v>15</v>
      </c>
      <c r="C1705" s="62">
        <v>15</v>
      </c>
    </row>
    <row r="1706" spans="1:3" x14ac:dyDescent="0.2">
      <c r="A1706" s="62" t="s">
        <v>4467</v>
      </c>
      <c r="B1706" s="48">
        <v>15</v>
      </c>
      <c r="C1706" s="62">
        <v>15</v>
      </c>
    </row>
    <row r="1707" spans="1:3" x14ac:dyDescent="0.2">
      <c r="A1707" s="62" t="s">
        <v>4466</v>
      </c>
      <c r="B1707" s="48">
        <v>60</v>
      </c>
      <c r="C1707" s="62">
        <v>60</v>
      </c>
    </row>
    <row r="1708" spans="1:3" x14ac:dyDescent="0.2">
      <c r="A1708" s="62" t="s">
        <v>4465</v>
      </c>
      <c r="B1708" s="48">
        <v>15</v>
      </c>
      <c r="C1708" s="62">
        <v>15</v>
      </c>
    </row>
    <row r="1709" spans="1:3" x14ac:dyDescent="0.2">
      <c r="A1709" s="62" t="s">
        <v>4464</v>
      </c>
      <c r="B1709" s="48">
        <v>15</v>
      </c>
      <c r="C1709" s="62">
        <v>15</v>
      </c>
    </row>
    <row r="1710" spans="1:3" x14ac:dyDescent="0.2">
      <c r="A1710" s="62" t="s">
        <v>4462</v>
      </c>
      <c r="B1710" s="48">
        <v>15</v>
      </c>
      <c r="C1710" s="62">
        <v>15</v>
      </c>
    </row>
    <row r="1711" spans="1:3" x14ac:dyDescent="0.2">
      <c r="A1711" s="62" t="s">
        <v>4460</v>
      </c>
      <c r="B1711" s="48">
        <v>15</v>
      </c>
      <c r="C1711" s="62">
        <v>15</v>
      </c>
    </row>
    <row r="1712" spans="1:3" x14ac:dyDescent="0.2">
      <c r="A1712" s="62" t="s">
        <v>4459</v>
      </c>
      <c r="B1712" s="48">
        <v>148</v>
      </c>
      <c r="C1712" s="62">
        <v>148</v>
      </c>
    </row>
    <row r="1713" spans="1:3" x14ac:dyDescent="0.2">
      <c r="A1713" s="62" t="s">
        <v>4458</v>
      </c>
      <c r="B1713" s="48">
        <v>229</v>
      </c>
      <c r="C1713" s="62">
        <v>229</v>
      </c>
    </row>
    <row r="1714" spans="1:3" x14ac:dyDescent="0.2">
      <c r="A1714" s="62" t="s">
        <v>4457</v>
      </c>
      <c r="B1714" s="48">
        <v>52</v>
      </c>
      <c r="C1714" s="62">
        <v>52</v>
      </c>
    </row>
    <row r="1715" spans="1:3" x14ac:dyDescent="0.2">
      <c r="A1715" s="62" t="s">
        <v>4456</v>
      </c>
      <c r="B1715" s="48">
        <v>14</v>
      </c>
      <c r="C1715" s="62">
        <v>14</v>
      </c>
    </row>
    <row r="1716" spans="1:3" x14ac:dyDescent="0.2">
      <c r="A1716" s="62" t="s">
        <v>4455</v>
      </c>
      <c r="B1716" s="48">
        <v>13</v>
      </c>
      <c r="C1716" s="62">
        <v>13</v>
      </c>
    </row>
    <row r="1717" spans="1:3" x14ac:dyDescent="0.2">
      <c r="A1717" s="62" t="s">
        <v>4454</v>
      </c>
      <c r="B1717" s="48">
        <v>13</v>
      </c>
      <c r="C1717" s="62">
        <v>13</v>
      </c>
    </row>
    <row r="1718" spans="1:3" x14ac:dyDescent="0.2">
      <c r="A1718" s="62" t="s">
        <v>4453</v>
      </c>
      <c r="B1718" s="48">
        <v>13</v>
      </c>
      <c r="C1718" s="62">
        <v>13</v>
      </c>
    </row>
    <row r="1719" spans="1:3" x14ac:dyDescent="0.2">
      <c r="A1719" s="62" t="s">
        <v>4452</v>
      </c>
      <c r="B1719" s="48">
        <v>2</v>
      </c>
      <c r="C1719" s="62">
        <v>2</v>
      </c>
    </row>
    <row r="1720" spans="1:3" x14ac:dyDescent="0.2">
      <c r="A1720" s="62" t="s">
        <v>4451</v>
      </c>
      <c r="B1720" s="48">
        <v>2</v>
      </c>
      <c r="C1720" s="62">
        <v>2</v>
      </c>
    </row>
    <row r="1721" spans="1:3" x14ac:dyDescent="0.2">
      <c r="A1721" s="62" t="s">
        <v>4450</v>
      </c>
      <c r="B1721" s="48">
        <v>1</v>
      </c>
      <c r="C1721" s="62">
        <v>1</v>
      </c>
    </row>
    <row r="1722" spans="1:3" x14ac:dyDescent="0.2">
      <c r="A1722" s="62" t="s">
        <v>4449</v>
      </c>
      <c r="B1722" s="48">
        <v>61</v>
      </c>
      <c r="C1722" s="62">
        <v>61</v>
      </c>
    </row>
    <row r="1723" spans="1:3" x14ac:dyDescent="0.2">
      <c r="A1723" s="62" t="s">
        <v>4448</v>
      </c>
      <c r="B1723" s="48">
        <v>14</v>
      </c>
      <c r="C1723" s="62">
        <v>14</v>
      </c>
    </row>
    <row r="1724" spans="1:3" x14ac:dyDescent="0.2">
      <c r="A1724" s="62" t="s">
        <v>4447</v>
      </c>
      <c r="B1724" s="48">
        <v>229</v>
      </c>
      <c r="C1724" s="62">
        <v>229</v>
      </c>
    </row>
    <row r="1725" spans="1:3" x14ac:dyDescent="0.2">
      <c r="A1725" s="62" t="s">
        <v>4446</v>
      </c>
      <c r="B1725" s="48">
        <v>88</v>
      </c>
      <c r="C1725" s="62">
        <v>88</v>
      </c>
    </row>
    <row r="1726" spans="1:3" x14ac:dyDescent="0.2">
      <c r="A1726" s="62" t="s">
        <v>4445</v>
      </c>
      <c r="B1726" s="48">
        <v>4</v>
      </c>
      <c r="C1726" s="62">
        <v>4</v>
      </c>
    </row>
    <row r="1727" spans="1:3" x14ac:dyDescent="0.2">
      <c r="A1727" s="62" t="s">
        <v>4444</v>
      </c>
      <c r="B1727" s="48">
        <v>122</v>
      </c>
      <c r="C1727" s="62">
        <v>122</v>
      </c>
    </row>
    <row r="1728" spans="1:3" x14ac:dyDescent="0.2">
      <c r="A1728" s="62" t="s">
        <v>4443</v>
      </c>
      <c r="B1728" s="48">
        <v>122</v>
      </c>
      <c r="C1728" s="62">
        <v>122</v>
      </c>
    </row>
    <row r="1729" spans="1:3" x14ac:dyDescent="0.2">
      <c r="A1729" s="62" t="s">
        <v>4442</v>
      </c>
      <c r="B1729" s="48">
        <v>2</v>
      </c>
      <c r="C1729" s="62">
        <v>2</v>
      </c>
    </row>
    <row r="1730" spans="1:3" x14ac:dyDescent="0.2">
      <c r="A1730" s="62" t="s">
        <v>4441</v>
      </c>
      <c r="B1730" s="48">
        <v>221</v>
      </c>
      <c r="C1730" s="62">
        <v>221</v>
      </c>
    </row>
    <row r="1731" spans="1:3" x14ac:dyDescent="0.2">
      <c r="A1731" s="62" t="s">
        <v>4440</v>
      </c>
      <c r="B1731" s="48">
        <v>205</v>
      </c>
      <c r="C1731" s="62">
        <v>205</v>
      </c>
    </row>
    <row r="1732" spans="1:3" x14ac:dyDescent="0.2">
      <c r="A1732" s="62" t="s">
        <v>4438</v>
      </c>
      <c r="B1732" s="48">
        <v>2</v>
      </c>
      <c r="C1732" s="62">
        <v>2</v>
      </c>
    </row>
    <row r="1733" spans="1:3" x14ac:dyDescent="0.2">
      <c r="A1733" s="62" t="s">
        <v>4437</v>
      </c>
      <c r="B1733" s="48">
        <v>14</v>
      </c>
      <c r="C1733" s="62">
        <v>14</v>
      </c>
    </row>
    <row r="1734" spans="1:3" x14ac:dyDescent="0.2">
      <c r="A1734" s="62" t="s">
        <v>4435</v>
      </c>
      <c r="B1734" s="48">
        <v>15</v>
      </c>
      <c r="C1734" s="62">
        <v>15</v>
      </c>
    </row>
    <row r="1735" spans="1:3" x14ac:dyDescent="0.2">
      <c r="A1735" s="62" t="s">
        <v>4434</v>
      </c>
      <c r="B1735" s="48">
        <v>15</v>
      </c>
      <c r="C1735" s="62">
        <v>15</v>
      </c>
    </row>
    <row r="1736" spans="1:3" x14ac:dyDescent="0.2">
      <c r="A1736" s="62" t="s">
        <v>4433</v>
      </c>
      <c r="B1736" s="48">
        <v>9</v>
      </c>
      <c r="C1736" s="62">
        <v>9</v>
      </c>
    </row>
    <row r="1737" spans="1:3" x14ac:dyDescent="0.2">
      <c r="A1737" s="62" t="s">
        <v>4432</v>
      </c>
      <c r="B1737" s="48">
        <v>15</v>
      </c>
      <c r="C1737" s="62">
        <v>15</v>
      </c>
    </row>
    <row r="1738" spans="1:3" x14ac:dyDescent="0.2">
      <c r="A1738" s="62" t="s">
        <v>4431</v>
      </c>
      <c r="B1738" s="48">
        <v>2</v>
      </c>
      <c r="C1738" s="62">
        <v>2</v>
      </c>
    </row>
    <row r="1739" spans="1:3" x14ac:dyDescent="0.2">
      <c r="A1739" s="62" t="s">
        <v>4430</v>
      </c>
      <c r="B1739" s="48">
        <v>2</v>
      </c>
      <c r="C1739" s="62">
        <v>2</v>
      </c>
    </row>
    <row r="1740" spans="1:3" x14ac:dyDescent="0.2">
      <c r="A1740" s="62" t="s">
        <v>4429</v>
      </c>
      <c r="B1740" s="48">
        <v>13</v>
      </c>
      <c r="C1740" s="62">
        <v>13</v>
      </c>
    </row>
    <row r="1741" spans="1:3" x14ac:dyDescent="0.2">
      <c r="A1741" s="62" t="s">
        <v>4428</v>
      </c>
      <c r="B1741" s="48">
        <v>2</v>
      </c>
      <c r="C1741" s="62">
        <v>2</v>
      </c>
    </row>
    <row r="1742" spans="1:3" x14ac:dyDescent="0.2">
      <c r="A1742" s="62" t="s">
        <v>4427</v>
      </c>
      <c r="B1742" s="48">
        <v>2</v>
      </c>
      <c r="C1742" s="62">
        <v>2</v>
      </c>
    </row>
    <row r="1743" spans="1:3" x14ac:dyDescent="0.2">
      <c r="A1743" s="62" t="s">
        <v>4426</v>
      </c>
      <c r="B1743" s="48">
        <v>2</v>
      </c>
      <c r="C1743" s="62">
        <v>2</v>
      </c>
    </row>
    <row r="1744" spans="1:3" x14ac:dyDescent="0.2">
      <c r="A1744" s="62" t="s">
        <v>4425</v>
      </c>
      <c r="B1744" s="48">
        <v>2</v>
      </c>
      <c r="C1744" s="62">
        <v>2</v>
      </c>
    </row>
    <row r="1745" spans="1:3" x14ac:dyDescent="0.2">
      <c r="A1745" s="62" t="s">
        <v>4424</v>
      </c>
      <c r="B1745" s="48">
        <v>165</v>
      </c>
      <c r="C1745" s="62">
        <v>165</v>
      </c>
    </row>
    <row r="1746" spans="1:3" x14ac:dyDescent="0.2">
      <c r="A1746" s="62" t="s">
        <v>4423</v>
      </c>
      <c r="B1746" s="48">
        <v>15</v>
      </c>
      <c r="C1746" s="62">
        <v>15</v>
      </c>
    </row>
    <row r="1747" spans="1:3" x14ac:dyDescent="0.2">
      <c r="A1747" s="62" t="s">
        <v>4422</v>
      </c>
      <c r="B1747" s="48">
        <v>70</v>
      </c>
      <c r="C1747" s="62">
        <v>70</v>
      </c>
    </row>
    <row r="1748" spans="1:3" x14ac:dyDescent="0.2">
      <c r="A1748" s="62" t="s">
        <v>4421</v>
      </c>
      <c r="B1748" s="48">
        <v>52</v>
      </c>
      <c r="C1748" s="62">
        <v>52</v>
      </c>
    </row>
    <row r="1749" spans="1:3" x14ac:dyDescent="0.2">
      <c r="A1749" s="62" t="s">
        <v>4420</v>
      </c>
      <c r="B1749" s="48">
        <v>205</v>
      </c>
      <c r="C1749" s="62">
        <v>205</v>
      </c>
    </row>
    <row r="1750" spans="1:3" x14ac:dyDescent="0.2">
      <c r="A1750" s="62" t="s">
        <v>4419</v>
      </c>
      <c r="B1750" s="48">
        <v>60</v>
      </c>
      <c r="C1750" s="62">
        <v>60</v>
      </c>
    </row>
    <row r="1751" spans="1:3" x14ac:dyDescent="0.2">
      <c r="A1751" s="62" t="s">
        <v>4418</v>
      </c>
      <c r="B1751" s="48">
        <v>15</v>
      </c>
      <c r="C1751" s="62">
        <v>15</v>
      </c>
    </row>
    <row r="1752" spans="1:3" x14ac:dyDescent="0.2">
      <c r="A1752" s="62" t="s">
        <v>4417</v>
      </c>
      <c r="B1752" s="48">
        <v>198</v>
      </c>
      <c r="C1752" s="62">
        <v>198</v>
      </c>
    </row>
    <row r="1753" spans="1:3" x14ac:dyDescent="0.2">
      <c r="A1753" s="62" t="s">
        <v>4416</v>
      </c>
      <c r="B1753" s="48">
        <v>124</v>
      </c>
      <c r="C1753" s="62">
        <v>124</v>
      </c>
    </row>
    <row r="1754" spans="1:3" x14ac:dyDescent="0.2">
      <c r="A1754" s="62" t="s">
        <v>4415</v>
      </c>
      <c r="B1754" s="48">
        <v>124</v>
      </c>
      <c r="C1754" s="62">
        <v>124</v>
      </c>
    </row>
    <row r="1755" spans="1:3" x14ac:dyDescent="0.2">
      <c r="A1755" s="62" t="s">
        <v>4414</v>
      </c>
      <c r="B1755" s="48">
        <v>227</v>
      </c>
      <c r="C1755" s="62">
        <v>227</v>
      </c>
    </row>
    <row r="1756" spans="1:3" x14ac:dyDescent="0.2">
      <c r="A1756" s="62" t="s">
        <v>4413</v>
      </c>
      <c r="B1756" s="48">
        <v>14</v>
      </c>
      <c r="C1756" s="62">
        <v>14</v>
      </c>
    </row>
    <row r="1757" spans="1:3" x14ac:dyDescent="0.2">
      <c r="A1757" s="62" t="s">
        <v>4411</v>
      </c>
      <c r="B1757" s="48">
        <v>87</v>
      </c>
      <c r="C1757" s="62">
        <v>87</v>
      </c>
    </row>
    <row r="1758" spans="1:3" x14ac:dyDescent="0.2">
      <c r="A1758" s="62" t="s">
        <v>4410</v>
      </c>
      <c r="B1758" s="48">
        <v>230</v>
      </c>
      <c r="C1758" s="62">
        <v>230</v>
      </c>
    </row>
    <row r="1759" spans="1:3" x14ac:dyDescent="0.2">
      <c r="A1759" s="62" t="s">
        <v>4409</v>
      </c>
      <c r="B1759" s="48">
        <v>217</v>
      </c>
      <c r="C1759" s="62">
        <v>217</v>
      </c>
    </row>
    <row r="1760" spans="1:3" x14ac:dyDescent="0.2">
      <c r="A1760" s="62" t="s">
        <v>4408</v>
      </c>
      <c r="B1760" s="48">
        <v>229</v>
      </c>
      <c r="C1760" s="62">
        <v>229</v>
      </c>
    </row>
    <row r="1761" spans="1:3" x14ac:dyDescent="0.2">
      <c r="A1761" s="62" t="s">
        <v>4407</v>
      </c>
      <c r="B1761" s="48">
        <v>230</v>
      </c>
      <c r="C1761" s="62">
        <v>230</v>
      </c>
    </row>
    <row r="1762" spans="1:3" x14ac:dyDescent="0.2">
      <c r="A1762" s="62" t="s">
        <v>4406</v>
      </c>
      <c r="B1762" s="48">
        <v>167</v>
      </c>
      <c r="C1762" s="62">
        <v>167</v>
      </c>
    </row>
    <row r="1763" spans="1:3" x14ac:dyDescent="0.2">
      <c r="A1763" s="62" t="s">
        <v>4405</v>
      </c>
      <c r="B1763" s="48">
        <v>15</v>
      </c>
      <c r="C1763" s="62">
        <v>15</v>
      </c>
    </row>
    <row r="1764" spans="1:3" x14ac:dyDescent="0.2">
      <c r="A1764" s="62" t="s">
        <v>4404</v>
      </c>
      <c r="B1764" s="48">
        <v>15</v>
      </c>
      <c r="C1764" s="62">
        <v>15</v>
      </c>
    </row>
    <row r="1765" spans="1:3" x14ac:dyDescent="0.2">
      <c r="A1765" s="62" t="s">
        <v>4403</v>
      </c>
      <c r="B1765" s="48">
        <v>2</v>
      </c>
      <c r="C1765" s="62">
        <v>2</v>
      </c>
    </row>
    <row r="1766" spans="1:3" x14ac:dyDescent="0.2">
      <c r="A1766" s="62" t="s">
        <v>4402</v>
      </c>
      <c r="B1766" s="48">
        <v>33</v>
      </c>
      <c r="C1766" s="62">
        <v>33</v>
      </c>
    </row>
    <row r="1767" spans="1:3" x14ac:dyDescent="0.2">
      <c r="A1767" s="62" t="s">
        <v>4401</v>
      </c>
      <c r="B1767" s="48">
        <v>61</v>
      </c>
      <c r="C1767" s="62">
        <v>61</v>
      </c>
    </row>
    <row r="1768" spans="1:3" x14ac:dyDescent="0.2">
      <c r="A1768" s="62" t="s">
        <v>4400</v>
      </c>
      <c r="B1768" s="48">
        <v>60</v>
      </c>
      <c r="C1768" s="62">
        <v>60</v>
      </c>
    </row>
    <row r="1769" spans="1:3" x14ac:dyDescent="0.2">
      <c r="A1769" s="62" t="s">
        <v>4399</v>
      </c>
      <c r="B1769" s="48">
        <v>2</v>
      </c>
      <c r="C1769" s="62">
        <v>2</v>
      </c>
    </row>
    <row r="1770" spans="1:3" x14ac:dyDescent="0.2">
      <c r="A1770" s="62" t="s">
        <v>4397</v>
      </c>
      <c r="B1770" s="48">
        <v>2</v>
      </c>
      <c r="C1770" s="62">
        <v>2</v>
      </c>
    </row>
    <row r="1771" spans="1:3" x14ac:dyDescent="0.2">
      <c r="A1771" s="62" t="s">
        <v>4395</v>
      </c>
      <c r="B1771" s="48">
        <v>220</v>
      </c>
      <c r="C1771" s="62">
        <v>220</v>
      </c>
    </row>
    <row r="1772" spans="1:3" x14ac:dyDescent="0.2">
      <c r="A1772" s="62" t="s">
        <v>4394</v>
      </c>
      <c r="B1772" s="48">
        <v>220</v>
      </c>
      <c r="C1772" s="62">
        <v>220</v>
      </c>
    </row>
    <row r="1773" spans="1:3" x14ac:dyDescent="0.2">
      <c r="A1773" s="62" t="s">
        <v>4392</v>
      </c>
      <c r="B1773" s="48">
        <v>15</v>
      </c>
      <c r="C1773" s="62">
        <v>15</v>
      </c>
    </row>
    <row r="1774" spans="1:3" x14ac:dyDescent="0.2">
      <c r="A1774" s="62" t="s">
        <v>4391</v>
      </c>
      <c r="B1774" s="48">
        <v>192</v>
      </c>
      <c r="C1774" s="62">
        <v>192</v>
      </c>
    </row>
    <row r="1775" spans="1:3" x14ac:dyDescent="0.2">
      <c r="A1775" s="62" t="s">
        <v>4390</v>
      </c>
      <c r="B1775" s="48">
        <v>61</v>
      </c>
      <c r="C1775" s="62">
        <v>61</v>
      </c>
    </row>
    <row r="1776" spans="1:3" x14ac:dyDescent="0.2">
      <c r="A1776" s="62" t="s">
        <v>4389</v>
      </c>
      <c r="B1776" s="48">
        <v>2</v>
      </c>
      <c r="C1776" s="62">
        <v>2</v>
      </c>
    </row>
    <row r="1777" spans="1:3" x14ac:dyDescent="0.2">
      <c r="A1777" s="62" t="s">
        <v>4388</v>
      </c>
      <c r="B1777" s="48">
        <v>14</v>
      </c>
      <c r="C1777" s="62">
        <v>14</v>
      </c>
    </row>
    <row r="1778" spans="1:3" x14ac:dyDescent="0.2">
      <c r="A1778" s="62" t="s">
        <v>4387</v>
      </c>
      <c r="B1778" s="48">
        <v>11</v>
      </c>
      <c r="C1778" s="62">
        <v>11</v>
      </c>
    </row>
    <row r="1779" spans="1:3" x14ac:dyDescent="0.2">
      <c r="A1779" s="62" t="s">
        <v>4386</v>
      </c>
      <c r="B1779" s="48">
        <v>2</v>
      </c>
      <c r="C1779" s="62">
        <v>2</v>
      </c>
    </row>
    <row r="1780" spans="1:3" x14ac:dyDescent="0.2">
      <c r="A1780" s="62" t="s">
        <v>4385</v>
      </c>
      <c r="B1780" s="48">
        <v>88</v>
      </c>
      <c r="C1780" s="62">
        <v>88</v>
      </c>
    </row>
    <row r="1781" spans="1:3" x14ac:dyDescent="0.2">
      <c r="A1781" s="62" t="s">
        <v>4384</v>
      </c>
      <c r="B1781" s="48">
        <v>2</v>
      </c>
      <c r="C1781" s="62">
        <v>2</v>
      </c>
    </row>
    <row r="1782" spans="1:3" x14ac:dyDescent="0.2">
      <c r="A1782" s="62" t="s">
        <v>4383</v>
      </c>
      <c r="B1782" s="48">
        <v>88</v>
      </c>
      <c r="C1782" s="62">
        <v>88</v>
      </c>
    </row>
    <row r="1783" spans="1:3" x14ac:dyDescent="0.2">
      <c r="A1783" s="62" t="s">
        <v>4382</v>
      </c>
      <c r="B1783" s="48">
        <v>179</v>
      </c>
      <c r="C1783" s="62">
        <v>179</v>
      </c>
    </row>
    <row r="1784" spans="1:3" x14ac:dyDescent="0.2">
      <c r="A1784" s="62" t="s">
        <v>4381</v>
      </c>
      <c r="B1784" s="48">
        <v>15</v>
      </c>
      <c r="C1784" s="62">
        <v>15</v>
      </c>
    </row>
    <row r="1785" spans="1:3" x14ac:dyDescent="0.2">
      <c r="A1785" s="62" t="s">
        <v>4380</v>
      </c>
      <c r="B1785" s="48">
        <v>15</v>
      </c>
      <c r="C1785" s="62">
        <v>15</v>
      </c>
    </row>
    <row r="1786" spans="1:3" x14ac:dyDescent="0.2">
      <c r="A1786" s="62" t="s">
        <v>4379</v>
      </c>
      <c r="B1786" s="48">
        <v>15</v>
      </c>
      <c r="C1786" s="62">
        <v>15</v>
      </c>
    </row>
    <row r="1787" spans="1:3" x14ac:dyDescent="0.2">
      <c r="A1787" s="62" t="s">
        <v>4378</v>
      </c>
      <c r="B1787" s="48">
        <v>15</v>
      </c>
      <c r="C1787" s="62">
        <v>15</v>
      </c>
    </row>
    <row r="1788" spans="1:3" x14ac:dyDescent="0.2">
      <c r="A1788" s="62" t="s">
        <v>4377</v>
      </c>
      <c r="B1788" s="48">
        <v>225</v>
      </c>
      <c r="C1788" s="62">
        <v>225</v>
      </c>
    </row>
    <row r="1789" spans="1:3" x14ac:dyDescent="0.2">
      <c r="A1789" s="62" t="s">
        <v>4373</v>
      </c>
      <c r="B1789" s="48">
        <v>15</v>
      </c>
      <c r="C1789" s="62">
        <v>15</v>
      </c>
    </row>
    <row r="1790" spans="1:3" x14ac:dyDescent="0.2">
      <c r="A1790" s="62" t="s">
        <v>4372</v>
      </c>
      <c r="B1790" s="48">
        <v>4</v>
      </c>
      <c r="C1790" s="62">
        <v>4</v>
      </c>
    </row>
    <row r="1791" spans="1:3" x14ac:dyDescent="0.2">
      <c r="A1791" s="62" t="s">
        <v>4371</v>
      </c>
      <c r="B1791" s="48">
        <v>220</v>
      </c>
      <c r="C1791" s="62">
        <v>220</v>
      </c>
    </row>
    <row r="1792" spans="1:3" x14ac:dyDescent="0.2">
      <c r="A1792" s="62" t="s">
        <v>4370</v>
      </c>
      <c r="B1792" s="48">
        <v>14</v>
      </c>
      <c r="C1792" s="62">
        <v>14</v>
      </c>
    </row>
    <row r="1793" spans="1:3" x14ac:dyDescent="0.2">
      <c r="A1793" s="62" t="s">
        <v>4369</v>
      </c>
      <c r="B1793" s="48">
        <v>14</v>
      </c>
      <c r="C1793" s="62">
        <v>14</v>
      </c>
    </row>
    <row r="1794" spans="1:3" x14ac:dyDescent="0.2">
      <c r="A1794" s="62" t="s">
        <v>4368</v>
      </c>
      <c r="B1794" s="48">
        <v>225</v>
      </c>
      <c r="C1794" s="62">
        <v>225</v>
      </c>
    </row>
    <row r="1795" spans="1:3" x14ac:dyDescent="0.2">
      <c r="A1795" s="62" t="s">
        <v>4367</v>
      </c>
      <c r="B1795" s="48">
        <v>54</v>
      </c>
      <c r="C1795" s="62">
        <v>54</v>
      </c>
    </row>
    <row r="1796" spans="1:3" x14ac:dyDescent="0.2">
      <c r="A1796" s="62" t="s">
        <v>4366</v>
      </c>
      <c r="B1796" s="48">
        <v>98</v>
      </c>
      <c r="C1796" s="62">
        <v>98</v>
      </c>
    </row>
    <row r="1797" spans="1:3" x14ac:dyDescent="0.2">
      <c r="A1797" s="62" t="s">
        <v>4365</v>
      </c>
      <c r="B1797" s="48">
        <v>122</v>
      </c>
      <c r="C1797" s="62">
        <v>122</v>
      </c>
    </row>
    <row r="1798" spans="1:3" x14ac:dyDescent="0.2">
      <c r="A1798" s="62" t="s">
        <v>4364</v>
      </c>
      <c r="B1798" s="48">
        <v>15</v>
      </c>
      <c r="C1798" s="62">
        <v>15</v>
      </c>
    </row>
    <row r="1799" spans="1:3" x14ac:dyDescent="0.2">
      <c r="A1799" s="62" t="s">
        <v>4363</v>
      </c>
      <c r="B1799" s="48">
        <v>15</v>
      </c>
      <c r="C1799" s="62">
        <v>15</v>
      </c>
    </row>
    <row r="1800" spans="1:3" x14ac:dyDescent="0.2">
      <c r="A1800" s="62" t="s">
        <v>4362</v>
      </c>
      <c r="B1800" s="48">
        <v>182</v>
      </c>
      <c r="C1800" s="62">
        <v>182</v>
      </c>
    </row>
    <row r="1801" spans="1:3" x14ac:dyDescent="0.2">
      <c r="A1801" s="62" t="s">
        <v>4361</v>
      </c>
      <c r="B1801" s="48">
        <v>14</v>
      </c>
      <c r="C1801" s="62">
        <v>14</v>
      </c>
    </row>
    <row r="1802" spans="1:3" x14ac:dyDescent="0.2">
      <c r="A1802" s="62" t="s">
        <v>4360</v>
      </c>
      <c r="B1802" s="48">
        <v>70</v>
      </c>
      <c r="C1802" s="62">
        <v>70</v>
      </c>
    </row>
    <row r="1803" spans="1:3" x14ac:dyDescent="0.2">
      <c r="A1803" s="62" t="s">
        <v>4359</v>
      </c>
      <c r="B1803" s="48">
        <v>70</v>
      </c>
      <c r="C1803" s="62">
        <v>70</v>
      </c>
    </row>
    <row r="1804" spans="1:3" x14ac:dyDescent="0.2">
      <c r="A1804" s="62" t="s">
        <v>4358</v>
      </c>
      <c r="B1804" s="48">
        <v>148</v>
      </c>
      <c r="C1804" s="62">
        <v>148</v>
      </c>
    </row>
    <row r="1805" spans="1:3" x14ac:dyDescent="0.2">
      <c r="A1805" s="62" t="s">
        <v>4357</v>
      </c>
      <c r="B1805" s="48">
        <v>148</v>
      </c>
      <c r="C1805" s="62">
        <v>148</v>
      </c>
    </row>
    <row r="1806" spans="1:3" x14ac:dyDescent="0.2">
      <c r="A1806" s="62" t="s">
        <v>4356</v>
      </c>
      <c r="B1806" s="48">
        <v>148</v>
      </c>
      <c r="C1806" s="62">
        <v>148</v>
      </c>
    </row>
    <row r="1807" spans="1:3" x14ac:dyDescent="0.2">
      <c r="A1807" s="62" t="s">
        <v>4355</v>
      </c>
      <c r="B1807" s="48">
        <v>148</v>
      </c>
      <c r="C1807" s="62">
        <v>148</v>
      </c>
    </row>
    <row r="1808" spans="1:3" x14ac:dyDescent="0.2">
      <c r="A1808" s="62" t="s">
        <v>4354</v>
      </c>
      <c r="B1808" s="48">
        <v>148</v>
      </c>
      <c r="C1808" s="62">
        <v>148</v>
      </c>
    </row>
    <row r="1809" spans="1:3" x14ac:dyDescent="0.2">
      <c r="A1809" s="62" t="s">
        <v>4353</v>
      </c>
      <c r="B1809" s="48">
        <v>148</v>
      </c>
      <c r="C1809" s="62">
        <v>148</v>
      </c>
    </row>
    <row r="1810" spans="1:3" x14ac:dyDescent="0.2">
      <c r="A1810" s="62" t="s">
        <v>4352</v>
      </c>
      <c r="B1810" s="48">
        <v>66</v>
      </c>
      <c r="C1810" s="62">
        <v>66</v>
      </c>
    </row>
    <row r="1811" spans="1:3" x14ac:dyDescent="0.2">
      <c r="A1811" s="62" t="s">
        <v>4351</v>
      </c>
      <c r="B1811" s="48">
        <v>15</v>
      </c>
      <c r="C1811" s="62">
        <v>15</v>
      </c>
    </row>
    <row r="1812" spans="1:3" x14ac:dyDescent="0.2">
      <c r="A1812" s="62" t="s">
        <v>4350</v>
      </c>
      <c r="B1812" s="48">
        <v>2</v>
      </c>
      <c r="C1812" s="62">
        <v>2</v>
      </c>
    </row>
    <row r="1813" spans="1:3" x14ac:dyDescent="0.2">
      <c r="A1813" s="62" t="s">
        <v>4349</v>
      </c>
      <c r="B1813" s="48">
        <v>14</v>
      </c>
      <c r="C1813" s="62">
        <v>14</v>
      </c>
    </row>
    <row r="1814" spans="1:3" x14ac:dyDescent="0.2">
      <c r="A1814" s="62" t="s">
        <v>4348</v>
      </c>
      <c r="B1814" s="48">
        <v>165</v>
      </c>
      <c r="C1814" s="62">
        <v>165</v>
      </c>
    </row>
    <row r="1815" spans="1:3" x14ac:dyDescent="0.2">
      <c r="A1815" s="62" t="s">
        <v>4347</v>
      </c>
      <c r="B1815" s="48">
        <v>165</v>
      </c>
      <c r="C1815" s="62">
        <v>165</v>
      </c>
    </row>
    <row r="1816" spans="1:3" x14ac:dyDescent="0.2">
      <c r="A1816" s="62" t="s">
        <v>4346</v>
      </c>
      <c r="B1816" s="48">
        <v>62</v>
      </c>
      <c r="C1816" s="62">
        <v>62</v>
      </c>
    </row>
    <row r="1817" spans="1:3" x14ac:dyDescent="0.2">
      <c r="A1817" s="62" t="s">
        <v>4345</v>
      </c>
      <c r="B1817" s="48">
        <v>14</v>
      </c>
      <c r="C1817" s="62">
        <v>14</v>
      </c>
    </row>
    <row r="1818" spans="1:3" x14ac:dyDescent="0.2">
      <c r="A1818" s="62" t="s">
        <v>4344</v>
      </c>
      <c r="B1818" s="48">
        <v>14</v>
      </c>
      <c r="C1818" s="62">
        <v>14</v>
      </c>
    </row>
    <row r="1819" spans="1:3" x14ac:dyDescent="0.2">
      <c r="A1819" s="62" t="s">
        <v>4343</v>
      </c>
      <c r="B1819" s="48">
        <v>62</v>
      </c>
      <c r="C1819" s="62">
        <v>62</v>
      </c>
    </row>
    <row r="1820" spans="1:3" x14ac:dyDescent="0.2">
      <c r="A1820" s="62" t="s">
        <v>4342</v>
      </c>
      <c r="B1820" s="48">
        <v>62</v>
      </c>
      <c r="C1820" s="62">
        <v>62</v>
      </c>
    </row>
    <row r="1821" spans="1:3" x14ac:dyDescent="0.2">
      <c r="A1821" s="62" t="s">
        <v>4341</v>
      </c>
      <c r="B1821" s="48">
        <v>14</v>
      </c>
      <c r="C1821" s="62">
        <v>14</v>
      </c>
    </row>
    <row r="1822" spans="1:3" x14ac:dyDescent="0.2">
      <c r="A1822" s="62" t="s">
        <v>4340</v>
      </c>
      <c r="B1822" s="48">
        <v>14</v>
      </c>
      <c r="C1822" s="62">
        <v>14</v>
      </c>
    </row>
    <row r="1823" spans="1:3" x14ac:dyDescent="0.2">
      <c r="A1823" s="62" t="s">
        <v>4339</v>
      </c>
      <c r="B1823" s="48">
        <v>206</v>
      </c>
      <c r="C1823" s="62">
        <v>206</v>
      </c>
    </row>
    <row r="1824" spans="1:3" x14ac:dyDescent="0.2">
      <c r="A1824" s="62" t="s">
        <v>4338</v>
      </c>
      <c r="B1824" s="48">
        <v>13</v>
      </c>
      <c r="C1824" s="62">
        <v>13</v>
      </c>
    </row>
    <row r="1825" spans="1:3" x14ac:dyDescent="0.2">
      <c r="A1825" s="62" t="s">
        <v>4336</v>
      </c>
      <c r="B1825" s="48">
        <v>14</v>
      </c>
      <c r="C1825" s="62">
        <v>14</v>
      </c>
    </row>
    <row r="1826" spans="1:3" x14ac:dyDescent="0.2">
      <c r="A1826" s="62" t="s">
        <v>4335</v>
      </c>
      <c r="B1826" s="48">
        <v>2</v>
      </c>
      <c r="C1826" s="62">
        <v>2</v>
      </c>
    </row>
    <row r="1827" spans="1:3" x14ac:dyDescent="0.2">
      <c r="A1827" s="62" t="s">
        <v>4334</v>
      </c>
      <c r="B1827" s="48">
        <v>14</v>
      </c>
      <c r="C1827" s="62">
        <v>14</v>
      </c>
    </row>
    <row r="1828" spans="1:3" x14ac:dyDescent="0.2">
      <c r="A1828" s="62" t="s">
        <v>4333</v>
      </c>
      <c r="B1828" s="48">
        <v>13</v>
      </c>
      <c r="C1828" s="62">
        <v>13</v>
      </c>
    </row>
    <row r="1829" spans="1:3" x14ac:dyDescent="0.2">
      <c r="A1829" s="62" t="s">
        <v>4332</v>
      </c>
      <c r="B1829" s="48">
        <v>13</v>
      </c>
      <c r="C1829" s="62">
        <v>13</v>
      </c>
    </row>
    <row r="1830" spans="1:3" x14ac:dyDescent="0.2">
      <c r="A1830" s="62" t="s">
        <v>4331</v>
      </c>
      <c r="B1830" s="48">
        <v>13</v>
      </c>
      <c r="C1830" s="62">
        <v>13</v>
      </c>
    </row>
    <row r="1831" spans="1:3" x14ac:dyDescent="0.2">
      <c r="A1831" s="62" t="s">
        <v>4330</v>
      </c>
      <c r="B1831" s="48">
        <v>14</v>
      </c>
      <c r="C1831" s="62">
        <v>14</v>
      </c>
    </row>
    <row r="1832" spans="1:3" x14ac:dyDescent="0.2">
      <c r="A1832" s="62" t="s">
        <v>4329</v>
      </c>
      <c r="B1832" s="48">
        <v>14</v>
      </c>
      <c r="C1832" s="62">
        <v>14</v>
      </c>
    </row>
    <row r="1833" spans="1:3" x14ac:dyDescent="0.2">
      <c r="A1833" s="62" t="s">
        <v>4328</v>
      </c>
      <c r="B1833" s="48">
        <v>15</v>
      </c>
      <c r="C1833" s="62">
        <v>15</v>
      </c>
    </row>
    <row r="1834" spans="1:3" x14ac:dyDescent="0.2">
      <c r="A1834" s="62" t="s">
        <v>4327</v>
      </c>
      <c r="B1834" s="48">
        <v>148</v>
      </c>
      <c r="C1834" s="62">
        <v>148</v>
      </c>
    </row>
    <row r="1835" spans="1:3" x14ac:dyDescent="0.2">
      <c r="A1835" s="62" t="s">
        <v>4326</v>
      </c>
      <c r="B1835" s="48">
        <v>70</v>
      </c>
      <c r="C1835" s="62">
        <v>70</v>
      </c>
    </row>
    <row r="1836" spans="1:3" x14ac:dyDescent="0.2">
      <c r="A1836" s="62" t="s">
        <v>4317</v>
      </c>
      <c r="B1836" s="48">
        <v>15</v>
      </c>
      <c r="C1836" s="62">
        <v>15</v>
      </c>
    </row>
    <row r="1837" spans="1:3" x14ac:dyDescent="0.2">
      <c r="A1837" s="62" t="s">
        <v>4316</v>
      </c>
      <c r="B1837" s="48">
        <v>43</v>
      </c>
      <c r="C1837" s="62">
        <v>43</v>
      </c>
    </row>
    <row r="1838" spans="1:3" x14ac:dyDescent="0.2">
      <c r="A1838" s="62" t="s">
        <v>4315</v>
      </c>
      <c r="B1838" s="48">
        <v>13</v>
      </c>
      <c r="C1838" s="62">
        <v>13</v>
      </c>
    </row>
    <row r="1839" spans="1:3" x14ac:dyDescent="0.2">
      <c r="A1839" s="62" t="s">
        <v>4314</v>
      </c>
      <c r="B1839" s="48">
        <v>2</v>
      </c>
      <c r="C1839" s="62">
        <v>2</v>
      </c>
    </row>
    <row r="1840" spans="1:3" x14ac:dyDescent="0.2">
      <c r="A1840" s="62" t="s">
        <v>4313</v>
      </c>
      <c r="B1840" s="48">
        <v>19</v>
      </c>
      <c r="C1840" s="62">
        <v>19</v>
      </c>
    </row>
    <row r="1841" spans="1:3" x14ac:dyDescent="0.2">
      <c r="A1841" s="62" t="s">
        <v>4312</v>
      </c>
      <c r="B1841" s="48">
        <v>148</v>
      </c>
      <c r="C1841" s="62">
        <v>148</v>
      </c>
    </row>
    <row r="1842" spans="1:3" x14ac:dyDescent="0.2">
      <c r="A1842" s="62" t="s">
        <v>4311</v>
      </c>
      <c r="B1842" s="48">
        <v>14</v>
      </c>
      <c r="C1842" s="62">
        <v>14</v>
      </c>
    </row>
    <row r="1843" spans="1:3" x14ac:dyDescent="0.2">
      <c r="A1843" s="62" t="s">
        <v>4310</v>
      </c>
      <c r="B1843" s="48">
        <v>14</v>
      </c>
      <c r="C1843" s="62">
        <v>14</v>
      </c>
    </row>
    <row r="1844" spans="1:3" x14ac:dyDescent="0.2">
      <c r="A1844" s="62" t="s">
        <v>4309</v>
      </c>
      <c r="B1844" s="48">
        <v>148</v>
      </c>
      <c r="C1844" s="62">
        <v>148</v>
      </c>
    </row>
    <row r="1845" spans="1:3" x14ac:dyDescent="0.2">
      <c r="A1845" s="62" t="s">
        <v>4308</v>
      </c>
      <c r="B1845" s="48">
        <v>148</v>
      </c>
      <c r="C1845" s="62">
        <v>148</v>
      </c>
    </row>
    <row r="1846" spans="1:3" x14ac:dyDescent="0.2">
      <c r="A1846" s="62" t="s">
        <v>4307</v>
      </c>
      <c r="B1846" s="48">
        <v>70</v>
      </c>
      <c r="C1846" s="62">
        <v>70</v>
      </c>
    </row>
    <row r="1847" spans="1:3" x14ac:dyDescent="0.2">
      <c r="A1847" s="62" t="s">
        <v>4306</v>
      </c>
      <c r="B1847" s="48">
        <v>2</v>
      </c>
      <c r="C1847" s="62">
        <v>2</v>
      </c>
    </row>
    <row r="1848" spans="1:3" x14ac:dyDescent="0.2">
      <c r="A1848" s="62" t="s">
        <v>4305</v>
      </c>
      <c r="B1848" s="48">
        <v>2</v>
      </c>
      <c r="C1848" s="62">
        <v>2</v>
      </c>
    </row>
    <row r="1849" spans="1:3" x14ac:dyDescent="0.2">
      <c r="A1849" s="62" t="s">
        <v>4304</v>
      </c>
      <c r="B1849" s="48">
        <v>33</v>
      </c>
      <c r="C1849" s="62">
        <v>33</v>
      </c>
    </row>
    <row r="1850" spans="1:3" x14ac:dyDescent="0.2">
      <c r="A1850" s="62" t="s">
        <v>4302</v>
      </c>
      <c r="B1850" s="48">
        <v>33</v>
      </c>
      <c r="C1850" s="62">
        <v>33</v>
      </c>
    </row>
    <row r="1851" spans="1:3" x14ac:dyDescent="0.2">
      <c r="A1851" s="62" t="s">
        <v>4300</v>
      </c>
      <c r="B1851" s="48">
        <v>15</v>
      </c>
      <c r="C1851" s="62">
        <v>15</v>
      </c>
    </row>
    <row r="1852" spans="1:3" x14ac:dyDescent="0.2">
      <c r="A1852" s="62" t="s">
        <v>4299</v>
      </c>
      <c r="B1852" s="48">
        <v>54</v>
      </c>
      <c r="C1852" s="62">
        <v>54</v>
      </c>
    </row>
    <row r="1853" spans="1:3" x14ac:dyDescent="0.2">
      <c r="A1853" s="62" t="s">
        <v>4298</v>
      </c>
      <c r="B1853" s="48">
        <v>15</v>
      </c>
      <c r="C1853" s="62">
        <v>15</v>
      </c>
    </row>
    <row r="1854" spans="1:3" x14ac:dyDescent="0.2">
      <c r="A1854" s="62" t="s">
        <v>4297</v>
      </c>
      <c r="B1854" s="48">
        <v>14</v>
      </c>
      <c r="C1854" s="62">
        <v>14</v>
      </c>
    </row>
    <row r="1855" spans="1:3" x14ac:dyDescent="0.2">
      <c r="A1855" s="62" t="s">
        <v>4296</v>
      </c>
      <c r="B1855" s="48">
        <v>14</v>
      </c>
      <c r="C1855" s="62">
        <v>14</v>
      </c>
    </row>
    <row r="1856" spans="1:3" x14ac:dyDescent="0.2">
      <c r="A1856" s="62" t="s">
        <v>4295</v>
      </c>
      <c r="B1856" s="48">
        <v>148</v>
      </c>
      <c r="C1856" s="62">
        <v>148</v>
      </c>
    </row>
    <row r="1857" spans="1:3" x14ac:dyDescent="0.2">
      <c r="A1857" s="62" t="s">
        <v>4294</v>
      </c>
      <c r="B1857" s="48">
        <v>146</v>
      </c>
      <c r="C1857" s="62">
        <v>146</v>
      </c>
    </row>
    <row r="1858" spans="1:3" x14ac:dyDescent="0.2">
      <c r="A1858" s="62" t="s">
        <v>4293</v>
      </c>
      <c r="B1858" s="48">
        <v>2</v>
      </c>
      <c r="C1858" s="62">
        <v>2</v>
      </c>
    </row>
    <row r="1859" spans="1:3" x14ac:dyDescent="0.2">
      <c r="A1859" s="62" t="s">
        <v>4292</v>
      </c>
      <c r="B1859" s="48">
        <v>2</v>
      </c>
      <c r="C1859" s="62">
        <v>2</v>
      </c>
    </row>
    <row r="1860" spans="1:3" x14ac:dyDescent="0.2">
      <c r="A1860" s="62" t="s">
        <v>4291</v>
      </c>
      <c r="B1860" s="48">
        <v>2</v>
      </c>
      <c r="C1860" s="62">
        <v>2</v>
      </c>
    </row>
    <row r="1861" spans="1:3" x14ac:dyDescent="0.2">
      <c r="A1861" s="62" t="s">
        <v>4290</v>
      </c>
      <c r="B1861" s="48">
        <v>2</v>
      </c>
      <c r="C1861" s="62">
        <v>2</v>
      </c>
    </row>
    <row r="1862" spans="1:3" x14ac:dyDescent="0.2">
      <c r="A1862" s="62" t="s">
        <v>4289</v>
      </c>
      <c r="B1862" s="48">
        <v>15</v>
      </c>
      <c r="C1862" s="62">
        <v>15</v>
      </c>
    </row>
    <row r="1863" spans="1:3" x14ac:dyDescent="0.2">
      <c r="A1863" s="62" t="s">
        <v>4287</v>
      </c>
      <c r="B1863" s="48">
        <v>14</v>
      </c>
      <c r="C1863" s="62">
        <v>14</v>
      </c>
    </row>
    <row r="1864" spans="1:3" x14ac:dyDescent="0.2">
      <c r="A1864" s="62" t="s">
        <v>4286</v>
      </c>
      <c r="B1864" s="48">
        <v>152</v>
      </c>
      <c r="C1864" s="62">
        <v>152</v>
      </c>
    </row>
    <row r="1865" spans="1:3" x14ac:dyDescent="0.2">
      <c r="A1865" s="62" t="s">
        <v>4285</v>
      </c>
      <c r="B1865" s="48">
        <v>2</v>
      </c>
      <c r="C1865" s="62">
        <v>2</v>
      </c>
    </row>
    <row r="1866" spans="1:3" x14ac:dyDescent="0.2">
      <c r="A1866" s="62" t="s">
        <v>4284</v>
      </c>
      <c r="B1866" s="48">
        <v>15</v>
      </c>
      <c r="C1866" s="62">
        <v>15</v>
      </c>
    </row>
    <row r="1867" spans="1:3" x14ac:dyDescent="0.2">
      <c r="A1867" s="62" t="s">
        <v>4283</v>
      </c>
      <c r="B1867" s="48">
        <v>15</v>
      </c>
      <c r="C1867" s="62">
        <v>15</v>
      </c>
    </row>
    <row r="1868" spans="1:3" x14ac:dyDescent="0.2">
      <c r="A1868" s="62" t="s">
        <v>4282</v>
      </c>
      <c r="B1868" s="48">
        <v>14</v>
      </c>
      <c r="C1868" s="62">
        <v>14</v>
      </c>
    </row>
    <row r="1869" spans="1:3" x14ac:dyDescent="0.2">
      <c r="A1869" s="62" t="s">
        <v>4281</v>
      </c>
      <c r="B1869" s="48">
        <v>2</v>
      </c>
      <c r="C1869" s="62">
        <v>2</v>
      </c>
    </row>
    <row r="1870" spans="1:3" x14ac:dyDescent="0.2">
      <c r="A1870" s="62" t="s">
        <v>4280</v>
      </c>
      <c r="B1870" s="48">
        <v>154</v>
      </c>
      <c r="C1870" s="62">
        <v>154</v>
      </c>
    </row>
    <row r="1871" spans="1:3" x14ac:dyDescent="0.2">
      <c r="A1871" s="62" t="s">
        <v>4279</v>
      </c>
      <c r="B1871" s="48">
        <v>94</v>
      </c>
      <c r="C1871" s="62">
        <v>94</v>
      </c>
    </row>
    <row r="1872" spans="1:3" x14ac:dyDescent="0.2">
      <c r="A1872" s="62" t="s">
        <v>4278</v>
      </c>
      <c r="B1872" s="48">
        <v>136</v>
      </c>
      <c r="C1872" s="62">
        <v>136</v>
      </c>
    </row>
    <row r="1873" spans="1:3" x14ac:dyDescent="0.2">
      <c r="A1873" s="62" t="s">
        <v>4277</v>
      </c>
      <c r="B1873" s="48">
        <v>118</v>
      </c>
      <c r="C1873" s="62">
        <v>118</v>
      </c>
    </row>
    <row r="1874" spans="1:3" x14ac:dyDescent="0.2">
      <c r="A1874" s="62" t="s">
        <v>4276</v>
      </c>
      <c r="B1874" s="48">
        <v>148</v>
      </c>
      <c r="C1874" s="62">
        <v>148</v>
      </c>
    </row>
    <row r="1875" spans="1:3" x14ac:dyDescent="0.2">
      <c r="A1875" s="62" t="s">
        <v>4275</v>
      </c>
      <c r="B1875" s="48">
        <v>15</v>
      </c>
      <c r="C1875" s="62">
        <v>15</v>
      </c>
    </row>
    <row r="1876" spans="1:3" x14ac:dyDescent="0.2">
      <c r="A1876" s="62" t="s">
        <v>4274</v>
      </c>
      <c r="B1876" s="48">
        <v>202</v>
      </c>
      <c r="C1876" s="62">
        <v>202</v>
      </c>
    </row>
    <row r="1877" spans="1:3" x14ac:dyDescent="0.2">
      <c r="A1877" s="62" t="s">
        <v>4273</v>
      </c>
      <c r="B1877" s="48">
        <v>2</v>
      </c>
      <c r="C1877" s="62">
        <v>2</v>
      </c>
    </row>
    <row r="1878" spans="1:3" x14ac:dyDescent="0.2">
      <c r="A1878" s="62" t="s">
        <v>4272</v>
      </c>
      <c r="B1878" s="48">
        <v>14</v>
      </c>
      <c r="C1878" s="62">
        <v>14</v>
      </c>
    </row>
    <row r="1879" spans="1:3" x14ac:dyDescent="0.2">
      <c r="A1879" s="62" t="s">
        <v>4271</v>
      </c>
      <c r="B1879" s="48">
        <v>14</v>
      </c>
      <c r="C1879" s="62">
        <v>14</v>
      </c>
    </row>
    <row r="1880" spans="1:3" x14ac:dyDescent="0.2">
      <c r="A1880" s="62" t="s">
        <v>4270</v>
      </c>
      <c r="B1880" s="48">
        <v>14</v>
      </c>
      <c r="C1880" s="62">
        <v>14</v>
      </c>
    </row>
    <row r="1881" spans="1:3" x14ac:dyDescent="0.2">
      <c r="A1881" s="62" t="s">
        <v>4268</v>
      </c>
      <c r="B1881" s="48">
        <v>14</v>
      </c>
      <c r="C1881" s="62">
        <v>14</v>
      </c>
    </row>
    <row r="1882" spans="1:3" x14ac:dyDescent="0.2">
      <c r="A1882" s="62" t="s">
        <v>4267</v>
      </c>
      <c r="B1882" s="48">
        <v>14</v>
      </c>
      <c r="C1882" s="62">
        <v>14</v>
      </c>
    </row>
    <row r="1883" spans="1:3" x14ac:dyDescent="0.2">
      <c r="A1883" s="62" t="s">
        <v>4265</v>
      </c>
      <c r="B1883" s="48">
        <v>15</v>
      </c>
      <c r="C1883" s="62">
        <v>15</v>
      </c>
    </row>
    <row r="1884" spans="1:3" x14ac:dyDescent="0.2">
      <c r="A1884" s="62" t="s">
        <v>4264</v>
      </c>
      <c r="B1884" s="48">
        <v>14</v>
      </c>
      <c r="C1884" s="62">
        <v>14</v>
      </c>
    </row>
    <row r="1885" spans="1:3" x14ac:dyDescent="0.2">
      <c r="A1885" s="62" t="s">
        <v>4263</v>
      </c>
      <c r="B1885" s="48">
        <v>2</v>
      </c>
      <c r="C1885" s="62">
        <v>2</v>
      </c>
    </row>
    <row r="1886" spans="1:3" x14ac:dyDescent="0.2">
      <c r="A1886" s="62" t="s">
        <v>4262</v>
      </c>
      <c r="B1886" s="48">
        <v>12</v>
      </c>
      <c r="C1886" s="62">
        <v>12</v>
      </c>
    </row>
    <row r="1887" spans="1:3" x14ac:dyDescent="0.2">
      <c r="A1887" s="62" t="s">
        <v>4261</v>
      </c>
      <c r="B1887" s="48">
        <v>2</v>
      </c>
      <c r="C1887" s="62">
        <v>2</v>
      </c>
    </row>
    <row r="1888" spans="1:3" x14ac:dyDescent="0.2">
      <c r="A1888" s="62" t="s">
        <v>4260</v>
      </c>
      <c r="B1888" s="48">
        <v>166</v>
      </c>
      <c r="C1888" s="62">
        <v>166</v>
      </c>
    </row>
    <row r="1889" spans="1:3" x14ac:dyDescent="0.2">
      <c r="A1889" s="62" t="s">
        <v>4259</v>
      </c>
      <c r="B1889" s="48">
        <v>166</v>
      </c>
      <c r="C1889" s="62">
        <v>166</v>
      </c>
    </row>
    <row r="1890" spans="1:3" x14ac:dyDescent="0.2">
      <c r="A1890" s="62" t="s">
        <v>4258</v>
      </c>
      <c r="B1890" s="48">
        <v>166</v>
      </c>
      <c r="C1890" s="62">
        <v>166</v>
      </c>
    </row>
    <row r="1891" spans="1:3" x14ac:dyDescent="0.2">
      <c r="A1891" s="62" t="s">
        <v>4257</v>
      </c>
      <c r="B1891" s="48">
        <v>15</v>
      </c>
      <c r="C1891" s="62">
        <v>15</v>
      </c>
    </row>
    <row r="1892" spans="1:3" x14ac:dyDescent="0.2">
      <c r="A1892" s="62" t="s">
        <v>4256</v>
      </c>
      <c r="B1892" s="48">
        <v>136</v>
      </c>
      <c r="C1892" s="62">
        <v>136</v>
      </c>
    </row>
    <row r="1893" spans="1:3" x14ac:dyDescent="0.2">
      <c r="A1893" s="62" t="s">
        <v>4255</v>
      </c>
      <c r="B1893" s="48">
        <v>88</v>
      </c>
      <c r="C1893" s="62">
        <v>88</v>
      </c>
    </row>
    <row r="1894" spans="1:3" x14ac:dyDescent="0.2">
      <c r="A1894" s="62" t="s">
        <v>4254</v>
      </c>
      <c r="B1894" s="48">
        <v>217</v>
      </c>
      <c r="C1894" s="62">
        <v>217</v>
      </c>
    </row>
    <row r="1895" spans="1:3" x14ac:dyDescent="0.2">
      <c r="A1895" s="62" t="s">
        <v>4253</v>
      </c>
      <c r="B1895" s="48">
        <v>14</v>
      </c>
      <c r="C1895" s="62">
        <v>14</v>
      </c>
    </row>
    <row r="1896" spans="1:3" x14ac:dyDescent="0.2">
      <c r="A1896" s="62" t="s">
        <v>4252</v>
      </c>
      <c r="B1896" s="48">
        <v>13</v>
      </c>
      <c r="C1896" s="62">
        <v>13</v>
      </c>
    </row>
    <row r="1897" spans="1:3" x14ac:dyDescent="0.2">
      <c r="A1897" s="62" t="s">
        <v>4251</v>
      </c>
      <c r="B1897" s="48">
        <v>150</v>
      </c>
      <c r="C1897" s="62">
        <v>150</v>
      </c>
    </row>
    <row r="1898" spans="1:3" x14ac:dyDescent="0.2">
      <c r="A1898" s="62" t="s">
        <v>4250</v>
      </c>
      <c r="B1898" s="48">
        <v>9</v>
      </c>
      <c r="C1898" s="62">
        <v>9</v>
      </c>
    </row>
    <row r="1899" spans="1:3" x14ac:dyDescent="0.2">
      <c r="A1899" s="62" t="s">
        <v>4249</v>
      </c>
      <c r="B1899" s="48">
        <v>66</v>
      </c>
      <c r="C1899" s="62">
        <v>66</v>
      </c>
    </row>
    <row r="1900" spans="1:3" x14ac:dyDescent="0.2">
      <c r="A1900" s="62" t="s">
        <v>4247</v>
      </c>
      <c r="B1900" s="48">
        <v>66</v>
      </c>
      <c r="C1900" s="62">
        <v>66</v>
      </c>
    </row>
    <row r="1901" spans="1:3" x14ac:dyDescent="0.2">
      <c r="A1901" s="62" t="s">
        <v>4245</v>
      </c>
      <c r="B1901" s="48">
        <v>15</v>
      </c>
      <c r="C1901" s="62">
        <v>15</v>
      </c>
    </row>
    <row r="1902" spans="1:3" x14ac:dyDescent="0.2">
      <c r="A1902" s="62" t="s">
        <v>4244</v>
      </c>
      <c r="B1902" s="48">
        <v>15</v>
      </c>
      <c r="C1902" s="62">
        <v>15</v>
      </c>
    </row>
    <row r="1903" spans="1:3" x14ac:dyDescent="0.2">
      <c r="A1903" s="62" t="s">
        <v>4243</v>
      </c>
      <c r="B1903" s="48">
        <v>15</v>
      </c>
      <c r="C1903" s="62">
        <v>15</v>
      </c>
    </row>
    <row r="1904" spans="1:3" x14ac:dyDescent="0.2">
      <c r="A1904" s="62" t="s">
        <v>4242</v>
      </c>
      <c r="B1904" s="48">
        <v>163</v>
      </c>
      <c r="C1904" s="62">
        <v>163</v>
      </c>
    </row>
    <row r="1905" spans="1:3" x14ac:dyDescent="0.2">
      <c r="A1905" s="62" t="s">
        <v>4240</v>
      </c>
      <c r="B1905" s="48">
        <v>49</v>
      </c>
      <c r="C1905" s="62">
        <v>49</v>
      </c>
    </row>
    <row r="1906" spans="1:3" x14ac:dyDescent="0.2">
      <c r="A1906" s="62" t="s">
        <v>4239</v>
      </c>
      <c r="B1906" s="48">
        <v>15</v>
      </c>
      <c r="C1906" s="62">
        <v>15</v>
      </c>
    </row>
    <row r="1907" spans="1:3" x14ac:dyDescent="0.2">
      <c r="A1907" s="62" t="s">
        <v>4238</v>
      </c>
      <c r="B1907" s="48">
        <v>2</v>
      </c>
      <c r="C1907" s="62">
        <v>2</v>
      </c>
    </row>
    <row r="1908" spans="1:3" x14ac:dyDescent="0.2">
      <c r="A1908" s="62" t="s">
        <v>4237</v>
      </c>
      <c r="B1908" s="48">
        <v>15</v>
      </c>
      <c r="C1908" s="62">
        <v>15</v>
      </c>
    </row>
    <row r="1909" spans="1:3" x14ac:dyDescent="0.2">
      <c r="A1909" s="62" t="s">
        <v>4236</v>
      </c>
      <c r="B1909" s="48">
        <v>2</v>
      </c>
      <c r="C1909" s="62">
        <v>2</v>
      </c>
    </row>
    <row r="1910" spans="1:3" x14ac:dyDescent="0.2">
      <c r="A1910" s="62" t="s">
        <v>4235</v>
      </c>
      <c r="B1910" s="48">
        <v>15</v>
      </c>
      <c r="C1910" s="62">
        <v>15</v>
      </c>
    </row>
    <row r="1911" spans="1:3" x14ac:dyDescent="0.2">
      <c r="A1911" s="62" t="s">
        <v>4234</v>
      </c>
      <c r="B1911" s="48">
        <v>15</v>
      </c>
      <c r="C1911" s="62">
        <v>15</v>
      </c>
    </row>
    <row r="1912" spans="1:3" x14ac:dyDescent="0.2">
      <c r="A1912" s="62" t="s">
        <v>4232</v>
      </c>
      <c r="B1912" s="48">
        <v>43</v>
      </c>
      <c r="C1912" s="62">
        <v>43</v>
      </c>
    </row>
    <row r="1913" spans="1:3" x14ac:dyDescent="0.2">
      <c r="A1913" s="62" t="s">
        <v>4231</v>
      </c>
      <c r="B1913" s="48">
        <v>15</v>
      </c>
      <c r="C1913" s="62">
        <v>15</v>
      </c>
    </row>
    <row r="1914" spans="1:3" x14ac:dyDescent="0.2">
      <c r="A1914" s="62" t="s">
        <v>4230</v>
      </c>
      <c r="B1914" s="48">
        <v>2</v>
      </c>
      <c r="C1914" s="62">
        <v>2</v>
      </c>
    </row>
    <row r="1915" spans="1:3" x14ac:dyDescent="0.2">
      <c r="A1915" s="62" t="s">
        <v>4229</v>
      </c>
      <c r="B1915" s="48">
        <v>2</v>
      </c>
      <c r="C1915" s="62">
        <v>2</v>
      </c>
    </row>
    <row r="1916" spans="1:3" x14ac:dyDescent="0.2">
      <c r="A1916" s="62" t="s">
        <v>4228</v>
      </c>
      <c r="B1916" s="48">
        <v>15</v>
      </c>
      <c r="C1916" s="62">
        <v>15</v>
      </c>
    </row>
    <row r="1917" spans="1:3" x14ac:dyDescent="0.2">
      <c r="A1917" s="62" t="s">
        <v>4227</v>
      </c>
      <c r="B1917" s="48">
        <v>15</v>
      </c>
      <c r="C1917" s="62">
        <v>15</v>
      </c>
    </row>
    <row r="1918" spans="1:3" x14ac:dyDescent="0.2">
      <c r="A1918" s="62" t="s">
        <v>4226</v>
      </c>
      <c r="B1918" s="48">
        <v>123</v>
      </c>
      <c r="C1918" s="62">
        <v>123</v>
      </c>
    </row>
    <row r="1919" spans="1:3" x14ac:dyDescent="0.2">
      <c r="A1919" s="62" t="s">
        <v>4225</v>
      </c>
      <c r="B1919" s="48">
        <v>194</v>
      </c>
      <c r="C1919" s="62">
        <v>194</v>
      </c>
    </row>
    <row r="1920" spans="1:3" x14ac:dyDescent="0.2">
      <c r="A1920" s="62" t="s">
        <v>4224</v>
      </c>
      <c r="B1920" s="48">
        <v>15</v>
      </c>
      <c r="C1920" s="62">
        <v>15</v>
      </c>
    </row>
    <row r="1921" spans="1:3" x14ac:dyDescent="0.2">
      <c r="A1921" s="62" t="s">
        <v>4223</v>
      </c>
      <c r="B1921" s="48">
        <v>165</v>
      </c>
      <c r="C1921" s="62">
        <v>165</v>
      </c>
    </row>
    <row r="1922" spans="1:3" x14ac:dyDescent="0.2">
      <c r="A1922" s="62" t="s">
        <v>4221</v>
      </c>
      <c r="B1922" s="48">
        <v>141</v>
      </c>
      <c r="C1922" s="62">
        <v>141</v>
      </c>
    </row>
    <row r="1923" spans="1:3" x14ac:dyDescent="0.2">
      <c r="A1923" s="62" t="s">
        <v>4220</v>
      </c>
      <c r="B1923" s="48">
        <v>14</v>
      </c>
      <c r="C1923" s="62">
        <v>14</v>
      </c>
    </row>
    <row r="1924" spans="1:3" x14ac:dyDescent="0.2">
      <c r="A1924" s="62" t="s">
        <v>4218</v>
      </c>
      <c r="B1924" s="48">
        <v>194</v>
      </c>
      <c r="C1924" s="62">
        <v>194</v>
      </c>
    </row>
    <row r="1925" spans="1:3" x14ac:dyDescent="0.2">
      <c r="A1925" s="62" t="s">
        <v>4217</v>
      </c>
      <c r="B1925" s="48">
        <v>11</v>
      </c>
      <c r="C1925" s="62">
        <v>11</v>
      </c>
    </row>
    <row r="1926" spans="1:3" x14ac:dyDescent="0.2">
      <c r="A1926" s="62" t="s">
        <v>4216</v>
      </c>
      <c r="B1926" s="48">
        <v>62</v>
      </c>
      <c r="C1926" s="62">
        <v>62</v>
      </c>
    </row>
    <row r="1927" spans="1:3" x14ac:dyDescent="0.2">
      <c r="A1927" s="62" t="s">
        <v>4215</v>
      </c>
      <c r="B1927" s="48">
        <v>62</v>
      </c>
      <c r="C1927" s="62">
        <v>62</v>
      </c>
    </row>
    <row r="1928" spans="1:3" x14ac:dyDescent="0.2">
      <c r="A1928" s="62" t="s">
        <v>4214</v>
      </c>
      <c r="B1928" s="48">
        <v>70</v>
      </c>
      <c r="C1928" s="62">
        <v>70</v>
      </c>
    </row>
    <row r="1929" spans="1:3" x14ac:dyDescent="0.2">
      <c r="A1929" s="62" t="s">
        <v>4213</v>
      </c>
      <c r="B1929" s="48">
        <v>60</v>
      </c>
      <c r="C1929" s="62">
        <v>60</v>
      </c>
    </row>
    <row r="1930" spans="1:3" x14ac:dyDescent="0.2">
      <c r="A1930" s="62" t="s">
        <v>4212</v>
      </c>
      <c r="B1930" s="48">
        <v>18</v>
      </c>
      <c r="C1930" s="62">
        <v>18</v>
      </c>
    </row>
    <row r="1931" spans="1:3" x14ac:dyDescent="0.2">
      <c r="A1931" s="62" t="s">
        <v>4211</v>
      </c>
      <c r="B1931" s="48">
        <v>61</v>
      </c>
      <c r="C1931" s="62">
        <v>61</v>
      </c>
    </row>
    <row r="1932" spans="1:3" x14ac:dyDescent="0.2">
      <c r="A1932" s="62" t="s">
        <v>4210</v>
      </c>
      <c r="B1932" s="48">
        <v>14</v>
      </c>
      <c r="C1932" s="62">
        <v>14</v>
      </c>
    </row>
    <row r="1933" spans="1:3" x14ac:dyDescent="0.2">
      <c r="A1933" s="62" t="s">
        <v>4209</v>
      </c>
      <c r="B1933" s="48">
        <v>14</v>
      </c>
      <c r="C1933" s="62">
        <v>14</v>
      </c>
    </row>
    <row r="1934" spans="1:3" x14ac:dyDescent="0.2">
      <c r="A1934" s="62" t="s">
        <v>4208</v>
      </c>
      <c r="B1934" s="48">
        <v>148</v>
      </c>
      <c r="C1934" s="62">
        <v>148</v>
      </c>
    </row>
    <row r="1935" spans="1:3" x14ac:dyDescent="0.2">
      <c r="A1935" s="62" t="s">
        <v>4207</v>
      </c>
      <c r="B1935" s="48">
        <v>2</v>
      </c>
      <c r="C1935" s="62">
        <v>2</v>
      </c>
    </row>
    <row r="1936" spans="1:3" x14ac:dyDescent="0.2">
      <c r="A1936" s="62" t="s">
        <v>4206</v>
      </c>
      <c r="B1936" s="48">
        <v>14</v>
      </c>
      <c r="C1936" s="62">
        <v>14</v>
      </c>
    </row>
    <row r="1937" spans="1:3" x14ac:dyDescent="0.2">
      <c r="A1937" s="62" t="s">
        <v>4205</v>
      </c>
      <c r="B1937" s="48">
        <v>14</v>
      </c>
      <c r="C1937" s="62">
        <v>14</v>
      </c>
    </row>
    <row r="1938" spans="1:3" x14ac:dyDescent="0.2">
      <c r="A1938" s="62" t="s">
        <v>4204</v>
      </c>
      <c r="B1938" s="48">
        <v>2</v>
      </c>
      <c r="C1938" s="62">
        <v>2</v>
      </c>
    </row>
    <row r="1939" spans="1:3" x14ac:dyDescent="0.2">
      <c r="A1939" s="62" t="s">
        <v>4203</v>
      </c>
      <c r="B1939" s="48">
        <v>220</v>
      </c>
      <c r="C1939" s="62">
        <v>220</v>
      </c>
    </row>
    <row r="1940" spans="1:3" x14ac:dyDescent="0.2">
      <c r="A1940" s="62" t="s">
        <v>4202</v>
      </c>
      <c r="B1940" s="48">
        <v>15</v>
      </c>
      <c r="C1940" s="62">
        <v>15</v>
      </c>
    </row>
    <row r="1941" spans="1:3" x14ac:dyDescent="0.2">
      <c r="A1941" s="62" t="s">
        <v>4198</v>
      </c>
      <c r="B1941" s="48">
        <v>14</v>
      </c>
      <c r="C1941" s="62">
        <v>14</v>
      </c>
    </row>
    <row r="1942" spans="1:3" x14ac:dyDescent="0.2">
      <c r="A1942" s="62" t="s">
        <v>4196</v>
      </c>
      <c r="B1942" s="48">
        <v>12</v>
      </c>
      <c r="C1942" s="62">
        <v>12</v>
      </c>
    </row>
    <row r="1943" spans="1:3" x14ac:dyDescent="0.2">
      <c r="A1943" s="62" t="s">
        <v>4195</v>
      </c>
      <c r="B1943" s="48">
        <v>148</v>
      </c>
      <c r="C1943" s="62">
        <v>148</v>
      </c>
    </row>
    <row r="1944" spans="1:3" x14ac:dyDescent="0.2">
      <c r="A1944" s="62" t="s">
        <v>4194</v>
      </c>
      <c r="B1944" s="48">
        <v>14</v>
      </c>
      <c r="C1944" s="62">
        <v>14</v>
      </c>
    </row>
    <row r="1945" spans="1:3" x14ac:dyDescent="0.2">
      <c r="A1945" s="62" t="s">
        <v>4192</v>
      </c>
      <c r="B1945" s="48">
        <v>14</v>
      </c>
      <c r="C1945" s="62">
        <v>14</v>
      </c>
    </row>
    <row r="1946" spans="1:3" x14ac:dyDescent="0.2">
      <c r="A1946" s="62" t="s">
        <v>4191</v>
      </c>
      <c r="B1946" s="48">
        <v>52</v>
      </c>
      <c r="C1946" s="62">
        <v>52</v>
      </c>
    </row>
    <row r="1947" spans="1:3" x14ac:dyDescent="0.2">
      <c r="A1947" s="62" t="s">
        <v>4190</v>
      </c>
      <c r="B1947" s="48">
        <v>14</v>
      </c>
      <c r="C1947" s="62">
        <v>14</v>
      </c>
    </row>
    <row r="1948" spans="1:3" x14ac:dyDescent="0.2">
      <c r="A1948" s="62" t="s">
        <v>4189</v>
      </c>
      <c r="B1948" s="48">
        <v>14</v>
      </c>
      <c r="C1948" s="62">
        <v>14</v>
      </c>
    </row>
    <row r="1949" spans="1:3" x14ac:dyDescent="0.2">
      <c r="A1949" s="62" t="s">
        <v>4188</v>
      </c>
      <c r="B1949" s="48">
        <v>19</v>
      </c>
      <c r="C1949" s="62">
        <v>19</v>
      </c>
    </row>
    <row r="1950" spans="1:3" x14ac:dyDescent="0.2">
      <c r="A1950" s="62" t="s">
        <v>4187</v>
      </c>
      <c r="B1950" s="48">
        <v>190</v>
      </c>
      <c r="C1950" s="62">
        <v>190</v>
      </c>
    </row>
    <row r="1951" spans="1:3" x14ac:dyDescent="0.2">
      <c r="A1951" s="62" t="s">
        <v>4186</v>
      </c>
      <c r="B1951" s="48">
        <v>72</v>
      </c>
      <c r="C1951" s="62">
        <v>72</v>
      </c>
    </row>
    <row r="1952" spans="1:3" x14ac:dyDescent="0.2">
      <c r="A1952" s="62" t="s">
        <v>4185</v>
      </c>
      <c r="B1952" s="48">
        <v>62</v>
      </c>
      <c r="C1952" s="62">
        <v>62</v>
      </c>
    </row>
    <row r="1953" spans="1:3" x14ac:dyDescent="0.2">
      <c r="A1953" s="62" t="s">
        <v>4184</v>
      </c>
      <c r="B1953" s="48">
        <v>29</v>
      </c>
      <c r="C1953" s="62">
        <v>29</v>
      </c>
    </row>
    <row r="1954" spans="1:3" x14ac:dyDescent="0.2">
      <c r="A1954" s="62" t="s">
        <v>4183</v>
      </c>
      <c r="B1954" s="48">
        <v>154</v>
      </c>
      <c r="C1954" s="62">
        <v>154</v>
      </c>
    </row>
    <row r="1955" spans="1:3" x14ac:dyDescent="0.2">
      <c r="A1955" s="62" t="s">
        <v>4182</v>
      </c>
      <c r="B1955" s="48">
        <v>14</v>
      </c>
      <c r="C1955" s="62">
        <v>14</v>
      </c>
    </row>
    <row r="1956" spans="1:3" x14ac:dyDescent="0.2">
      <c r="A1956" s="62" t="s">
        <v>4181</v>
      </c>
      <c r="B1956" s="48">
        <v>192</v>
      </c>
      <c r="C1956" s="62">
        <v>192</v>
      </c>
    </row>
    <row r="1957" spans="1:3" x14ac:dyDescent="0.2">
      <c r="A1957" s="62" t="s">
        <v>4179</v>
      </c>
      <c r="B1957" s="48">
        <v>210</v>
      </c>
      <c r="C1957" s="62">
        <v>210</v>
      </c>
    </row>
    <row r="1958" spans="1:3" x14ac:dyDescent="0.2">
      <c r="A1958" s="62" t="s">
        <v>4178</v>
      </c>
      <c r="B1958" s="48">
        <v>210</v>
      </c>
      <c r="C1958" s="62">
        <v>210</v>
      </c>
    </row>
    <row r="1959" spans="1:3" x14ac:dyDescent="0.2">
      <c r="A1959" s="62" t="s">
        <v>4177</v>
      </c>
      <c r="B1959" s="48">
        <v>214</v>
      </c>
      <c r="C1959" s="62">
        <v>214</v>
      </c>
    </row>
    <row r="1960" spans="1:3" x14ac:dyDescent="0.2">
      <c r="A1960" s="62" t="s">
        <v>4176</v>
      </c>
      <c r="B1960" s="48">
        <v>15</v>
      </c>
      <c r="C1960" s="62">
        <v>15</v>
      </c>
    </row>
    <row r="1961" spans="1:3" x14ac:dyDescent="0.2">
      <c r="A1961" s="62" t="s">
        <v>4175</v>
      </c>
      <c r="B1961" s="48">
        <v>155</v>
      </c>
      <c r="C1961" s="62">
        <v>155</v>
      </c>
    </row>
    <row r="1962" spans="1:3" x14ac:dyDescent="0.2">
      <c r="A1962" s="62" t="s">
        <v>4174</v>
      </c>
      <c r="B1962" s="48">
        <v>62</v>
      </c>
      <c r="C1962" s="62">
        <v>62</v>
      </c>
    </row>
    <row r="1963" spans="1:3" x14ac:dyDescent="0.2">
      <c r="A1963" s="62" t="s">
        <v>4173</v>
      </c>
      <c r="B1963" s="48">
        <v>62</v>
      </c>
      <c r="C1963" s="62">
        <v>62</v>
      </c>
    </row>
    <row r="1964" spans="1:3" x14ac:dyDescent="0.2">
      <c r="A1964" s="62" t="s">
        <v>4172</v>
      </c>
      <c r="B1964" s="48">
        <v>2</v>
      </c>
      <c r="C1964" s="62">
        <v>2</v>
      </c>
    </row>
    <row r="1965" spans="1:3" x14ac:dyDescent="0.2">
      <c r="A1965" s="62" t="s">
        <v>4171</v>
      </c>
      <c r="B1965" s="48">
        <v>2</v>
      </c>
      <c r="C1965" s="62">
        <v>2</v>
      </c>
    </row>
    <row r="1966" spans="1:3" x14ac:dyDescent="0.2">
      <c r="A1966" s="62" t="s">
        <v>4170</v>
      </c>
      <c r="B1966" s="48">
        <v>165</v>
      </c>
      <c r="C1966" s="62">
        <v>165</v>
      </c>
    </row>
    <row r="1967" spans="1:3" x14ac:dyDescent="0.2">
      <c r="A1967" s="62" t="s">
        <v>4169</v>
      </c>
      <c r="B1967" s="48">
        <v>165</v>
      </c>
      <c r="C1967" s="62">
        <v>165</v>
      </c>
    </row>
    <row r="1968" spans="1:3" x14ac:dyDescent="0.2">
      <c r="A1968" s="62" t="s">
        <v>4168</v>
      </c>
      <c r="B1968" s="48">
        <v>165</v>
      </c>
      <c r="C1968" s="62">
        <v>165</v>
      </c>
    </row>
    <row r="1969" spans="1:3" x14ac:dyDescent="0.2">
      <c r="A1969" s="62" t="s">
        <v>4167</v>
      </c>
      <c r="B1969" s="48">
        <v>165</v>
      </c>
      <c r="C1969" s="62">
        <v>165</v>
      </c>
    </row>
    <row r="1970" spans="1:3" x14ac:dyDescent="0.2">
      <c r="A1970" s="62" t="s">
        <v>4166</v>
      </c>
      <c r="B1970" s="48">
        <v>165</v>
      </c>
      <c r="C1970" s="62">
        <v>165</v>
      </c>
    </row>
    <row r="1971" spans="1:3" x14ac:dyDescent="0.2">
      <c r="A1971" s="62" t="s">
        <v>4165</v>
      </c>
      <c r="B1971" s="48">
        <v>165</v>
      </c>
      <c r="C1971" s="62">
        <v>165</v>
      </c>
    </row>
    <row r="1972" spans="1:3" x14ac:dyDescent="0.2">
      <c r="A1972" s="62" t="s">
        <v>4164</v>
      </c>
      <c r="B1972" s="48">
        <v>165</v>
      </c>
      <c r="C1972" s="62">
        <v>165</v>
      </c>
    </row>
    <row r="1973" spans="1:3" x14ac:dyDescent="0.2">
      <c r="A1973" s="62" t="s">
        <v>4163</v>
      </c>
      <c r="B1973" s="48">
        <v>169</v>
      </c>
      <c r="C1973" s="62">
        <v>169</v>
      </c>
    </row>
    <row r="1974" spans="1:3" x14ac:dyDescent="0.2">
      <c r="A1974" s="62" t="s">
        <v>4162</v>
      </c>
      <c r="B1974" s="48">
        <v>169</v>
      </c>
      <c r="C1974" s="62">
        <v>169</v>
      </c>
    </row>
    <row r="1975" spans="1:3" x14ac:dyDescent="0.2">
      <c r="A1975" s="62" t="s">
        <v>4161</v>
      </c>
      <c r="B1975" s="48">
        <v>170</v>
      </c>
      <c r="C1975" s="62">
        <v>170</v>
      </c>
    </row>
    <row r="1976" spans="1:3" x14ac:dyDescent="0.2">
      <c r="A1976" s="62" t="s">
        <v>4160</v>
      </c>
      <c r="B1976" s="48">
        <v>170</v>
      </c>
      <c r="C1976" s="62">
        <v>170</v>
      </c>
    </row>
    <row r="1977" spans="1:3" x14ac:dyDescent="0.2">
      <c r="A1977" s="62" t="s">
        <v>4159</v>
      </c>
      <c r="B1977" s="48">
        <v>169</v>
      </c>
      <c r="C1977" s="62">
        <v>169</v>
      </c>
    </row>
    <row r="1978" spans="1:3" x14ac:dyDescent="0.2">
      <c r="A1978" s="62" t="s">
        <v>4158</v>
      </c>
      <c r="B1978" s="48">
        <v>169</v>
      </c>
      <c r="C1978" s="62">
        <v>169</v>
      </c>
    </row>
    <row r="1979" spans="1:3" x14ac:dyDescent="0.2">
      <c r="A1979" s="62" t="s">
        <v>4157</v>
      </c>
      <c r="B1979" s="48">
        <v>2</v>
      </c>
      <c r="C1979" s="62">
        <v>2</v>
      </c>
    </row>
    <row r="1980" spans="1:3" x14ac:dyDescent="0.2">
      <c r="A1980" s="62" t="s">
        <v>4155</v>
      </c>
      <c r="B1980" s="48">
        <v>148</v>
      </c>
      <c r="C1980" s="62">
        <v>148</v>
      </c>
    </row>
    <row r="1981" spans="1:3" x14ac:dyDescent="0.2">
      <c r="A1981" s="62" t="s">
        <v>4154</v>
      </c>
      <c r="B1981" s="48">
        <v>152</v>
      </c>
      <c r="C1981" s="62">
        <v>152</v>
      </c>
    </row>
    <row r="1982" spans="1:3" x14ac:dyDescent="0.2">
      <c r="A1982" s="62" t="s">
        <v>4153</v>
      </c>
      <c r="B1982" s="48">
        <v>13</v>
      </c>
      <c r="C1982" s="62">
        <v>13</v>
      </c>
    </row>
    <row r="1983" spans="1:3" x14ac:dyDescent="0.2">
      <c r="A1983" s="62" t="s">
        <v>4152</v>
      </c>
      <c r="B1983" s="48">
        <v>14</v>
      </c>
      <c r="C1983" s="62">
        <v>14</v>
      </c>
    </row>
    <row r="1984" spans="1:3" x14ac:dyDescent="0.2">
      <c r="A1984" s="62" t="s">
        <v>4151</v>
      </c>
      <c r="B1984" s="48">
        <v>14</v>
      </c>
      <c r="C1984" s="62">
        <v>14</v>
      </c>
    </row>
    <row r="1985" spans="1:3" x14ac:dyDescent="0.2">
      <c r="A1985" s="62" t="s">
        <v>4150</v>
      </c>
      <c r="B1985" s="48">
        <v>114</v>
      </c>
      <c r="C1985" s="62">
        <v>114</v>
      </c>
    </row>
    <row r="1986" spans="1:3" x14ac:dyDescent="0.2">
      <c r="A1986" s="62" t="s">
        <v>4149</v>
      </c>
      <c r="B1986" s="48">
        <v>14</v>
      </c>
      <c r="C1986" s="62">
        <v>14</v>
      </c>
    </row>
    <row r="1987" spans="1:3" x14ac:dyDescent="0.2">
      <c r="A1987" s="62" t="s">
        <v>4148</v>
      </c>
      <c r="B1987" s="48">
        <v>62</v>
      </c>
      <c r="C1987" s="62">
        <v>62</v>
      </c>
    </row>
    <row r="1988" spans="1:3" x14ac:dyDescent="0.2">
      <c r="A1988" s="62" t="s">
        <v>4147</v>
      </c>
      <c r="B1988" s="48">
        <v>29</v>
      </c>
      <c r="C1988" s="62">
        <v>29</v>
      </c>
    </row>
    <row r="1989" spans="1:3" x14ac:dyDescent="0.2">
      <c r="A1989" s="62" t="s">
        <v>4146</v>
      </c>
      <c r="B1989" s="48">
        <v>145</v>
      </c>
      <c r="C1989" s="62">
        <v>145</v>
      </c>
    </row>
    <row r="1990" spans="1:3" x14ac:dyDescent="0.2">
      <c r="A1990" s="62" t="s">
        <v>4145</v>
      </c>
      <c r="B1990" s="48">
        <v>166</v>
      </c>
      <c r="C1990" s="62">
        <v>166</v>
      </c>
    </row>
    <row r="1991" spans="1:3" x14ac:dyDescent="0.2">
      <c r="A1991" s="62" t="s">
        <v>4144</v>
      </c>
      <c r="B1991" s="48">
        <v>166</v>
      </c>
      <c r="C1991" s="62">
        <v>166</v>
      </c>
    </row>
    <row r="1992" spans="1:3" x14ac:dyDescent="0.2">
      <c r="A1992" s="62" t="s">
        <v>4143</v>
      </c>
      <c r="B1992" s="48">
        <v>223</v>
      </c>
      <c r="C1992" s="62">
        <v>223</v>
      </c>
    </row>
    <row r="1993" spans="1:3" x14ac:dyDescent="0.2">
      <c r="A1993" s="62" t="s">
        <v>4142</v>
      </c>
      <c r="B1993" s="48">
        <v>223</v>
      </c>
      <c r="C1993" s="62">
        <v>223</v>
      </c>
    </row>
    <row r="1994" spans="1:3" x14ac:dyDescent="0.2">
      <c r="A1994" s="62" t="s">
        <v>4141</v>
      </c>
      <c r="B1994" s="48">
        <v>161</v>
      </c>
      <c r="C1994" s="62">
        <v>161</v>
      </c>
    </row>
    <row r="1995" spans="1:3" x14ac:dyDescent="0.2">
      <c r="A1995" s="62" t="s">
        <v>4140</v>
      </c>
      <c r="B1995" s="48">
        <v>166</v>
      </c>
      <c r="C1995" s="62">
        <v>166</v>
      </c>
    </row>
    <row r="1996" spans="1:3" x14ac:dyDescent="0.2">
      <c r="A1996" s="62" t="s">
        <v>4139</v>
      </c>
      <c r="B1996" s="48">
        <v>223</v>
      </c>
      <c r="C1996" s="62">
        <v>223</v>
      </c>
    </row>
    <row r="1997" spans="1:3" x14ac:dyDescent="0.2">
      <c r="A1997" s="62" t="s">
        <v>4138</v>
      </c>
      <c r="B1997" s="48">
        <v>43</v>
      </c>
      <c r="C1997" s="62">
        <v>43</v>
      </c>
    </row>
    <row r="1998" spans="1:3" x14ac:dyDescent="0.2">
      <c r="A1998" s="62" t="s">
        <v>4137</v>
      </c>
      <c r="B1998" s="48">
        <v>2</v>
      </c>
      <c r="C1998" s="62">
        <v>2</v>
      </c>
    </row>
    <row r="1999" spans="1:3" x14ac:dyDescent="0.2">
      <c r="A1999" s="62" t="s">
        <v>4136</v>
      </c>
      <c r="B1999" s="48">
        <v>216</v>
      </c>
      <c r="C1999" s="62">
        <v>216</v>
      </c>
    </row>
    <row r="2000" spans="1:3" x14ac:dyDescent="0.2">
      <c r="A2000" s="62" t="s">
        <v>4135</v>
      </c>
      <c r="B2000" s="48">
        <v>167</v>
      </c>
      <c r="C2000" s="62">
        <v>167</v>
      </c>
    </row>
    <row r="2001" spans="1:3" x14ac:dyDescent="0.2">
      <c r="A2001" s="62" t="s">
        <v>4133</v>
      </c>
      <c r="B2001" s="48">
        <v>23</v>
      </c>
      <c r="C2001" s="62">
        <v>23</v>
      </c>
    </row>
    <row r="2002" spans="1:3" x14ac:dyDescent="0.2">
      <c r="A2002" s="62" t="s">
        <v>4132</v>
      </c>
      <c r="B2002" s="48">
        <v>2</v>
      </c>
      <c r="C2002" s="62">
        <v>2</v>
      </c>
    </row>
    <row r="2003" spans="1:3" x14ac:dyDescent="0.2">
      <c r="A2003" s="62" t="s">
        <v>4131</v>
      </c>
      <c r="B2003" s="48">
        <v>7</v>
      </c>
      <c r="C2003" s="62">
        <v>7</v>
      </c>
    </row>
    <row r="2004" spans="1:3" x14ac:dyDescent="0.2">
      <c r="A2004" s="62" t="s">
        <v>4130</v>
      </c>
      <c r="B2004" s="48">
        <v>214</v>
      </c>
      <c r="C2004" s="62">
        <v>214</v>
      </c>
    </row>
    <row r="2005" spans="1:3" x14ac:dyDescent="0.2">
      <c r="A2005" s="62" t="s">
        <v>4129</v>
      </c>
      <c r="B2005" s="48">
        <v>214</v>
      </c>
      <c r="C2005" s="62">
        <v>214</v>
      </c>
    </row>
    <row r="2006" spans="1:3" x14ac:dyDescent="0.2">
      <c r="A2006" s="62" t="s">
        <v>4128</v>
      </c>
      <c r="B2006" s="48">
        <v>4</v>
      </c>
      <c r="C2006" s="62">
        <v>4</v>
      </c>
    </row>
    <row r="2007" spans="1:3" x14ac:dyDescent="0.2">
      <c r="A2007" s="62" t="s">
        <v>4125</v>
      </c>
      <c r="B2007" s="48">
        <v>2</v>
      </c>
      <c r="C2007" s="62">
        <v>2</v>
      </c>
    </row>
    <row r="2008" spans="1:3" x14ac:dyDescent="0.2">
      <c r="A2008" s="62" t="s">
        <v>4124</v>
      </c>
      <c r="B2008" s="48">
        <v>2</v>
      </c>
      <c r="C2008" s="62">
        <v>2</v>
      </c>
    </row>
    <row r="2009" spans="1:3" x14ac:dyDescent="0.2">
      <c r="A2009" s="62" t="s">
        <v>4123</v>
      </c>
      <c r="B2009" s="48">
        <v>15</v>
      </c>
      <c r="C2009" s="62">
        <v>15</v>
      </c>
    </row>
    <row r="2010" spans="1:3" x14ac:dyDescent="0.2">
      <c r="A2010" s="62" t="s">
        <v>4122</v>
      </c>
      <c r="B2010" s="48">
        <v>14</v>
      </c>
      <c r="C2010" s="62">
        <v>14</v>
      </c>
    </row>
    <row r="2011" spans="1:3" x14ac:dyDescent="0.2">
      <c r="A2011" s="62" t="s">
        <v>4121</v>
      </c>
      <c r="B2011" s="48">
        <v>14</v>
      </c>
      <c r="C2011" s="62">
        <v>14</v>
      </c>
    </row>
    <row r="2012" spans="1:3" x14ac:dyDescent="0.2">
      <c r="A2012" s="62" t="s">
        <v>4120</v>
      </c>
      <c r="B2012" s="48">
        <v>88</v>
      </c>
      <c r="C2012" s="62">
        <v>88</v>
      </c>
    </row>
    <row r="2013" spans="1:3" x14ac:dyDescent="0.2">
      <c r="A2013" s="62" t="s">
        <v>4118</v>
      </c>
      <c r="B2013" s="48">
        <v>62</v>
      </c>
      <c r="C2013" s="62">
        <v>62</v>
      </c>
    </row>
    <row r="2014" spans="1:3" x14ac:dyDescent="0.2">
      <c r="A2014" s="62" t="s">
        <v>4117</v>
      </c>
      <c r="B2014" s="48">
        <v>62</v>
      </c>
      <c r="C2014" s="62">
        <v>62</v>
      </c>
    </row>
    <row r="2015" spans="1:3" x14ac:dyDescent="0.2">
      <c r="A2015" s="62" t="s">
        <v>4116</v>
      </c>
      <c r="B2015" s="48">
        <v>33</v>
      </c>
      <c r="C2015" s="62">
        <v>33</v>
      </c>
    </row>
    <row r="2016" spans="1:3" x14ac:dyDescent="0.2">
      <c r="A2016" s="62" t="s">
        <v>4115</v>
      </c>
      <c r="B2016" s="48">
        <v>14</v>
      </c>
      <c r="C2016" s="62">
        <v>14</v>
      </c>
    </row>
    <row r="2017" spans="1:3" x14ac:dyDescent="0.2">
      <c r="A2017" s="62" t="s">
        <v>4114</v>
      </c>
      <c r="B2017" s="48">
        <v>14</v>
      </c>
      <c r="C2017" s="62">
        <v>14</v>
      </c>
    </row>
    <row r="2018" spans="1:3" x14ac:dyDescent="0.2">
      <c r="A2018" s="62" t="s">
        <v>4113</v>
      </c>
      <c r="B2018" s="48">
        <v>142</v>
      </c>
      <c r="C2018" s="62">
        <v>142</v>
      </c>
    </row>
    <row r="2019" spans="1:3" x14ac:dyDescent="0.2">
      <c r="A2019" s="62" t="s">
        <v>4112</v>
      </c>
      <c r="B2019" s="48">
        <v>14</v>
      </c>
      <c r="C2019" s="62">
        <v>14</v>
      </c>
    </row>
    <row r="2020" spans="1:3" x14ac:dyDescent="0.2">
      <c r="A2020" s="62" t="s">
        <v>4111</v>
      </c>
      <c r="B2020" s="48">
        <v>14</v>
      </c>
      <c r="C2020" s="62">
        <v>14</v>
      </c>
    </row>
    <row r="2021" spans="1:3" x14ac:dyDescent="0.2">
      <c r="A2021" s="62" t="s">
        <v>4110</v>
      </c>
      <c r="B2021" s="48">
        <v>15</v>
      </c>
      <c r="C2021" s="62">
        <v>15</v>
      </c>
    </row>
    <row r="2022" spans="1:3" x14ac:dyDescent="0.2">
      <c r="A2022" s="62" t="s">
        <v>4109</v>
      </c>
      <c r="B2022" s="48">
        <v>167</v>
      </c>
      <c r="C2022" s="62">
        <v>167</v>
      </c>
    </row>
    <row r="2023" spans="1:3" x14ac:dyDescent="0.2">
      <c r="A2023" s="62" t="s">
        <v>4108</v>
      </c>
      <c r="B2023" s="48">
        <v>82</v>
      </c>
      <c r="C2023" s="62">
        <v>82</v>
      </c>
    </row>
    <row r="2024" spans="1:3" x14ac:dyDescent="0.2">
      <c r="A2024" s="62" t="s">
        <v>4107</v>
      </c>
      <c r="B2024" s="48">
        <v>82</v>
      </c>
      <c r="C2024" s="62">
        <v>82</v>
      </c>
    </row>
    <row r="2025" spans="1:3" x14ac:dyDescent="0.2">
      <c r="A2025" s="62" t="s">
        <v>4106</v>
      </c>
      <c r="B2025" s="48">
        <v>82</v>
      </c>
      <c r="C2025" s="62">
        <v>82</v>
      </c>
    </row>
    <row r="2026" spans="1:3" x14ac:dyDescent="0.2">
      <c r="A2026" s="62" t="s">
        <v>4105</v>
      </c>
      <c r="B2026" s="48">
        <v>82</v>
      </c>
      <c r="C2026" s="62">
        <v>82</v>
      </c>
    </row>
    <row r="2027" spans="1:3" x14ac:dyDescent="0.2">
      <c r="A2027" s="62" t="s">
        <v>4104</v>
      </c>
      <c r="B2027" s="48">
        <v>2</v>
      </c>
      <c r="C2027" s="62">
        <v>2</v>
      </c>
    </row>
    <row r="2028" spans="1:3" x14ac:dyDescent="0.2">
      <c r="A2028" s="62" t="s">
        <v>4102</v>
      </c>
      <c r="B2028" s="48">
        <v>82</v>
      </c>
      <c r="C2028" s="62">
        <v>82</v>
      </c>
    </row>
    <row r="2029" spans="1:3" x14ac:dyDescent="0.2">
      <c r="A2029" s="62" t="s">
        <v>4101</v>
      </c>
      <c r="B2029" s="48">
        <v>82</v>
      </c>
      <c r="C2029" s="62">
        <v>82</v>
      </c>
    </row>
    <row r="2030" spans="1:3" x14ac:dyDescent="0.2">
      <c r="A2030" s="62" t="s">
        <v>4100</v>
      </c>
      <c r="B2030" s="48">
        <v>82</v>
      </c>
      <c r="C2030" s="62">
        <v>82</v>
      </c>
    </row>
    <row r="2031" spans="1:3" x14ac:dyDescent="0.2">
      <c r="A2031" s="62" t="s">
        <v>4099</v>
      </c>
      <c r="B2031" s="48">
        <v>14</v>
      </c>
      <c r="C2031" s="62">
        <v>14</v>
      </c>
    </row>
    <row r="2032" spans="1:3" x14ac:dyDescent="0.2">
      <c r="A2032" s="62" t="s">
        <v>4098</v>
      </c>
      <c r="B2032" s="48">
        <v>154</v>
      </c>
      <c r="C2032" s="62">
        <v>154</v>
      </c>
    </row>
    <row r="2033" spans="1:3" x14ac:dyDescent="0.2">
      <c r="A2033" s="62" t="s">
        <v>4096</v>
      </c>
      <c r="B2033" s="48">
        <v>181</v>
      </c>
      <c r="C2033" s="62">
        <v>181</v>
      </c>
    </row>
    <row r="2034" spans="1:3" x14ac:dyDescent="0.2">
      <c r="A2034" s="62" t="s">
        <v>4095</v>
      </c>
      <c r="B2034" s="48">
        <v>151</v>
      </c>
      <c r="C2034" s="62">
        <v>151</v>
      </c>
    </row>
    <row r="2035" spans="1:3" x14ac:dyDescent="0.2">
      <c r="A2035" s="62" t="s">
        <v>4094</v>
      </c>
      <c r="B2035" s="48">
        <v>15</v>
      </c>
      <c r="C2035" s="62">
        <v>15</v>
      </c>
    </row>
    <row r="2036" spans="1:3" x14ac:dyDescent="0.2">
      <c r="A2036" s="62" t="s">
        <v>4093</v>
      </c>
      <c r="B2036" s="48">
        <v>15</v>
      </c>
      <c r="C2036" s="62">
        <v>15</v>
      </c>
    </row>
    <row r="2037" spans="1:3" x14ac:dyDescent="0.2">
      <c r="A2037" s="62" t="s">
        <v>4092</v>
      </c>
      <c r="B2037" s="48">
        <v>193</v>
      </c>
      <c r="C2037" s="62">
        <v>193</v>
      </c>
    </row>
    <row r="2038" spans="1:3" x14ac:dyDescent="0.2">
      <c r="A2038" s="62" t="s">
        <v>4091</v>
      </c>
      <c r="B2038" s="48">
        <v>188</v>
      </c>
      <c r="C2038" s="62">
        <v>188</v>
      </c>
    </row>
    <row r="2039" spans="1:3" x14ac:dyDescent="0.2">
      <c r="A2039" s="62" t="s">
        <v>4089</v>
      </c>
      <c r="B2039" s="48">
        <v>2</v>
      </c>
      <c r="C2039" s="62">
        <v>2</v>
      </c>
    </row>
    <row r="2040" spans="1:3" x14ac:dyDescent="0.2">
      <c r="A2040" s="62" t="s">
        <v>4088</v>
      </c>
      <c r="B2040" s="48">
        <v>2</v>
      </c>
      <c r="C2040" s="62">
        <v>2</v>
      </c>
    </row>
    <row r="2041" spans="1:3" x14ac:dyDescent="0.2">
      <c r="A2041" s="62" t="s">
        <v>4087</v>
      </c>
      <c r="B2041" s="48">
        <v>225</v>
      </c>
      <c r="C2041" s="62">
        <v>225</v>
      </c>
    </row>
    <row r="2042" spans="1:3" x14ac:dyDescent="0.2">
      <c r="A2042" s="62" t="s">
        <v>4086</v>
      </c>
      <c r="B2042" s="48">
        <v>2</v>
      </c>
      <c r="C2042" s="62">
        <v>2</v>
      </c>
    </row>
    <row r="2043" spans="1:3" x14ac:dyDescent="0.2">
      <c r="A2043" s="62" t="s">
        <v>4084</v>
      </c>
      <c r="B2043" s="48">
        <v>2</v>
      </c>
      <c r="C2043" s="62">
        <v>2</v>
      </c>
    </row>
    <row r="2044" spans="1:3" x14ac:dyDescent="0.2">
      <c r="A2044" s="62" t="s">
        <v>4083</v>
      </c>
      <c r="B2044" s="48">
        <v>15</v>
      </c>
      <c r="C2044" s="62">
        <v>15</v>
      </c>
    </row>
    <row r="2045" spans="1:3" x14ac:dyDescent="0.2">
      <c r="A2045" s="62" t="s">
        <v>4082</v>
      </c>
      <c r="B2045" s="48">
        <v>2</v>
      </c>
      <c r="C2045" s="62">
        <v>2</v>
      </c>
    </row>
    <row r="2046" spans="1:3" x14ac:dyDescent="0.2">
      <c r="A2046" s="62" t="s">
        <v>4081</v>
      </c>
      <c r="B2046" s="48">
        <v>2</v>
      </c>
      <c r="C2046" s="62">
        <v>2</v>
      </c>
    </row>
    <row r="2047" spans="1:3" x14ac:dyDescent="0.2">
      <c r="A2047" s="62" t="s">
        <v>4080</v>
      </c>
      <c r="B2047" s="48">
        <v>2</v>
      </c>
      <c r="C2047" s="62">
        <v>2</v>
      </c>
    </row>
    <row r="2048" spans="1:3" x14ac:dyDescent="0.2">
      <c r="A2048" s="62" t="s">
        <v>4079</v>
      </c>
      <c r="B2048" s="48">
        <v>2</v>
      </c>
      <c r="C2048" s="62">
        <v>2</v>
      </c>
    </row>
    <row r="2049" spans="1:3" x14ac:dyDescent="0.2">
      <c r="A2049" s="62" t="s">
        <v>4078</v>
      </c>
      <c r="B2049" s="48">
        <v>2</v>
      </c>
      <c r="C2049" s="62">
        <v>2</v>
      </c>
    </row>
    <row r="2050" spans="1:3" x14ac:dyDescent="0.2">
      <c r="A2050" s="62" t="s">
        <v>4077</v>
      </c>
      <c r="B2050" s="48">
        <v>2</v>
      </c>
      <c r="C2050" s="62">
        <v>2</v>
      </c>
    </row>
    <row r="2051" spans="1:3" x14ac:dyDescent="0.2">
      <c r="A2051" s="62" t="s">
        <v>4076</v>
      </c>
      <c r="B2051" s="48">
        <v>86</v>
      </c>
      <c r="C2051" s="62">
        <v>86</v>
      </c>
    </row>
    <row r="2052" spans="1:3" x14ac:dyDescent="0.2">
      <c r="A2052" s="62" t="s">
        <v>4075</v>
      </c>
      <c r="B2052" s="48">
        <v>2</v>
      </c>
      <c r="C2052" s="62">
        <v>2</v>
      </c>
    </row>
    <row r="2053" spans="1:3" x14ac:dyDescent="0.2">
      <c r="A2053" s="62" t="s">
        <v>4074</v>
      </c>
      <c r="B2053" s="48">
        <v>59</v>
      </c>
      <c r="C2053" s="62">
        <v>59</v>
      </c>
    </row>
    <row r="2054" spans="1:3" x14ac:dyDescent="0.2">
      <c r="A2054" s="62" t="s">
        <v>4072</v>
      </c>
      <c r="B2054" s="48">
        <v>33</v>
      </c>
      <c r="C2054" s="62">
        <v>33</v>
      </c>
    </row>
    <row r="2055" spans="1:3" x14ac:dyDescent="0.2">
      <c r="A2055" s="62" t="s">
        <v>4071</v>
      </c>
      <c r="B2055" s="48">
        <v>14</v>
      </c>
      <c r="C2055" s="62">
        <v>14</v>
      </c>
    </row>
    <row r="2056" spans="1:3" x14ac:dyDescent="0.2">
      <c r="A2056" s="62" t="s">
        <v>4070</v>
      </c>
      <c r="B2056" s="48">
        <v>14</v>
      </c>
      <c r="C2056" s="62">
        <v>14</v>
      </c>
    </row>
    <row r="2057" spans="1:3" x14ac:dyDescent="0.2">
      <c r="A2057" s="62" t="s">
        <v>4069</v>
      </c>
      <c r="B2057" s="48">
        <v>14</v>
      </c>
      <c r="C2057" s="62">
        <v>14</v>
      </c>
    </row>
    <row r="2058" spans="1:3" x14ac:dyDescent="0.2">
      <c r="A2058" s="62" t="s">
        <v>4068</v>
      </c>
      <c r="B2058" s="48">
        <v>14</v>
      </c>
      <c r="C2058" s="62">
        <v>14</v>
      </c>
    </row>
    <row r="2059" spans="1:3" x14ac:dyDescent="0.2">
      <c r="A2059" s="62" t="s">
        <v>4067</v>
      </c>
      <c r="B2059" s="48">
        <v>14</v>
      </c>
      <c r="C2059" s="62">
        <v>14</v>
      </c>
    </row>
    <row r="2060" spans="1:3" x14ac:dyDescent="0.2">
      <c r="A2060" s="62" t="s">
        <v>4064</v>
      </c>
      <c r="B2060" s="48">
        <v>2</v>
      </c>
      <c r="C2060" s="62">
        <v>2</v>
      </c>
    </row>
    <row r="2061" spans="1:3" x14ac:dyDescent="0.2">
      <c r="A2061" s="62" t="s">
        <v>4063</v>
      </c>
      <c r="B2061" s="48">
        <v>2</v>
      </c>
      <c r="C2061" s="62">
        <v>2</v>
      </c>
    </row>
    <row r="2062" spans="1:3" x14ac:dyDescent="0.2">
      <c r="A2062" s="62" t="s">
        <v>4062</v>
      </c>
      <c r="B2062" s="48">
        <v>2</v>
      </c>
      <c r="C2062" s="62">
        <v>2</v>
      </c>
    </row>
    <row r="2063" spans="1:3" x14ac:dyDescent="0.2">
      <c r="A2063" s="62" t="s">
        <v>4060</v>
      </c>
      <c r="B2063" s="48">
        <v>2</v>
      </c>
      <c r="C2063" s="62">
        <v>2</v>
      </c>
    </row>
    <row r="2064" spans="1:3" x14ac:dyDescent="0.2">
      <c r="A2064" s="62" t="s">
        <v>4059</v>
      </c>
      <c r="B2064" s="48">
        <v>2</v>
      </c>
      <c r="C2064" s="62">
        <v>2</v>
      </c>
    </row>
    <row r="2065" spans="1:3" x14ac:dyDescent="0.2">
      <c r="A2065" s="62" t="s">
        <v>4058</v>
      </c>
      <c r="B2065" s="48">
        <v>2</v>
      </c>
      <c r="C2065" s="62">
        <v>2</v>
      </c>
    </row>
    <row r="2066" spans="1:3" x14ac:dyDescent="0.2">
      <c r="A2066" s="62" t="s">
        <v>4057</v>
      </c>
      <c r="B2066" s="48">
        <v>60</v>
      </c>
      <c r="C2066" s="62">
        <v>60</v>
      </c>
    </row>
    <row r="2067" spans="1:3" x14ac:dyDescent="0.2">
      <c r="A2067" s="62" t="s">
        <v>4056</v>
      </c>
      <c r="B2067" s="48">
        <v>54</v>
      </c>
      <c r="C2067" s="62">
        <v>54</v>
      </c>
    </row>
    <row r="2068" spans="1:3" x14ac:dyDescent="0.2">
      <c r="A2068" s="62" t="s">
        <v>4055</v>
      </c>
      <c r="B2068" s="48">
        <v>33</v>
      </c>
      <c r="C2068" s="62">
        <v>33</v>
      </c>
    </row>
    <row r="2069" spans="1:3" x14ac:dyDescent="0.2">
      <c r="A2069" s="62" t="s">
        <v>4054</v>
      </c>
      <c r="B2069" s="48">
        <v>147</v>
      </c>
      <c r="C2069" s="62">
        <v>147</v>
      </c>
    </row>
    <row r="2070" spans="1:3" x14ac:dyDescent="0.2">
      <c r="A2070" s="62" t="s">
        <v>4053</v>
      </c>
      <c r="B2070" s="48">
        <v>147</v>
      </c>
      <c r="C2070" s="62">
        <v>147</v>
      </c>
    </row>
    <row r="2071" spans="1:3" x14ac:dyDescent="0.2">
      <c r="A2071" s="62" t="s">
        <v>4052</v>
      </c>
      <c r="B2071" s="48">
        <v>147</v>
      </c>
      <c r="C2071" s="62">
        <v>147</v>
      </c>
    </row>
    <row r="2072" spans="1:3" x14ac:dyDescent="0.2">
      <c r="A2072" s="62" t="s">
        <v>4051</v>
      </c>
      <c r="B2072" s="48">
        <v>147</v>
      </c>
      <c r="C2072" s="62">
        <v>147</v>
      </c>
    </row>
    <row r="2073" spans="1:3" x14ac:dyDescent="0.2">
      <c r="A2073" s="62" t="s">
        <v>4049</v>
      </c>
      <c r="B2073" s="48">
        <v>14</v>
      </c>
      <c r="C2073" s="62">
        <v>14</v>
      </c>
    </row>
    <row r="2074" spans="1:3" x14ac:dyDescent="0.2">
      <c r="A2074" s="62" t="s">
        <v>4048</v>
      </c>
      <c r="B2074" s="48">
        <v>15</v>
      </c>
      <c r="C2074" s="62">
        <v>15</v>
      </c>
    </row>
    <row r="2075" spans="1:3" x14ac:dyDescent="0.2">
      <c r="A2075" s="62" t="s">
        <v>4047</v>
      </c>
      <c r="B2075" s="48">
        <v>15</v>
      </c>
      <c r="C2075" s="62">
        <v>15</v>
      </c>
    </row>
    <row r="2076" spans="1:3" x14ac:dyDescent="0.2">
      <c r="A2076" s="62" t="s">
        <v>4046</v>
      </c>
      <c r="B2076" s="48">
        <v>2</v>
      </c>
      <c r="C2076" s="62">
        <v>2</v>
      </c>
    </row>
    <row r="2077" spans="1:3" x14ac:dyDescent="0.2">
      <c r="A2077" s="62" t="s">
        <v>4045</v>
      </c>
      <c r="B2077" s="48">
        <v>192</v>
      </c>
      <c r="C2077" s="62">
        <v>192</v>
      </c>
    </row>
    <row r="2078" spans="1:3" x14ac:dyDescent="0.2">
      <c r="A2078" s="62" t="s">
        <v>4044</v>
      </c>
      <c r="B2078" s="48">
        <v>192</v>
      </c>
      <c r="C2078" s="62">
        <v>192</v>
      </c>
    </row>
    <row r="2079" spans="1:3" x14ac:dyDescent="0.2">
      <c r="A2079" s="62" t="s">
        <v>4043</v>
      </c>
      <c r="B2079" s="48">
        <v>192</v>
      </c>
      <c r="C2079" s="62">
        <v>192</v>
      </c>
    </row>
    <row r="2080" spans="1:3" x14ac:dyDescent="0.2">
      <c r="A2080" s="62" t="s">
        <v>4042</v>
      </c>
      <c r="B2080" s="48">
        <v>192</v>
      </c>
      <c r="C2080" s="62">
        <v>192</v>
      </c>
    </row>
    <row r="2081" spans="1:3" x14ac:dyDescent="0.2">
      <c r="A2081" s="62" t="s">
        <v>4041</v>
      </c>
      <c r="B2081" s="48">
        <v>192</v>
      </c>
      <c r="C2081" s="62">
        <v>192</v>
      </c>
    </row>
    <row r="2082" spans="1:3" x14ac:dyDescent="0.2">
      <c r="A2082" s="62" t="s">
        <v>4039</v>
      </c>
      <c r="B2082" s="48">
        <v>192</v>
      </c>
      <c r="C2082" s="62">
        <v>192</v>
      </c>
    </row>
    <row r="2083" spans="1:3" x14ac:dyDescent="0.2">
      <c r="A2083" s="62" t="s">
        <v>4037</v>
      </c>
      <c r="B2083" s="48">
        <v>192</v>
      </c>
      <c r="C2083" s="62">
        <v>192</v>
      </c>
    </row>
    <row r="2084" spans="1:3" x14ac:dyDescent="0.2">
      <c r="A2084" s="62" t="s">
        <v>4035</v>
      </c>
      <c r="B2084" s="48">
        <v>192</v>
      </c>
      <c r="C2084" s="62">
        <v>192</v>
      </c>
    </row>
    <row r="2085" spans="1:3" x14ac:dyDescent="0.2">
      <c r="A2085" s="62" t="s">
        <v>4034</v>
      </c>
      <c r="B2085" s="48">
        <v>192</v>
      </c>
      <c r="C2085" s="62">
        <v>192</v>
      </c>
    </row>
    <row r="2086" spans="1:3" x14ac:dyDescent="0.2">
      <c r="A2086" s="62" t="s">
        <v>4032</v>
      </c>
      <c r="B2086" s="48">
        <v>192</v>
      </c>
      <c r="C2086" s="62">
        <v>192</v>
      </c>
    </row>
    <row r="2087" spans="1:3" x14ac:dyDescent="0.2">
      <c r="A2087" s="62" t="s">
        <v>4031</v>
      </c>
      <c r="B2087" s="48">
        <v>192</v>
      </c>
      <c r="C2087" s="62">
        <v>192</v>
      </c>
    </row>
    <row r="2088" spans="1:3" x14ac:dyDescent="0.2">
      <c r="A2088" s="62" t="s">
        <v>4029</v>
      </c>
      <c r="B2088" s="48">
        <v>21</v>
      </c>
      <c r="C2088" s="62">
        <v>21</v>
      </c>
    </row>
    <row r="2089" spans="1:3" x14ac:dyDescent="0.2">
      <c r="A2089" s="62" t="s">
        <v>4028</v>
      </c>
      <c r="B2089" s="48">
        <v>110</v>
      </c>
      <c r="C2089" s="62">
        <v>110</v>
      </c>
    </row>
    <row r="2090" spans="1:3" x14ac:dyDescent="0.2">
      <c r="A2090" s="62" t="s">
        <v>4027</v>
      </c>
      <c r="B2090" s="48">
        <v>110</v>
      </c>
      <c r="C2090" s="62">
        <v>110</v>
      </c>
    </row>
    <row r="2091" spans="1:3" x14ac:dyDescent="0.2">
      <c r="A2091" s="62" t="s">
        <v>4026</v>
      </c>
      <c r="B2091" s="48">
        <v>110</v>
      </c>
      <c r="C2091" s="62">
        <v>110</v>
      </c>
    </row>
    <row r="2092" spans="1:3" x14ac:dyDescent="0.2">
      <c r="A2092" s="62" t="s">
        <v>4025</v>
      </c>
      <c r="B2092" s="48">
        <v>110</v>
      </c>
      <c r="C2092" s="62">
        <v>110</v>
      </c>
    </row>
    <row r="2093" spans="1:3" x14ac:dyDescent="0.2">
      <c r="A2093" s="62" t="s">
        <v>4024</v>
      </c>
      <c r="B2093" s="48">
        <v>217</v>
      </c>
      <c r="C2093" s="62">
        <v>217</v>
      </c>
    </row>
    <row r="2094" spans="1:3" x14ac:dyDescent="0.2">
      <c r="A2094" s="62" t="s">
        <v>4023</v>
      </c>
      <c r="B2094" s="48">
        <v>220</v>
      </c>
      <c r="C2094" s="62">
        <v>220</v>
      </c>
    </row>
    <row r="2095" spans="1:3" x14ac:dyDescent="0.2">
      <c r="A2095" s="62" t="s">
        <v>4022</v>
      </c>
      <c r="B2095" s="48">
        <v>220</v>
      </c>
      <c r="C2095" s="62">
        <v>220</v>
      </c>
    </row>
    <row r="2096" spans="1:3" x14ac:dyDescent="0.2">
      <c r="A2096" s="62" t="s">
        <v>4021</v>
      </c>
      <c r="B2096" s="48">
        <v>14</v>
      </c>
      <c r="C2096" s="62">
        <v>14</v>
      </c>
    </row>
    <row r="2097" spans="1:3" x14ac:dyDescent="0.2">
      <c r="A2097" s="62" t="s">
        <v>4020</v>
      </c>
      <c r="B2097" s="48">
        <v>148</v>
      </c>
      <c r="C2097" s="62">
        <v>148</v>
      </c>
    </row>
    <row r="2098" spans="1:3" x14ac:dyDescent="0.2">
      <c r="A2098" s="62" t="s">
        <v>4018</v>
      </c>
      <c r="B2098" s="48">
        <v>121</v>
      </c>
      <c r="C2098" s="62">
        <v>121</v>
      </c>
    </row>
    <row r="2099" spans="1:3" x14ac:dyDescent="0.2">
      <c r="A2099" s="62" t="s">
        <v>4017</v>
      </c>
      <c r="B2099" s="48">
        <v>2</v>
      </c>
      <c r="C2099" s="62">
        <v>2</v>
      </c>
    </row>
    <row r="2100" spans="1:3" x14ac:dyDescent="0.2">
      <c r="A2100" s="62" t="s">
        <v>4016</v>
      </c>
      <c r="B2100" s="48">
        <v>14</v>
      </c>
      <c r="C2100" s="62">
        <v>14</v>
      </c>
    </row>
    <row r="2101" spans="1:3" x14ac:dyDescent="0.2">
      <c r="A2101" s="62" t="s">
        <v>4015</v>
      </c>
      <c r="B2101" s="48">
        <v>14</v>
      </c>
      <c r="C2101" s="62">
        <v>14</v>
      </c>
    </row>
    <row r="2102" spans="1:3" x14ac:dyDescent="0.2">
      <c r="A2102" s="62" t="s">
        <v>4014</v>
      </c>
      <c r="B2102" s="48">
        <v>15</v>
      </c>
      <c r="C2102" s="62">
        <v>15</v>
      </c>
    </row>
    <row r="2103" spans="1:3" x14ac:dyDescent="0.2">
      <c r="A2103" s="62" t="s">
        <v>4013</v>
      </c>
      <c r="B2103" s="48">
        <v>15</v>
      </c>
      <c r="C2103" s="62">
        <v>15</v>
      </c>
    </row>
    <row r="2104" spans="1:3" x14ac:dyDescent="0.2">
      <c r="A2104" s="62" t="s">
        <v>4012</v>
      </c>
      <c r="B2104" s="48">
        <v>15</v>
      </c>
      <c r="C2104" s="62">
        <v>15</v>
      </c>
    </row>
    <row r="2105" spans="1:3" x14ac:dyDescent="0.2">
      <c r="A2105" s="62" t="s">
        <v>4010</v>
      </c>
      <c r="B2105" s="48">
        <v>15</v>
      </c>
      <c r="C2105" s="62">
        <v>15</v>
      </c>
    </row>
    <row r="2106" spans="1:3" x14ac:dyDescent="0.2">
      <c r="A2106" s="62" t="s">
        <v>4009</v>
      </c>
      <c r="B2106" s="48">
        <v>148</v>
      </c>
      <c r="C2106" s="62">
        <v>148</v>
      </c>
    </row>
    <row r="2107" spans="1:3" x14ac:dyDescent="0.2">
      <c r="A2107" s="62" t="s">
        <v>4008</v>
      </c>
      <c r="B2107" s="48">
        <v>138</v>
      </c>
      <c r="C2107" s="62">
        <v>138</v>
      </c>
    </row>
    <row r="2108" spans="1:3" x14ac:dyDescent="0.2">
      <c r="A2108" s="62" t="s">
        <v>4007</v>
      </c>
      <c r="B2108" s="48">
        <v>138</v>
      </c>
      <c r="C2108" s="62">
        <v>138</v>
      </c>
    </row>
    <row r="2109" spans="1:3" x14ac:dyDescent="0.2">
      <c r="A2109" s="62" t="s">
        <v>4006</v>
      </c>
      <c r="B2109" s="48">
        <v>61</v>
      </c>
      <c r="C2109" s="62">
        <v>61</v>
      </c>
    </row>
    <row r="2110" spans="1:3" x14ac:dyDescent="0.2">
      <c r="A2110" s="62" t="s">
        <v>4005</v>
      </c>
      <c r="B2110" s="48">
        <v>36</v>
      </c>
      <c r="C2110" s="62">
        <v>36</v>
      </c>
    </row>
    <row r="2111" spans="1:3" x14ac:dyDescent="0.2">
      <c r="A2111" s="62" t="s">
        <v>4004</v>
      </c>
      <c r="B2111" s="48">
        <v>2</v>
      </c>
      <c r="C2111" s="62">
        <v>2</v>
      </c>
    </row>
    <row r="2112" spans="1:3" x14ac:dyDescent="0.2">
      <c r="A2112" s="62" t="s">
        <v>4003</v>
      </c>
      <c r="B2112" s="48">
        <v>15</v>
      </c>
      <c r="C2112" s="62">
        <v>15</v>
      </c>
    </row>
    <row r="2113" spans="1:3" x14ac:dyDescent="0.2">
      <c r="A2113" s="62" t="s">
        <v>4002</v>
      </c>
      <c r="B2113" s="48">
        <v>14</v>
      </c>
      <c r="C2113" s="62">
        <v>14</v>
      </c>
    </row>
    <row r="2114" spans="1:3" x14ac:dyDescent="0.2">
      <c r="A2114" s="62" t="s">
        <v>4001</v>
      </c>
      <c r="B2114" s="48">
        <v>15</v>
      </c>
      <c r="C2114" s="62">
        <v>15</v>
      </c>
    </row>
    <row r="2115" spans="1:3" x14ac:dyDescent="0.2">
      <c r="A2115" s="62" t="s">
        <v>4000</v>
      </c>
      <c r="B2115" s="48">
        <v>2</v>
      </c>
      <c r="C2115" s="62">
        <v>2</v>
      </c>
    </row>
    <row r="2116" spans="1:3" x14ac:dyDescent="0.2">
      <c r="A2116" s="62" t="s">
        <v>3999</v>
      </c>
      <c r="B2116" s="48">
        <v>43</v>
      </c>
      <c r="C2116" s="62">
        <v>43</v>
      </c>
    </row>
    <row r="2117" spans="1:3" x14ac:dyDescent="0.2">
      <c r="A2117" s="62" t="s">
        <v>3998</v>
      </c>
      <c r="B2117" s="48">
        <v>88</v>
      </c>
      <c r="C2117" s="62">
        <v>88</v>
      </c>
    </row>
    <row r="2118" spans="1:3" x14ac:dyDescent="0.2">
      <c r="A2118" s="62" t="s">
        <v>3997</v>
      </c>
      <c r="B2118" s="48">
        <v>88</v>
      </c>
      <c r="C2118" s="62">
        <v>88</v>
      </c>
    </row>
    <row r="2119" spans="1:3" x14ac:dyDescent="0.2">
      <c r="A2119" s="62" t="s">
        <v>3995</v>
      </c>
      <c r="B2119" s="48">
        <v>52</v>
      </c>
      <c r="C2119" s="62">
        <v>52</v>
      </c>
    </row>
    <row r="2120" spans="1:3" x14ac:dyDescent="0.2">
      <c r="A2120" s="62" t="s">
        <v>3994</v>
      </c>
      <c r="B2120" s="48">
        <v>14</v>
      </c>
      <c r="C2120" s="62">
        <v>14</v>
      </c>
    </row>
    <row r="2121" spans="1:3" x14ac:dyDescent="0.2">
      <c r="A2121" s="62" t="s">
        <v>3993</v>
      </c>
      <c r="B2121" s="48">
        <v>141</v>
      </c>
      <c r="C2121" s="62">
        <v>141</v>
      </c>
    </row>
    <row r="2122" spans="1:3" x14ac:dyDescent="0.2">
      <c r="A2122" s="62" t="s">
        <v>3992</v>
      </c>
      <c r="B2122" s="48">
        <v>15</v>
      </c>
      <c r="C2122" s="62">
        <v>15</v>
      </c>
    </row>
    <row r="2123" spans="1:3" x14ac:dyDescent="0.2">
      <c r="A2123" s="62" t="s">
        <v>3991</v>
      </c>
      <c r="B2123" s="48">
        <v>88</v>
      </c>
      <c r="C2123" s="62">
        <v>88</v>
      </c>
    </row>
    <row r="2124" spans="1:3" x14ac:dyDescent="0.2">
      <c r="A2124" s="62" t="s">
        <v>3990</v>
      </c>
      <c r="B2124" s="48">
        <v>4</v>
      </c>
      <c r="C2124" s="62">
        <v>4</v>
      </c>
    </row>
    <row r="2125" spans="1:3" x14ac:dyDescent="0.2">
      <c r="A2125" s="62" t="s">
        <v>3988</v>
      </c>
      <c r="B2125" s="48">
        <v>2</v>
      </c>
      <c r="C2125" s="62">
        <v>2</v>
      </c>
    </row>
    <row r="2126" spans="1:3" x14ac:dyDescent="0.2">
      <c r="A2126" s="62" t="s">
        <v>3987</v>
      </c>
      <c r="B2126" s="48">
        <v>14</v>
      </c>
      <c r="C2126" s="62">
        <v>14</v>
      </c>
    </row>
    <row r="2127" spans="1:3" x14ac:dyDescent="0.2">
      <c r="A2127" s="62" t="s">
        <v>3986</v>
      </c>
      <c r="B2127" s="48">
        <v>14</v>
      </c>
      <c r="C2127" s="62">
        <v>14</v>
      </c>
    </row>
    <row r="2128" spans="1:3" x14ac:dyDescent="0.2">
      <c r="A2128" s="62" t="s">
        <v>3985</v>
      </c>
      <c r="B2128" s="48">
        <v>14</v>
      </c>
      <c r="C2128" s="62">
        <v>14</v>
      </c>
    </row>
    <row r="2129" spans="1:3" x14ac:dyDescent="0.2">
      <c r="A2129" s="62" t="s">
        <v>3984</v>
      </c>
      <c r="B2129" s="48">
        <v>10</v>
      </c>
      <c r="C2129" s="62">
        <v>10</v>
      </c>
    </row>
    <row r="2130" spans="1:3" x14ac:dyDescent="0.2">
      <c r="A2130" s="62" t="s">
        <v>3982</v>
      </c>
      <c r="B2130" s="48">
        <v>15</v>
      </c>
      <c r="C2130" s="62">
        <v>15</v>
      </c>
    </row>
    <row r="2131" spans="1:3" x14ac:dyDescent="0.2">
      <c r="A2131" s="62" t="s">
        <v>3981</v>
      </c>
      <c r="B2131" s="48">
        <v>167</v>
      </c>
      <c r="C2131" s="62">
        <v>167</v>
      </c>
    </row>
    <row r="2132" spans="1:3" x14ac:dyDescent="0.2">
      <c r="A2132" s="62" t="s">
        <v>3980</v>
      </c>
      <c r="B2132" s="48">
        <v>167</v>
      </c>
      <c r="C2132" s="62">
        <v>167</v>
      </c>
    </row>
    <row r="2133" spans="1:3" x14ac:dyDescent="0.2">
      <c r="A2133" s="62" t="s">
        <v>3979</v>
      </c>
      <c r="B2133" s="48">
        <v>14</v>
      </c>
      <c r="C2133" s="62">
        <v>14</v>
      </c>
    </row>
    <row r="2134" spans="1:3" x14ac:dyDescent="0.2">
      <c r="A2134" s="62" t="s">
        <v>3978</v>
      </c>
      <c r="B2134" s="48">
        <v>185</v>
      </c>
      <c r="C2134" s="62">
        <v>185</v>
      </c>
    </row>
    <row r="2135" spans="1:3" x14ac:dyDescent="0.2">
      <c r="A2135" s="62" t="s">
        <v>3977</v>
      </c>
      <c r="B2135" s="48">
        <v>152</v>
      </c>
      <c r="C2135" s="62">
        <v>152</v>
      </c>
    </row>
    <row r="2136" spans="1:3" x14ac:dyDescent="0.2">
      <c r="A2136" s="62" t="s">
        <v>3976</v>
      </c>
      <c r="B2136" s="48">
        <v>14</v>
      </c>
      <c r="C2136" s="62">
        <v>14</v>
      </c>
    </row>
    <row r="2137" spans="1:3" x14ac:dyDescent="0.2">
      <c r="A2137" s="62" t="s">
        <v>3975</v>
      </c>
      <c r="B2137" s="48">
        <v>15</v>
      </c>
      <c r="C2137" s="62">
        <v>15</v>
      </c>
    </row>
    <row r="2138" spans="1:3" x14ac:dyDescent="0.2">
      <c r="A2138" s="62" t="s">
        <v>3971</v>
      </c>
      <c r="B2138" s="48">
        <v>2</v>
      </c>
      <c r="C2138" s="62">
        <v>2</v>
      </c>
    </row>
    <row r="2139" spans="1:3" x14ac:dyDescent="0.2">
      <c r="A2139" s="62" t="s">
        <v>3970</v>
      </c>
      <c r="B2139" s="48">
        <v>70</v>
      </c>
      <c r="C2139" s="62">
        <v>70</v>
      </c>
    </row>
    <row r="2140" spans="1:3" x14ac:dyDescent="0.2">
      <c r="A2140" s="62" t="s">
        <v>3967</v>
      </c>
      <c r="B2140" s="48">
        <v>50</v>
      </c>
      <c r="C2140" s="62">
        <v>50</v>
      </c>
    </row>
    <row r="2141" spans="1:3" x14ac:dyDescent="0.2">
      <c r="A2141" s="62" t="s">
        <v>3966</v>
      </c>
      <c r="B2141" s="48">
        <v>88</v>
      </c>
      <c r="C2141" s="62">
        <v>88</v>
      </c>
    </row>
    <row r="2142" spans="1:3" x14ac:dyDescent="0.2">
      <c r="A2142" s="62" t="s">
        <v>3965</v>
      </c>
      <c r="B2142" s="48">
        <v>88</v>
      </c>
      <c r="C2142" s="62">
        <v>88</v>
      </c>
    </row>
    <row r="2143" spans="1:3" x14ac:dyDescent="0.2">
      <c r="A2143" s="62" t="s">
        <v>3964</v>
      </c>
      <c r="B2143" s="48">
        <v>88</v>
      </c>
      <c r="C2143" s="62">
        <v>88</v>
      </c>
    </row>
    <row r="2144" spans="1:3" x14ac:dyDescent="0.2">
      <c r="A2144" s="62" t="s">
        <v>3963</v>
      </c>
      <c r="B2144" s="48">
        <v>15</v>
      </c>
      <c r="C2144" s="62">
        <v>15</v>
      </c>
    </row>
    <row r="2145" spans="1:3" x14ac:dyDescent="0.2">
      <c r="A2145" s="62" t="s">
        <v>3962</v>
      </c>
      <c r="B2145" s="48">
        <v>14</v>
      </c>
      <c r="C2145" s="62">
        <v>14</v>
      </c>
    </row>
    <row r="2146" spans="1:3" x14ac:dyDescent="0.2">
      <c r="A2146" s="62" t="s">
        <v>3961</v>
      </c>
      <c r="B2146" s="48">
        <v>14</v>
      </c>
      <c r="C2146" s="62">
        <v>14</v>
      </c>
    </row>
    <row r="2147" spans="1:3" x14ac:dyDescent="0.2">
      <c r="A2147" s="62" t="s">
        <v>3960</v>
      </c>
      <c r="B2147" s="48">
        <v>9</v>
      </c>
      <c r="C2147" s="62">
        <v>9</v>
      </c>
    </row>
    <row r="2148" spans="1:3" x14ac:dyDescent="0.2">
      <c r="A2148" s="62" t="s">
        <v>3959</v>
      </c>
      <c r="B2148" s="48">
        <v>2</v>
      </c>
      <c r="C2148" s="62">
        <v>2</v>
      </c>
    </row>
    <row r="2149" spans="1:3" x14ac:dyDescent="0.2">
      <c r="A2149" s="62" t="s">
        <v>3958</v>
      </c>
      <c r="B2149" s="48">
        <v>2</v>
      </c>
      <c r="C2149" s="62">
        <v>2</v>
      </c>
    </row>
    <row r="2150" spans="1:3" x14ac:dyDescent="0.2">
      <c r="A2150" s="62" t="s">
        <v>3957</v>
      </c>
      <c r="B2150" s="48">
        <v>98</v>
      </c>
      <c r="C2150" s="62">
        <v>98</v>
      </c>
    </row>
    <row r="2151" spans="1:3" x14ac:dyDescent="0.2">
      <c r="A2151" s="62" t="s">
        <v>3956</v>
      </c>
      <c r="B2151" s="48">
        <v>109</v>
      </c>
      <c r="C2151" s="62">
        <v>109</v>
      </c>
    </row>
    <row r="2152" spans="1:3" x14ac:dyDescent="0.2">
      <c r="A2152" s="62" t="s">
        <v>3955</v>
      </c>
      <c r="B2152" s="48">
        <v>141</v>
      </c>
      <c r="C2152" s="62">
        <v>141</v>
      </c>
    </row>
    <row r="2153" spans="1:3" x14ac:dyDescent="0.2">
      <c r="A2153" s="62" t="s">
        <v>3954</v>
      </c>
      <c r="B2153" s="48">
        <v>19</v>
      </c>
      <c r="C2153" s="62">
        <v>19</v>
      </c>
    </row>
    <row r="2154" spans="1:3" x14ac:dyDescent="0.2">
      <c r="A2154" s="62" t="s">
        <v>3953</v>
      </c>
      <c r="B2154" s="48">
        <v>19</v>
      </c>
      <c r="C2154" s="62">
        <v>19</v>
      </c>
    </row>
    <row r="2155" spans="1:3" x14ac:dyDescent="0.2">
      <c r="A2155" s="62" t="s">
        <v>3952</v>
      </c>
      <c r="B2155" s="48">
        <v>19</v>
      </c>
      <c r="C2155" s="62">
        <v>19</v>
      </c>
    </row>
    <row r="2156" spans="1:3" x14ac:dyDescent="0.2">
      <c r="A2156" s="62" t="s">
        <v>3951</v>
      </c>
      <c r="B2156" s="48">
        <v>19</v>
      </c>
      <c r="C2156" s="62">
        <v>19</v>
      </c>
    </row>
    <row r="2157" spans="1:3" x14ac:dyDescent="0.2">
      <c r="A2157" s="62" t="s">
        <v>3950</v>
      </c>
      <c r="B2157" s="48">
        <v>19</v>
      </c>
      <c r="C2157" s="62">
        <v>19</v>
      </c>
    </row>
    <row r="2158" spans="1:3" x14ac:dyDescent="0.2">
      <c r="A2158" s="62" t="s">
        <v>3949</v>
      </c>
      <c r="B2158" s="48">
        <v>19</v>
      </c>
      <c r="C2158" s="62">
        <v>19</v>
      </c>
    </row>
    <row r="2159" spans="1:3" x14ac:dyDescent="0.2">
      <c r="A2159" s="62" t="s">
        <v>3948</v>
      </c>
      <c r="B2159" s="48">
        <v>19</v>
      </c>
      <c r="C2159" s="62">
        <v>19</v>
      </c>
    </row>
    <row r="2160" spans="1:3" x14ac:dyDescent="0.2">
      <c r="A2160" s="62" t="s">
        <v>3947</v>
      </c>
      <c r="B2160" s="48">
        <v>15</v>
      </c>
      <c r="C2160" s="62">
        <v>15</v>
      </c>
    </row>
    <row r="2161" spans="1:3" x14ac:dyDescent="0.2">
      <c r="A2161" s="62" t="s">
        <v>3946</v>
      </c>
      <c r="B2161" s="48">
        <v>43</v>
      </c>
      <c r="C2161" s="62">
        <v>43</v>
      </c>
    </row>
    <row r="2162" spans="1:3" x14ac:dyDescent="0.2">
      <c r="A2162" s="62" t="s">
        <v>3945</v>
      </c>
      <c r="B2162" s="48">
        <v>52</v>
      </c>
      <c r="C2162" s="62">
        <v>52</v>
      </c>
    </row>
    <row r="2163" spans="1:3" x14ac:dyDescent="0.2">
      <c r="A2163" s="62" t="s">
        <v>3944</v>
      </c>
      <c r="B2163" s="48">
        <v>2</v>
      </c>
      <c r="C2163" s="62">
        <v>2</v>
      </c>
    </row>
    <row r="2164" spans="1:3" x14ac:dyDescent="0.2">
      <c r="A2164" s="62" t="s">
        <v>3943</v>
      </c>
      <c r="B2164" s="48">
        <v>2</v>
      </c>
      <c r="C2164" s="62">
        <v>2</v>
      </c>
    </row>
    <row r="2165" spans="1:3" x14ac:dyDescent="0.2">
      <c r="A2165" s="62" t="s">
        <v>3942</v>
      </c>
      <c r="B2165" s="48">
        <v>15</v>
      </c>
      <c r="C2165" s="62">
        <v>15</v>
      </c>
    </row>
    <row r="2166" spans="1:3" x14ac:dyDescent="0.2">
      <c r="A2166" s="62" t="s">
        <v>3941</v>
      </c>
      <c r="B2166" s="48">
        <v>15</v>
      </c>
      <c r="C2166" s="62">
        <v>15</v>
      </c>
    </row>
    <row r="2167" spans="1:3" x14ac:dyDescent="0.2">
      <c r="A2167" s="62" t="s">
        <v>3940</v>
      </c>
      <c r="B2167" s="48">
        <v>70</v>
      </c>
      <c r="C2167" s="62">
        <v>70</v>
      </c>
    </row>
    <row r="2168" spans="1:3" x14ac:dyDescent="0.2">
      <c r="A2168" s="62" t="s">
        <v>3939</v>
      </c>
      <c r="B2168" s="48">
        <v>88</v>
      </c>
      <c r="C2168" s="62">
        <v>88</v>
      </c>
    </row>
    <row r="2169" spans="1:3" x14ac:dyDescent="0.2">
      <c r="A2169" s="62" t="s">
        <v>3937</v>
      </c>
      <c r="B2169" s="48">
        <v>15</v>
      </c>
      <c r="C2169" s="62">
        <v>15</v>
      </c>
    </row>
    <row r="2170" spans="1:3" x14ac:dyDescent="0.2">
      <c r="A2170" s="62" t="s">
        <v>3936</v>
      </c>
      <c r="B2170" s="48">
        <v>15</v>
      </c>
      <c r="C2170" s="62">
        <v>15</v>
      </c>
    </row>
    <row r="2171" spans="1:3" x14ac:dyDescent="0.2">
      <c r="A2171" s="62" t="s">
        <v>3932</v>
      </c>
      <c r="B2171" s="48">
        <v>155</v>
      </c>
      <c r="C2171" s="62">
        <v>155</v>
      </c>
    </row>
    <row r="2172" spans="1:3" x14ac:dyDescent="0.2">
      <c r="A2172" s="62" t="s">
        <v>3931</v>
      </c>
      <c r="B2172" s="48">
        <v>223</v>
      </c>
      <c r="C2172" s="62">
        <v>223</v>
      </c>
    </row>
    <row r="2173" spans="1:3" x14ac:dyDescent="0.2">
      <c r="A2173" s="62" t="s">
        <v>3930</v>
      </c>
      <c r="B2173" s="48">
        <v>15</v>
      </c>
      <c r="C2173" s="62">
        <v>15</v>
      </c>
    </row>
    <row r="2174" spans="1:3" x14ac:dyDescent="0.2">
      <c r="A2174" s="62" t="s">
        <v>3928</v>
      </c>
      <c r="B2174" s="48">
        <v>15</v>
      </c>
      <c r="C2174" s="62">
        <v>15</v>
      </c>
    </row>
    <row r="2175" spans="1:3" x14ac:dyDescent="0.2">
      <c r="A2175" s="62" t="s">
        <v>3927</v>
      </c>
      <c r="B2175" s="48">
        <v>15</v>
      </c>
      <c r="C2175" s="62">
        <v>15</v>
      </c>
    </row>
    <row r="2176" spans="1:3" x14ac:dyDescent="0.2">
      <c r="A2176" s="62" t="s">
        <v>3926</v>
      </c>
      <c r="B2176" s="48">
        <v>14</v>
      </c>
      <c r="C2176" s="62">
        <v>14</v>
      </c>
    </row>
    <row r="2177" spans="1:3" x14ac:dyDescent="0.2">
      <c r="A2177" s="62" t="s">
        <v>3925</v>
      </c>
      <c r="B2177" s="48">
        <v>2</v>
      </c>
      <c r="C2177" s="62">
        <v>2</v>
      </c>
    </row>
    <row r="2178" spans="1:3" x14ac:dyDescent="0.2">
      <c r="A2178" s="62" t="s">
        <v>3924</v>
      </c>
      <c r="B2178" s="48">
        <v>14</v>
      </c>
      <c r="C2178" s="62">
        <v>14</v>
      </c>
    </row>
    <row r="2179" spans="1:3" x14ac:dyDescent="0.2">
      <c r="A2179" s="62" t="s">
        <v>3923</v>
      </c>
      <c r="B2179" s="48">
        <v>221</v>
      </c>
      <c r="C2179" s="62">
        <v>221</v>
      </c>
    </row>
    <row r="2180" spans="1:3" x14ac:dyDescent="0.2">
      <c r="A2180" s="62" t="s">
        <v>3922</v>
      </c>
      <c r="B2180" s="48">
        <v>225</v>
      </c>
      <c r="C2180" s="62">
        <v>225</v>
      </c>
    </row>
    <row r="2181" spans="1:3" x14ac:dyDescent="0.2">
      <c r="A2181" s="62" t="s">
        <v>3921</v>
      </c>
      <c r="B2181" s="48">
        <v>23</v>
      </c>
      <c r="C2181" s="62">
        <v>23</v>
      </c>
    </row>
    <row r="2182" spans="1:3" x14ac:dyDescent="0.2">
      <c r="A2182" s="62" t="s">
        <v>3920</v>
      </c>
      <c r="B2182" s="48">
        <v>58</v>
      </c>
      <c r="C2182" s="62">
        <v>58</v>
      </c>
    </row>
    <row r="2183" spans="1:3" x14ac:dyDescent="0.2">
      <c r="A2183" s="62" t="s">
        <v>3919</v>
      </c>
      <c r="B2183" s="48">
        <v>88</v>
      </c>
      <c r="C2183" s="62">
        <v>88</v>
      </c>
    </row>
    <row r="2184" spans="1:3" x14ac:dyDescent="0.2">
      <c r="A2184" s="62" t="s">
        <v>3918</v>
      </c>
      <c r="B2184" s="48">
        <v>141</v>
      </c>
      <c r="C2184" s="62">
        <v>141</v>
      </c>
    </row>
    <row r="2185" spans="1:3" x14ac:dyDescent="0.2">
      <c r="A2185" s="62" t="s">
        <v>3917</v>
      </c>
      <c r="B2185" s="48">
        <v>173</v>
      </c>
      <c r="C2185" s="62">
        <v>173</v>
      </c>
    </row>
    <row r="2186" spans="1:3" x14ac:dyDescent="0.2">
      <c r="A2186" s="62" t="s">
        <v>3916</v>
      </c>
      <c r="B2186" s="48">
        <v>15</v>
      </c>
      <c r="C2186" s="62">
        <v>15</v>
      </c>
    </row>
    <row r="2187" spans="1:3" x14ac:dyDescent="0.2">
      <c r="A2187" s="62" t="s">
        <v>3915</v>
      </c>
      <c r="B2187" s="48">
        <v>2</v>
      </c>
      <c r="C2187" s="62">
        <v>2</v>
      </c>
    </row>
    <row r="2188" spans="1:3" x14ac:dyDescent="0.2">
      <c r="A2188" s="62" t="s">
        <v>3914</v>
      </c>
      <c r="B2188" s="48">
        <v>12</v>
      </c>
      <c r="C2188" s="62">
        <v>12</v>
      </c>
    </row>
    <row r="2189" spans="1:3" x14ac:dyDescent="0.2">
      <c r="A2189" s="62" t="s">
        <v>3913</v>
      </c>
      <c r="B2189" s="48">
        <v>58</v>
      </c>
      <c r="C2189" s="62">
        <v>58</v>
      </c>
    </row>
    <row r="2190" spans="1:3" x14ac:dyDescent="0.2">
      <c r="A2190" s="62" t="s">
        <v>3912</v>
      </c>
      <c r="B2190" s="48">
        <v>46</v>
      </c>
      <c r="C2190" s="62">
        <v>46</v>
      </c>
    </row>
    <row r="2191" spans="1:3" x14ac:dyDescent="0.2">
      <c r="A2191" s="62" t="s">
        <v>3911</v>
      </c>
      <c r="B2191" s="48">
        <v>19</v>
      </c>
      <c r="C2191" s="62">
        <v>19</v>
      </c>
    </row>
    <row r="2192" spans="1:3" x14ac:dyDescent="0.2">
      <c r="A2192" s="62" t="s">
        <v>3910</v>
      </c>
      <c r="B2192" s="48">
        <v>165</v>
      </c>
      <c r="C2192" s="62">
        <v>165</v>
      </c>
    </row>
    <row r="2193" spans="1:3" x14ac:dyDescent="0.2">
      <c r="A2193" s="62" t="s">
        <v>3909</v>
      </c>
      <c r="B2193" s="48">
        <v>161</v>
      </c>
      <c r="C2193" s="62">
        <v>161</v>
      </c>
    </row>
    <row r="2194" spans="1:3" x14ac:dyDescent="0.2">
      <c r="A2194" s="62" t="s">
        <v>3908</v>
      </c>
      <c r="B2194" s="48">
        <v>2</v>
      </c>
      <c r="C2194" s="62">
        <v>2</v>
      </c>
    </row>
    <row r="2195" spans="1:3" x14ac:dyDescent="0.2">
      <c r="A2195" s="62" t="s">
        <v>3906</v>
      </c>
      <c r="B2195" s="48">
        <v>14</v>
      </c>
      <c r="C2195" s="62">
        <v>14</v>
      </c>
    </row>
    <row r="2196" spans="1:3" x14ac:dyDescent="0.2">
      <c r="A2196" s="62" t="s">
        <v>3904</v>
      </c>
      <c r="B2196" s="48">
        <v>60</v>
      </c>
      <c r="C2196" s="62">
        <v>60</v>
      </c>
    </row>
    <row r="2197" spans="1:3" x14ac:dyDescent="0.2">
      <c r="A2197" s="62" t="s">
        <v>3903</v>
      </c>
      <c r="B2197" s="48">
        <v>214</v>
      </c>
      <c r="C2197" s="62">
        <v>214</v>
      </c>
    </row>
    <row r="2198" spans="1:3" x14ac:dyDescent="0.2">
      <c r="A2198" s="62" t="s">
        <v>3902</v>
      </c>
      <c r="B2198" s="48">
        <v>2</v>
      </c>
      <c r="C2198" s="62">
        <v>2</v>
      </c>
    </row>
    <row r="2199" spans="1:3" x14ac:dyDescent="0.2">
      <c r="A2199" s="62" t="s">
        <v>3901</v>
      </c>
      <c r="B2199" s="48">
        <v>2</v>
      </c>
      <c r="C2199" s="62">
        <v>2</v>
      </c>
    </row>
    <row r="2200" spans="1:3" x14ac:dyDescent="0.2">
      <c r="A2200" s="62" t="s">
        <v>3900</v>
      </c>
      <c r="B2200" s="48">
        <v>14</v>
      </c>
      <c r="C2200" s="62">
        <v>14</v>
      </c>
    </row>
    <row r="2201" spans="1:3" x14ac:dyDescent="0.2">
      <c r="A2201" s="62" t="s">
        <v>3899</v>
      </c>
      <c r="B2201" s="48">
        <v>4</v>
      </c>
      <c r="C2201" s="62">
        <v>4</v>
      </c>
    </row>
    <row r="2202" spans="1:3" x14ac:dyDescent="0.2">
      <c r="A2202" s="62" t="s">
        <v>3898</v>
      </c>
      <c r="B2202" s="48">
        <v>33</v>
      </c>
      <c r="C2202" s="62">
        <v>33</v>
      </c>
    </row>
    <row r="2203" spans="1:3" x14ac:dyDescent="0.2">
      <c r="A2203" s="62" t="s">
        <v>3897</v>
      </c>
      <c r="B2203" s="48">
        <v>15</v>
      </c>
      <c r="C2203" s="62">
        <v>15</v>
      </c>
    </row>
    <row r="2204" spans="1:3" x14ac:dyDescent="0.2">
      <c r="A2204" s="62" t="s">
        <v>3896</v>
      </c>
      <c r="B2204" s="48">
        <v>176</v>
      </c>
      <c r="C2204" s="62">
        <v>176</v>
      </c>
    </row>
    <row r="2205" spans="1:3" x14ac:dyDescent="0.2">
      <c r="A2205" s="62" t="s">
        <v>3894</v>
      </c>
      <c r="B2205" s="48">
        <v>14</v>
      </c>
      <c r="C2205" s="62">
        <v>14</v>
      </c>
    </row>
    <row r="2206" spans="1:3" x14ac:dyDescent="0.2">
      <c r="A2206" s="62" t="s">
        <v>3893</v>
      </c>
      <c r="B2206" s="48">
        <v>14</v>
      </c>
      <c r="C2206" s="62">
        <v>14</v>
      </c>
    </row>
    <row r="2207" spans="1:3" x14ac:dyDescent="0.2">
      <c r="A2207" s="62" t="s">
        <v>3892</v>
      </c>
      <c r="B2207" s="48">
        <v>221</v>
      </c>
      <c r="C2207" s="62">
        <v>221</v>
      </c>
    </row>
    <row r="2208" spans="1:3" x14ac:dyDescent="0.2">
      <c r="A2208" s="62" t="s">
        <v>3891</v>
      </c>
      <c r="B2208" s="48">
        <v>2</v>
      </c>
      <c r="C2208" s="62">
        <v>2</v>
      </c>
    </row>
    <row r="2209" spans="1:3" x14ac:dyDescent="0.2">
      <c r="A2209" s="62" t="s">
        <v>3890</v>
      </c>
      <c r="B2209" s="48">
        <v>54</v>
      </c>
      <c r="C2209" s="62">
        <v>54</v>
      </c>
    </row>
    <row r="2210" spans="1:3" x14ac:dyDescent="0.2">
      <c r="A2210" s="62" t="s">
        <v>3889</v>
      </c>
      <c r="B2210" s="48">
        <v>11</v>
      </c>
      <c r="C2210" s="62">
        <v>11</v>
      </c>
    </row>
    <row r="2211" spans="1:3" x14ac:dyDescent="0.2">
      <c r="A2211" s="62" t="s">
        <v>3887</v>
      </c>
      <c r="B2211" s="48">
        <v>2</v>
      </c>
      <c r="C2211" s="62">
        <v>2</v>
      </c>
    </row>
    <row r="2212" spans="1:3" x14ac:dyDescent="0.2">
      <c r="A2212" s="62" t="s">
        <v>3886</v>
      </c>
      <c r="B2212" s="48">
        <v>62</v>
      </c>
      <c r="C2212" s="62">
        <v>62</v>
      </c>
    </row>
    <row r="2213" spans="1:3" x14ac:dyDescent="0.2">
      <c r="A2213" s="62" t="s">
        <v>3885</v>
      </c>
      <c r="B2213" s="48">
        <v>15</v>
      </c>
      <c r="C2213" s="62">
        <v>15</v>
      </c>
    </row>
    <row r="2214" spans="1:3" x14ac:dyDescent="0.2">
      <c r="A2214" s="62" t="s">
        <v>3884</v>
      </c>
      <c r="B2214" s="48">
        <v>14</v>
      </c>
      <c r="C2214" s="62">
        <v>14</v>
      </c>
    </row>
    <row r="2215" spans="1:3" x14ac:dyDescent="0.2">
      <c r="A2215" s="62" t="s">
        <v>3883</v>
      </c>
      <c r="B2215" s="48">
        <v>2</v>
      </c>
      <c r="C2215" s="62">
        <v>2</v>
      </c>
    </row>
    <row r="2216" spans="1:3" x14ac:dyDescent="0.2">
      <c r="A2216" s="62" t="s">
        <v>3882</v>
      </c>
      <c r="B2216" s="48">
        <v>14</v>
      </c>
      <c r="C2216" s="62">
        <v>14</v>
      </c>
    </row>
    <row r="2217" spans="1:3" x14ac:dyDescent="0.2">
      <c r="A2217" s="62" t="s">
        <v>3881</v>
      </c>
      <c r="B2217" s="48">
        <v>14</v>
      </c>
      <c r="C2217" s="62">
        <v>14</v>
      </c>
    </row>
    <row r="2218" spans="1:3" x14ac:dyDescent="0.2">
      <c r="A2218" s="62" t="s">
        <v>3880</v>
      </c>
      <c r="B2218" s="48">
        <v>2</v>
      </c>
      <c r="C2218" s="62">
        <v>2</v>
      </c>
    </row>
    <row r="2219" spans="1:3" x14ac:dyDescent="0.2">
      <c r="A2219" s="62" t="s">
        <v>3878</v>
      </c>
      <c r="B2219" s="48">
        <v>109</v>
      </c>
      <c r="C2219" s="62">
        <v>109</v>
      </c>
    </row>
    <row r="2220" spans="1:3" x14ac:dyDescent="0.2">
      <c r="A2220" s="62" t="s">
        <v>3877</v>
      </c>
      <c r="B2220" s="48">
        <v>15</v>
      </c>
      <c r="C2220" s="62">
        <v>15</v>
      </c>
    </row>
    <row r="2221" spans="1:3" x14ac:dyDescent="0.2">
      <c r="A2221" s="62" t="s">
        <v>3876</v>
      </c>
      <c r="B2221" s="48">
        <v>143</v>
      </c>
      <c r="C2221" s="62">
        <v>143</v>
      </c>
    </row>
    <row r="2222" spans="1:3" x14ac:dyDescent="0.2">
      <c r="A2222" s="62" t="s">
        <v>3875</v>
      </c>
      <c r="B2222" s="48">
        <v>2</v>
      </c>
      <c r="C2222" s="62">
        <v>2</v>
      </c>
    </row>
    <row r="2223" spans="1:3" x14ac:dyDescent="0.2">
      <c r="A2223" s="62" t="s">
        <v>3872</v>
      </c>
      <c r="B2223" s="48">
        <v>19</v>
      </c>
      <c r="C2223" s="62">
        <v>19</v>
      </c>
    </row>
    <row r="2224" spans="1:3" x14ac:dyDescent="0.2">
      <c r="A2224" s="62" t="s">
        <v>3871</v>
      </c>
      <c r="B2224" s="48">
        <v>15</v>
      </c>
      <c r="C2224" s="62">
        <v>15</v>
      </c>
    </row>
    <row r="2225" spans="1:3" x14ac:dyDescent="0.2">
      <c r="A2225" s="62" t="s">
        <v>3870</v>
      </c>
      <c r="B2225" s="48">
        <v>2</v>
      </c>
      <c r="C2225" s="62">
        <v>2</v>
      </c>
    </row>
    <row r="2226" spans="1:3" x14ac:dyDescent="0.2">
      <c r="A2226" s="62" t="s">
        <v>3869</v>
      </c>
      <c r="B2226" s="48">
        <v>2</v>
      </c>
      <c r="C2226" s="62">
        <v>2</v>
      </c>
    </row>
    <row r="2227" spans="1:3" x14ac:dyDescent="0.2">
      <c r="A2227" s="62" t="s">
        <v>3868</v>
      </c>
      <c r="B2227" s="48">
        <v>60</v>
      </c>
      <c r="C2227" s="62">
        <v>60</v>
      </c>
    </row>
    <row r="2228" spans="1:3" x14ac:dyDescent="0.2">
      <c r="A2228" s="62" t="s">
        <v>3867</v>
      </c>
      <c r="B2228" s="48">
        <v>176</v>
      </c>
      <c r="C2228" s="62">
        <v>176</v>
      </c>
    </row>
    <row r="2229" spans="1:3" x14ac:dyDescent="0.2">
      <c r="A2229" s="62" t="s">
        <v>3866</v>
      </c>
      <c r="B2229" s="48">
        <v>60</v>
      </c>
      <c r="C2229" s="62">
        <v>60</v>
      </c>
    </row>
    <row r="2230" spans="1:3" x14ac:dyDescent="0.2">
      <c r="A2230" s="62" t="s">
        <v>3865</v>
      </c>
      <c r="B2230" s="48">
        <v>227</v>
      </c>
      <c r="C2230" s="62">
        <v>227</v>
      </c>
    </row>
    <row r="2231" spans="1:3" x14ac:dyDescent="0.2">
      <c r="A2231" s="62" t="s">
        <v>3864</v>
      </c>
      <c r="B2231" s="48">
        <v>15</v>
      </c>
      <c r="C2231" s="62">
        <v>15</v>
      </c>
    </row>
    <row r="2232" spans="1:3" x14ac:dyDescent="0.2">
      <c r="A2232" s="62" t="s">
        <v>3863</v>
      </c>
      <c r="B2232" s="48">
        <v>15</v>
      </c>
      <c r="C2232" s="62">
        <v>15</v>
      </c>
    </row>
    <row r="2233" spans="1:3" x14ac:dyDescent="0.2">
      <c r="A2233" s="62" t="s">
        <v>3862</v>
      </c>
      <c r="B2233" s="48">
        <v>15</v>
      </c>
      <c r="C2233" s="62">
        <v>15</v>
      </c>
    </row>
    <row r="2234" spans="1:3" x14ac:dyDescent="0.2">
      <c r="A2234" s="62" t="s">
        <v>3861</v>
      </c>
      <c r="B2234" s="48">
        <v>220</v>
      </c>
      <c r="C2234" s="62">
        <v>220</v>
      </c>
    </row>
    <row r="2235" spans="1:3" x14ac:dyDescent="0.2">
      <c r="A2235" s="62" t="s">
        <v>3859</v>
      </c>
      <c r="B2235" s="48">
        <v>13</v>
      </c>
      <c r="C2235" s="62">
        <v>13</v>
      </c>
    </row>
    <row r="2236" spans="1:3" x14ac:dyDescent="0.2">
      <c r="A2236" s="62" t="s">
        <v>3858</v>
      </c>
      <c r="B2236" s="48">
        <v>14</v>
      </c>
      <c r="C2236" s="62">
        <v>14</v>
      </c>
    </row>
    <row r="2237" spans="1:3" x14ac:dyDescent="0.2">
      <c r="A2237" s="62" t="s">
        <v>3857</v>
      </c>
      <c r="B2237" s="48">
        <v>228</v>
      </c>
      <c r="C2237" s="62">
        <v>228</v>
      </c>
    </row>
    <row r="2238" spans="1:3" x14ac:dyDescent="0.2">
      <c r="A2238" s="62" t="s">
        <v>3856</v>
      </c>
      <c r="B2238" s="48">
        <v>15</v>
      </c>
      <c r="C2238" s="62">
        <v>15</v>
      </c>
    </row>
    <row r="2239" spans="1:3" x14ac:dyDescent="0.2">
      <c r="A2239" s="62" t="s">
        <v>3855</v>
      </c>
      <c r="B2239" s="48">
        <v>43</v>
      </c>
      <c r="C2239" s="62">
        <v>43</v>
      </c>
    </row>
    <row r="2240" spans="1:3" x14ac:dyDescent="0.2">
      <c r="A2240" s="62" t="s">
        <v>3854</v>
      </c>
      <c r="B2240" s="48">
        <v>43</v>
      </c>
      <c r="C2240" s="62">
        <v>43</v>
      </c>
    </row>
    <row r="2241" spans="1:3" x14ac:dyDescent="0.2">
      <c r="A2241" s="62" t="s">
        <v>3853</v>
      </c>
      <c r="B2241" s="48">
        <v>43</v>
      </c>
      <c r="C2241" s="62">
        <v>43</v>
      </c>
    </row>
    <row r="2242" spans="1:3" x14ac:dyDescent="0.2">
      <c r="A2242" s="62" t="s">
        <v>3852</v>
      </c>
      <c r="B2242" s="48">
        <v>43</v>
      </c>
      <c r="C2242" s="62">
        <v>43</v>
      </c>
    </row>
    <row r="2243" spans="1:3" x14ac:dyDescent="0.2">
      <c r="A2243" s="62" t="s">
        <v>3850</v>
      </c>
      <c r="B2243" s="48">
        <v>68</v>
      </c>
      <c r="C2243" s="62">
        <v>68</v>
      </c>
    </row>
    <row r="2244" spans="1:3" x14ac:dyDescent="0.2">
      <c r="A2244" s="62" t="s">
        <v>3849</v>
      </c>
      <c r="B2244" s="48">
        <v>2</v>
      </c>
      <c r="C2244" s="62">
        <v>2</v>
      </c>
    </row>
    <row r="2245" spans="1:3" x14ac:dyDescent="0.2">
      <c r="A2245" s="62" t="s">
        <v>3848</v>
      </c>
      <c r="B2245" s="48">
        <v>2</v>
      </c>
      <c r="C2245" s="62">
        <v>2</v>
      </c>
    </row>
    <row r="2246" spans="1:3" x14ac:dyDescent="0.2">
      <c r="A2246" s="62" t="s">
        <v>3847</v>
      </c>
      <c r="B2246" s="48">
        <v>186</v>
      </c>
      <c r="C2246" s="62">
        <v>186</v>
      </c>
    </row>
    <row r="2247" spans="1:3" x14ac:dyDescent="0.2">
      <c r="A2247" s="62" t="s">
        <v>3846</v>
      </c>
      <c r="B2247" s="48">
        <v>2</v>
      </c>
      <c r="C2247" s="62">
        <v>2</v>
      </c>
    </row>
    <row r="2248" spans="1:3" x14ac:dyDescent="0.2">
      <c r="A2248" s="62" t="s">
        <v>3845</v>
      </c>
      <c r="B2248" s="48">
        <v>2</v>
      </c>
      <c r="C2248" s="62">
        <v>2</v>
      </c>
    </row>
    <row r="2249" spans="1:3" x14ac:dyDescent="0.2">
      <c r="A2249" s="62" t="s">
        <v>3844</v>
      </c>
      <c r="B2249" s="48">
        <v>15</v>
      </c>
      <c r="C2249" s="62">
        <v>15</v>
      </c>
    </row>
    <row r="2250" spans="1:3" x14ac:dyDescent="0.2">
      <c r="A2250" s="62" t="s">
        <v>3843</v>
      </c>
      <c r="B2250" s="48">
        <v>217</v>
      </c>
      <c r="C2250" s="62">
        <v>217</v>
      </c>
    </row>
    <row r="2251" spans="1:3" x14ac:dyDescent="0.2">
      <c r="A2251" s="62" t="s">
        <v>3842</v>
      </c>
      <c r="B2251" s="48">
        <v>218</v>
      </c>
      <c r="C2251" s="62">
        <v>218</v>
      </c>
    </row>
    <row r="2252" spans="1:3" x14ac:dyDescent="0.2">
      <c r="A2252" s="62" t="s">
        <v>3841</v>
      </c>
      <c r="B2252" s="48">
        <v>197</v>
      </c>
      <c r="C2252" s="62">
        <v>197</v>
      </c>
    </row>
    <row r="2253" spans="1:3" x14ac:dyDescent="0.2">
      <c r="A2253" s="62" t="s">
        <v>3840</v>
      </c>
      <c r="B2253" s="48">
        <v>217</v>
      </c>
      <c r="C2253" s="62">
        <v>217</v>
      </c>
    </row>
    <row r="2254" spans="1:3" x14ac:dyDescent="0.2">
      <c r="A2254" s="62" t="s">
        <v>3839</v>
      </c>
      <c r="B2254" s="48">
        <v>197</v>
      </c>
      <c r="C2254" s="62">
        <v>197</v>
      </c>
    </row>
    <row r="2255" spans="1:3" x14ac:dyDescent="0.2">
      <c r="A2255" s="62" t="s">
        <v>3838</v>
      </c>
      <c r="B2255" s="48">
        <v>15</v>
      </c>
      <c r="C2255" s="62">
        <v>15</v>
      </c>
    </row>
    <row r="2256" spans="1:3" x14ac:dyDescent="0.2">
      <c r="A2256" s="62" t="s">
        <v>3837</v>
      </c>
      <c r="B2256" s="48">
        <v>14</v>
      </c>
      <c r="C2256" s="62">
        <v>14</v>
      </c>
    </row>
    <row r="2257" spans="1:3" x14ac:dyDescent="0.2">
      <c r="A2257" s="62" t="s">
        <v>3836</v>
      </c>
      <c r="B2257" s="48">
        <v>169</v>
      </c>
      <c r="C2257" s="62">
        <v>169</v>
      </c>
    </row>
    <row r="2258" spans="1:3" x14ac:dyDescent="0.2">
      <c r="A2258" s="62" t="s">
        <v>3835</v>
      </c>
      <c r="B2258" s="48">
        <v>2</v>
      </c>
      <c r="C2258" s="62">
        <v>2</v>
      </c>
    </row>
    <row r="2259" spans="1:3" x14ac:dyDescent="0.2">
      <c r="A2259" s="62" t="s">
        <v>3834</v>
      </c>
      <c r="B2259" s="48">
        <v>206</v>
      </c>
      <c r="C2259" s="62">
        <v>206</v>
      </c>
    </row>
    <row r="2260" spans="1:3" x14ac:dyDescent="0.2">
      <c r="A2260" s="62" t="s">
        <v>3833</v>
      </c>
      <c r="B2260" s="48">
        <v>206</v>
      </c>
      <c r="C2260" s="62">
        <v>206</v>
      </c>
    </row>
    <row r="2261" spans="1:3" x14ac:dyDescent="0.2">
      <c r="A2261" s="62" t="s">
        <v>3832</v>
      </c>
      <c r="B2261" s="48">
        <v>88</v>
      </c>
      <c r="C2261" s="62">
        <v>88</v>
      </c>
    </row>
    <row r="2262" spans="1:3" x14ac:dyDescent="0.2">
      <c r="A2262" s="62" t="s">
        <v>3831</v>
      </c>
      <c r="B2262" s="48">
        <v>15</v>
      </c>
      <c r="C2262" s="62">
        <v>15</v>
      </c>
    </row>
    <row r="2263" spans="1:3" x14ac:dyDescent="0.2">
      <c r="A2263" s="62" t="s">
        <v>3830</v>
      </c>
      <c r="B2263" s="48">
        <v>60</v>
      </c>
      <c r="C2263" s="62">
        <v>60</v>
      </c>
    </row>
    <row r="2264" spans="1:3" x14ac:dyDescent="0.2">
      <c r="A2264" s="62" t="s">
        <v>3829</v>
      </c>
      <c r="B2264" s="48">
        <v>60</v>
      </c>
      <c r="C2264" s="62">
        <v>60</v>
      </c>
    </row>
    <row r="2265" spans="1:3" x14ac:dyDescent="0.2">
      <c r="A2265" s="62" t="s">
        <v>3828</v>
      </c>
      <c r="B2265" s="48">
        <v>60</v>
      </c>
      <c r="C2265" s="62">
        <v>60</v>
      </c>
    </row>
    <row r="2266" spans="1:3" x14ac:dyDescent="0.2">
      <c r="A2266" s="62" t="s">
        <v>3827</v>
      </c>
      <c r="B2266" s="48">
        <v>14</v>
      </c>
      <c r="C2266" s="62">
        <v>14</v>
      </c>
    </row>
    <row r="2267" spans="1:3" x14ac:dyDescent="0.2">
      <c r="A2267" s="62" t="s">
        <v>3826</v>
      </c>
      <c r="B2267" s="48">
        <v>7</v>
      </c>
      <c r="C2267" s="62">
        <v>7</v>
      </c>
    </row>
    <row r="2268" spans="1:3" x14ac:dyDescent="0.2">
      <c r="A2268" s="62" t="s">
        <v>3825</v>
      </c>
      <c r="B2268" s="48">
        <v>14</v>
      </c>
      <c r="C2268" s="62">
        <v>14</v>
      </c>
    </row>
    <row r="2269" spans="1:3" x14ac:dyDescent="0.2">
      <c r="A2269" s="62" t="s">
        <v>3824</v>
      </c>
      <c r="B2269" s="48">
        <v>14</v>
      </c>
      <c r="C2269" s="62">
        <v>14</v>
      </c>
    </row>
    <row r="2270" spans="1:3" x14ac:dyDescent="0.2">
      <c r="A2270" s="62" t="s">
        <v>3823</v>
      </c>
      <c r="B2270" s="48">
        <v>14</v>
      </c>
      <c r="C2270" s="62">
        <v>14</v>
      </c>
    </row>
    <row r="2271" spans="1:3" x14ac:dyDescent="0.2">
      <c r="A2271" s="62" t="s">
        <v>3822</v>
      </c>
      <c r="B2271" s="48">
        <v>2</v>
      </c>
      <c r="C2271" s="62">
        <v>2</v>
      </c>
    </row>
    <row r="2272" spans="1:3" x14ac:dyDescent="0.2">
      <c r="A2272" s="62" t="s">
        <v>3821</v>
      </c>
      <c r="B2272" s="48">
        <v>14</v>
      </c>
      <c r="C2272" s="62">
        <v>14</v>
      </c>
    </row>
    <row r="2273" spans="1:3" x14ac:dyDescent="0.2">
      <c r="A2273" s="62" t="s">
        <v>3820</v>
      </c>
      <c r="B2273" s="48">
        <v>14</v>
      </c>
      <c r="C2273" s="62">
        <v>14</v>
      </c>
    </row>
    <row r="2274" spans="1:3" x14ac:dyDescent="0.2">
      <c r="A2274" s="62" t="s">
        <v>3819</v>
      </c>
      <c r="B2274" s="48">
        <v>2</v>
      </c>
      <c r="C2274" s="62">
        <v>2</v>
      </c>
    </row>
    <row r="2275" spans="1:3" x14ac:dyDescent="0.2">
      <c r="A2275" s="62" t="s">
        <v>3818</v>
      </c>
      <c r="B2275" s="48">
        <v>163</v>
      </c>
      <c r="C2275" s="62">
        <v>163</v>
      </c>
    </row>
    <row r="2276" spans="1:3" x14ac:dyDescent="0.2">
      <c r="A2276" s="62" t="s">
        <v>3817</v>
      </c>
      <c r="B2276" s="48">
        <v>38</v>
      </c>
      <c r="C2276" s="62">
        <v>38</v>
      </c>
    </row>
    <row r="2277" spans="1:3" x14ac:dyDescent="0.2">
      <c r="A2277" s="62" t="s">
        <v>3816</v>
      </c>
      <c r="B2277" s="48">
        <v>49</v>
      </c>
      <c r="C2277" s="62">
        <v>49</v>
      </c>
    </row>
    <row r="2278" spans="1:3" x14ac:dyDescent="0.2">
      <c r="A2278" s="62" t="s">
        <v>3814</v>
      </c>
      <c r="B2278" s="48">
        <v>54</v>
      </c>
      <c r="C2278" s="62">
        <v>54</v>
      </c>
    </row>
    <row r="2279" spans="1:3" x14ac:dyDescent="0.2">
      <c r="A2279" s="62" t="s">
        <v>3813</v>
      </c>
      <c r="B2279" s="48">
        <v>166</v>
      </c>
      <c r="C2279" s="62">
        <v>166</v>
      </c>
    </row>
    <row r="2280" spans="1:3" x14ac:dyDescent="0.2">
      <c r="A2280" s="62" t="s">
        <v>3812</v>
      </c>
      <c r="B2280" s="48">
        <v>134</v>
      </c>
      <c r="C2280" s="62">
        <v>134</v>
      </c>
    </row>
    <row r="2281" spans="1:3" x14ac:dyDescent="0.2">
      <c r="A2281" s="62" t="s">
        <v>3811</v>
      </c>
      <c r="B2281" s="48">
        <v>166</v>
      </c>
      <c r="C2281" s="62">
        <v>166</v>
      </c>
    </row>
    <row r="2282" spans="1:3" x14ac:dyDescent="0.2">
      <c r="A2282" s="62" t="s">
        <v>3810</v>
      </c>
      <c r="B2282" s="48">
        <v>14</v>
      </c>
      <c r="C2282" s="62">
        <v>14</v>
      </c>
    </row>
    <row r="2283" spans="1:3" x14ac:dyDescent="0.2">
      <c r="A2283" s="62" t="s">
        <v>3809</v>
      </c>
      <c r="B2283" s="48">
        <v>15</v>
      </c>
      <c r="C2283" s="62">
        <v>15</v>
      </c>
    </row>
    <row r="2284" spans="1:3" x14ac:dyDescent="0.2">
      <c r="A2284" s="62" t="s">
        <v>3808</v>
      </c>
      <c r="B2284" s="48">
        <v>2</v>
      </c>
      <c r="C2284" s="62">
        <v>2</v>
      </c>
    </row>
    <row r="2285" spans="1:3" x14ac:dyDescent="0.2">
      <c r="A2285" s="62" t="s">
        <v>3807</v>
      </c>
      <c r="B2285" s="48">
        <v>176</v>
      </c>
      <c r="C2285" s="62">
        <v>176</v>
      </c>
    </row>
    <row r="2286" spans="1:3" x14ac:dyDescent="0.2">
      <c r="A2286" s="62" t="s">
        <v>3804</v>
      </c>
      <c r="B2286" s="48">
        <v>61</v>
      </c>
      <c r="C2286" s="62">
        <v>61</v>
      </c>
    </row>
    <row r="2287" spans="1:3" x14ac:dyDescent="0.2">
      <c r="A2287" s="62" t="s">
        <v>3803</v>
      </c>
      <c r="B2287" s="48">
        <v>61</v>
      </c>
      <c r="C2287" s="62">
        <v>61</v>
      </c>
    </row>
    <row r="2288" spans="1:3" x14ac:dyDescent="0.2">
      <c r="A2288" s="62" t="s">
        <v>3802</v>
      </c>
      <c r="B2288" s="48">
        <v>217</v>
      </c>
      <c r="C2288" s="62">
        <v>217</v>
      </c>
    </row>
    <row r="2289" spans="1:3" x14ac:dyDescent="0.2">
      <c r="A2289" s="62" t="s">
        <v>3801</v>
      </c>
      <c r="B2289" s="48">
        <v>14</v>
      </c>
      <c r="C2289" s="62">
        <v>14</v>
      </c>
    </row>
    <row r="2290" spans="1:3" x14ac:dyDescent="0.2">
      <c r="A2290" s="62" t="s">
        <v>3800</v>
      </c>
      <c r="B2290" s="48">
        <v>139</v>
      </c>
      <c r="C2290" s="62">
        <v>139</v>
      </c>
    </row>
    <row r="2291" spans="1:3" x14ac:dyDescent="0.2">
      <c r="A2291" s="62" t="s">
        <v>3799</v>
      </c>
      <c r="B2291" s="48">
        <v>15</v>
      </c>
      <c r="C2291" s="62">
        <v>15</v>
      </c>
    </row>
    <row r="2292" spans="1:3" x14ac:dyDescent="0.2">
      <c r="A2292" s="62" t="s">
        <v>3798</v>
      </c>
      <c r="B2292" s="48">
        <v>60</v>
      </c>
      <c r="C2292" s="62">
        <v>60</v>
      </c>
    </row>
    <row r="2293" spans="1:3" x14ac:dyDescent="0.2">
      <c r="A2293" s="62" t="s">
        <v>3797</v>
      </c>
      <c r="B2293" s="48">
        <v>60</v>
      </c>
      <c r="C2293" s="62">
        <v>60</v>
      </c>
    </row>
    <row r="2294" spans="1:3" x14ac:dyDescent="0.2">
      <c r="A2294" s="62" t="s">
        <v>3795</v>
      </c>
      <c r="B2294" s="48">
        <v>14</v>
      </c>
      <c r="C2294" s="62">
        <v>14</v>
      </c>
    </row>
    <row r="2295" spans="1:3" x14ac:dyDescent="0.2">
      <c r="A2295" s="62" t="s">
        <v>3794</v>
      </c>
      <c r="B2295" s="48">
        <v>14</v>
      </c>
      <c r="C2295" s="62">
        <v>14</v>
      </c>
    </row>
    <row r="2296" spans="1:3" x14ac:dyDescent="0.2">
      <c r="A2296" s="62" t="s">
        <v>3793</v>
      </c>
      <c r="B2296" s="48">
        <v>14</v>
      </c>
      <c r="C2296" s="62">
        <v>14</v>
      </c>
    </row>
    <row r="2297" spans="1:3" x14ac:dyDescent="0.2">
      <c r="A2297" s="62" t="s">
        <v>3792</v>
      </c>
      <c r="B2297" s="48">
        <v>15</v>
      </c>
      <c r="C2297" s="62">
        <v>15</v>
      </c>
    </row>
    <row r="2298" spans="1:3" x14ac:dyDescent="0.2">
      <c r="A2298" s="62" t="s">
        <v>3791</v>
      </c>
      <c r="B2298" s="48">
        <v>4</v>
      </c>
      <c r="C2298" s="62">
        <v>4</v>
      </c>
    </row>
    <row r="2299" spans="1:3" x14ac:dyDescent="0.2">
      <c r="A2299" s="62" t="s">
        <v>3790</v>
      </c>
      <c r="B2299" s="48">
        <v>15</v>
      </c>
      <c r="C2299" s="62">
        <v>15</v>
      </c>
    </row>
    <row r="2300" spans="1:3" x14ac:dyDescent="0.2">
      <c r="A2300" s="62" t="s">
        <v>3789</v>
      </c>
      <c r="B2300" s="48">
        <v>55</v>
      </c>
      <c r="C2300" s="62">
        <v>55</v>
      </c>
    </row>
    <row r="2301" spans="1:3" x14ac:dyDescent="0.2">
      <c r="A2301" s="62" t="s">
        <v>3788</v>
      </c>
      <c r="B2301" s="48">
        <v>15</v>
      </c>
      <c r="C2301" s="62">
        <v>15</v>
      </c>
    </row>
    <row r="2302" spans="1:3" x14ac:dyDescent="0.2">
      <c r="A2302" s="62" t="s">
        <v>3787</v>
      </c>
      <c r="B2302" s="48">
        <v>33</v>
      </c>
      <c r="C2302" s="62">
        <v>33</v>
      </c>
    </row>
    <row r="2303" spans="1:3" x14ac:dyDescent="0.2">
      <c r="A2303" s="62" t="s">
        <v>3786</v>
      </c>
      <c r="B2303" s="48">
        <v>41</v>
      </c>
      <c r="C2303" s="62">
        <v>41</v>
      </c>
    </row>
    <row r="2304" spans="1:3" x14ac:dyDescent="0.2">
      <c r="A2304" s="62" t="s">
        <v>3785</v>
      </c>
      <c r="B2304" s="48">
        <v>14</v>
      </c>
      <c r="C2304" s="62">
        <v>14</v>
      </c>
    </row>
    <row r="2305" spans="1:3" x14ac:dyDescent="0.2">
      <c r="A2305" s="62" t="s">
        <v>3784</v>
      </c>
      <c r="B2305" s="48">
        <v>43</v>
      </c>
      <c r="C2305" s="62">
        <v>43</v>
      </c>
    </row>
    <row r="2306" spans="1:3" x14ac:dyDescent="0.2">
      <c r="A2306" s="62" t="s">
        <v>3783</v>
      </c>
      <c r="B2306" s="48">
        <v>148</v>
      </c>
      <c r="C2306" s="62">
        <v>148</v>
      </c>
    </row>
    <row r="2307" spans="1:3" x14ac:dyDescent="0.2">
      <c r="A2307" s="62" t="s">
        <v>3782</v>
      </c>
      <c r="B2307" s="48">
        <v>148</v>
      </c>
      <c r="C2307" s="62">
        <v>148</v>
      </c>
    </row>
    <row r="2308" spans="1:3" x14ac:dyDescent="0.2">
      <c r="A2308" s="62" t="s">
        <v>3781</v>
      </c>
      <c r="B2308" s="48">
        <v>205</v>
      </c>
      <c r="C2308" s="62">
        <v>205</v>
      </c>
    </row>
    <row r="2309" spans="1:3" x14ac:dyDescent="0.2">
      <c r="A2309" s="62" t="s">
        <v>3779</v>
      </c>
      <c r="B2309" s="48">
        <v>70</v>
      </c>
      <c r="C2309" s="62">
        <v>70</v>
      </c>
    </row>
    <row r="2310" spans="1:3" x14ac:dyDescent="0.2">
      <c r="A2310" s="62" t="s">
        <v>3778</v>
      </c>
      <c r="B2310" s="48">
        <v>70</v>
      </c>
      <c r="C2310" s="62">
        <v>70</v>
      </c>
    </row>
    <row r="2311" spans="1:3" x14ac:dyDescent="0.2">
      <c r="A2311" s="62" t="s">
        <v>3777</v>
      </c>
      <c r="B2311" s="48">
        <v>14</v>
      </c>
      <c r="C2311" s="62">
        <v>14</v>
      </c>
    </row>
    <row r="2312" spans="1:3" x14ac:dyDescent="0.2">
      <c r="A2312" s="62" t="s">
        <v>3776</v>
      </c>
      <c r="B2312" s="48">
        <v>14</v>
      </c>
      <c r="C2312" s="62">
        <v>14</v>
      </c>
    </row>
    <row r="2313" spans="1:3" x14ac:dyDescent="0.2">
      <c r="A2313" s="62" t="s">
        <v>3775</v>
      </c>
      <c r="B2313" s="48">
        <v>2</v>
      </c>
      <c r="C2313" s="62">
        <v>2</v>
      </c>
    </row>
    <row r="2314" spans="1:3" x14ac:dyDescent="0.2">
      <c r="A2314" s="62" t="s">
        <v>3773</v>
      </c>
      <c r="B2314" s="48">
        <v>2</v>
      </c>
      <c r="C2314" s="62">
        <v>2</v>
      </c>
    </row>
    <row r="2315" spans="1:3" x14ac:dyDescent="0.2">
      <c r="A2315" s="62" t="s">
        <v>3772</v>
      </c>
      <c r="B2315" s="48">
        <v>167</v>
      </c>
      <c r="C2315" s="62">
        <v>167</v>
      </c>
    </row>
    <row r="2316" spans="1:3" x14ac:dyDescent="0.2">
      <c r="A2316" s="62" t="s">
        <v>3771</v>
      </c>
      <c r="B2316" s="48">
        <v>167</v>
      </c>
      <c r="C2316" s="62">
        <v>167</v>
      </c>
    </row>
    <row r="2317" spans="1:3" x14ac:dyDescent="0.2">
      <c r="A2317" s="62" t="s">
        <v>3770</v>
      </c>
      <c r="B2317" s="48">
        <v>2</v>
      </c>
      <c r="C2317" s="62">
        <v>2</v>
      </c>
    </row>
    <row r="2318" spans="1:3" x14ac:dyDescent="0.2">
      <c r="A2318" s="62" t="s">
        <v>3769</v>
      </c>
      <c r="B2318" s="48">
        <v>49</v>
      </c>
      <c r="C2318" s="62">
        <v>49</v>
      </c>
    </row>
    <row r="2319" spans="1:3" x14ac:dyDescent="0.2">
      <c r="A2319" s="62" t="s">
        <v>3768</v>
      </c>
      <c r="B2319" s="48">
        <v>14</v>
      </c>
      <c r="C2319" s="62">
        <v>14</v>
      </c>
    </row>
    <row r="2320" spans="1:3" x14ac:dyDescent="0.2">
      <c r="A2320" s="62" t="s">
        <v>3767</v>
      </c>
      <c r="B2320" s="48">
        <v>14</v>
      </c>
      <c r="C2320" s="62">
        <v>14</v>
      </c>
    </row>
    <row r="2321" spans="1:3" x14ac:dyDescent="0.2">
      <c r="A2321" s="62" t="s">
        <v>3766</v>
      </c>
      <c r="B2321" s="48">
        <v>14</v>
      </c>
      <c r="C2321" s="62">
        <v>14</v>
      </c>
    </row>
    <row r="2322" spans="1:3" x14ac:dyDescent="0.2">
      <c r="A2322" s="62" t="s">
        <v>3765</v>
      </c>
      <c r="B2322" s="48">
        <v>15</v>
      </c>
      <c r="C2322" s="62">
        <v>15</v>
      </c>
    </row>
    <row r="2323" spans="1:3" x14ac:dyDescent="0.2">
      <c r="A2323" s="62" t="s">
        <v>3764</v>
      </c>
      <c r="B2323" s="48">
        <v>2</v>
      </c>
      <c r="C2323" s="62">
        <v>2</v>
      </c>
    </row>
    <row r="2324" spans="1:3" x14ac:dyDescent="0.2">
      <c r="A2324" s="62" t="s">
        <v>3763</v>
      </c>
      <c r="B2324" s="48">
        <v>169</v>
      </c>
      <c r="C2324" s="62">
        <v>169</v>
      </c>
    </row>
    <row r="2325" spans="1:3" x14ac:dyDescent="0.2">
      <c r="A2325" s="62" t="s">
        <v>3762</v>
      </c>
      <c r="B2325" s="48">
        <v>14</v>
      </c>
      <c r="C2325" s="62">
        <v>14</v>
      </c>
    </row>
    <row r="2326" spans="1:3" x14ac:dyDescent="0.2">
      <c r="A2326" s="62" t="s">
        <v>3761</v>
      </c>
      <c r="B2326" s="48">
        <v>119</v>
      </c>
      <c r="C2326" s="62">
        <v>119</v>
      </c>
    </row>
    <row r="2327" spans="1:3" x14ac:dyDescent="0.2">
      <c r="A2327" s="62" t="s">
        <v>3760</v>
      </c>
      <c r="B2327" s="48">
        <v>14</v>
      </c>
      <c r="C2327" s="62">
        <v>14</v>
      </c>
    </row>
    <row r="2328" spans="1:3" x14ac:dyDescent="0.2">
      <c r="A2328" s="62" t="s">
        <v>3759</v>
      </c>
      <c r="B2328" s="48">
        <v>84</v>
      </c>
      <c r="C2328" s="62">
        <v>84</v>
      </c>
    </row>
    <row r="2329" spans="1:3" x14ac:dyDescent="0.2">
      <c r="A2329" s="62" t="s">
        <v>3758</v>
      </c>
      <c r="B2329" s="48">
        <v>2</v>
      </c>
      <c r="C2329" s="62">
        <v>2</v>
      </c>
    </row>
    <row r="2330" spans="1:3" x14ac:dyDescent="0.2">
      <c r="A2330" s="62" t="s">
        <v>3757</v>
      </c>
      <c r="B2330" s="48">
        <v>9</v>
      </c>
      <c r="C2330" s="62">
        <v>9</v>
      </c>
    </row>
    <row r="2331" spans="1:3" x14ac:dyDescent="0.2">
      <c r="A2331" s="62" t="s">
        <v>3756</v>
      </c>
      <c r="B2331" s="48">
        <v>2</v>
      </c>
      <c r="C2331" s="62">
        <v>2</v>
      </c>
    </row>
    <row r="2332" spans="1:3" x14ac:dyDescent="0.2">
      <c r="A2332" s="62" t="s">
        <v>3755</v>
      </c>
      <c r="B2332" s="48">
        <v>2</v>
      </c>
      <c r="C2332" s="62">
        <v>2</v>
      </c>
    </row>
    <row r="2333" spans="1:3" x14ac:dyDescent="0.2">
      <c r="A2333" s="62" t="s">
        <v>3754</v>
      </c>
      <c r="B2333" s="48">
        <v>2</v>
      </c>
      <c r="C2333" s="62">
        <v>2</v>
      </c>
    </row>
    <row r="2334" spans="1:3" x14ac:dyDescent="0.2">
      <c r="A2334" s="62" t="s">
        <v>3753</v>
      </c>
      <c r="B2334" s="48">
        <v>15</v>
      </c>
      <c r="C2334" s="62">
        <v>15</v>
      </c>
    </row>
    <row r="2335" spans="1:3" x14ac:dyDescent="0.2">
      <c r="A2335" s="62" t="s">
        <v>3752</v>
      </c>
      <c r="B2335" s="48">
        <v>2</v>
      </c>
      <c r="C2335" s="62">
        <v>2</v>
      </c>
    </row>
    <row r="2336" spans="1:3" x14ac:dyDescent="0.2">
      <c r="A2336" s="62" t="s">
        <v>3751</v>
      </c>
      <c r="B2336" s="48">
        <v>13</v>
      </c>
      <c r="C2336" s="62">
        <v>13</v>
      </c>
    </row>
    <row r="2337" spans="1:3" x14ac:dyDescent="0.2">
      <c r="A2337" s="62" t="s">
        <v>3750</v>
      </c>
      <c r="B2337" s="48">
        <v>14</v>
      </c>
      <c r="C2337" s="62">
        <v>14</v>
      </c>
    </row>
    <row r="2338" spans="1:3" x14ac:dyDescent="0.2">
      <c r="A2338" s="62" t="s">
        <v>3749</v>
      </c>
      <c r="B2338" s="48">
        <v>13</v>
      </c>
      <c r="C2338" s="62">
        <v>13</v>
      </c>
    </row>
    <row r="2339" spans="1:3" x14ac:dyDescent="0.2">
      <c r="A2339" s="62" t="s">
        <v>3748</v>
      </c>
      <c r="B2339" s="48">
        <v>52</v>
      </c>
      <c r="C2339" s="62">
        <v>52</v>
      </c>
    </row>
    <row r="2340" spans="1:3" x14ac:dyDescent="0.2">
      <c r="A2340" s="62" t="s">
        <v>3747</v>
      </c>
      <c r="B2340" s="48">
        <v>2</v>
      </c>
      <c r="C2340" s="62">
        <v>2</v>
      </c>
    </row>
    <row r="2341" spans="1:3" x14ac:dyDescent="0.2">
      <c r="A2341" s="62" t="s">
        <v>3746</v>
      </c>
      <c r="B2341" s="48">
        <v>5</v>
      </c>
      <c r="C2341" s="62">
        <v>5</v>
      </c>
    </row>
    <row r="2342" spans="1:3" x14ac:dyDescent="0.2">
      <c r="A2342" s="62" t="s">
        <v>3745</v>
      </c>
      <c r="B2342" s="48">
        <v>5</v>
      </c>
      <c r="C2342" s="62">
        <v>5</v>
      </c>
    </row>
    <row r="2343" spans="1:3" x14ac:dyDescent="0.2">
      <c r="A2343" s="62" t="s">
        <v>3744</v>
      </c>
      <c r="B2343" s="48">
        <v>14</v>
      </c>
      <c r="C2343" s="62">
        <v>14</v>
      </c>
    </row>
    <row r="2344" spans="1:3" x14ac:dyDescent="0.2">
      <c r="A2344" s="62" t="s">
        <v>3743</v>
      </c>
      <c r="B2344" s="48">
        <v>14</v>
      </c>
      <c r="C2344" s="62">
        <v>14</v>
      </c>
    </row>
    <row r="2345" spans="1:3" x14ac:dyDescent="0.2">
      <c r="A2345" s="62" t="s">
        <v>3742</v>
      </c>
      <c r="B2345" s="48">
        <v>2</v>
      </c>
      <c r="C2345" s="62">
        <v>2</v>
      </c>
    </row>
    <row r="2346" spans="1:3" x14ac:dyDescent="0.2">
      <c r="A2346" s="62" t="s">
        <v>3741</v>
      </c>
      <c r="B2346" s="48">
        <v>2</v>
      </c>
      <c r="C2346" s="62">
        <v>2</v>
      </c>
    </row>
    <row r="2347" spans="1:3" x14ac:dyDescent="0.2">
      <c r="A2347" s="62" t="s">
        <v>3740</v>
      </c>
      <c r="B2347" s="48">
        <v>88</v>
      </c>
      <c r="C2347" s="62">
        <v>88</v>
      </c>
    </row>
    <row r="2348" spans="1:3" x14ac:dyDescent="0.2">
      <c r="A2348" s="62" t="s">
        <v>3739</v>
      </c>
      <c r="B2348" s="48">
        <v>2</v>
      </c>
      <c r="C2348" s="62">
        <v>2</v>
      </c>
    </row>
    <row r="2349" spans="1:3" x14ac:dyDescent="0.2">
      <c r="A2349" s="62" t="s">
        <v>3738</v>
      </c>
      <c r="B2349" s="48">
        <v>14</v>
      </c>
      <c r="C2349" s="62">
        <v>14</v>
      </c>
    </row>
    <row r="2350" spans="1:3" x14ac:dyDescent="0.2">
      <c r="A2350" s="62" t="s">
        <v>3737</v>
      </c>
      <c r="B2350" s="48">
        <v>14</v>
      </c>
      <c r="C2350" s="62">
        <v>14</v>
      </c>
    </row>
    <row r="2351" spans="1:3" x14ac:dyDescent="0.2">
      <c r="A2351" s="62" t="s">
        <v>3736</v>
      </c>
      <c r="B2351" s="48">
        <v>167</v>
      </c>
      <c r="C2351" s="62">
        <v>167</v>
      </c>
    </row>
    <row r="2352" spans="1:3" x14ac:dyDescent="0.2">
      <c r="A2352" s="62" t="s">
        <v>3735</v>
      </c>
      <c r="B2352" s="48">
        <v>2</v>
      </c>
      <c r="C2352" s="62">
        <v>2</v>
      </c>
    </row>
    <row r="2353" spans="1:3" x14ac:dyDescent="0.2">
      <c r="A2353" s="62" t="s">
        <v>3734</v>
      </c>
      <c r="B2353" s="48">
        <v>2</v>
      </c>
      <c r="C2353" s="62">
        <v>2</v>
      </c>
    </row>
    <row r="2354" spans="1:3" x14ac:dyDescent="0.2">
      <c r="A2354" s="62" t="s">
        <v>3733</v>
      </c>
      <c r="B2354" s="48">
        <v>2</v>
      </c>
      <c r="C2354" s="62">
        <v>2</v>
      </c>
    </row>
    <row r="2355" spans="1:3" x14ac:dyDescent="0.2">
      <c r="A2355" s="62" t="s">
        <v>3732</v>
      </c>
      <c r="B2355" s="48">
        <v>167</v>
      </c>
      <c r="C2355" s="62">
        <v>167</v>
      </c>
    </row>
    <row r="2356" spans="1:3" x14ac:dyDescent="0.2">
      <c r="A2356" s="62" t="s">
        <v>3731</v>
      </c>
      <c r="B2356" s="48">
        <v>19</v>
      </c>
      <c r="C2356" s="62">
        <v>19</v>
      </c>
    </row>
    <row r="2357" spans="1:3" x14ac:dyDescent="0.2">
      <c r="A2357" s="62" t="s">
        <v>3730</v>
      </c>
      <c r="B2357" s="48">
        <v>19</v>
      </c>
      <c r="C2357" s="62">
        <v>19</v>
      </c>
    </row>
    <row r="2358" spans="1:3" x14ac:dyDescent="0.2">
      <c r="A2358" s="62" t="s">
        <v>3729</v>
      </c>
      <c r="B2358" s="48">
        <v>19</v>
      </c>
      <c r="C2358" s="62">
        <v>19</v>
      </c>
    </row>
    <row r="2359" spans="1:3" x14ac:dyDescent="0.2">
      <c r="A2359" s="62" t="s">
        <v>3728</v>
      </c>
      <c r="B2359" s="48">
        <v>18</v>
      </c>
      <c r="C2359" s="62">
        <v>18</v>
      </c>
    </row>
    <row r="2360" spans="1:3" x14ac:dyDescent="0.2">
      <c r="A2360" s="62" t="s">
        <v>3727</v>
      </c>
      <c r="B2360" s="48">
        <v>170</v>
      </c>
      <c r="C2360" s="62">
        <v>170</v>
      </c>
    </row>
    <row r="2361" spans="1:3" x14ac:dyDescent="0.2">
      <c r="A2361" s="62" t="s">
        <v>3726</v>
      </c>
      <c r="B2361" s="48">
        <v>14</v>
      </c>
      <c r="C2361" s="62">
        <v>14</v>
      </c>
    </row>
    <row r="2362" spans="1:3" x14ac:dyDescent="0.2">
      <c r="A2362" s="62" t="s">
        <v>3725</v>
      </c>
      <c r="B2362" s="48">
        <v>14</v>
      </c>
      <c r="C2362" s="62">
        <v>14</v>
      </c>
    </row>
    <row r="2363" spans="1:3" x14ac:dyDescent="0.2">
      <c r="A2363" s="62" t="s">
        <v>3724</v>
      </c>
      <c r="B2363" s="48">
        <v>20</v>
      </c>
      <c r="C2363" s="62">
        <v>20</v>
      </c>
    </row>
    <row r="2364" spans="1:3" x14ac:dyDescent="0.2">
      <c r="A2364" s="62" t="s">
        <v>3723</v>
      </c>
      <c r="B2364" s="48">
        <v>165</v>
      </c>
      <c r="C2364" s="62">
        <v>165</v>
      </c>
    </row>
    <row r="2365" spans="1:3" x14ac:dyDescent="0.2">
      <c r="A2365" s="62" t="s">
        <v>3722</v>
      </c>
      <c r="B2365" s="48">
        <v>165</v>
      </c>
      <c r="C2365" s="62">
        <v>165</v>
      </c>
    </row>
    <row r="2366" spans="1:3" x14ac:dyDescent="0.2">
      <c r="A2366" s="62" t="s">
        <v>3721</v>
      </c>
      <c r="B2366" s="48">
        <v>165</v>
      </c>
      <c r="C2366" s="62">
        <v>165</v>
      </c>
    </row>
    <row r="2367" spans="1:3" x14ac:dyDescent="0.2">
      <c r="A2367" s="62" t="s">
        <v>3720</v>
      </c>
      <c r="B2367" s="48">
        <v>165</v>
      </c>
      <c r="C2367" s="62">
        <v>165</v>
      </c>
    </row>
    <row r="2368" spans="1:3" x14ac:dyDescent="0.2">
      <c r="A2368" s="62" t="s">
        <v>3719</v>
      </c>
      <c r="B2368" s="48">
        <v>165</v>
      </c>
      <c r="C2368" s="62">
        <v>165</v>
      </c>
    </row>
    <row r="2369" spans="1:3" x14ac:dyDescent="0.2">
      <c r="A2369" s="62" t="s">
        <v>3718</v>
      </c>
      <c r="B2369" s="48">
        <v>165</v>
      </c>
      <c r="C2369" s="62">
        <v>165</v>
      </c>
    </row>
    <row r="2370" spans="1:3" x14ac:dyDescent="0.2">
      <c r="A2370" s="62" t="s">
        <v>3717</v>
      </c>
      <c r="B2370" s="48">
        <v>14</v>
      </c>
      <c r="C2370" s="62">
        <v>14</v>
      </c>
    </row>
    <row r="2371" spans="1:3" x14ac:dyDescent="0.2">
      <c r="A2371" s="62" t="s">
        <v>3716</v>
      </c>
      <c r="B2371" s="48">
        <v>98</v>
      </c>
      <c r="C2371" s="62">
        <v>98</v>
      </c>
    </row>
    <row r="2372" spans="1:3" x14ac:dyDescent="0.2">
      <c r="A2372" s="62" t="s">
        <v>3715</v>
      </c>
      <c r="B2372" s="48">
        <v>98</v>
      </c>
      <c r="C2372" s="62">
        <v>98</v>
      </c>
    </row>
    <row r="2373" spans="1:3" x14ac:dyDescent="0.2">
      <c r="A2373" s="62" t="s">
        <v>3713</v>
      </c>
      <c r="B2373" s="48">
        <v>45</v>
      </c>
      <c r="C2373" s="62">
        <v>45</v>
      </c>
    </row>
    <row r="2374" spans="1:3" x14ac:dyDescent="0.2">
      <c r="A2374" s="62" t="s">
        <v>3712</v>
      </c>
      <c r="B2374" s="48">
        <v>12</v>
      </c>
      <c r="C2374" s="62">
        <v>12</v>
      </c>
    </row>
    <row r="2375" spans="1:3" x14ac:dyDescent="0.2">
      <c r="A2375" s="62" t="s">
        <v>3711</v>
      </c>
      <c r="B2375" s="48">
        <v>72</v>
      </c>
      <c r="C2375" s="62">
        <v>72</v>
      </c>
    </row>
    <row r="2376" spans="1:3" x14ac:dyDescent="0.2">
      <c r="A2376" s="62" t="s">
        <v>3708</v>
      </c>
      <c r="B2376" s="48">
        <v>166</v>
      </c>
      <c r="C2376" s="62">
        <v>166</v>
      </c>
    </row>
    <row r="2377" spans="1:3" x14ac:dyDescent="0.2">
      <c r="A2377" s="62" t="s">
        <v>3707</v>
      </c>
      <c r="B2377" s="48">
        <v>167</v>
      </c>
      <c r="C2377" s="62">
        <v>167</v>
      </c>
    </row>
    <row r="2378" spans="1:3" x14ac:dyDescent="0.2">
      <c r="A2378" s="62" t="s">
        <v>3706</v>
      </c>
      <c r="B2378" s="48">
        <v>62</v>
      </c>
      <c r="C2378" s="62">
        <v>62</v>
      </c>
    </row>
    <row r="2379" spans="1:3" x14ac:dyDescent="0.2">
      <c r="A2379" s="62" t="s">
        <v>3705</v>
      </c>
      <c r="B2379" s="48">
        <v>15</v>
      </c>
      <c r="C2379" s="62">
        <v>15</v>
      </c>
    </row>
    <row r="2380" spans="1:3" x14ac:dyDescent="0.2">
      <c r="A2380" s="62" t="s">
        <v>3704</v>
      </c>
      <c r="B2380" s="48">
        <v>70</v>
      </c>
      <c r="C2380" s="62">
        <v>70</v>
      </c>
    </row>
    <row r="2381" spans="1:3" x14ac:dyDescent="0.2">
      <c r="A2381" s="62" t="s">
        <v>3703</v>
      </c>
      <c r="B2381" s="48">
        <v>2</v>
      </c>
      <c r="C2381" s="62">
        <v>2</v>
      </c>
    </row>
    <row r="2382" spans="1:3" x14ac:dyDescent="0.2">
      <c r="A2382" s="62" t="s">
        <v>3702</v>
      </c>
      <c r="B2382" s="48">
        <v>9</v>
      </c>
      <c r="C2382" s="62">
        <v>9</v>
      </c>
    </row>
    <row r="2383" spans="1:3" x14ac:dyDescent="0.2">
      <c r="A2383" s="62" t="s">
        <v>3701</v>
      </c>
      <c r="B2383" s="48">
        <v>207</v>
      </c>
      <c r="C2383" s="62">
        <v>207</v>
      </c>
    </row>
    <row r="2384" spans="1:3" x14ac:dyDescent="0.2">
      <c r="A2384" s="62" t="s">
        <v>3700</v>
      </c>
      <c r="B2384" s="48">
        <v>14</v>
      </c>
      <c r="C2384" s="62">
        <v>14</v>
      </c>
    </row>
    <row r="2385" spans="1:3" x14ac:dyDescent="0.2">
      <c r="A2385" s="62" t="s">
        <v>3698</v>
      </c>
      <c r="B2385" s="48">
        <v>165</v>
      </c>
      <c r="C2385" s="62">
        <v>165</v>
      </c>
    </row>
    <row r="2386" spans="1:3" x14ac:dyDescent="0.2">
      <c r="A2386" s="62" t="s">
        <v>3697</v>
      </c>
      <c r="B2386" s="48">
        <v>165</v>
      </c>
      <c r="C2386" s="62">
        <v>165</v>
      </c>
    </row>
    <row r="2387" spans="1:3" x14ac:dyDescent="0.2">
      <c r="A2387" s="62" t="s">
        <v>3696</v>
      </c>
      <c r="B2387" s="48">
        <v>15</v>
      </c>
      <c r="C2387" s="62">
        <v>15</v>
      </c>
    </row>
    <row r="2388" spans="1:3" x14ac:dyDescent="0.2">
      <c r="A2388" s="62" t="s">
        <v>3695</v>
      </c>
      <c r="B2388" s="48">
        <v>163</v>
      </c>
      <c r="C2388" s="62">
        <v>163</v>
      </c>
    </row>
    <row r="2389" spans="1:3" x14ac:dyDescent="0.2">
      <c r="A2389" s="62" t="s">
        <v>3694</v>
      </c>
      <c r="B2389" s="48">
        <v>197</v>
      </c>
      <c r="C2389" s="62">
        <v>197</v>
      </c>
    </row>
    <row r="2390" spans="1:3" x14ac:dyDescent="0.2">
      <c r="A2390" s="62" t="s">
        <v>3693</v>
      </c>
      <c r="B2390" s="48">
        <v>88</v>
      </c>
      <c r="C2390" s="62">
        <v>88</v>
      </c>
    </row>
    <row r="2391" spans="1:3" x14ac:dyDescent="0.2">
      <c r="A2391" s="62" t="s">
        <v>3692</v>
      </c>
      <c r="B2391" s="48">
        <v>88</v>
      </c>
      <c r="C2391" s="62">
        <v>88</v>
      </c>
    </row>
    <row r="2392" spans="1:3" x14ac:dyDescent="0.2">
      <c r="A2392" s="62" t="s">
        <v>3691</v>
      </c>
      <c r="B2392" s="48">
        <v>88</v>
      </c>
      <c r="C2392" s="62">
        <v>88</v>
      </c>
    </row>
    <row r="2393" spans="1:3" x14ac:dyDescent="0.2">
      <c r="A2393" s="62" t="s">
        <v>3690</v>
      </c>
      <c r="B2393" s="48">
        <v>14</v>
      </c>
      <c r="C2393" s="62">
        <v>14</v>
      </c>
    </row>
    <row r="2394" spans="1:3" x14ac:dyDescent="0.2">
      <c r="A2394" s="62" t="s">
        <v>3689</v>
      </c>
      <c r="B2394" s="48">
        <v>45</v>
      </c>
      <c r="C2394" s="62">
        <v>45</v>
      </c>
    </row>
    <row r="2395" spans="1:3" x14ac:dyDescent="0.2">
      <c r="A2395" s="62" t="s">
        <v>3688</v>
      </c>
      <c r="B2395" s="48">
        <v>2</v>
      </c>
      <c r="C2395" s="62">
        <v>2</v>
      </c>
    </row>
    <row r="2396" spans="1:3" x14ac:dyDescent="0.2">
      <c r="A2396" s="62" t="s">
        <v>3687</v>
      </c>
      <c r="B2396" s="48">
        <v>58</v>
      </c>
      <c r="C2396" s="62">
        <v>58</v>
      </c>
    </row>
    <row r="2397" spans="1:3" x14ac:dyDescent="0.2">
      <c r="A2397" s="62" t="s">
        <v>3686</v>
      </c>
      <c r="B2397" s="48">
        <v>15</v>
      </c>
      <c r="C2397" s="62">
        <v>15</v>
      </c>
    </row>
    <row r="2398" spans="1:3" x14ac:dyDescent="0.2">
      <c r="A2398" s="62" t="s">
        <v>3685</v>
      </c>
      <c r="B2398" s="48">
        <v>14</v>
      </c>
      <c r="C2398" s="62">
        <v>14</v>
      </c>
    </row>
    <row r="2399" spans="1:3" x14ac:dyDescent="0.2">
      <c r="A2399" s="62" t="s">
        <v>3684</v>
      </c>
      <c r="B2399" s="48">
        <v>2</v>
      </c>
      <c r="C2399" s="62">
        <v>2</v>
      </c>
    </row>
    <row r="2400" spans="1:3" x14ac:dyDescent="0.2">
      <c r="A2400" s="62" t="s">
        <v>3683</v>
      </c>
      <c r="B2400" s="48">
        <v>14</v>
      </c>
      <c r="C2400" s="62">
        <v>14</v>
      </c>
    </row>
    <row r="2401" spans="1:3" x14ac:dyDescent="0.2">
      <c r="A2401" s="62" t="s">
        <v>3682</v>
      </c>
      <c r="B2401" s="48">
        <v>14</v>
      </c>
      <c r="C2401" s="62">
        <v>14</v>
      </c>
    </row>
    <row r="2402" spans="1:3" x14ac:dyDescent="0.2">
      <c r="A2402" s="62" t="s">
        <v>3681</v>
      </c>
      <c r="B2402" s="48">
        <v>14</v>
      </c>
      <c r="C2402" s="62">
        <v>14</v>
      </c>
    </row>
    <row r="2403" spans="1:3" x14ac:dyDescent="0.2">
      <c r="A2403" s="62" t="s">
        <v>3680</v>
      </c>
      <c r="B2403" s="48">
        <v>14</v>
      </c>
      <c r="C2403" s="62">
        <v>14</v>
      </c>
    </row>
    <row r="2404" spans="1:3" x14ac:dyDescent="0.2">
      <c r="A2404" s="62" t="s">
        <v>3679</v>
      </c>
      <c r="B2404" s="48">
        <v>122</v>
      </c>
      <c r="C2404" s="62">
        <v>122</v>
      </c>
    </row>
    <row r="2405" spans="1:3" x14ac:dyDescent="0.2">
      <c r="A2405" s="62" t="s">
        <v>3677</v>
      </c>
      <c r="B2405" s="48">
        <v>2</v>
      </c>
      <c r="C2405" s="62">
        <v>2</v>
      </c>
    </row>
    <row r="2406" spans="1:3" x14ac:dyDescent="0.2">
      <c r="A2406" s="62" t="s">
        <v>3676</v>
      </c>
      <c r="B2406" s="48">
        <v>15</v>
      </c>
      <c r="C2406" s="62">
        <v>15</v>
      </c>
    </row>
    <row r="2407" spans="1:3" x14ac:dyDescent="0.2">
      <c r="A2407" s="62" t="s">
        <v>3675</v>
      </c>
      <c r="B2407" s="48">
        <v>228</v>
      </c>
      <c r="C2407" s="62">
        <v>228</v>
      </c>
    </row>
    <row r="2408" spans="1:3" x14ac:dyDescent="0.2">
      <c r="A2408" s="62" t="s">
        <v>3674</v>
      </c>
      <c r="B2408" s="48">
        <v>228</v>
      </c>
      <c r="C2408" s="62">
        <v>228</v>
      </c>
    </row>
    <row r="2409" spans="1:3" x14ac:dyDescent="0.2">
      <c r="A2409" s="62" t="s">
        <v>3673</v>
      </c>
      <c r="B2409" s="48">
        <v>228</v>
      </c>
      <c r="C2409" s="62">
        <v>228</v>
      </c>
    </row>
    <row r="2410" spans="1:3" x14ac:dyDescent="0.2">
      <c r="A2410" s="62" t="s">
        <v>3672</v>
      </c>
      <c r="B2410" s="48">
        <v>228</v>
      </c>
      <c r="C2410" s="62">
        <v>228</v>
      </c>
    </row>
    <row r="2411" spans="1:3" x14ac:dyDescent="0.2">
      <c r="A2411" s="62" t="s">
        <v>3671</v>
      </c>
      <c r="B2411" s="48">
        <v>228</v>
      </c>
      <c r="C2411" s="62">
        <v>228</v>
      </c>
    </row>
    <row r="2412" spans="1:3" x14ac:dyDescent="0.2">
      <c r="A2412" s="62" t="s">
        <v>3670</v>
      </c>
      <c r="B2412" s="48">
        <v>228</v>
      </c>
      <c r="C2412" s="62">
        <v>228</v>
      </c>
    </row>
    <row r="2413" spans="1:3" x14ac:dyDescent="0.2">
      <c r="A2413" s="62" t="s">
        <v>3668</v>
      </c>
      <c r="B2413" s="48">
        <v>147</v>
      </c>
      <c r="C2413" s="62">
        <v>147</v>
      </c>
    </row>
    <row r="2414" spans="1:3" x14ac:dyDescent="0.2">
      <c r="A2414" s="62" t="s">
        <v>3667</v>
      </c>
      <c r="B2414" s="48">
        <v>147</v>
      </c>
      <c r="C2414" s="62">
        <v>147</v>
      </c>
    </row>
    <row r="2415" spans="1:3" x14ac:dyDescent="0.2">
      <c r="A2415" s="62" t="s">
        <v>3666</v>
      </c>
      <c r="B2415" s="48">
        <v>147</v>
      </c>
      <c r="C2415" s="62">
        <v>147</v>
      </c>
    </row>
    <row r="2416" spans="1:3" x14ac:dyDescent="0.2">
      <c r="A2416" s="62" t="s">
        <v>3665</v>
      </c>
      <c r="B2416" s="48">
        <v>147</v>
      </c>
      <c r="C2416" s="62">
        <v>147</v>
      </c>
    </row>
    <row r="2417" spans="1:3" x14ac:dyDescent="0.2">
      <c r="A2417" s="62" t="s">
        <v>3664</v>
      </c>
      <c r="B2417" s="48">
        <v>147</v>
      </c>
      <c r="C2417" s="62">
        <v>147</v>
      </c>
    </row>
    <row r="2418" spans="1:3" x14ac:dyDescent="0.2">
      <c r="A2418" s="62" t="s">
        <v>3663</v>
      </c>
      <c r="B2418" s="48">
        <v>147</v>
      </c>
      <c r="C2418" s="62">
        <v>147</v>
      </c>
    </row>
    <row r="2419" spans="1:3" x14ac:dyDescent="0.2">
      <c r="A2419" s="62" t="s">
        <v>3662</v>
      </c>
      <c r="B2419" s="48">
        <v>147</v>
      </c>
      <c r="C2419" s="62">
        <v>147</v>
      </c>
    </row>
    <row r="2420" spans="1:3" x14ac:dyDescent="0.2">
      <c r="A2420" s="62" t="s">
        <v>3661</v>
      </c>
      <c r="B2420" s="48">
        <v>147</v>
      </c>
      <c r="C2420" s="62">
        <v>147</v>
      </c>
    </row>
    <row r="2421" spans="1:3" x14ac:dyDescent="0.2">
      <c r="A2421" s="62" t="s">
        <v>3660</v>
      </c>
      <c r="B2421" s="48">
        <v>147</v>
      </c>
      <c r="C2421" s="62">
        <v>147</v>
      </c>
    </row>
    <row r="2422" spans="1:3" x14ac:dyDescent="0.2">
      <c r="A2422" s="62" t="s">
        <v>3659</v>
      </c>
      <c r="B2422" s="48">
        <v>147</v>
      </c>
      <c r="C2422" s="62">
        <v>147</v>
      </c>
    </row>
    <row r="2423" spans="1:3" x14ac:dyDescent="0.2">
      <c r="A2423" s="62" t="s">
        <v>3658</v>
      </c>
      <c r="B2423" s="48">
        <v>154</v>
      </c>
      <c r="C2423" s="62">
        <v>154</v>
      </c>
    </row>
    <row r="2424" spans="1:3" x14ac:dyDescent="0.2">
      <c r="A2424" s="62" t="s">
        <v>3657</v>
      </c>
      <c r="B2424" s="48">
        <v>2</v>
      </c>
      <c r="C2424" s="62">
        <v>2</v>
      </c>
    </row>
    <row r="2425" spans="1:3" x14ac:dyDescent="0.2">
      <c r="A2425" s="62" t="s">
        <v>3656</v>
      </c>
      <c r="B2425" s="48">
        <v>2</v>
      </c>
      <c r="C2425" s="62">
        <v>2</v>
      </c>
    </row>
    <row r="2426" spans="1:3" x14ac:dyDescent="0.2">
      <c r="A2426" s="62" t="s">
        <v>3655</v>
      </c>
      <c r="B2426" s="48">
        <v>2</v>
      </c>
      <c r="C2426" s="62">
        <v>2</v>
      </c>
    </row>
    <row r="2427" spans="1:3" x14ac:dyDescent="0.2">
      <c r="A2427" s="62" t="s">
        <v>3654</v>
      </c>
      <c r="B2427" s="48">
        <v>2</v>
      </c>
      <c r="C2427" s="62">
        <v>2</v>
      </c>
    </row>
    <row r="2428" spans="1:3" x14ac:dyDescent="0.2">
      <c r="A2428" s="62" t="s">
        <v>3653</v>
      </c>
      <c r="B2428" s="48">
        <v>15</v>
      </c>
      <c r="C2428" s="62">
        <v>15</v>
      </c>
    </row>
    <row r="2429" spans="1:3" x14ac:dyDescent="0.2">
      <c r="A2429" s="62" t="s">
        <v>3652</v>
      </c>
      <c r="B2429" s="48">
        <v>14</v>
      </c>
      <c r="C2429" s="62">
        <v>14</v>
      </c>
    </row>
    <row r="2430" spans="1:3" x14ac:dyDescent="0.2">
      <c r="A2430" s="62" t="s">
        <v>3651</v>
      </c>
      <c r="B2430" s="48">
        <v>2</v>
      </c>
      <c r="C2430" s="62">
        <v>2</v>
      </c>
    </row>
    <row r="2431" spans="1:3" x14ac:dyDescent="0.2">
      <c r="A2431" s="62" t="s">
        <v>3650</v>
      </c>
      <c r="B2431" s="48">
        <v>2</v>
      </c>
      <c r="C2431" s="62">
        <v>2</v>
      </c>
    </row>
    <row r="2432" spans="1:3" x14ac:dyDescent="0.2">
      <c r="A2432" s="62" t="s">
        <v>3649</v>
      </c>
      <c r="B2432" s="48">
        <v>2</v>
      </c>
      <c r="C2432" s="62">
        <v>2</v>
      </c>
    </row>
    <row r="2433" spans="1:3" x14ac:dyDescent="0.2">
      <c r="A2433" s="62" t="s">
        <v>3648</v>
      </c>
      <c r="B2433" s="48">
        <v>2</v>
      </c>
      <c r="C2433" s="62">
        <v>2</v>
      </c>
    </row>
    <row r="2434" spans="1:3" x14ac:dyDescent="0.2">
      <c r="A2434" s="62" t="s">
        <v>3647</v>
      </c>
      <c r="B2434" s="48">
        <v>2</v>
      </c>
      <c r="C2434" s="62">
        <v>2</v>
      </c>
    </row>
    <row r="2435" spans="1:3" x14ac:dyDescent="0.2">
      <c r="A2435" s="62" t="s">
        <v>3646</v>
      </c>
      <c r="B2435" s="48">
        <v>14</v>
      </c>
      <c r="C2435" s="62">
        <v>14</v>
      </c>
    </row>
    <row r="2436" spans="1:3" x14ac:dyDescent="0.2">
      <c r="A2436" s="62" t="s">
        <v>3644</v>
      </c>
      <c r="B2436" s="48">
        <v>19</v>
      </c>
      <c r="C2436" s="62">
        <v>19</v>
      </c>
    </row>
    <row r="2437" spans="1:3" x14ac:dyDescent="0.2">
      <c r="A2437" s="62" t="s">
        <v>3643</v>
      </c>
      <c r="B2437" s="48">
        <v>180</v>
      </c>
      <c r="C2437" s="62">
        <v>180</v>
      </c>
    </row>
    <row r="2438" spans="1:3" x14ac:dyDescent="0.2">
      <c r="A2438" s="62" t="s">
        <v>3642</v>
      </c>
      <c r="B2438" s="48">
        <v>181</v>
      </c>
      <c r="C2438" s="62">
        <v>181</v>
      </c>
    </row>
    <row r="2439" spans="1:3" x14ac:dyDescent="0.2">
      <c r="A2439" s="62" t="s">
        <v>3641</v>
      </c>
      <c r="B2439" s="48">
        <v>181</v>
      </c>
      <c r="C2439" s="62">
        <v>181</v>
      </c>
    </row>
    <row r="2440" spans="1:3" x14ac:dyDescent="0.2">
      <c r="A2440" s="62" t="s">
        <v>3640</v>
      </c>
      <c r="B2440" s="48">
        <v>181</v>
      </c>
      <c r="C2440" s="62">
        <v>181</v>
      </c>
    </row>
    <row r="2441" spans="1:3" x14ac:dyDescent="0.2">
      <c r="A2441" s="62" t="s">
        <v>3639</v>
      </c>
      <c r="B2441" s="48">
        <v>211</v>
      </c>
      <c r="C2441" s="62">
        <v>211</v>
      </c>
    </row>
    <row r="2442" spans="1:3" x14ac:dyDescent="0.2">
      <c r="A2442" s="62" t="s">
        <v>3638</v>
      </c>
      <c r="B2442" s="48">
        <v>211</v>
      </c>
      <c r="C2442" s="62">
        <v>211</v>
      </c>
    </row>
    <row r="2443" spans="1:3" x14ac:dyDescent="0.2">
      <c r="A2443" s="62" t="s">
        <v>3637</v>
      </c>
      <c r="B2443" s="48">
        <v>211</v>
      </c>
      <c r="C2443" s="62">
        <v>211</v>
      </c>
    </row>
    <row r="2444" spans="1:3" x14ac:dyDescent="0.2">
      <c r="A2444" s="62" t="s">
        <v>3636</v>
      </c>
      <c r="B2444" s="48">
        <v>155</v>
      </c>
      <c r="C2444" s="62">
        <v>155</v>
      </c>
    </row>
    <row r="2445" spans="1:3" x14ac:dyDescent="0.2">
      <c r="A2445" s="62" t="s">
        <v>3635</v>
      </c>
      <c r="B2445" s="48">
        <v>61</v>
      </c>
      <c r="C2445" s="62">
        <v>61</v>
      </c>
    </row>
    <row r="2446" spans="1:3" x14ac:dyDescent="0.2">
      <c r="A2446" s="62" t="s">
        <v>3634</v>
      </c>
      <c r="B2446" s="48">
        <v>2</v>
      </c>
      <c r="C2446" s="62">
        <v>2</v>
      </c>
    </row>
    <row r="2447" spans="1:3" x14ac:dyDescent="0.2">
      <c r="A2447" s="62" t="s">
        <v>3633</v>
      </c>
      <c r="B2447" s="48">
        <v>2</v>
      </c>
      <c r="C2447" s="62">
        <v>2</v>
      </c>
    </row>
    <row r="2448" spans="1:3" x14ac:dyDescent="0.2">
      <c r="A2448" s="62" t="s">
        <v>3632</v>
      </c>
      <c r="B2448" s="48">
        <v>2</v>
      </c>
      <c r="C2448" s="62">
        <v>2</v>
      </c>
    </row>
    <row r="2449" spans="1:3" x14ac:dyDescent="0.2">
      <c r="A2449" s="62" t="s">
        <v>3631</v>
      </c>
      <c r="B2449" s="48">
        <v>161</v>
      </c>
      <c r="C2449" s="62">
        <v>161</v>
      </c>
    </row>
    <row r="2450" spans="1:3" x14ac:dyDescent="0.2">
      <c r="A2450" s="62" t="s">
        <v>3630</v>
      </c>
      <c r="B2450" s="48">
        <v>14</v>
      </c>
      <c r="C2450" s="62">
        <v>14</v>
      </c>
    </row>
    <row r="2451" spans="1:3" x14ac:dyDescent="0.2">
      <c r="A2451" s="62" t="s">
        <v>3629</v>
      </c>
      <c r="B2451" s="48">
        <v>14</v>
      </c>
      <c r="C2451" s="62">
        <v>14</v>
      </c>
    </row>
    <row r="2452" spans="1:3" x14ac:dyDescent="0.2">
      <c r="A2452" s="62" t="s">
        <v>3628</v>
      </c>
      <c r="B2452" s="48">
        <v>180</v>
      </c>
      <c r="C2452" s="62">
        <v>180</v>
      </c>
    </row>
    <row r="2453" spans="1:3" x14ac:dyDescent="0.2">
      <c r="A2453" s="62" t="s">
        <v>3627</v>
      </c>
      <c r="B2453" s="48">
        <v>137</v>
      </c>
      <c r="C2453" s="62">
        <v>137</v>
      </c>
    </row>
    <row r="2454" spans="1:3" x14ac:dyDescent="0.2">
      <c r="A2454" s="62" t="s">
        <v>3626</v>
      </c>
      <c r="B2454" s="48">
        <v>124</v>
      </c>
      <c r="C2454" s="62">
        <v>124</v>
      </c>
    </row>
    <row r="2455" spans="1:3" x14ac:dyDescent="0.2">
      <c r="A2455" s="62" t="s">
        <v>3625</v>
      </c>
      <c r="B2455" s="48">
        <v>176</v>
      </c>
      <c r="C2455" s="62">
        <v>176</v>
      </c>
    </row>
    <row r="2456" spans="1:3" x14ac:dyDescent="0.2">
      <c r="A2456" s="62" t="s">
        <v>3624</v>
      </c>
      <c r="B2456" s="48">
        <v>15</v>
      </c>
      <c r="C2456" s="62">
        <v>15</v>
      </c>
    </row>
    <row r="2457" spans="1:3" x14ac:dyDescent="0.2">
      <c r="A2457" s="62" t="s">
        <v>3623</v>
      </c>
      <c r="B2457" s="48">
        <v>2</v>
      </c>
      <c r="C2457" s="62">
        <v>2</v>
      </c>
    </row>
    <row r="2458" spans="1:3" x14ac:dyDescent="0.2">
      <c r="A2458" s="62" t="s">
        <v>3622</v>
      </c>
      <c r="B2458" s="48">
        <v>2</v>
      </c>
      <c r="C2458" s="62">
        <v>2</v>
      </c>
    </row>
    <row r="2459" spans="1:3" x14ac:dyDescent="0.2">
      <c r="A2459" s="62" t="s">
        <v>3621</v>
      </c>
      <c r="B2459" s="48">
        <v>14</v>
      </c>
      <c r="C2459" s="62">
        <v>14</v>
      </c>
    </row>
    <row r="2460" spans="1:3" x14ac:dyDescent="0.2">
      <c r="A2460" s="62" t="s">
        <v>3620</v>
      </c>
      <c r="B2460" s="48">
        <v>166</v>
      </c>
      <c r="C2460" s="62">
        <v>166</v>
      </c>
    </row>
    <row r="2461" spans="1:3" x14ac:dyDescent="0.2">
      <c r="A2461" s="62" t="s">
        <v>3612</v>
      </c>
      <c r="B2461" s="48">
        <v>225</v>
      </c>
      <c r="C2461" s="62">
        <v>225</v>
      </c>
    </row>
    <row r="2462" spans="1:3" x14ac:dyDescent="0.2">
      <c r="A2462" s="62" t="s">
        <v>3611</v>
      </c>
      <c r="B2462" s="48">
        <v>225</v>
      </c>
      <c r="C2462" s="62">
        <v>225</v>
      </c>
    </row>
    <row r="2463" spans="1:3" x14ac:dyDescent="0.2">
      <c r="A2463" s="62" t="s">
        <v>3610</v>
      </c>
      <c r="B2463" s="48">
        <v>225</v>
      </c>
      <c r="C2463" s="62">
        <v>225</v>
      </c>
    </row>
    <row r="2464" spans="1:3" x14ac:dyDescent="0.2">
      <c r="A2464" s="62" t="s">
        <v>3609</v>
      </c>
      <c r="B2464" s="48">
        <v>225</v>
      </c>
      <c r="C2464" s="62">
        <v>225</v>
      </c>
    </row>
    <row r="2465" spans="1:3" x14ac:dyDescent="0.2">
      <c r="A2465" s="62" t="s">
        <v>3608</v>
      </c>
      <c r="B2465" s="48">
        <v>14</v>
      </c>
      <c r="C2465" s="62">
        <v>14</v>
      </c>
    </row>
    <row r="2466" spans="1:3" x14ac:dyDescent="0.2">
      <c r="A2466" s="62" t="s">
        <v>3607</v>
      </c>
      <c r="B2466" s="48">
        <v>228</v>
      </c>
      <c r="C2466" s="62">
        <v>228</v>
      </c>
    </row>
    <row r="2467" spans="1:3" x14ac:dyDescent="0.2">
      <c r="A2467" s="62" t="s">
        <v>3606</v>
      </c>
      <c r="B2467" s="48">
        <v>15</v>
      </c>
      <c r="C2467" s="62">
        <v>15</v>
      </c>
    </row>
    <row r="2468" spans="1:3" x14ac:dyDescent="0.2">
      <c r="A2468" s="62" t="s">
        <v>3605</v>
      </c>
      <c r="B2468" s="48">
        <v>2</v>
      </c>
      <c r="C2468" s="62">
        <v>2</v>
      </c>
    </row>
    <row r="2469" spans="1:3" x14ac:dyDescent="0.2">
      <c r="A2469" s="62" t="s">
        <v>3603</v>
      </c>
      <c r="B2469" s="48">
        <v>13</v>
      </c>
      <c r="C2469" s="62">
        <v>13</v>
      </c>
    </row>
    <row r="2470" spans="1:3" x14ac:dyDescent="0.2">
      <c r="A2470" s="62" t="s">
        <v>3602</v>
      </c>
      <c r="B2470" s="48">
        <v>3</v>
      </c>
      <c r="C2470" s="62">
        <v>3</v>
      </c>
    </row>
    <row r="2471" spans="1:3" x14ac:dyDescent="0.2">
      <c r="A2471" s="62" t="s">
        <v>3601</v>
      </c>
      <c r="B2471" s="48">
        <v>14</v>
      </c>
      <c r="C2471" s="62">
        <v>14</v>
      </c>
    </row>
    <row r="2472" spans="1:3" x14ac:dyDescent="0.2">
      <c r="A2472" s="62" t="s">
        <v>3600</v>
      </c>
      <c r="B2472" s="48">
        <v>2</v>
      </c>
      <c r="C2472" s="62">
        <v>2</v>
      </c>
    </row>
    <row r="2473" spans="1:3" x14ac:dyDescent="0.2">
      <c r="A2473" s="62" t="s">
        <v>3599</v>
      </c>
      <c r="B2473" s="48">
        <v>61</v>
      </c>
      <c r="C2473" s="62">
        <v>61</v>
      </c>
    </row>
    <row r="2474" spans="1:3" x14ac:dyDescent="0.2">
      <c r="A2474" s="62" t="s">
        <v>3598</v>
      </c>
      <c r="B2474" s="48">
        <v>61</v>
      </c>
      <c r="C2474" s="62">
        <v>61</v>
      </c>
    </row>
    <row r="2475" spans="1:3" x14ac:dyDescent="0.2">
      <c r="A2475" s="62" t="s">
        <v>3597</v>
      </c>
      <c r="B2475" s="48">
        <v>61</v>
      </c>
      <c r="C2475" s="62">
        <v>61</v>
      </c>
    </row>
    <row r="2476" spans="1:3" x14ac:dyDescent="0.2">
      <c r="A2476" s="62" t="s">
        <v>3596</v>
      </c>
      <c r="B2476" s="48">
        <v>15</v>
      </c>
      <c r="C2476" s="62">
        <v>15</v>
      </c>
    </row>
    <row r="2477" spans="1:3" x14ac:dyDescent="0.2">
      <c r="A2477" s="62" t="s">
        <v>3595</v>
      </c>
      <c r="B2477" s="48">
        <v>71</v>
      </c>
      <c r="C2477" s="62">
        <v>71</v>
      </c>
    </row>
    <row r="2478" spans="1:3" x14ac:dyDescent="0.2">
      <c r="A2478" s="62" t="s">
        <v>3594</v>
      </c>
      <c r="B2478" s="48">
        <v>217</v>
      </c>
      <c r="C2478" s="62">
        <v>217</v>
      </c>
    </row>
    <row r="2479" spans="1:3" x14ac:dyDescent="0.2">
      <c r="A2479" s="62" t="s">
        <v>3593</v>
      </c>
      <c r="B2479" s="48">
        <v>217</v>
      </c>
      <c r="C2479" s="62">
        <v>217</v>
      </c>
    </row>
    <row r="2480" spans="1:3" x14ac:dyDescent="0.2">
      <c r="A2480" s="62" t="s">
        <v>3591</v>
      </c>
      <c r="B2480" s="48">
        <v>148</v>
      </c>
      <c r="C2480" s="62">
        <v>148</v>
      </c>
    </row>
    <row r="2481" spans="1:3" x14ac:dyDescent="0.2">
      <c r="A2481" s="62" t="s">
        <v>3590</v>
      </c>
      <c r="B2481" s="48">
        <v>2</v>
      </c>
      <c r="C2481" s="62">
        <v>2</v>
      </c>
    </row>
    <row r="2482" spans="1:3" x14ac:dyDescent="0.2">
      <c r="A2482" s="62" t="s">
        <v>3589</v>
      </c>
      <c r="B2482" s="48">
        <v>2</v>
      </c>
      <c r="C2482" s="62">
        <v>2</v>
      </c>
    </row>
    <row r="2483" spans="1:3" x14ac:dyDescent="0.2">
      <c r="A2483" s="62" t="s">
        <v>3588</v>
      </c>
      <c r="B2483" s="48">
        <v>19</v>
      </c>
      <c r="C2483" s="62">
        <v>19</v>
      </c>
    </row>
    <row r="2484" spans="1:3" x14ac:dyDescent="0.2">
      <c r="A2484" s="62" t="s">
        <v>3587</v>
      </c>
      <c r="B2484" s="48">
        <v>148</v>
      </c>
      <c r="C2484" s="62">
        <v>148</v>
      </c>
    </row>
    <row r="2485" spans="1:3" x14ac:dyDescent="0.2">
      <c r="A2485" s="62" t="s">
        <v>3586</v>
      </c>
      <c r="B2485" s="48">
        <v>60</v>
      </c>
      <c r="C2485" s="62">
        <v>60</v>
      </c>
    </row>
    <row r="2486" spans="1:3" x14ac:dyDescent="0.2">
      <c r="A2486" s="62" t="s">
        <v>3585</v>
      </c>
      <c r="B2486" s="48">
        <v>2</v>
      </c>
      <c r="C2486" s="62">
        <v>2</v>
      </c>
    </row>
    <row r="2487" spans="1:3" x14ac:dyDescent="0.2">
      <c r="A2487" s="62" t="s">
        <v>3584</v>
      </c>
      <c r="B2487" s="48">
        <v>2</v>
      </c>
      <c r="C2487" s="62">
        <v>2</v>
      </c>
    </row>
    <row r="2488" spans="1:3" x14ac:dyDescent="0.2">
      <c r="A2488" s="62" t="s">
        <v>3583</v>
      </c>
      <c r="B2488" s="48">
        <v>88</v>
      </c>
      <c r="C2488" s="62">
        <v>88</v>
      </c>
    </row>
    <row r="2489" spans="1:3" x14ac:dyDescent="0.2">
      <c r="A2489" s="62" t="s">
        <v>3582</v>
      </c>
      <c r="B2489" s="48">
        <v>15</v>
      </c>
      <c r="C2489" s="62">
        <v>15</v>
      </c>
    </row>
    <row r="2490" spans="1:3" x14ac:dyDescent="0.2">
      <c r="A2490" s="62" t="s">
        <v>3581</v>
      </c>
      <c r="B2490" s="48">
        <v>15</v>
      </c>
      <c r="C2490" s="62">
        <v>15</v>
      </c>
    </row>
    <row r="2491" spans="1:3" x14ac:dyDescent="0.2">
      <c r="A2491" s="62" t="s">
        <v>3580</v>
      </c>
      <c r="B2491" s="48">
        <v>15</v>
      </c>
      <c r="C2491" s="62">
        <v>15</v>
      </c>
    </row>
    <row r="2492" spans="1:3" x14ac:dyDescent="0.2">
      <c r="A2492" s="62" t="s">
        <v>3579</v>
      </c>
      <c r="B2492" s="48">
        <v>15</v>
      </c>
      <c r="C2492" s="62">
        <v>15</v>
      </c>
    </row>
    <row r="2493" spans="1:3" x14ac:dyDescent="0.2">
      <c r="A2493" s="62" t="s">
        <v>3578</v>
      </c>
      <c r="B2493" s="48">
        <v>2</v>
      </c>
      <c r="C2493" s="62">
        <v>2</v>
      </c>
    </row>
    <row r="2494" spans="1:3" x14ac:dyDescent="0.2">
      <c r="A2494" s="62" t="s">
        <v>3577</v>
      </c>
      <c r="B2494" s="48">
        <v>14</v>
      </c>
      <c r="C2494" s="62">
        <v>14</v>
      </c>
    </row>
    <row r="2495" spans="1:3" x14ac:dyDescent="0.2">
      <c r="A2495" s="62" t="s">
        <v>3576</v>
      </c>
      <c r="B2495" s="48">
        <v>14</v>
      </c>
      <c r="C2495" s="62">
        <v>14</v>
      </c>
    </row>
    <row r="2496" spans="1:3" x14ac:dyDescent="0.2">
      <c r="A2496" s="62" t="s">
        <v>3575</v>
      </c>
      <c r="B2496" s="48">
        <v>14</v>
      </c>
      <c r="C2496" s="62">
        <v>14</v>
      </c>
    </row>
    <row r="2497" spans="1:3" x14ac:dyDescent="0.2">
      <c r="A2497" s="62" t="s">
        <v>3574</v>
      </c>
      <c r="B2497" s="48">
        <v>225</v>
      </c>
      <c r="C2497" s="62">
        <v>225</v>
      </c>
    </row>
    <row r="2498" spans="1:3" x14ac:dyDescent="0.2">
      <c r="A2498" s="62" t="s">
        <v>3573</v>
      </c>
      <c r="B2498" s="48">
        <v>14</v>
      </c>
      <c r="C2498" s="62">
        <v>14</v>
      </c>
    </row>
    <row r="2499" spans="1:3" x14ac:dyDescent="0.2">
      <c r="A2499" s="62" t="s">
        <v>3572</v>
      </c>
      <c r="B2499" s="48">
        <v>167</v>
      </c>
      <c r="C2499" s="62">
        <v>167</v>
      </c>
    </row>
    <row r="2500" spans="1:3" x14ac:dyDescent="0.2">
      <c r="A2500" s="62" t="s">
        <v>3571</v>
      </c>
      <c r="B2500" s="48">
        <v>167</v>
      </c>
      <c r="C2500" s="62">
        <v>167</v>
      </c>
    </row>
    <row r="2501" spans="1:3" x14ac:dyDescent="0.2">
      <c r="A2501" s="62" t="s">
        <v>3570</v>
      </c>
      <c r="B2501" s="48">
        <v>167</v>
      </c>
      <c r="C2501" s="62">
        <v>167</v>
      </c>
    </row>
    <row r="2502" spans="1:3" x14ac:dyDescent="0.2">
      <c r="A2502" s="62" t="s">
        <v>3569</v>
      </c>
      <c r="B2502" s="48">
        <v>148</v>
      </c>
      <c r="C2502" s="62">
        <v>148</v>
      </c>
    </row>
    <row r="2503" spans="1:3" x14ac:dyDescent="0.2">
      <c r="A2503" s="62" t="s">
        <v>3568</v>
      </c>
      <c r="B2503" s="48">
        <v>68</v>
      </c>
      <c r="C2503" s="62">
        <v>68</v>
      </c>
    </row>
    <row r="2504" spans="1:3" x14ac:dyDescent="0.2">
      <c r="A2504" s="62" t="s">
        <v>3567</v>
      </c>
      <c r="B2504" s="48">
        <v>68</v>
      </c>
      <c r="C2504" s="62">
        <v>68</v>
      </c>
    </row>
    <row r="2505" spans="1:3" x14ac:dyDescent="0.2">
      <c r="A2505" s="62" t="s">
        <v>3566</v>
      </c>
      <c r="B2505" s="48">
        <v>205</v>
      </c>
      <c r="C2505" s="62">
        <v>205</v>
      </c>
    </row>
    <row r="2506" spans="1:3" x14ac:dyDescent="0.2">
      <c r="A2506" s="62" t="s">
        <v>3565</v>
      </c>
      <c r="B2506" s="48">
        <v>225</v>
      </c>
      <c r="C2506" s="62">
        <v>225</v>
      </c>
    </row>
    <row r="2507" spans="1:3" x14ac:dyDescent="0.2">
      <c r="A2507" s="62" t="s">
        <v>3564</v>
      </c>
      <c r="B2507" s="48">
        <v>14</v>
      </c>
      <c r="C2507" s="62">
        <v>14</v>
      </c>
    </row>
    <row r="2508" spans="1:3" x14ac:dyDescent="0.2">
      <c r="A2508" s="62" t="s">
        <v>3563</v>
      </c>
      <c r="B2508" s="48">
        <v>14</v>
      </c>
      <c r="C2508" s="62">
        <v>14</v>
      </c>
    </row>
    <row r="2509" spans="1:3" x14ac:dyDescent="0.2">
      <c r="A2509" s="62" t="s">
        <v>3562</v>
      </c>
      <c r="B2509" s="48">
        <v>15</v>
      </c>
      <c r="C2509" s="62">
        <v>15</v>
      </c>
    </row>
    <row r="2510" spans="1:3" x14ac:dyDescent="0.2">
      <c r="A2510" s="62" t="s">
        <v>3561</v>
      </c>
      <c r="B2510" s="48">
        <v>61</v>
      </c>
      <c r="C2510" s="62">
        <v>61</v>
      </c>
    </row>
    <row r="2511" spans="1:3" x14ac:dyDescent="0.2">
      <c r="A2511" s="62" t="s">
        <v>3560</v>
      </c>
      <c r="B2511" s="48">
        <v>14</v>
      </c>
      <c r="C2511" s="62">
        <v>14</v>
      </c>
    </row>
    <row r="2512" spans="1:3" x14ac:dyDescent="0.2">
      <c r="A2512" s="62" t="s">
        <v>3559</v>
      </c>
      <c r="B2512" s="48">
        <v>14</v>
      </c>
      <c r="C2512" s="62">
        <v>14</v>
      </c>
    </row>
    <row r="2513" spans="1:3" x14ac:dyDescent="0.2">
      <c r="A2513" s="62" t="s">
        <v>3558</v>
      </c>
      <c r="B2513" s="48">
        <v>148</v>
      </c>
      <c r="C2513" s="62">
        <v>148</v>
      </c>
    </row>
    <row r="2514" spans="1:3" x14ac:dyDescent="0.2">
      <c r="A2514" s="62" t="s">
        <v>3557</v>
      </c>
      <c r="B2514" s="48">
        <v>19</v>
      </c>
      <c r="C2514" s="62">
        <v>19</v>
      </c>
    </row>
    <row r="2515" spans="1:3" x14ac:dyDescent="0.2">
      <c r="A2515" s="62" t="s">
        <v>3556</v>
      </c>
      <c r="B2515" s="48">
        <v>14</v>
      </c>
      <c r="C2515" s="62">
        <v>14</v>
      </c>
    </row>
    <row r="2516" spans="1:3" x14ac:dyDescent="0.2">
      <c r="A2516" s="62" t="s">
        <v>3555</v>
      </c>
      <c r="B2516" s="48">
        <v>15</v>
      </c>
      <c r="C2516" s="62">
        <v>15</v>
      </c>
    </row>
    <row r="2517" spans="1:3" x14ac:dyDescent="0.2">
      <c r="A2517" s="62" t="s">
        <v>3554</v>
      </c>
      <c r="B2517" s="48">
        <v>15</v>
      </c>
      <c r="C2517" s="62">
        <v>15</v>
      </c>
    </row>
    <row r="2518" spans="1:3" x14ac:dyDescent="0.2">
      <c r="A2518" s="62" t="s">
        <v>3553</v>
      </c>
      <c r="B2518" s="48">
        <v>15</v>
      </c>
      <c r="C2518" s="62">
        <v>15</v>
      </c>
    </row>
    <row r="2519" spans="1:3" x14ac:dyDescent="0.2">
      <c r="A2519" s="62" t="s">
        <v>3552</v>
      </c>
      <c r="B2519" s="48">
        <v>15</v>
      </c>
      <c r="C2519" s="62">
        <v>15</v>
      </c>
    </row>
    <row r="2520" spans="1:3" x14ac:dyDescent="0.2">
      <c r="A2520" s="62" t="s">
        <v>3551</v>
      </c>
      <c r="B2520" s="48">
        <v>15</v>
      </c>
      <c r="C2520" s="62">
        <v>15</v>
      </c>
    </row>
    <row r="2521" spans="1:3" x14ac:dyDescent="0.2">
      <c r="A2521" s="62" t="s">
        <v>3550</v>
      </c>
      <c r="B2521" s="48">
        <v>15</v>
      </c>
      <c r="C2521" s="62">
        <v>15</v>
      </c>
    </row>
    <row r="2522" spans="1:3" x14ac:dyDescent="0.2">
      <c r="A2522" s="62" t="s">
        <v>3549</v>
      </c>
      <c r="B2522" s="48">
        <v>15</v>
      </c>
      <c r="C2522" s="62">
        <v>15</v>
      </c>
    </row>
    <row r="2523" spans="1:3" x14ac:dyDescent="0.2">
      <c r="A2523" s="62" t="s">
        <v>3548</v>
      </c>
      <c r="B2523" s="48">
        <v>43</v>
      </c>
      <c r="C2523" s="62">
        <v>43</v>
      </c>
    </row>
    <row r="2524" spans="1:3" x14ac:dyDescent="0.2">
      <c r="A2524" s="62" t="s">
        <v>3547</v>
      </c>
      <c r="B2524" s="48">
        <v>142</v>
      </c>
      <c r="C2524" s="62">
        <v>142</v>
      </c>
    </row>
    <row r="2525" spans="1:3" x14ac:dyDescent="0.2">
      <c r="A2525" s="62" t="s">
        <v>3545</v>
      </c>
      <c r="B2525" s="48">
        <v>141</v>
      </c>
      <c r="C2525" s="62">
        <v>141</v>
      </c>
    </row>
    <row r="2526" spans="1:3" x14ac:dyDescent="0.2">
      <c r="A2526" s="62" t="s">
        <v>3544</v>
      </c>
      <c r="B2526" s="48">
        <v>64</v>
      </c>
      <c r="C2526" s="62">
        <v>64</v>
      </c>
    </row>
    <row r="2527" spans="1:3" x14ac:dyDescent="0.2">
      <c r="A2527" s="62" t="s">
        <v>3543</v>
      </c>
      <c r="B2527" s="48">
        <v>64</v>
      </c>
      <c r="C2527" s="62">
        <v>64</v>
      </c>
    </row>
    <row r="2528" spans="1:3" x14ac:dyDescent="0.2">
      <c r="A2528" s="62" t="s">
        <v>3542</v>
      </c>
      <c r="B2528" s="48">
        <v>142</v>
      </c>
      <c r="C2528" s="62">
        <v>142</v>
      </c>
    </row>
    <row r="2529" spans="1:3" x14ac:dyDescent="0.2">
      <c r="A2529" s="62" t="s">
        <v>3541</v>
      </c>
      <c r="B2529" s="48">
        <v>64</v>
      </c>
      <c r="C2529" s="62">
        <v>64</v>
      </c>
    </row>
    <row r="2530" spans="1:3" x14ac:dyDescent="0.2">
      <c r="A2530" s="62" t="s">
        <v>3540</v>
      </c>
      <c r="B2530" s="48">
        <v>15</v>
      </c>
      <c r="C2530" s="62">
        <v>15</v>
      </c>
    </row>
    <row r="2531" spans="1:3" x14ac:dyDescent="0.2">
      <c r="A2531" s="62" t="s">
        <v>3539</v>
      </c>
      <c r="B2531" s="48">
        <v>15</v>
      </c>
      <c r="C2531" s="62">
        <v>15</v>
      </c>
    </row>
    <row r="2532" spans="1:3" x14ac:dyDescent="0.2">
      <c r="A2532" s="62" t="s">
        <v>3538</v>
      </c>
      <c r="B2532" s="48">
        <v>15</v>
      </c>
      <c r="C2532" s="62">
        <v>15</v>
      </c>
    </row>
    <row r="2533" spans="1:3" x14ac:dyDescent="0.2">
      <c r="A2533" s="62" t="s">
        <v>3537</v>
      </c>
      <c r="B2533" s="48">
        <v>155</v>
      </c>
      <c r="C2533" s="62">
        <v>155</v>
      </c>
    </row>
    <row r="2534" spans="1:3" x14ac:dyDescent="0.2">
      <c r="A2534" s="62" t="s">
        <v>3536</v>
      </c>
      <c r="B2534" s="48">
        <v>229</v>
      </c>
      <c r="C2534" s="62">
        <v>229</v>
      </c>
    </row>
    <row r="2535" spans="1:3" x14ac:dyDescent="0.2">
      <c r="A2535" s="62" t="s">
        <v>3535</v>
      </c>
      <c r="B2535" s="48">
        <v>15</v>
      </c>
      <c r="C2535" s="62">
        <v>15</v>
      </c>
    </row>
    <row r="2536" spans="1:3" x14ac:dyDescent="0.2">
      <c r="A2536" s="62" t="s">
        <v>3534</v>
      </c>
      <c r="B2536" s="48">
        <v>15</v>
      </c>
      <c r="C2536" s="62">
        <v>15</v>
      </c>
    </row>
    <row r="2537" spans="1:3" x14ac:dyDescent="0.2">
      <c r="A2537" s="62" t="s">
        <v>3533</v>
      </c>
      <c r="B2537" s="48">
        <v>15</v>
      </c>
      <c r="C2537" s="62">
        <v>15</v>
      </c>
    </row>
    <row r="2538" spans="1:3" x14ac:dyDescent="0.2">
      <c r="A2538" s="62" t="s">
        <v>3532</v>
      </c>
      <c r="B2538" s="48">
        <v>15</v>
      </c>
      <c r="C2538" s="62">
        <v>15</v>
      </c>
    </row>
    <row r="2539" spans="1:3" x14ac:dyDescent="0.2">
      <c r="A2539" s="62" t="s">
        <v>3531</v>
      </c>
      <c r="B2539" s="48">
        <v>15</v>
      </c>
      <c r="C2539" s="62">
        <v>15</v>
      </c>
    </row>
    <row r="2540" spans="1:3" x14ac:dyDescent="0.2">
      <c r="A2540" s="62" t="s">
        <v>3530</v>
      </c>
      <c r="B2540" s="48">
        <v>15</v>
      </c>
      <c r="C2540" s="62">
        <v>15</v>
      </c>
    </row>
    <row r="2541" spans="1:3" x14ac:dyDescent="0.2">
      <c r="A2541" s="62" t="s">
        <v>3529</v>
      </c>
      <c r="B2541" s="48">
        <v>4</v>
      </c>
      <c r="C2541" s="62">
        <v>4</v>
      </c>
    </row>
    <row r="2542" spans="1:3" x14ac:dyDescent="0.2">
      <c r="A2542" s="62" t="s">
        <v>3528</v>
      </c>
      <c r="B2542" s="48">
        <v>14</v>
      </c>
      <c r="C2542" s="62">
        <v>14</v>
      </c>
    </row>
    <row r="2543" spans="1:3" x14ac:dyDescent="0.2">
      <c r="A2543" s="62" t="s">
        <v>3527</v>
      </c>
      <c r="B2543" s="48">
        <v>14</v>
      </c>
      <c r="C2543" s="62">
        <v>14</v>
      </c>
    </row>
    <row r="2544" spans="1:3" x14ac:dyDescent="0.2">
      <c r="A2544" s="62" t="s">
        <v>3526</v>
      </c>
      <c r="B2544" s="48">
        <v>15</v>
      </c>
      <c r="C2544" s="62">
        <v>15</v>
      </c>
    </row>
    <row r="2545" spans="1:3" x14ac:dyDescent="0.2">
      <c r="A2545" s="62" t="s">
        <v>3525</v>
      </c>
      <c r="B2545" s="48">
        <v>19</v>
      </c>
      <c r="C2545" s="62">
        <v>19</v>
      </c>
    </row>
    <row r="2546" spans="1:3" x14ac:dyDescent="0.2">
      <c r="A2546" s="62" t="s">
        <v>3524</v>
      </c>
      <c r="B2546" s="48">
        <v>2</v>
      </c>
      <c r="C2546" s="62">
        <v>2</v>
      </c>
    </row>
    <row r="2547" spans="1:3" x14ac:dyDescent="0.2">
      <c r="A2547" s="62" t="s">
        <v>3523</v>
      </c>
      <c r="B2547" s="48">
        <v>14</v>
      </c>
      <c r="C2547" s="62">
        <v>14</v>
      </c>
    </row>
    <row r="2548" spans="1:3" x14ac:dyDescent="0.2">
      <c r="A2548" s="62" t="s">
        <v>3522</v>
      </c>
      <c r="B2548" s="48">
        <v>14</v>
      </c>
      <c r="C2548" s="62">
        <v>14</v>
      </c>
    </row>
    <row r="2549" spans="1:3" x14ac:dyDescent="0.2">
      <c r="A2549" s="62" t="s">
        <v>3521</v>
      </c>
      <c r="B2549" s="48">
        <v>155</v>
      </c>
      <c r="C2549" s="62">
        <v>155</v>
      </c>
    </row>
    <row r="2550" spans="1:3" x14ac:dyDescent="0.2">
      <c r="A2550" s="62" t="s">
        <v>3520</v>
      </c>
      <c r="B2550" s="48">
        <v>138</v>
      </c>
      <c r="C2550" s="62">
        <v>138</v>
      </c>
    </row>
    <row r="2551" spans="1:3" x14ac:dyDescent="0.2">
      <c r="A2551" s="62" t="s">
        <v>3519</v>
      </c>
      <c r="B2551" s="48">
        <v>130</v>
      </c>
      <c r="C2551" s="62">
        <v>130</v>
      </c>
    </row>
    <row r="2552" spans="1:3" x14ac:dyDescent="0.2">
      <c r="A2552" s="62" t="s">
        <v>3518</v>
      </c>
      <c r="B2552" s="48">
        <v>15</v>
      </c>
      <c r="C2552" s="62">
        <v>15</v>
      </c>
    </row>
    <row r="2553" spans="1:3" x14ac:dyDescent="0.2">
      <c r="A2553" s="62" t="s">
        <v>3517</v>
      </c>
      <c r="B2553" s="48">
        <v>58</v>
      </c>
      <c r="C2553" s="62">
        <v>58</v>
      </c>
    </row>
    <row r="2554" spans="1:3" x14ac:dyDescent="0.2">
      <c r="A2554" s="62" t="s">
        <v>3516</v>
      </c>
      <c r="B2554" s="48">
        <v>62</v>
      </c>
      <c r="C2554" s="62">
        <v>62</v>
      </c>
    </row>
    <row r="2555" spans="1:3" x14ac:dyDescent="0.2">
      <c r="A2555" s="62" t="s">
        <v>3515</v>
      </c>
      <c r="B2555" s="48">
        <v>62</v>
      </c>
      <c r="C2555" s="62">
        <v>62</v>
      </c>
    </row>
    <row r="2556" spans="1:3" x14ac:dyDescent="0.2">
      <c r="A2556" s="62" t="s">
        <v>3514</v>
      </c>
      <c r="B2556" s="48">
        <v>15</v>
      </c>
      <c r="C2556" s="62">
        <v>15</v>
      </c>
    </row>
    <row r="2557" spans="1:3" x14ac:dyDescent="0.2">
      <c r="A2557" s="62" t="s">
        <v>3513</v>
      </c>
      <c r="B2557" s="48">
        <v>14</v>
      </c>
      <c r="C2557" s="62">
        <v>14</v>
      </c>
    </row>
    <row r="2558" spans="1:3" x14ac:dyDescent="0.2">
      <c r="A2558" s="62" t="s">
        <v>3512</v>
      </c>
      <c r="B2558" s="48">
        <v>15</v>
      </c>
      <c r="C2558" s="62">
        <v>15</v>
      </c>
    </row>
    <row r="2559" spans="1:3" x14ac:dyDescent="0.2">
      <c r="A2559" s="62" t="s">
        <v>3511</v>
      </c>
      <c r="B2559" s="48">
        <v>2</v>
      </c>
      <c r="C2559" s="62">
        <v>2</v>
      </c>
    </row>
    <row r="2560" spans="1:3" x14ac:dyDescent="0.2">
      <c r="A2560" s="62" t="s">
        <v>3510</v>
      </c>
      <c r="B2560" s="48">
        <v>148</v>
      </c>
      <c r="C2560" s="62">
        <v>148</v>
      </c>
    </row>
    <row r="2561" spans="1:3" x14ac:dyDescent="0.2">
      <c r="A2561" s="62" t="s">
        <v>3509</v>
      </c>
      <c r="B2561" s="48">
        <v>4</v>
      </c>
      <c r="C2561" s="62">
        <v>4</v>
      </c>
    </row>
    <row r="2562" spans="1:3" x14ac:dyDescent="0.2">
      <c r="A2562" s="62" t="s">
        <v>3508</v>
      </c>
      <c r="B2562" s="48">
        <v>14</v>
      </c>
      <c r="C2562" s="62">
        <v>14</v>
      </c>
    </row>
    <row r="2563" spans="1:3" x14ac:dyDescent="0.2">
      <c r="A2563" s="62" t="s">
        <v>3507</v>
      </c>
      <c r="B2563" s="48">
        <v>23</v>
      </c>
      <c r="C2563" s="62">
        <v>23</v>
      </c>
    </row>
    <row r="2564" spans="1:3" x14ac:dyDescent="0.2">
      <c r="A2564" s="62" t="s">
        <v>3506</v>
      </c>
      <c r="B2564" s="48">
        <v>4</v>
      </c>
      <c r="C2564" s="62">
        <v>4</v>
      </c>
    </row>
    <row r="2565" spans="1:3" x14ac:dyDescent="0.2">
      <c r="A2565" s="62" t="s">
        <v>3505</v>
      </c>
      <c r="B2565" s="48">
        <v>66</v>
      </c>
      <c r="C2565" s="62">
        <v>66</v>
      </c>
    </row>
    <row r="2566" spans="1:3" x14ac:dyDescent="0.2">
      <c r="A2566" s="62" t="s">
        <v>3504</v>
      </c>
      <c r="B2566" s="48">
        <v>4</v>
      </c>
      <c r="C2566" s="62">
        <v>4</v>
      </c>
    </row>
    <row r="2567" spans="1:3" x14ac:dyDescent="0.2">
      <c r="A2567" s="62" t="s">
        <v>3503</v>
      </c>
      <c r="B2567" s="48">
        <v>9</v>
      </c>
      <c r="C2567" s="62">
        <v>9</v>
      </c>
    </row>
    <row r="2568" spans="1:3" x14ac:dyDescent="0.2">
      <c r="A2568" s="62" t="s">
        <v>3502</v>
      </c>
      <c r="B2568" s="48">
        <v>15</v>
      </c>
      <c r="C2568" s="62">
        <v>15</v>
      </c>
    </row>
    <row r="2569" spans="1:3" x14ac:dyDescent="0.2">
      <c r="A2569" s="62" t="s">
        <v>3501</v>
      </c>
      <c r="B2569" s="48">
        <v>15</v>
      </c>
      <c r="C2569" s="62">
        <v>15</v>
      </c>
    </row>
    <row r="2570" spans="1:3" x14ac:dyDescent="0.2">
      <c r="A2570" s="62" t="s">
        <v>3500</v>
      </c>
      <c r="B2570" s="48">
        <v>225</v>
      </c>
      <c r="C2570" s="62">
        <v>225</v>
      </c>
    </row>
    <row r="2571" spans="1:3" x14ac:dyDescent="0.2">
      <c r="A2571" s="62" t="s">
        <v>3499</v>
      </c>
      <c r="B2571" s="48">
        <v>14</v>
      </c>
      <c r="C2571" s="62">
        <v>14</v>
      </c>
    </row>
    <row r="2572" spans="1:3" x14ac:dyDescent="0.2">
      <c r="A2572" s="62" t="s">
        <v>3498</v>
      </c>
      <c r="B2572" s="48">
        <v>142</v>
      </c>
      <c r="C2572" s="62">
        <v>142</v>
      </c>
    </row>
    <row r="2573" spans="1:3" x14ac:dyDescent="0.2">
      <c r="A2573" s="62" t="s">
        <v>3497</v>
      </c>
      <c r="B2573" s="48">
        <v>142</v>
      </c>
      <c r="C2573" s="62">
        <v>142</v>
      </c>
    </row>
    <row r="2574" spans="1:3" x14ac:dyDescent="0.2">
      <c r="A2574" s="62" t="s">
        <v>3496</v>
      </c>
      <c r="B2574" s="48">
        <v>19</v>
      </c>
      <c r="C2574" s="62">
        <v>19</v>
      </c>
    </row>
    <row r="2575" spans="1:3" x14ac:dyDescent="0.2">
      <c r="A2575" s="62" t="s">
        <v>3495</v>
      </c>
      <c r="B2575" s="48">
        <v>14</v>
      </c>
      <c r="C2575" s="62">
        <v>14</v>
      </c>
    </row>
    <row r="2576" spans="1:3" x14ac:dyDescent="0.2">
      <c r="A2576" s="62" t="s">
        <v>3494</v>
      </c>
      <c r="B2576" s="48">
        <v>14</v>
      </c>
      <c r="C2576" s="62">
        <v>14</v>
      </c>
    </row>
    <row r="2577" spans="1:3" x14ac:dyDescent="0.2">
      <c r="A2577" s="62" t="s">
        <v>3492</v>
      </c>
      <c r="B2577" s="48">
        <v>85</v>
      </c>
      <c r="C2577" s="62">
        <v>85</v>
      </c>
    </row>
    <row r="2578" spans="1:3" x14ac:dyDescent="0.2">
      <c r="A2578" s="62" t="s">
        <v>3491</v>
      </c>
      <c r="B2578" s="48">
        <v>15</v>
      </c>
      <c r="C2578" s="62">
        <v>15</v>
      </c>
    </row>
    <row r="2579" spans="1:3" x14ac:dyDescent="0.2">
      <c r="A2579" s="62" t="s">
        <v>3490</v>
      </c>
      <c r="B2579" s="48">
        <v>2</v>
      </c>
      <c r="C2579" s="62">
        <v>2</v>
      </c>
    </row>
    <row r="2580" spans="1:3" x14ac:dyDescent="0.2">
      <c r="A2580" s="62" t="s">
        <v>3489</v>
      </c>
      <c r="B2580" s="48">
        <v>19</v>
      </c>
      <c r="C2580" s="62">
        <v>19</v>
      </c>
    </row>
    <row r="2581" spans="1:3" x14ac:dyDescent="0.2">
      <c r="A2581" s="62" t="s">
        <v>3488</v>
      </c>
      <c r="B2581" s="48">
        <v>2</v>
      </c>
      <c r="C2581" s="62">
        <v>2</v>
      </c>
    </row>
    <row r="2582" spans="1:3" x14ac:dyDescent="0.2">
      <c r="A2582" s="62" t="s">
        <v>3484</v>
      </c>
      <c r="B2582" s="48">
        <v>63</v>
      </c>
      <c r="C2582" s="62">
        <v>63</v>
      </c>
    </row>
    <row r="2583" spans="1:3" x14ac:dyDescent="0.2">
      <c r="A2583" s="62" t="s">
        <v>3483</v>
      </c>
      <c r="B2583" s="48">
        <v>161</v>
      </c>
      <c r="C2583" s="62">
        <v>161</v>
      </c>
    </row>
    <row r="2584" spans="1:3" x14ac:dyDescent="0.2">
      <c r="A2584" s="62" t="s">
        <v>3482</v>
      </c>
      <c r="B2584" s="48">
        <v>161</v>
      </c>
      <c r="C2584" s="62">
        <v>161</v>
      </c>
    </row>
    <row r="2585" spans="1:3" x14ac:dyDescent="0.2">
      <c r="A2585" s="62" t="s">
        <v>3481</v>
      </c>
      <c r="B2585" s="48">
        <v>161</v>
      </c>
      <c r="C2585" s="62">
        <v>161</v>
      </c>
    </row>
    <row r="2586" spans="1:3" x14ac:dyDescent="0.2">
      <c r="A2586" s="62" t="s">
        <v>3480</v>
      </c>
      <c r="B2586" s="48">
        <v>161</v>
      </c>
      <c r="C2586" s="62">
        <v>161</v>
      </c>
    </row>
    <row r="2587" spans="1:3" x14ac:dyDescent="0.2">
      <c r="A2587" s="62" t="s">
        <v>3477</v>
      </c>
      <c r="B2587" s="48">
        <v>13</v>
      </c>
      <c r="C2587" s="62">
        <v>13</v>
      </c>
    </row>
    <row r="2588" spans="1:3" x14ac:dyDescent="0.2">
      <c r="A2588" s="62" t="s">
        <v>3476</v>
      </c>
      <c r="B2588" s="48">
        <v>2</v>
      </c>
      <c r="C2588" s="62">
        <v>2</v>
      </c>
    </row>
    <row r="2589" spans="1:3" x14ac:dyDescent="0.2">
      <c r="A2589" s="62" t="s">
        <v>3475</v>
      </c>
      <c r="B2589" s="48">
        <v>2</v>
      </c>
      <c r="C2589" s="62">
        <v>2</v>
      </c>
    </row>
    <row r="2590" spans="1:3" x14ac:dyDescent="0.2">
      <c r="A2590" s="62" t="s">
        <v>3474</v>
      </c>
      <c r="B2590" s="48">
        <v>2</v>
      </c>
      <c r="C2590" s="62">
        <v>2</v>
      </c>
    </row>
    <row r="2591" spans="1:3" x14ac:dyDescent="0.2">
      <c r="A2591" s="62" t="s">
        <v>3473</v>
      </c>
      <c r="B2591" s="48">
        <v>2</v>
      </c>
      <c r="C2591" s="62">
        <v>2</v>
      </c>
    </row>
    <row r="2592" spans="1:3" x14ac:dyDescent="0.2">
      <c r="A2592" s="62" t="s">
        <v>3472</v>
      </c>
      <c r="B2592" s="48">
        <v>15</v>
      </c>
      <c r="C2592" s="62">
        <v>15</v>
      </c>
    </row>
    <row r="2593" spans="1:3" x14ac:dyDescent="0.2">
      <c r="A2593" s="62" t="s">
        <v>3471</v>
      </c>
      <c r="B2593" s="48">
        <v>15</v>
      </c>
      <c r="C2593" s="62">
        <v>15</v>
      </c>
    </row>
    <row r="2594" spans="1:3" x14ac:dyDescent="0.2">
      <c r="A2594" s="62" t="s">
        <v>3470</v>
      </c>
      <c r="B2594" s="48">
        <v>15</v>
      </c>
      <c r="C2594" s="62">
        <v>15</v>
      </c>
    </row>
    <row r="2595" spans="1:3" x14ac:dyDescent="0.2">
      <c r="A2595" s="62" t="s">
        <v>3469</v>
      </c>
      <c r="B2595" s="48">
        <v>15</v>
      </c>
      <c r="C2595" s="62">
        <v>15</v>
      </c>
    </row>
    <row r="2596" spans="1:3" x14ac:dyDescent="0.2">
      <c r="A2596" s="62" t="s">
        <v>3468</v>
      </c>
      <c r="B2596" s="48">
        <v>15</v>
      </c>
      <c r="C2596" s="62">
        <v>15</v>
      </c>
    </row>
    <row r="2597" spans="1:3" x14ac:dyDescent="0.2">
      <c r="A2597" s="62" t="s">
        <v>3467</v>
      </c>
      <c r="B2597" s="48">
        <v>15</v>
      </c>
      <c r="C2597" s="62">
        <v>15</v>
      </c>
    </row>
    <row r="2598" spans="1:3" x14ac:dyDescent="0.2">
      <c r="A2598" s="62" t="s">
        <v>3466</v>
      </c>
      <c r="B2598" s="48">
        <v>15</v>
      </c>
      <c r="C2598" s="62">
        <v>15</v>
      </c>
    </row>
    <row r="2599" spans="1:3" x14ac:dyDescent="0.2">
      <c r="A2599" s="62" t="s">
        <v>3465</v>
      </c>
      <c r="B2599" s="48">
        <v>14</v>
      </c>
      <c r="C2599" s="62">
        <v>14</v>
      </c>
    </row>
    <row r="2600" spans="1:3" x14ac:dyDescent="0.2">
      <c r="A2600" s="62" t="s">
        <v>3464</v>
      </c>
      <c r="B2600" s="48">
        <v>47</v>
      </c>
      <c r="C2600" s="62">
        <v>47</v>
      </c>
    </row>
    <row r="2601" spans="1:3" x14ac:dyDescent="0.2">
      <c r="A2601" s="62" t="s">
        <v>3463</v>
      </c>
      <c r="B2601" s="48">
        <v>209</v>
      </c>
      <c r="C2601" s="62">
        <v>209</v>
      </c>
    </row>
    <row r="2602" spans="1:3" x14ac:dyDescent="0.2">
      <c r="A2602" s="62" t="s">
        <v>3462</v>
      </c>
      <c r="B2602" s="48">
        <v>19</v>
      </c>
      <c r="C2602" s="62">
        <v>19</v>
      </c>
    </row>
    <row r="2603" spans="1:3" x14ac:dyDescent="0.2">
      <c r="A2603" s="62" t="s">
        <v>3461</v>
      </c>
      <c r="B2603" s="48">
        <v>4</v>
      </c>
      <c r="C2603" s="62">
        <v>4</v>
      </c>
    </row>
    <row r="2604" spans="1:3" x14ac:dyDescent="0.2">
      <c r="A2604" s="62" t="s">
        <v>3459</v>
      </c>
      <c r="B2604" s="48">
        <v>15</v>
      </c>
      <c r="C2604" s="62">
        <v>15</v>
      </c>
    </row>
    <row r="2605" spans="1:3" x14ac:dyDescent="0.2">
      <c r="A2605" s="62" t="s">
        <v>3458</v>
      </c>
      <c r="B2605" s="48">
        <v>15</v>
      </c>
      <c r="C2605" s="62">
        <v>15</v>
      </c>
    </row>
    <row r="2606" spans="1:3" x14ac:dyDescent="0.2">
      <c r="A2606" s="62" t="s">
        <v>3455</v>
      </c>
      <c r="B2606" s="48">
        <v>14</v>
      </c>
      <c r="C2606" s="62">
        <v>14</v>
      </c>
    </row>
    <row r="2607" spans="1:3" x14ac:dyDescent="0.2">
      <c r="A2607" s="62" t="s">
        <v>3454</v>
      </c>
      <c r="B2607" s="48">
        <v>88</v>
      </c>
      <c r="C2607" s="62">
        <v>88</v>
      </c>
    </row>
    <row r="2608" spans="1:3" x14ac:dyDescent="0.2">
      <c r="A2608" s="62" t="s">
        <v>3453</v>
      </c>
      <c r="B2608" s="48">
        <v>88</v>
      </c>
      <c r="C2608" s="62">
        <v>88</v>
      </c>
    </row>
    <row r="2609" spans="1:3" x14ac:dyDescent="0.2">
      <c r="A2609" s="62" t="s">
        <v>3452</v>
      </c>
      <c r="B2609" s="48">
        <v>15</v>
      </c>
      <c r="C2609" s="62">
        <v>15</v>
      </c>
    </row>
    <row r="2610" spans="1:3" x14ac:dyDescent="0.2">
      <c r="A2610" s="62" t="s">
        <v>3450</v>
      </c>
      <c r="B2610" s="48">
        <v>15</v>
      </c>
      <c r="C2610" s="62">
        <v>15</v>
      </c>
    </row>
    <row r="2611" spans="1:3" x14ac:dyDescent="0.2">
      <c r="A2611" s="62" t="s">
        <v>3448</v>
      </c>
      <c r="B2611" s="48">
        <v>15</v>
      </c>
      <c r="C2611" s="62">
        <v>15</v>
      </c>
    </row>
    <row r="2612" spans="1:3" x14ac:dyDescent="0.2">
      <c r="A2612" s="62" t="s">
        <v>3447</v>
      </c>
      <c r="B2612" s="48">
        <v>58</v>
      </c>
      <c r="C2612" s="62">
        <v>58</v>
      </c>
    </row>
    <row r="2613" spans="1:3" x14ac:dyDescent="0.2">
      <c r="A2613" s="62" t="s">
        <v>3445</v>
      </c>
      <c r="B2613" s="48">
        <v>14</v>
      </c>
      <c r="C2613" s="62">
        <v>14</v>
      </c>
    </row>
    <row r="2614" spans="1:3" x14ac:dyDescent="0.2">
      <c r="A2614" s="62" t="s">
        <v>3444</v>
      </c>
      <c r="B2614" s="48">
        <v>14</v>
      </c>
      <c r="C2614" s="62">
        <v>14</v>
      </c>
    </row>
    <row r="2615" spans="1:3" x14ac:dyDescent="0.2">
      <c r="A2615" s="62" t="s">
        <v>3443</v>
      </c>
      <c r="B2615" s="48">
        <v>15</v>
      </c>
      <c r="C2615" s="62">
        <v>15</v>
      </c>
    </row>
    <row r="2616" spans="1:3" x14ac:dyDescent="0.2">
      <c r="A2616" s="62" t="s">
        <v>3442</v>
      </c>
      <c r="B2616" s="48">
        <v>141</v>
      </c>
      <c r="C2616" s="62">
        <v>141</v>
      </c>
    </row>
    <row r="2617" spans="1:3" x14ac:dyDescent="0.2">
      <c r="A2617" s="62" t="s">
        <v>3441</v>
      </c>
      <c r="B2617" s="48">
        <v>1</v>
      </c>
      <c r="C2617" s="62">
        <v>1</v>
      </c>
    </row>
    <row r="2618" spans="1:3" x14ac:dyDescent="0.2">
      <c r="A2618" s="62" t="s">
        <v>3440</v>
      </c>
      <c r="B2618" s="48">
        <v>225</v>
      </c>
      <c r="C2618" s="62">
        <v>225</v>
      </c>
    </row>
    <row r="2619" spans="1:3" x14ac:dyDescent="0.2">
      <c r="A2619" s="62" t="s">
        <v>3439</v>
      </c>
      <c r="B2619" s="48">
        <v>15</v>
      </c>
      <c r="C2619" s="62">
        <v>15</v>
      </c>
    </row>
    <row r="2620" spans="1:3" x14ac:dyDescent="0.2">
      <c r="A2620" s="62" t="s">
        <v>3438</v>
      </c>
      <c r="B2620" s="48">
        <v>14</v>
      </c>
      <c r="C2620" s="62">
        <v>14</v>
      </c>
    </row>
    <row r="2621" spans="1:3" x14ac:dyDescent="0.2">
      <c r="A2621" s="62" t="s">
        <v>3437</v>
      </c>
      <c r="B2621" s="48">
        <v>14</v>
      </c>
      <c r="C2621" s="62">
        <v>14</v>
      </c>
    </row>
    <row r="2622" spans="1:3" x14ac:dyDescent="0.2">
      <c r="A2622" s="62" t="s">
        <v>3436</v>
      </c>
      <c r="B2622" s="48">
        <v>14</v>
      </c>
      <c r="C2622" s="62">
        <v>14</v>
      </c>
    </row>
    <row r="2623" spans="1:3" x14ac:dyDescent="0.2">
      <c r="A2623" s="62" t="s">
        <v>3435</v>
      </c>
      <c r="B2623" s="48">
        <v>15</v>
      </c>
      <c r="C2623" s="62">
        <v>15</v>
      </c>
    </row>
    <row r="2624" spans="1:3" x14ac:dyDescent="0.2">
      <c r="A2624" s="62" t="s">
        <v>3434</v>
      </c>
      <c r="B2624" s="48">
        <v>15</v>
      </c>
      <c r="C2624" s="62">
        <v>15</v>
      </c>
    </row>
    <row r="2625" spans="1:3" x14ac:dyDescent="0.2">
      <c r="A2625" s="62" t="s">
        <v>3433</v>
      </c>
      <c r="B2625" s="48">
        <v>15</v>
      </c>
      <c r="C2625" s="62">
        <v>15</v>
      </c>
    </row>
    <row r="2626" spans="1:3" x14ac:dyDescent="0.2">
      <c r="A2626" s="62" t="s">
        <v>3432</v>
      </c>
      <c r="B2626" s="48">
        <v>15</v>
      </c>
      <c r="C2626" s="62">
        <v>15</v>
      </c>
    </row>
    <row r="2627" spans="1:3" x14ac:dyDescent="0.2">
      <c r="A2627" s="62" t="s">
        <v>3431</v>
      </c>
      <c r="B2627" s="48">
        <v>15</v>
      </c>
      <c r="C2627" s="62">
        <v>15</v>
      </c>
    </row>
    <row r="2628" spans="1:3" x14ac:dyDescent="0.2">
      <c r="A2628" s="62" t="s">
        <v>3430</v>
      </c>
      <c r="B2628" s="48">
        <v>14</v>
      </c>
      <c r="C2628" s="62">
        <v>14</v>
      </c>
    </row>
    <row r="2629" spans="1:3" x14ac:dyDescent="0.2">
      <c r="A2629" s="62" t="s">
        <v>3429</v>
      </c>
      <c r="B2629" s="48">
        <v>14</v>
      </c>
      <c r="C2629" s="62">
        <v>14</v>
      </c>
    </row>
    <row r="2630" spans="1:3" x14ac:dyDescent="0.2">
      <c r="A2630" s="62" t="s">
        <v>3428</v>
      </c>
      <c r="B2630" s="48">
        <v>14</v>
      </c>
      <c r="C2630" s="62">
        <v>14</v>
      </c>
    </row>
    <row r="2631" spans="1:3" x14ac:dyDescent="0.2">
      <c r="A2631" s="62" t="s">
        <v>3427</v>
      </c>
      <c r="B2631" s="48">
        <v>14</v>
      </c>
      <c r="C2631" s="62">
        <v>14</v>
      </c>
    </row>
    <row r="2632" spans="1:3" x14ac:dyDescent="0.2">
      <c r="A2632" s="62" t="s">
        <v>3426</v>
      </c>
      <c r="B2632" s="48">
        <v>14</v>
      </c>
      <c r="C2632" s="62">
        <v>14</v>
      </c>
    </row>
    <row r="2633" spans="1:3" x14ac:dyDescent="0.2">
      <c r="A2633" s="62" t="s">
        <v>3425</v>
      </c>
      <c r="B2633" s="48">
        <v>14</v>
      </c>
      <c r="C2633" s="62">
        <v>14</v>
      </c>
    </row>
    <row r="2634" spans="1:3" x14ac:dyDescent="0.2">
      <c r="A2634" s="62" t="s">
        <v>3424</v>
      </c>
      <c r="B2634" s="48">
        <v>14</v>
      </c>
      <c r="C2634" s="62">
        <v>14</v>
      </c>
    </row>
    <row r="2635" spans="1:3" x14ac:dyDescent="0.2">
      <c r="A2635" s="62" t="s">
        <v>3423</v>
      </c>
      <c r="B2635" s="48">
        <v>14</v>
      </c>
      <c r="C2635" s="62">
        <v>14</v>
      </c>
    </row>
    <row r="2636" spans="1:3" x14ac:dyDescent="0.2">
      <c r="A2636" s="62" t="s">
        <v>3422</v>
      </c>
      <c r="B2636" s="48">
        <v>14</v>
      </c>
      <c r="C2636" s="62">
        <v>14</v>
      </c>
    </row>
    <row r="2637" spans="1:3" x14ac:dyDescent="0.2">
      <c r="A2637" s="62" t="s">
        <v>3421</v>
      </c>
      <c r="B2637" s="48">
        <v>14</v>
      </c>
      <c r="C2637" s="62">
        <v>14</v>
      </c>
    </row>
    <row r="2638" spans="1:3" x14ac:dyDescent="0.2">
      <c r="A2638" s="62" t="s">
        <v>3420</v>
      </c>
      <c r="B2638" s="48">
        <v>14</v>
      </c>
      <c r="C2638" s="62">
        <v>14</v>
      </c>
    </row>
    <row r="2639" spans="1:3" x14ac:dyDescent="0.2">
      <c r="A2639" s="62" t="s">
        <v>3419</v>
      </c>
      <c r="B2639" s="48">
        <v>114</v>
      </c>
      <c r="C2639" s="62">
        <v>114</v>
      </c>
    </row>
    <row r="2640" spans="1:3" x14ac:dyDescent="0.2">
      <c r="A2640" s="62" t="s">
        <v>3418</v>
      </c>
      <c r="B2640" s="48">
        <v>116</v>
      </c>
      <c r="C2640" s="62">
        <v>116</v>
      </c>
    </row>
    <row r="2641" spans="1:3" x14ac:dyDescent="0.2">
      <c r="A2641" s="62" t="s">
        <v>3417</v>
      </c>
      <c r="B2641" s="48">
        <v>15</v>
      </c>
      <c r="C2641" s="62">
        <v>15</v>
      </c>
    </row>
    <row r="2642" spans="1:3" x14ac:dyDescent="0.2">
      <c r="A2642" s="62" t="s">
        <v>3415</v>
      </c>
      <c r="B2642" s="48">
        <v>166</v>
      </c>
      <c r="C2642" s="62">
        <v>166</v>
      </c>
    </row>
    <row r="2643" spans="1:3" x14ac:dyDescent="0.2">
      <c r="A2643" s="62" t="s">
        <v>3414</v>
      </c>
      <c r="B2643" s="48">
        <v>166</v>
      </c>
      <c r="C2643" s="62">
        <v>166</v>
      </c>
    </row>
    <row r="2644" spans="1:3" x14ac:dyDescent="0.2">
      <c r="A2644" s="62" t="s">
        <v>3413</v>
      </c>
      <c r="B2644" s="48">
        <v>15</v>
      </c>
      <c r="C2644" s="62">
        <v>15</v>
      </c>
    </row>
    <row r="2645" spans="1:3" x14ac:dyDescent="0.2">
      <c r="A2645" s="62" t="s">
        <v>3412</v>
      </c>
      <c r="B2645" s="48">
        <v>15</v>
      </c>
      <c r="C2645" s="62">
        <v>15</v>
      </c>
    </row>
    <row r="2646" spans="1:3" x14ac:dyDescent="0.2">
      <c r="A2646" s="62" t="s">
        <v>3411</v>
      </c>
      <c r="B2646" s="48">
        <v>15</v>
      </c>
      <c r="C2646" s="62">
        <v>15</v>
      </c>
    </row>
    <row r="2647" spans="1:3" x14ac:dyDescent="0.2">
      <c r="A2647" s="62" t="s">
        <v>3410</v>
      </c>
      <c r="B2647" s="48">
        <v>15</v>
      </c>
      <c r="C2647" s="62">
        <v>15</v>
      </c>
    </row>
    <row r="2648" spans="1:3" x14ac:dyDescent="0.2">
      <c r="A2648" s="62" t="s">
        <v>3409</v>
      </c>
      <c r="B2648" s="48">
        <v>15</v>
      </c>
      <c r="C2648" s="62">
        <v>15</v>
      </c>
    </row>
    <row r="2649" spans="1:3" x14ac:dyDescent="0.2">
      <c r="A2649" s="62" t="s">
        <v>3408</v>
      </c>
      <c r="B2649" s="48">
        <v>15</v>
      </c>
      <c r="C2649" s="62">
        <v>15</v>
      </c>
    </row>
    <row r="2650" spans="1:3" x14ac:dyDescent="0.2">
      <c r="A2650" s="62" t="s">
        <v>3407</v>
      </c>
      <c r="B2650" s="48">
        <v>193</v>
      </c>
      <c r="C2650" s="62">
        <v>193</v>
      </c>
    </row>
    <row r="2651" spans="1:3" x14ac:dyDescent="0.2">
      <c r="A2651" s="62" t="s">
        <v>3406</v>
      </c>
      <c r="B2651" s="48">
        <v>197</v>
      </c>
      <c r="C2651" s="62">
        <v>197</v>
      </c>
    </row>
    <row r="2652" spans="1:3" x14ac:dyDescent="0.2">
      <c r="A2652" s="62" t="s">
        <v>3405</v>
      </c>
      <c r="B2652" s="48">
        <v>62</v>
      </c>
      <c r="C2652" s="62">
        <v>62</v>
      </c>
    </row>
    <row r="2653" spans="1:3" x14ac:dyDescent="0.2">
      <c r="A2653" s="62" t="s">
        <v>3404</v>
      </c>
      <c r="B2653" s="48">
        <v>62</v>
      </c>
      <c r="C2653" s="62">
        <v>62</v>
      </c>
    </row>
    <row r="2654" spans="1:3" x14ac:dyDescent="0.2">
      <c r="A2654" s="62" t="s">
        <v>3403</v>
      </c>
      <c r="B2654" s="48">
        <v>70</v>
      </c>
      <c r="C2654" s="62">
        <v>70</v>
      </c>
    </row>
    <row r="2655" spans="1:3" x14ac:dyDescent="0.2">
      <c r="A2655" s="62" t="s">
        <v>3402</v>
      </c>
      <c r="B2655" s="48">
        <v>182</v>
      </c>
      <c r="C2655" s="62">
        <v>182</v>
      </c>
    </row>
    <row r="2656" spans="1:3" x14ac:dyDescent="0.2">
      <c r="A2656" s="62" t="s">
        <v>3401</v>
      </c>
      <c r="B2656" s="48">
        <v>61</v>
      </c>
      <c r="C2656" s="62">
        <v>61</v>
      </c>
    </row>
    <row r="2657" spans="1:3" x14ac:dyDescent="0.2">
      <c r="A2657" s="62" t="s">
        <v>3400</v>
      </c>
      <c r="B2657" s="48">
        <v>2</v>
      </c>
      <c r="C2657" s="62">
        <v>2</v>
      </c>
    </row>
    <row r="2658" spans="1:3" x14ac:dyDescent="0.2">
      <c r="A2658" s="62" t="s">
        <v>3399</v>
      </c>
      <c r="B2658" s="48">
        <v>14</v>
      </c>
      <c r="C2658" s="62">
        <v>14</v>
      </c>
    </row>
    <row r="2659" spans="1:3" x14ac:dyDescent="0.2">
      <c r="A2659" s="62" t="s">
        <v>3398</v>
      </c>
      <c r="B2659" s="48">
        <v>15</v>
      </c>
      <c r="C2659" s="62">
        <v>15</v>
      </c>
    </row>
    <row r="2660" spans="1:3" x14ac:dyDescent="0.2">
      <c r="A2660" s="62" t="s">
        <v>3397</v>
      </c>
      <c r="B2660" s="48">
        <v>15</v>
      </c>
      <c r="C2660" s="62">
        <v>15</v>
      </c>
    </row>
    <row r="2661" spans="1:3" x14ac:dyDescent="0.2">
      <c r="A2661" s="62" t="s">
        <v>3396</v>
      </c>
      <c r="B2661" s="48">
        <v>14</v>
      </c>
      <c r="C2661" s="62">
        <v>14</v>
      </c>
    </row>
    <row r="2662" spans="1:3" x14ac:dyDescent="0.2">
      <c r="A2662" s="62" t="s">
        <v>3395</v>
      </c>
      <c r="B2662" s="48">
        <v>2</v>
      </c>
      <c r="C2662" s="62">
        <v>2</v>
      </c>
    </row>
    <row r="2663" spans="1:3" x14ac:dyDescent="0.2">
      <c r="A2663" s="62" t="s">
        <v>3394</v>
      </c>
      <c r="B2663" s="48">
        <v>15</v>
      </c>
      <c r="C2663" s="62">
        <v>15</v>
      </c>
    </row>
    <row r="2664" spans="1:3" x14ac:dyDescent="0.2">
      <c r="A2664" s="62" t="s">
        <v>3393</v>
      </c>
      <c r="B2664" s="48">
        <v>15</v>
      </c>
      <c r="C2664" s="62">
        <v>15</v>
      </c>
    </row>
    <row r="2665" spans="1:3" x14ac:dyDescent="0.2">
      <c r="A2665" s="62" t="s">
        <v>3392</v>
      </c>
      <c r="B2665" s="48">
        <v>14</v>
      </c>
      <c r="C2665" s="62">
        <v>14</v>
      </c>
    </row>
    <row r="2666" spans="1:3" x14ac:dyDescent="0.2">
      <c r="A2666" s="62" t="s">
        <v>3391</v>
      </c>
      <c r="B2666" s="48">
        <v>14</v>
      </c>
      <c r="C2666" s="62">
        <v>14</v>
      </c>
    </row>
    <row r="2667" spans="1:3" x14ac:dyDescent="0.2">
      <c r="A2667" s="62" t="s">
        <v>3389</v>
      </c>
      <c r="B2667" s="48">
        <v>15</v>
      </c>
      <c r="C2667" s="62">
        <v>15</v>
      </c>
    </row>
    <row r="2668" spans="1:3" x14ac:dyDescent="0.2">
      <c r="A2668" s="62" t="s">
        <v>3388</v>
      </c>
      <c r="B2668" s="48">
        <v>230</v>
      </c>
      <c r="C2668" s="62">
        <v>230</v>
      </c>
    </row>
    <row r="2669" spans="1:3" x14ac:dyDescent="0.2">
      <c r="A2669" s="62" t="s">
        <v>3386</v>
      </c>
      <c r="B2669" s="48">
        <v>14</v>
      </c>
      <c r="C2669" s="62">
        <v>14</v>
      </c>
    </row>
    <row r="2670" spans="1:3" x14ac:dyDescent="0.2">
      <c r="A2670" s="62" t="s">
        <v>3385</v>
      </c>
      <c r="B2670" s="48">
        <v>61</v>
      </c>
      <c r="C2670" s="62">
        <v>61</v>
      </c>
    </row>
    <row r="2671" spans="1:3" x14ac:dyDescent="0.2">
      <c r="A2671" s="62" t="s">
        <v>3384</v>
      </c>
      <c r="B2671" s="48">
        <v>2</v>
      </c>
      <c r="C2671" s="62">
        <v>2</v>
      </c>
    </row>
    <row r="2672" spans="1:3" x14ac:dyDescent="0.2">
      <c r="A2672" s="62" t="s">
        <v>3383</v>
      </c>
      <c r="B2672" s="48">
        <v>88</v>
      </c>
      <c r="C2672" s="62">
        <v>88</v>
      </c>
    </row>
    <row r="2673" spans="1:3" x14ac:dyDescent="0.2">
      <c r="A2673" s="62" t="s">
        <v>3382</v>
      </c>
      <c r="B2673" s="48">
        <v>29</v>
      </c>
      <c r="C2673" s="62">
        <v>29</v>
      </c>
    </row>
    <row r="2674" spans="1:3" x14ac:dyDescent="0.2">
      <c r="A2674" s="62" t="s">
        <v>3381</v>
      </c>
      <c r="B2674" s="48">
        <v>61</v>
      </c>
      <c r="C2674" s="62">
        <v>61</v>
      </c>
    </row>
    <row r="2675" spans="1:3" x14ac:dyDescent="0.2">
      <c r="A2675" s="62" t="s">
        <v>3379</v>
      </c>
      <c r="B2675" s="48">
        <v>15</v>
      </c>
      <c r="C2675" s="62">
        <v>15</v>
      </c>
    </row>
    <row r="2676" spans="1:3" x14ac:dyDescent="0.2">
      <c r="A2676" s="62" t="s">
        <v>3378</v>
      </c>
      <c r="B2676" s="48">
        <v>15</v>
      </c>
      <c r="C2676" s="62">
        <v>15</v>
      </c>
    </row>
    <row r="2677" spans="1:3" x14ac:dyDescent="0.2">
      <c r="A2677" s="62" t="s">
        <v>3377</v>
      </c>
      <c r="B2677" s="48">
        <v>15</v>
      </c>
      <c r="C2677" s="62">
        <v>15</v>
      </c>
    </row>
    <row r="2678" spans="1:3" x14ac:dyDescent="0.2">
      <c r="A2678" s="62" t="s">
        <v>3376</v>
      </c>
      <c r="B2678" s="48">
        <v>2</v>
      </c>
      <c r="C2678" s="62">
        <v>2</v>
      </c>
    </row>
    <row r="2679" spans="1:3" x14ac:dyDescent="0.2">
      <c r="A2679" s="62" t="s">
        <v>3375</v>
      </c>
      <c r="B2679" s="48">
        <v>2</v>
      </c>
      <c r="C2679" s="62">
        <v>2</v>
      </c>
    </row>
    <row r="2680" spans="1:3" x14ac:dyDescent="0.2">
      <c r="A2680" s="62" t="s">
        <v>3374</v>
      </c>
      <c r="B2680" s="48">
        <v>4</v>
      </c>
      <c r="C2680" s="62">
        <v>4</v>
      </c>
    </row>
    <row r="2681" spans="1:3" x14ac:dyDescent="0.2">
      <c r="A2681" s="62" t="s">
        <v>3373</v>
      </c>
      <c r="B2681" s="48">
        <v>2</v>
      </c>
      <c r="C2681" s="62">
        <v>2</v>
      </c>
    </row>
    <row r="2682" spans="1:3" x14ac:dyDescent="0.2">
      <c r="A2682" s="62" t="s">
        <v>3372</v>
      </c>
      <c r="B2682" s="48">
        <v>12</v>
      </c>
      <c r="C2682" s="62">
        <v>12</v>
      </c>
    </row>
    <row r="2683" spans="1:3" x14ac:dyDescent="0.2">
      <c r="A2683" s="62" t="s">
        <v>3370</v>
      </c>
      <c r="B2683" s="48">
        <v>15</v>
      </c>
      <c r="C2683" s="62">
        <v>15</v>
      </c>
    </row>
    <row r="2684" spans="1:3" x14ac:dyDescent="0.2">
      <c r="A2684" s="62" t="s">
        <v>3368</v>
      </c>
      <c r="B2684" s="48">
        <v>141</v>
      </c>
      <c r="C2684" s="62">
        <v>141</v>
      </c>
    </row>
    <row r="2685" spans="1:3" x14ac:dyDescent="0.2">
      <c r="A2685" s="62" t="s">
        <v>3367</v>
      </c>
      <c r="B2685" s="48">
        <v>13</v>
      </c>
      <c r="C2685" s="62">
        <v>13</v>
      </c>
    </row>
    <row r="2686" spans="1:3" x14ac:dyDescent="0.2">
      <c r="A2686" s="62" t="s">
        <v>3366</v>
      </c>
      <c r="B2686" s="48">
        <v>1</v>
      </c>
      <c r="C2686" s="62">
        <v>1</v>
      </c>
    </row>
    <row r="2687" spans="1:3" x14ac:dyDescent="0.2">
      <c r="A2687" s="62" t="s">
        <v>3365</v>
      </c>
      <c r="B2687" s="48">
        <v>18</v>
      </c>
      <c r="C2687" s="62">
        <v>18</v>
      </c>
    </row>
    <row r="2688" spans="1:3" x14ac:dyDescent="0.2">
      <c r="A2688" s="62" t="s">
        <v>3364</v>
      </c>
      <c r="B2688" s="48">
        <v>40</v>
      </c>
      <c r="C2688" s="62">
        <v>40</v>
      </c>
    </row>
    <row r="2689" spans="1:3" x14ac:dyDescent="0.2">
      <c r="A2689" s="62" t="s">
        <v>3363</v>
      </c>
      <c r="B2689" s="48">
        <v>40</v>
      </c>
      <c r="C2689" s="62">
        <v>40</v>
      </c>
    </row>
    <row r="2690" spans="1:3" x14ac:dyDescent="0.2">
      <c r="A2690" s="62" t="s">
        <v>3362</v>
      </c>
      <c r="B2690" s="48">
        <v>2</v>
      </c>
      <c r="C2690" s="62">
        <v>2</v>
      </c>
    </row>
    <row r="2691" spans="1:3" x14ac:dyDescent="0.2">
      <c r="A2691" s="62" t="s">
        <v>3361</v>
      </c>
      <c r="B2691" s="48">
        <v>56</v>
      </c>
      <c r="C2691" s="62">
        <v>56</v>
      </c>
    </row>
    <row r="2692" spans="1:3" x14ac:dyDescent="0.2">
      <c r="A2692" s="62" t="s">
        <v>3360</v>
      </c>
      <c r="B2692" s="48">
        <v>15</v>
      </c>
      <c r="C2692" s="62">
        <v>15</v>
      </c>
    </row>
    <row r="2693" spans="1:3" x14ac:dyDescent="0.2">
      <c r="A2693" s="62" t="s">
        <v>3358</v>
      </c>
      <c r="B2693" s="48">
        <v>230</v>
      </c>
      <c r="C2693" s="62">
        <v>230</v>
      </c>
    </row>
    <row r="2694" spans="1:3" x14ac:dyDescent="0.2">
      <c r="A2694" s="62" t="s">
        <v>3357</v>
      </c>
      <c r="B2694" s="48">
        <v>148</v>
      </c>
      <c r="C2694" s="62">
        <v>148</v>
      </c>
    </row>
    <row r="2695" spans="1:3" x14ac:dyDescent="0.2">
      <c r="A2695" s="62" t="s">
        <v>3356</v>
      </c>
      <c r="B2695" s="48">
        <v>197</v>
      </c>
      <c r="C2695" s="62">
        <v>197</v>
      </c>
    </row>
    <row r="2696" spans="1:3" x14ac:dyDescent="0.2">
      <c r="A2696" s="62" t="s">
        <v>3355</v>
      </c>
      <c r="B2696" s="48">
        <v>14</v>
      </c>
      <c r="C2696" s="62">
        <v>14</v>
      </c>
    </row>
    <row r="2697" spans="1:3" x14ac:dyDescent="0.2">
      <c r="A2697" s="62" t="s">
        <v>3353</v>
      </c>
      <c r="B2697" s="48">
        <v>69</v>
      </c>
      <c r="C2697" s="62">
        <v>69</v>
      </c>
    </row>
    <row r="2698" spans="1:3" x14ac:dyDescent="0.2">
      <c r="A2698" s="62" t="s">
        <v>3349</v>
      </c>
      <c r="B2698" s="48">
        <v>88</v>
      </c>
      <c r="C2698" s="62">
        <v>88</v>
      </c>
    </row>
    <row r="2699" spans="1:3" x14ac:dyDescent="0.2">
      <c r="A2699" s="62" t="s">
        <v>3348</v>
      </c>
      <c r="B2699" s="48">
        <v>225</v>
      </c>
      <c r="C2699" s="62">
        <v>225</v>
      </c>
    </row>
    <row r="2700" spans="1:3" x14ac:dyDescent="0.2">
      <c r="A2700" s="62" t="s">
        <v>3347</v>
      </c>
      <c r="B2700" s="48">
        <v>19</v>
      </c>
      <c r="C2700" s="62">
        <v>19</v>
      </c>
    </row>
    <row r="2701" spans="1:3" x14ac:dyDescent="0.2">
      <c r="A2701" s="62" t="s">
        <v>3346</v>
      </c>
      <c r="B2701" s="48">
        <v>33</v>
      </c>
      <c r="C2701" s="62">
        <v>33</v>
      </c>
    </row>
    <row r="2702" spans="1:3" x14ac:dyDescent="0.2">
      <c r="A2702" s="62" t="s">
        <v>3345</v>
      </c>
      <c r="B2702" s="48">
        <v>33</v>
      </c>
      <c r="C2702" s="62">
        <v>33</v>
      </c>
    </row>
    <row r="2703" spans="1:3" x14ac:dyDescent="0.2">
      <c r="A2703" s="62" t="s">
        <v>3344</v>
      </c>
      <c r="B2703" s="48">
        <v>33</v>
      </c>
      <c r="C2703" s="62">
        <v>33</v>
      </c>
    </row>
    <row r="2704" spans="1:3" x14ac:dyDescent="0.2">
      <c r="A2704" s="62" t="s">
        <v>3343</v>
      </c>
      <c r="B2704" s="48">
        <v>2</v>
      </c>
      <c r="C2704" s="62">
        <v>2</v>
      </c>
    </row>
    <row r="2705" spans="1:3" x14ac:dyDescent="0.2">
      <c r="A2705" s="62" t="s">
        <v>3342</v>
      </c>
      <c r="B2705" s="48">
        <v>2</v>
      </c>
      <c r="C2705" s="62">
        <v>2</v>
      </c>
    </row>
    <row r="2706" spans="1:3" x14ac:dyDescent="0.2">
      <c r="A2706" s="62" t="s">
        <v>3341</v>
      </c>
      <c r="B2706" s="48">
        <v>2</v>
      </c>
      <c r="C2706" s="62">
        <v>2</v>
      </c>
    </row>
    <row r="2707" spans="1:3" x14ac:dyDescent="0.2">
      <c r="A2707" s="62" t="s">
        <v>3340</v>
      </c>
      <c r="B2707" s="48">
        <v>2</v>
      </c>
      <c r="C2707" s="62">
        <v>2</v>
      </c>
    </row>
    <row r="2708" spans="1:3" x14ac:dyDescent="0.2">
      <c r="A2708" s="62" t="s">
        <v>3339</v>
      </c>
      <c r="B2708" s="48">
        <v>2</v>
      </c>
      <c r="C2708" s="62">
        <v>2</v>
      </c>
    </row>
    <row r="2709" spans="1:3" x14ac:dyDescent="0.2">
      <c r="A2709" s="62" t="s">
        <v>3338</v>
      </c>
      <c r="B2709" s="48">
        <v>14</v>
      </c>
      <c r="C2709" s="62">
        <v>14</v>
      </c>
    </row>
    <row r="2710" spans="1:3" x14ac:dyDescent="0.2">
      <c r="A2710" s="62" t="s">
        <v>3337</v>
      </c>
      <c r="B2710" s="48">
        <v>88</v>
      </c>
      <c r="C2710" s="62">
        <v>88</v>
      </c>
    </row>
    <row r="2711" spans="1:3" x14ac:dyDescent="0.2">
      <c r="A2711" s="62" t="s">
        <v>3336</v>
      </c>
      <c r="B2711" s="48">
        <v>130</v>
      </c>
      <c r="C2711" s="62">
        <v>130</v>
      </c>
    </row>
    <row r="2712" spans="1:3" x14ac:dyDescent="0.2">
      <c r="A2712" s="62" t="s">
        <v>3335</v>
      </c>
      <c r="B2712" s="48">
        <v>198</v>
      </c>
      <c r="C2712" s="62">
        <v>198</v>
      </c>
    </row>
    <row r="2713" spans="1:3" x14ac:dyDescent="0.2">
      <c r="A2713" s="62" t="s">
        <v>3333</v>
      </c>
      <c r="B2713" s="48">
        <v>225</v>
      </c>
      <c r="C2713" s="62">
        <v>225</v>
      </c>
    </row>
    <row r="2714" spans="1:3" x14ac:dyDescent="0.2">
      <c r="A2714" s="62" t="s">
        <v>3332</v>
      </c>
      <c r="B2714" s="48">
        <v>225</v>
      </c>
      <c r="C2714" s="62">
        <v>225</v>
      </c>
    </row>
    <row r="2715" spans="1:3" x14ac:dyDescent="0.2">
      <c r="A2715" s="62" t="s">
        <v>3331</v>
      </c>
      <c r="B2715" s="48">
        <v>225</v>
      </c>
      <c r="C2715" s="62">
        <v>225</v>
      </c>
    </row>
    <row r="2716" spans="1:3" x14ac:dyDescent="0.2">
      <c r="A2716" s="62" t="s">
        <v>3330</v>
      </c>
      <c r="B2716" s="48">
        <v>225</v>
      </c>
      <c r="C2716" s="62">
        <v>225</v>
      </c>
    </row>
    <row r="2717" spans="1:3" x14ac:dyDescent="0.2">
      <c r="A2717" s="62" t="s">
        <v>3329</v>
      </c>
      <c r="B2717" s="48">
        <v>225</v>
      </c>
      <c r="C2717" s="62">
        <v>225</v>
      </c>
    </row>
    <row r="2718" spans="1:3" x14ac:dyDescent="0.2">
      <c r="A2718" s="62" t="s">
        <v>3328</v>
      </c>
      <c r="B2718" s="48">
        <v>225</v>
      </c>
      <c r="C2718" s="62">
        <v>225</v>
      </c>
    </row>
    <row r="2719" spans="1:3" x14ac:dyDescent="0.2">
      <c r="A2719" s="62" t="s">
        <v>3327</v>
      </c>
      <c r="B2719" s="48">
        <v>225</v>
      </c>
      <c r="C2719" s="62">
        <v>225</v>
      </c>
    </row>
    <row r="2720" spans="1:3" x14ac:dyDescent="0.2">
      <c r="A2720" s="62" t="s">
        <v>3326</v>
      </c>
      <c r="B2720" s="48">
        <v>225</v>
      </c>
      <c r="C2720" s="62">
        <v>225</v>
      </c>
    </row>
    <row r="2721" spans="1:3" x14ac:dyDescent="0.2">
      <c r="A2721" s="62" t="s">
        <v>3325</v>
      </c>
      <c r="B2721" s="48">
        <v>225</v>
      </c>
      <c r="C2721" s="62">
        <v>225</v>
      </c>
    </row>
    <row r="2722" spans="1:3" x14ac:dyDescent="0.2">
      <c r="A2722" s="62" t="s">
        <v>3324</v>
      </c>
      <c r="B2722" s="48">
        <v>225</v>
      </c>
      <c r="C2722" s="62">
        <v>225</v>
      </c>
    </row>
    <row r="2723" spans="1:3" x14ac:dyDescent="0.2">
      <c r="A2723" s="62" t="s">
        <v>3323</v>
      </c>
      <c r="B2723" s="48">
        <v>225</v>
      </c>
      <c r="C2723" s="62">
        <v>225</v>
      </c>
    </row>
    <row r="2724" spans="1:3" x14ac:dyDescent="0.2">
      <c r="A2724" s="62" t="s">
        <v>3322</v>
      </c>
      <c r="B2724" s="48">
        <v>225</v>
      </c>
      <c r="C2724" s="62">
        <v>225</v>
      </c>
    </row>
    <row r="2725" spans="1:3" x14ac:dyDescent="0.2">
      <c r="A2725" s="62" t="s">
        <v>3321</v>
      </c>
      <c r="B2725" s="48">
        <v>225</v>
      </c>
      <c r="C2725" s="62">
        <v>225</v>
      </c>
    </row>
    <row r="2726" spans="1:3" x14ac:dyDescent="0.2">
      <c r="A2726" s="62" t="s">
        <v>3320</v>
      </c>
      <c r="B2726" s="48">
        <v>225</v>
      </c>
      <c r="C2726" s="62">
        <v>225</v>
      </c>
    </row>
    <row r="2727" spans="1:3" x14ac:dyDescent="0.2">
      <c r="A2727" s="62" t="s">
        <v>3319</v>
      </c>
      <c r="B2727" s="48">
        <v>225</v>
      </c>
      <c r="C2727" s="62">
        <v>225</v>
      </c>
    </row>
    <row r="2728" spans="1:3" x14ac:dyDescent="0.2">
      <c r="A2728" s="62" t="s">
        <v>3318</v>
      </c>
      <c r="B2728" s="48">
        <v>225</v>
      </c>
      <c r="C2728" s="62">
        <v>225</v>
      </c>
    </row>
    <row r="2729" spans="1:3" x14ac:dyDescent="0.2">
      <c r="A2729" s="62" t="s">
        <v>3317</v>
      </c>
      <c r="B2729" s="48">
        <v>225</v>
      </c>
      <c r="C2729" s="62">
        <v>225</v>
      </c>
    </row>
    <row r="2730" spans="1:3" x14ac:dyDescent="0.2">
      <c r="A2730" s="62" t="s">
        <v>3316</v>
      </c>
      <c r="B2730" s="48">
        <v>225</v>
      </c>
      <c r="C2730" s="62">
        <v>225</v>
      </c>
    </row>
    <row r="2731" spans="1:3" x14ac:dyDescent="0.2">
      <c r="A2731" s="62" t="s">
        <v>3315</v>
      </c>
      <c r="B2731" s="48">
        <v>15</v>
      </c>
      <c r="C2731" s="62">
        <v>15</v>
      </c>
    </row>
    <row r="2732" spans="1:3" x14ac:dyDescent="0.2">
      <c r="A2732" s="62" t="s">
        <v>3314</v>
      </c>
      <c r="B2732" s="48">
        <v>33</v>
      </c>
      <c r="C2732" s="62">
        <v>33</v>
      </c>
    </row>
    <row r="2733" spans="1:3" x14ac:dyDescent="0.2">
      <c r="A2733" s="62" t="s">
        <v>3313</v>
      </c>
      <c r="B2733" s="48">
        <v>15</v>
      </c>
      <c r="C2733" s="62">
        <v>15</v>
      </c>
    </row>
    <row r="2734" spans="1:3" x14ac:dyDescent="0.2">
      <c r="A2734" s="62" t="s">
        <v>3312</v>
      </c>
      <c r="B2734" s="48">
        <v>15</v>
      </c>
      <c r="C2734" s="62">
        <v>15</v>
      </c>
    </row>
    <row r="2735" spans="1:3" x14ac:dyDescent="0.2">
      <c r="A2735" s="62" t="s">
        <v>3311</v>
      </c>
      <c r="B2735" s="48">
        <v>15</v>
      </c>
      <c r="C2735" s="62">
        <v>15</v>
      </c>
    </row>
    <row r="2736" spans="1:3" x14ac:dyDescent="0.2">
      <c r="A2736" s="62" t="s">
        <v>3310</v>
      </c>
      <c r="B2736" s="48">
        <v>15</v>
      </c>
      <c r="C2736" s="62">
        <v>15</v>
      </c>
    </row>
    <row r="2737" spans="1:3" x14ac:dyDescent="0.2">
      <c r="A2737" s="62" t="s">
        <v>3309</v>
      </c>
      <c r="B2737" s="48">
        <v>15</v>
      </c>
      <c r="C2737" s="62">
        <v>15</v>
      </c>
    </row>
    <row r="2738" spans="1:3" x14ac:dyDescent="0.2">
      <c r="A2738" s="62" t="s">
        <v>3308</v>
      </c>
      <c r="B2738" s="48">
        <v>2</v>
      </c>
      <c r="C2738" s="62">
        <v>2</v>
      </c>
    </row>
    <row r="2739" spans="1:3" x14ac:dyDescent="0.2">
      <c r="A2739" s="62" t="s">
        <v>3307</v>
      </c>
      <c r="B2739" s="48">
        <v>2</v>
      </c>
      <c r="C2739" s="62">
        <v>2</v>
      </c>
    </row>
    <row r="2740" spans="1:3" x14ac:dyDescent="0.2">
      <c r="A2740" s="62" t="s">
        <v>3306</v>
      </c>
      <c r="B2740" s="48">
        <v>94</v>
      </c>
      <c r="C2740" s="62">
        <v>94</v>
      </c>
    </row>
    <row r="2741" spans="1:3" x14ac:dyDescent="0.2">
      <c r="A2741" s="62" t="s">
        <v>3304</v>
      </c>
      <c r="B2741" s="48">
        <v>14</v>
      </c>
      <c r="C2741" s="62">
        <v>14</v>
      </c>
    </row>
    <row r="2742" spans="1:3" x14ac:dyDescent="0.2">
      <c r="A2742" s="62" t="s">
        <v>3303</v>
      </c>
      <c r="B2742" s="48">
        <v>14</v>
      </c>
      <c r="C2742" s="62">
        <v>14</v>
      </c>
    </row>
    <row r="2743" spans="1:3" x14ac:dyDescent="0.2">
      <c r="A2743" s="62" t="s">
        <v>3302</v>
      </c>
      <c r="B2743" s="48">
        <v>2</v>
      </c>
      <c r="C2743" s="62">
        <v>2</v>
      </c>
    </row>
    <row r="2744" spans="1:3" x14ac:dyDescent="0.2">
      <c r="A2744" s="62" t="s">
        <v>3301</v>
      </c>
      <c r="B2744" s="48">
        <v>15</v>
      </c>
      <c r="C2744" s="62">
        <v>15</v>
      </c>
    </row>
    <row r="2745" spans="1:3" x14ac:dyDescent="0.2">
      <c r="A2745" s="62" t="s">
        <v>3300</v>
      </c>
      <c r="B2745" s="48">
        <v>88</v>
      </c>
      <c r="C2745" s="62">
        <v>88</v>
      </c>
    </row>
    <row r="2746" spans="1:3" x14ac:dyDescent="0.2">
      <c r="A2746" s="62" t="s">
        <v>3299</v>
      </c>
      <c r="B2746" s="48">
        <v>163</v>
      </c>
      <c r="C2746" s="62">
        <v>163</v>
      </c>
    </row>
    <row r="2747" spans="1:3" x14ac:dyDescent="0.2">
      <c r="A2747" s="62" t="s">
        <v>3298</v>
      </c>
      <c r="B2747" s="48">
        <v>9</v>
      </c>
      <c r="C2747" s="62">
        <v>9</v>
      </c>
    </row>
    <row r="2748" spans="1:3" x14ac:dyDescent="0.2">
      <c r="A2748" s="62" t="s">
        <v>3296</v>
      </c>
      <c r="B2748" s="48">
        <v>163</v>
      </c>
      <c r="C2748" s="62">
        <v>163</v>
      </c>
    </row>
    <row r="2749" spans="1:3" x14ac:dyDescent="0.2">
      <c r="A2749" s="62" t="s">
        <v>3295</v>
      </c>
      <c r="B2749" s="48">
        <v>88</v>
      </c>
      <c r="C2749" s="62">
        <v>88</v>
      </c>
    </row>
    <row r="2750" spans="1:3" x14ac:dyDescent="0.2">
      <c r="A2750" s="62" t="s">
        <v>3294</v>
      </c>
      <c r="B2750" s="48">
        <v>88</v>
      </c>
      <c r="C2750" s="62">
        <v>88</v>
      </c>
    </row>
    <row r="2751" spans="1:3" x14ac:dyDescent="0.2">
      <c r="A2751" s="62" t="s">
        <v>3293</v>
      </c>
      <c r="B2751" s="48">
        <v>88</v>
      </c>
      <c r="C2751" s="62">
        <v>88</v>
      </c>
    </row>
    <row r="2752" spans="1:3" x14ac:dyDescent="0.2">
      <c r="A2752" s="62" t="s">
        <v>3292</v>
      </c>
      <c r="B2752" s="48">
        <v>88</v>
      </c>
      <c r="C2752" s="62">
        <v>88</v>
      </c>
    </row>
    <row r="2753" spans="1:3" x14ac:dyDescent="0.2">
      <c r="A2753" s="62" t="s">
        <v>3291</v>
      </c>
      <c r="B2753" s="48">
        <v>88</v>
      </c>
      <c r="C2753" s="62">
        <v>88</v>
      </c>
    </row>
    <row r="2754" spans="1:3" x14ac:dyDescent="0.2">
      <c r="A2754" s="62" t="s">
        <v>3290</v>
      </c>
      <c r="B2754" s="48">
        <v>88</v>
      </c>
      <c r="C2754" s="62">
        <v>88</v>
      </c>
    </row>
    <row r="2755" spans="1:3" x14ac:dyDescent="0.2">
      <c r="A2755" s="62" t="s">
        <v>3289</v>
      </c>
      <c r="B2755" s="48">
        <v>88</v>
      </c>
      <c r="C2755" s="62">
        <v>88</v>
      </c>
    </row>
    <row r="2756" spans="1:3" x14ac:dyDescent="0.2">
      <c r="A2756" s="62" t="s">
        <v>3288</v>
      </c>
      <c r="B2756" s="48">
        <v>19</v>
      </c>
      <c r="C2756" s="62">
        <v>19</v>
      </c>
    </row>
    <row r="2757" spans="1:3" x14ac:dyDescent="0.2">
      <c r="A2757" s="62" t="s">
        <v>3287</v>
      </c>
      <c r="B2757" s="48">
        <v>14</v>
      </c>
      <c r="C2757" s="62">
        <v>14</v>
      </c>
    </row>
    <row r="2758" spans="1:3" x14ac:dyDescent="0.2">
      <c r="A2758" s="62" t="s">
        <v>3286</v>
      </c>
      <c r="B2758" s="48">
        <v>225</v>
      </c>
      <c r="C2758" s="62">
        <v>225</v>
      </c>
    </row>
    <row r="2759" spans="1:3" x14ac:dyDescent="0.2">
      <c r="A2759" s="62" t="s">
        <v>3285</v>
      </c>
      <c r="B2759" s="48">
        <v>225</v>
      </c>
      <c r="C2759" s="62">
        <v>225</v>
      </c>
    </row>
    <row r="2760" spans="1:3" x14ac:dyDescent="0.2">
      <c r="A2760" s="62" t="s">
        <v>3284</v>
      </c>
      <c r="B2760" s="48">
        <v>19</v>
      </c>
      <c r="C2760" s="62">
        <v>19</v>
      </c>
    </row>
    <row r="2761" spans="1:3" x14ac:dyDescent="0.2">
      <c r="A2761" s="62" t="s">
        <v>3283</v>
      </c>
      <c r="B2761" s="48">
        <v>225</v>
      </c>
      <c r="C2761" s="62">
        <v>225</v>
      </c>
    </row>
    <row r="2762" spans="1:3" x14ac:dyDescent="0.2">
      <c r="A2762" s="62" t="s">
        <v>3282</v>
      </c>
      <c r="B2762" s="48">
        <v>19</v>
      </c>
      <c r="C2762" s="62">
        <v>19</v>
      </c>
    </row>
    <row r="2763" spans="1:3" x14ac:dyDescent="0.2">
      <c r="A2763" s="62" t="s">
        <v>3281</v>
      </c>
      <c r="B2763" s="48">
        <v>19</v>
      </c>
      <c r="C2763" s="62">
        <v>19</v>
      </c>
    </row>
    <row r="2764" spans="1:3" x14ac:dyDescent="0.2">
      <c r="A2764" s="62" t="s">
        <v>3280</v>
      </c>
      <c r="B2764" s="48">
        <v>14</v>
      </c>
      <c r="C2764" s="62">
        <v>14</v>
      </c>
    </row>
    <row r="2765" spans="1:3" x14ac:dyDescent="0.2">
      <c r="A2765" s="62" t="s">
        <v>3279</v>
      </c>
      <c r="B2765" s="48">
        <v>2</v>
      </c>
      <c r="C2765" s="62">
        <v>2</v>
      </c>
    </row>
    <row r="2766" spans="1:3" x14ac:dyDescent="0.2">
      <c r="A2766" s="62" t="s">
        <v>3278</v>
      </c>
      <c r="B2766" s="48">
        <v>2</v>
      </c>
      <c r="C2766" s="62">
        <v>2</v>
      </c>
    </row>
    <row r="2767" spans="1:3" x14ac:dyDescent="0.2">
      <c r="A2767" s="62" t="s">
        <v>3277</v>
      </c>
      <c r="B2767" s="48">
        <v>2</v>
      </c>
      <c r="C2767" s="62">
        <v>2</v>
      </c>
    </row>
    <row r="2768" spans="1:3" x14ac:dyDescent="0.2">
      <c r="A2768" s="62" t="s">
        <v>3276</v>
      </c>
      <c r="B2768" s="48">
        <v>14</v>
      </c>
      <c r="C2768" s="62">
        <v>14</v>
      </c>
    </row>
    <row r="2769" spans="1:3" x14ac:dyDescent="0.2">
      <c r="A2769" s="62" t="s">
        <v>3275</v>
      </c>
      <c r="B2769" s="48">
        <v>2</v>
      </c>
      <c r="C2769" s="62">
        <v>2</v>
      </c>
    </row>
    <row r="2770" spans="1:3" x14ac:dyDescent="0.2">
      <c r="A2770" s="62" t="s">
        <v>3274</v>
      </c>
      <c r="B2770" s="48">
        <v>15</v>
      </c>
      <c r="C2770" s="62">
        <v>15</v>
      </c>
    </row>
    <row r="2771" spans="1:3" x14ac:dyDescent="0.2">
      <c r="A2771" s="62" t="s">
        <v>3272</v>
      </c>
      <c r="B2771" s="48">
        <v>15</v>
      </c>
      <c r="C2771" s="62">
        <v>15</v>
      </c>
    </row>
    <row r="2772" spans="1:3" x14ac:dyDescent="0.2">
      <c r="A2772" s="62" t="s">
        <v>3271</v>
      </c>
      <c r="B2772" s="48">
        <v>58</v>
      </c>
      <c r="C2772" s="62">
        <v>58</v>
      </c>
    </row>
    <row r="2773" spans="1:3" x14ac:dyDescent="0.2">
      <c r="A2773" s="62" t="s">
        <v>3270</v>
      </c>
      <c r="B2773" s="48">
        <v>148</v>
      </c>
      <c r="C2773" s="62">
        <v>148</v>
      </c>
    </row>
    <row r="2774" spans="1:3" x14ac:dyDescent="0.2">
      <c r="A2774" s="62" t="s">
        <v>3269</v>
      </c>
      <c r="B2774" s="48">
        <v>122</v>
      </c>
      <c r="C2774" s="62">
        <v>122</v>
      </c>
    </row>
    <row r="2775" spans="1:3" x14ac:dyDescent="0.2">
      <c r="A2775" s="62" t="s">
        <v>3268</v>
      </c>
      <c r="B2775" s="48">
        <v>15</v>
      </c>
      <c r="C2775" s="62">
        <v>15</v>
      </c>
    </row>
    <row r="2776" spans="1:3" x14ac:dyDescent="0.2">
      <c r="A2776" s="62" t="s">
        <v>3267</v>
      </c>
      <c r="B2776" s="48">
        <v>74</v>
      </c>
      <c r="C2776" s="62">
        <v>74</v>
      </c>
    </row>
    <row r="2777" spans="1:3" x14ac:dyDescent="0.2">
      <c r="A2777" s="62" t="s">
        <v>3266</v>
      </c>
      <c r="B2777" s="48">
        <v>74</v>
      </c>
      <c r="C2777" s="62">
        <v>74</v>
      </c>
    </row>
    <row r="2778" spans="1:3" x14ac:dyDescent="0.2">
      <c r="A2778" s="62" t="s">
        <v>3265</v>
      </c>
      <c r="B2778" s="48">
        <v>14</v>
      </c>
      <c r="C2778" s="62">
        <v>14</v>
      </c>
    </row>
    <row r="2779" spans="1:3" x14ac:dyDescent="0.2">
      <c r="A2779" s="62" t="s">
        <v>3264</v>
      </c>
      <c r="B2779" s="48">
        <v>14</v>
      </c>
      <c r="C2779" s="62">
        <v>14</v>
      </c>
    </row>
    <row r="2780" spans="1:3" x14ac:dyDescent="0.2">
      <c r="A2780" s="62" t="s">
        <v>3263</v>
      </c>
      <c r="B2780" s="48">
        <v>12</v>
      </c>
      <c r="C2780" s="62">
        <v>12</v>
      </c>
    </row>
    <row r="2781" spans="1:3" x14ac:dyDescent="0.2">
      <c r="A2781" s="62" t="s">
        <v>3262</v>
      </c>
      <c r="B2781" s="48">
        <v>2</v>
      </c>
      <c r="C2781" s="62">
        <v>2</v>
      </c>
    </row>
    <row r="2782" spans="1:3" x14ac:dyDescent="0.2">
      <c r="A2782" s="62" t="s">
        <v>3261</v>
      </c>
      <c r="B2782" s="48">
        <v>14</v>
      </c>
      <c r="C2782" s="62">
        <v>14</v>
      </c>
    </row>
    <row r="2783" spans="1:3" x14ac:dyDescent="0.2">
      <c r="A2783" s="62" t="s">
        <v>3260</v>
      </c>
      <c r="B2783" s="48">
        <v>14</v>
      </c>
      <c r="C2783" s="62">
        <v>14</v>
      </c>
    </row>
    <row r="2784" spans="1:3" x14ac:dyDescent="0.2">
      <c r="A2784" s="62" t="s">
        <v>3259</v>
      </c>
      <c r="B2784" s="48">
        <v>90</v>
      </c>
      <c r="C2784" s="62">
        <v>90</v>
      </c>
    </row>
    <row r="2785" spans="1:3" x14ac:dyDescent="0.2">
      <c r="A2785" s="62" t="s">
        <v>3258</v>
      </c>
      <c r="B2785" s="48">
        <v>14</v>
      </c>
      <c r="C2785" s="62">
        <v>14</v>
      </c>
    </row>
    <row r="2786" spans="1:3" x14ac:dyDescent="0.2">
      <c r="A2786" s="62" t="s">
        <v>3257</v>
      </c>
      <c r="B2786" s="48">
        <v>14</v>
      </c>
      <c r="C2786" s="62">
        <v>14</v>
      </c>
    </row>
    <row r="2787" spans="1:3" x14ac:dyDescent="0.2">
      <c r="A2787" s="62" t="s">
        <v>3256</v>
      </c>
      <c r="B2787" s="48">
        <v>14</v>
      </c>
      <c r="C2787" s="62">
        <v>14</v>
      </c>
    </row>
    <row r="2788" spans="1:3" x14ac:dyDescent="0.2">
      <c r="A2788" s="62" t="s">
        <v>3255</v>
      </c>
      <c r="B2788" s="48">
        <v>14</v>
      </c>
      <c r="C2788" s="62">
        <v>14</v>
      </c>
    </row>
    <row r="2789" spans="1:3" x14ac:dyDescent="0.2">
      <c r="A2789" s="62" t="s">
        <v>3254</v>
      </c>
      <c r="B2789" s="48">
        <v>14</v>
      </c>
      <c r="C2789" s="62">
        <v>14</v>
      </c>
    </row>
    <row r="2790" spans="1:3" x14ac:dyDescent="0.2">
      <c r="A2790" s="62" t="s">
        <v>3253</v>
      </c>
      <c r="B2790" s="48">
        <v>14</v>
      </c>
      <c r="C2790" s="62">
        <v>14</v>
      </c>
    </row>
    <row r="2791" spans="1:3" x14ac:dyDescent="0.2">
      <c r="A2791" s="62" t="s">
        <v>3252</v>
      </c>
      <c r="B2791" s="48">
        <v>88</v>
      </c>
      <c r="C2791" s="62">
        <v>88</v>
      </c>
    </row>
    <row r="2792" spans="1:3" x14ac:dyDescent="0.2">
      <c r="A2792" s="62" t="s">
        <v>3251</v>
      </c>
      <c r="B2792" s="48">
        <v>15</v>
      </c>
      <c r="C2792" s="62">
        <v>15</v>
      </c>
    </row>
    <row r="2793" spans="1:3" x14ac:dyDescent="0.2">
      <c r="A2793" s="62" t="s">
        <v>3250</v>
      </c>
      <c r="B2793" s="48">
        <v>122</v>
      </c>
      <c r="C2793" s="62">
        <v>122</v>
      </c>
    </row>
    <row r="2794" spans="1:3" x14ac:dyDescent="0.2">
      <c r="A2794" s="62" t="s">
        <v>3249</v>
      </c>
      <c r="B2794" s="48">
        <v>220</v>
      </c>
      <c r="C2794" s="62">
        <v>220</v>
      </c>
    </row>
    <row r="2795" spans="1:3" x14ac:dyDescent="0.2">
      <c r="A2795" s="62" t="s">
        <v>3248</v>
      </c>
      <c r="B2795" s="48">
        <v>68</v>
      </c>
      <c r="C2795" s="62">
        <v>68</v>
      </c>
    </row>
    <row r="2796" spans="1:3" x14ac:dyDescent="0.2">
      <c r="A2796" s="62" t="s">
        <v>3247</v>
      </c>
      <c r="B2796" s="48">
        <v>14</v>
      </c>
      <c r="C2796" s="62">
        <v>14</v>
      </c>
    </row>
    <row r="2797" spans="1:3" x14ac:dyDescent="0.2">
      <c r="A2797" s="62" t="s">
        <v>3246</v>
      </c>
      <c r="B2797" s="48">
        <v>14</v>
      </c>
      <c r="C2797" s="62">
        <v>14</v>
      </c>
    </row>
    <row r="2798" spans="1:3" x14ac:dyDescent="0.2">
      <c r="A2798" s="62" t="s">
        <v>3245</v>
      </c>
      <c r="B2798" s="48">
        <v>88</v>
      </c>
      <c r="C2798" s="62">
        <v>88</v>
      </c>
    </row>
    <row r="2799" spans="1:3" x14ac:dyDescent="0.2">
      <c r="A2799" s="62" t="s">
        <v>3244</v>
      </c>
      <c r="B2799" s="48">
        <v>15</v>
      </c>
      <c r="C2799" s="62">
        <v>15</v>
      </c>
    </row>
    <row r="2800" spans="1:3" x14ac:dyDescent="0.2">
      <c r="A2800" s="62" t="s">
        <v>3243</v>
      </c>
      <c r="B2800" s="48">
        <v>2</v>
      </c>
      <c r="C2800" s="62">
        <v>2</v>
      </c>
    </row>
    <row r="2801" spans="1:3" x14ac:dyDescent="0.2">
      <c r="A2801" s="62" t="s">
        <v>3242</v>
      </c>
      <c r="B2801" s="48">
        <v>2</v>
      </c>
      <c r="C2801" s="62">
        <v>2</v>
      </c>
    </row>
    <row r="2802" spans="1:3" x14ac:dyDescent="0.2">
      <c r="A2802" s="62" t="s">
        <v>3241</v>
      </c>
      <c r="B2802" s="48">
        <v>2</v>
      </c>
      <c r="C2802" s="62">
        <v>2</v>
      </c>
    </row>
    <row r="2803" spans="1:3" x14ac:dyDescent="0.2">
      <c r="A2803" s="62" t="s">
        <v>3240</v>
      </c>
      <c r="B2803" s="48">
        <v>2</v>
      </c>
      <c r="C2803" s="62">
        <v>2</v>
      </c>
    </row>
    <row r="2804" spans="1:3" x14ac:dyDescent="0.2">
      <c r="A2804" s="62" t="s">
        <v>3239</v>
      </c>
      <c r="B2804" s="48">
        <v>2</v>
      </c>
      <c r="C2804" s="62">
        <v>2</v>
      </c>
    </row>
    <row r="2805" spans="1:3" x14ac:dyDescent="0.2">
      <c r="A2805" s="62" t="s">
        <v>3238</v>
      </c>
      <c r="B2805" s="48">
        <v>2</v>
      </c>
      <c r="C2805" s="62">
        <v>2</v>
      </c>
    </row>
    <row r="2806" spans="1:3" x14ac:dyDescent="0.2">
      <c r="A2806" s="62" t="s">
        <v>3237</v>
      </c>
      <c r="B2806" s="48">
        <v>2</v>
      </c>
      <c r="C2806" s="62">
        <v>2</v>
      </c>
    </row>
    <row r="2807" spans="1:3" x14ac:dyDescent="0.2">
      <c r="A2807" s="62" t="s">
        <v>3236</v>
      </c>
      <c r="B2807" s="48">
        <v>148</v>
      </c>
      <c r="C2807" s="62">
        <v>148</v>
      </c>
    </row>
    <row r="2808" spans="1:3" x14ac:dyDescent="0.2">
      <c r="A2808" s="62" t="s">
        <v>3235</v>
      </c>
      <c r="B2808" s="48">
        <v>148</v>
      </c>
      <c r="C2808" s="62">
        <v>148</v>
      </c>
    </row>
    <row r="2809" spans="1:3" x14ac:dyDescent="0.2">
      <c r="A2809" s="62" t="s">
        <v>3234</v>
      </c>
      <c r="B2809" s="48">
        <v>14</v>
      </c>
      <c r="C2809" s="62">
        <v>14</v>
      </c>
    </row>
    <row r="2810" spans="1:3" x14ac:dyDescent="0.2">
      <c r="A2810" s="62" t="s">
        <v>3233</v>
      </c>
      <c r="B2810" s="48">
        <v>66</v>
      </c>
      <c r="C2810" s="62">
        <v>66</v>
      </c>
    </row>
    <row r="2811" spans="1:3" x14ac:dyDescent="0.2">
      <c r="A2811" s="62" t="s">
        <v>3232</v>
      </c>
      <c r="B2811" s="48">
        <v>53</v>
      </c>
      <c r="C2811" s="62">
        <v>53</v>
      </c>
    </row>
    <row r="2812" spans="1:3" x14ac:dyDescent="0.2">
      <c r="A2812" s="62" t="s">
        <v>3231</v>
      </c>
      <c r="B2812" s="48">
        <v>61</v>
      </c>
      <c r="C2812" s="62">
        <v>61</v>
      </c>
    </row>
    <row r="2813" spans="1:3" x14ac:dyDescent="0.2">
      <c r="A2813" s="62" t="s">
        <v>3230</v>
      </c>
      <c r="B2813" s="48">
        <v>61</v>
      </c>
      <c r="C2813" s="62">
        <v>61</v>
      </c>
    </row>
    <row r="2814" spans="1:3" x14ac:dyDescent="0.2">
      <c r="A2814" s="62" t="s">
        <v>3229</v>
      </c>
      <c r="B2814" s="48">
        <v>61</v>
      </c>
      <c r="C2814" s="62">
        <v>61</v>
      </c>
    </row>
    <row r="2815" spans="1:3" x14ac:dyDescent="0.2">
      <c r="A2815" s="62" t="s">
        <v>3228</v>
      </c>
      <c r="B2815" s="48">
        <v>61</v>
      </c>
      <c r="C2815" s="62">
        <v>61</v>
      </c>
    </row>
    <row r="2816" spans="1:3" x14ac:dyDescent="0.2">
      <c r="A2816" s="62" t="s">
        <v>3227</v>
      </c>
      <c r="B2816" s="48">
        <v>61</v>
      </c>
      <c r="C2816" s="62">
        <v>61</v>
      </c>
    </row>
    <row r="2817" spans="1:3" x14ac:dyDescent="0.2">
      <c r="A2817" s="62" t="s">
        <v>3226</v>
      </c>
      <c r="B2817" s="48">
        <v>74</v>
      </c>
      <c r="C2817" s="62">
        <v>74</v>
      </c>
    </row>
    <row r="2818" spans="1:3" x14ac:dyDescent="0.2">
      <c r="A2818" s="62" t="s">
        <v>3225</v>
      </c>
      <c r="B2818" s="48">
        <v>74</v>
      </c>
      <c r="C2818" s="62">
        <v>74</v>
      </c>
    </row>
    <row r="2819" spans="1:3" x14ac:dyDescent="0.2">
      <c r="A2819" s="62" t="s">
        <v>3224</v>
      </c>
      <c r="B2819" s="48">
        <v>15</v>
      </c>
      <c r="C2819" s="62">
        <v>15</v>
      </c>
    </row>
    <row r="2820" spans="1:3" x14ac:dyDescent="0.2">
      <c r="A2820" s="62" t="s">
        <v>3223</v>
      </c>
      <c r="B2820" s="48">
        <v>15</v>
      </c>
      <c r="C2820" s="62">
        <v>15</v>
      </c>
    </row>
    <row r="2821" spans="1:3" x14ac:dyDescent="0.2">
      <c r="A2821" s="62" t="s">
        <v>3222</v>
      </c>
      <c r="B2821" s="48">
        <v>2</v>
      </c>
      <c r="C2821" s="62">
        <v>2</v>
      </c>
    </row>
    <row r="2822" spans="1:3" x14ac:dyDescent="0.2">
      <c r="A2822" s="62" t="s">
        <v>3221</v>
      </c>
      <c r="B2822" s="48">
        <v>62</v>
      </c>
      <c r="C2822" s="62">
        <v>62</v>
      </c>
    </row>
    <row r="2823" spans="1:3" x14ac:dyDescent="0.2">
      <c r="A2823" s="62" t="s">
        <v>3220</v>
      </c>
      <c r="B2823" s="48">
        <v>12</v>
      </c>
      <c r="C2823" s="62">
        <v>12</v>
      </c>
    </row>
    <row r="2824" spans="1:3" x14ac:dyDescent="0.2">
      <c r="A2824" s="62" t="s">
        <v>3219</v>
      </c>
      <c r="B2824" s="48">
        <v>62</v>
      </c>
      <c r="C2824" s="62">
        <v>62</v>
      </c>
    </row>
    <row r="2825" spans="1:3" x14ac:dyDescent="0.2">
      <c r="A2825" s="62" t="s">
        <v>3218</v>
      </c>
      <c r="B2825" s="48">
        <v>31</v>
      </c>
      <c r="C2825" s="62">
        <v>31</v>
      </c>
    </row>
    <row r="2826" spans="1:3" x14ac:dyDescent="0.2">
      <c r="A2826" s="62" t="s">
        <v>3217</v>
      </c>
      <c r="B2826" s="48">
        <v>14</v>
      </c>
      <c r="C2826" s="62">
        <v>14</v>
      </c>
    </row>
    <row r="2827" spans="1:3" x14ac:dyDescent="0.2">
      <c r="A2827" s="62" t="s">
        <v>3216</v>
      </c>
      <c r="B2827" s="48">
        <v>15</v>
      </c>
      <c r="C2827" s="62">
        <v>15</v>
      </c>
    </row>
    <row r="2828" spans="1:3" x14ac:dyDescent="0.2">
      <c r="A2828" s="62" t="s">
        <v>3215</v>
      </c>
      <c r="B2828" s="48">
        <v>20</v>
      </c>
      <c r="C2828" s="62">
        <v>20</v>
      </c>
    </row>
    <row r="2829" spans="1:3" x14ac:dyDescent="0.2">
      <c r="A2829" s="62" t="s">
        <v>3214</v>
      </c>
      <c r="B2829" s="48">
        <v>14</v>
      </c>
      <c r="C2829" s="62">
        <v>14</v>
      </c>
    </row>
    <row r="2830" spans="1:3" x14ac:dyDescent="0.2">
      <c r="A2830" s="62" t="s">
        <v>3213</v>
      </c>
      <c r="B2830" s="48">
        <v>20</v>
      </c>
      <c r="C2830" s="62">
        <v>20</v>
      </c>
    </row>
    <row r="2831" spans="1:3" x14ac:dyDescent="0.2">
      <c r="A2831" s="62" t="s">
        <v>3212</v>
      </c>
      <c r="B2831" s="48">
        <v>15</v>
      </c>
      <c r="C2831" s="62">
        <v>15</v>
      </c>
    </row>
    <row r="2832" spans="1:3" x14ac:dyDescent="0.2">
      <c r="A2832" s="62" t="s">
        <v>3211</v>
      </c>
      <c r="B2832" s="48">
        <v>13</v>
      </c>
      <c r="C2832" s="62">
        <v>13</v>
      </c>
    </row>
    <row r="2833" spans="1:3" x14ac:dyDescent="0.2">
      <c r="A2833" s="62" t="s">
        <v>3210</v>
      </c>
      <c r="B2833" s="48">
        <v>13</v>
      </c>
      <c r="C2833" s="62">
        <v>13</v>
      </c>
    </row>
    <row r="2834" spans="1:3" x14ac:dyDescent="0.2">
      <c r="A2834" s="62" t="s">
        <v>3209</v>
      </c>
      <c r="B2834" s="48">
        <v>218</v>
      </c>
      <c r="C2834" s="62">
        <v>218</v>
      </c>
    </row>
    <row r="2835" spans="1:3" x14ac:dyDescent="0.2">
      <c r="A2835" s="62" t="s">
        <v>3208</v>
      </c>
      <c r="B2835" s="48">
        <v>88</v>
      </c>
      <c r="C2835" s="62">
        <v>88</v>
      </c>
    </row>
    <row r="2836" spans="1:3" x14ac:dyDescent="0.2">
      <c r="A2836" s="62" t="s">
        <v>3207</v>
      </c>
      <c r="B2836" s="48">
        <v>15</v>
      </c>
      <c r="C2836" s="62">
        <v>15</v>
      </c>
    </row>
    <row r="2837" spans="1:3" x14ac:dyDescent="0.2">
      <c r="A2837" s="62" t="s">
        <v>3206</v>
      </c>
      <c r="B2837" s="48">
        <v>50</v>
      </c>
      <c r="C2837" s="62">
        <v>50</v>
      </c>
    </row>
    <row r="2838" spans="1:3" x14ac:dyDescent="0.2">
      <c r="A2838" s="62" t="s">
        <v>3205</v>
      </c>
      <c r="B2838" s="48">
        <v>85</v>
      </c>
      <c r="C2838" s="62">
        <v>85</v>
      </c>
    </row>
    <row r="2839" spans="1:3" x14ac:dyDescent="0.2">
      <c r="A2839" s="62" t="s">
        <v>3204</v>
      </c>
      <c r="B2839" s="48">
        <v>86</v>
      </c>
      <c r="C2839" s="62">
        <v>86</v>
      </c>
    </row>
    <row r="2840" spans="1:3" x14ac:dyDescent="0.2">
      <c r="A2840" s="62" t="s">
        <v>3203</v>
      </c>
      <c r="B2840" s="48">
        <v>114</v>
      </c>
      <c r="C2840" s="62">
        <v>114</v>
      </c>
    </row>
    <row r="2841" spans="1:3" x14ac:dyDescent="0.2">
      <c r="A2841" s="62" t="s">
        <v>3202</v>
      </c>
      <c r="B2841" s="48">
        <v>52</v>
      </c>
      <c r="C2841" s="62">
        <v>52</v>
      </c>
    </row>
    <row r="2842" spans="1:3" x14ac:dyDescent="0.2">
      <c r="A2842" s="62" t="s">
        <v>3201</v>
      </c>
      <c r="B2842" s="48">
        <v>80</v>
      </c>
      <c r="C2842" s="62">
        <v>80</v>
      </c>
    </row>
    <row r="2843" spans="1:3" x14ac:dyDescent="0.2">
      <c r="A2843" s="62" t="s">
        <v>3200</v>
      </c>
      <c r="B2843" s="48">
        <v>148</v>
      </c>
      <c r="C2843" s="62">
        <v>148</v>
      </c>
    </row>
    <row r="2844" spans="1:3" x14ac:dyDescent="0.2">
      <c r="A2844" s="62" t="s">
        <v>3199</v>
      </c>
      <c r="B2844" s="48">
        <v>1</v>
      </c>
      <c r="C2844" s="62">
        <v>1</v>
      </c>
    </row>
    <row r="2845" spans="1:3" x14ac:dyDescent="0.2">
      <c r="A2845" s="62" t="s">
        <v>3198</v>
      </c>
      <c r="B2845" s="48">
        <v>218</v>
      </c>
      <c r="C2845" s="62">
        <v>218</v>
      </c>
    </row>
    <row r="2846" spans="1:3" x14ac:dyDescent="0.2">
      <c r="A2846" s="62" t="s">
        <v>3195</v>
      </c>
      <c r="B2846" s="48">
        <v>74</v>
      </c>
      <c r="C2846" s="62">
        <v>74</v>
      </c>
    </row>
    <row r="2847" spans="1:3" x14ac:dyDescent="0.2">
      <c r="A2847" s="62" t="s">
        <v>3194</v>
      </c>
      <c r="B2847" s="48">
        <v>225</v>
      </c>
      <c r="C2847" s="62">
        <v>225</v>
      </c>
    </row>
    <row r="2848" spans="1:3" x14ac:dyDescent="0.2">
      <c r="A2848" s="62" t="s">
        <v>3193</v>
      </c>
      <c r="B2848" s="48">
        <v>225</v>
      </c>
      <c r="C2848" s="62">
        <v>225</v>
      </c>
    </row>
    <row r="2849" spans="1:3" x14ac:dyDescent="0.2">
      <c r="A2849" s="62" t="s">
        <v>3192</v>
      </c>
      <c r="B2849" s="48">
        <v>14</v>
      </c>
      <c r="C2849" s="62">
        <v>14</v>
      </c>
    </row>
    <row r="2850" spans="1:3" x14ac:dyDescent="0.2">
      <c r="A2850" s="62" t="s">
        <v>3191</v>
      </c>
      <c r="B2850" s="48">
        <v>14</v>
      </c>
      <c r="C2850" s="62">
        <v>14</v>
      </c>
    </row>
    <row r="2851" spans="1:3" x14ac:dyDescent="0.2">
      <c r="A2851" s="62" t="s">
        <v>3190</v>
      </c>
      <c r="B2851" s="48">
        <v>14</v>
      </c>
      <c r="C2851" s="62">
        <v>14</v>
      </c>
    </row>
    <row r="2852" spans="1:3" x14ac:dyDescent="0.2">
      <c r="A2852" s="62" t="s">
        <v>3189</v>
      </c>
      <c r="B2852" s="48">
        <v>14</v>
      </c>
      <c r="C2852" s="62">
        <v>14</v>
      </c>
    </row>
    <row r="2853" spans="1:3" x14ac:dyDescent="0.2">
      <c r="A2853" s="62" t="s">
        <v>3188</v>
      </c>
      <c r="B2853" s="48">
        <v>141</v>
      </c>
      <c r="C2853" s="62">
        <v>141</v>
      </c>
    </row>
    <row r="2854" spans="1:3" x14ac:dyDescent="0.2">
      <c r="A2854" s="62" t="s">
        <v>3187</v>
      </c>
      <c r="B2854" s="48">
        <v>14</v>
      </c>
      <c r="C2854" s="62">
        <v>14</v>
      </c>
    </row>
    <row r="2855" spans="1:3" x14ac:dyDescent="0.2">
      <c r="A2855" s="62" t="s">
        <v>3186</v>
      </c>
      <c r="B2855" s="48">
        <v>15</v>
      </c>
      <c r="C2855" s="62">
        <v>15</v>
      </c>
    </row>
    <row r="2856" spans="1:3" x14ac:dyDescent="0.2">
      <c r="A2856" s="62" t="s">
        <v>3185</v>
      </c>
      <c r="B2856" s="48">
        <v>14</v>
      </c>
      <c r="C2856" s="62">
        <v>14</v>
      </c>
    </row>
    <row r="2857" spans="1:3" x14ac:dyDescent="0.2">
      <c r="A2857" s="62" t="s">
        <v>3184</v>
      </c>
      <c r="B2857" s="48">
        <v>14</v>
      </c>
      <c r="C2857" s="62">
        <v>14</v>
      </c>
    </row>
    <row r="2858" spans="1:3" x14ac:dyDescent="0.2">
      <c r="A2858" s="62" t="s">
        <v>3183</v>
      </c>
      <c r="B2858" s="48">
        <v>4</v>
      </c>
      <c r="C2858" s="62">
        <v>4</v>
      </c>
    </row>
    <row r="2859" spans="1:3" x14ac:dyDescent="0.2">
      <c r="A2859" s="62" t="s">
        <v>3182</v>
      </c>
      <c r="B2859" s="48">
        <v>2</v>
      </c>
      <c r="C2859" s="62">
        <v>2</v>
      </c>
    </row>
    <row r="2860" spans="1:3" x14ac:dyDescent="0.2">
      <c r="A2860" s="62" t="s">
        <v>3181</v>
      </c>
      <c r="B2860" s="48">
        <v>36</v>
      </c>
      <c r="C2860" s="62">
        <v>36</v>
      </c>
    </row>
    <row r="2861" spans="1:3" x14ac:dyDescent="0.2">
      <c r="A2861" s="62" t="s">
        <v>3180</v>
      </c>
      <c r="B2861" s="48">
        <v>15</v>
      </c>
      <c r="C2861" s="62">
        <v>15</v>
      </c>
    </row>
    <row r="2862" spans="1:3" x14ac:dyDescent="0.2">
      <c r="A2862" s="62" t="s">
        <v>3179</v>
      </c>
      <c r="B2862" s="48">
        <v>192</v>
      </c>
      <c r="C2862" s="62">
        <v>192</v>
      </c>
    </row>
    <row r="2863" spans="1:3" x14ac:dyDescent="0.2">
      <c r="A2863" s="62" t="s">
        <v>3178</v>
      </c>
      <c r="B2863" s="48">
        <v>192</v>
      </c>
      <c r="C2863" s="62">
        <v>192</v>
      </c>
    </row>
    <row r="2864" spans="1:3" x14ac:dyDescent="0.2">
      <c r="A2864" s="62" t="s">
        <v>3177</v>
      </c>
      <c r="B2864" s="48">
        <v>4</v>
      </c>
      <c r="C2864" s="62">
        <v>4</v>
      </c>
    </row>
    <row r="2865" spans="1:3" x14ac:dyDescent="0.2">
      <c r="A2865" s="62" t="s">
        <v>3176</v>
      </c>
      <c r="B2865" s="48">
        <v>14</v>
      </c>
      <c r="C2865" s="62">
        <v>14</v>
      </c>
    </row>
    <row r="2866" spans="1:3" x14ac:dyDescent="0.2">
      <c r="A2866" s="62" t="s">
        <v>3175</v>
      </c>
      <c r="B2866" s="48">
        <v>14</v>
      </c>
      <c r="C2866" s="62">
        <v>14</v>
      </c>
    </row>
    <row r="2867" spans="1:3" x14ac:dyDescent="0.2">
      <c r="A2867" s="62" t="s">
        <v>3174</v>
      </c>
      <c r="B2867" s="48">
        <v>20</v>
      </c>
      <c r="C2867" s="62">
        <v>20</v>
      </c>
    </row>
    <row r="2868" spans="1:3" x14ac:dyDescent="0.2">
      <c r="A2868" s="62" t="s">
        <v>3173</v>
      </c>
      <c r="B2868" s="48">
        <v>15</v>
      </c>
      <c r="C2868" s="62">
        <v>15</v>
      </c>
    </row>
    <row r="2869" spans="1:3" x14ac:dyDescent="0.2">
      <c r="A2869" s="62" t="s">
        <v>3172</v>
      </c>
      <c r="B2869" s="48">
        <v>54</v>
      </c>
      <c r="C2869" s="62">
        <v>54</v>
      </c>
    </row>
    <row r="2870" spans="1:3" x14ac:dyDescent="0.2">
      <c r="A2870" s="62" t="s">
        <v>3171</v>
      </c>
      <c r="B2870" s="48">
        <v>49</v>
      </c>
      <c r="C2870" s="62">
        <v>49</v>
      </c>
    </row>
    <row r="2871" spans="1:3" x14ac:dyDescent="0.2">
      <c r="A2871" s="62" t="s">
        <v>3170</v>
      </c>
      <c r="B2871" s="48">
        <v>49</v>
      </c>
      <c r="C2871" s="62">
        <v>49</v>
      </c>
    </row>
    <row r="2872" spans="1:3" x14ac:dyDescent="0.2">
      <c r="A2872" s="62" t="s">
        <v>3169</v>
      </c>
      <c r="B2872" s="48">
        <v>49</v>
      </c>
      <c r="C2872" s="62">
        <v>49</v>
      </c>
    </row>
    <row r="2873" spans="1:3" x14ac:dyDescent="0.2">
      <c r="A2873" s="62" t="s">
        <v>3168</v>
      </c>
      <c r="B2873" s="48">
        <v>52</v>
      </c>
      <c r="C2873" s="62">
        <v>52</v>
      </c>
    </row>
    <row r="2874" spans="1:3" x14ac:dyDescent="0.2">
      <c r="A2874" s="62" t="s">
        <v>3167</v>
      </c>
      <c r="B2874" s="48">
        <v>221</v>
      </c>
      <c r="C2874" s="62">
        <v>221</v>
      </c>
    </row>
    <row r="2875" spans="1:3" x14ac:dyDescent="0.2">
      <c r="A2875" s="62" t="s">
        <v>3166</v>
      </c>
      <c r="B2875" s="48">
        <v>14</v>
      </c>
      <c r="C2875" s="62">
        <v>14</v>
      </c>
    </row>
    <row r="2876" spans="1:3" x14ac:dyDescent="0.2">
      <c r="A2876" s="62" t="s">
        <v>3165</v>
      </c>
      <c r="B2876" s="48">
        <v>14</v>
      </c>
      <c r="C2876" s="62">
        <v>14</v>
      </c>
    </row>
    <row r="2877" spans="1:3" x14ac:dyDescent="0.2">
      <c r="A2877" s="62" t="s">
        <v>3164</v>
      </c>
      <c r="B2877" s="48">
        <v>14</v>
      </c>
      <c r="C2877" s="62">
        <v>14</v>
      </c>
    </row>
    <row r="2878" spans="1:3" x14ac:dyDescent="0.2">
      <c r="A2878" s="62" t="s">
        <v>3163</v>
      </c>
      <c r="B2878" s="48">
        <v>14</v>
      </c>
      <c r="C2878" s="62">
        <v>14</v>
      </c>
    </row>
    <row r="2879" spans="1:3" x14ac:dyDescent="0.2">
      <c r="A2879" s="62" t="s">
        <v>3162</v>
      </c>
      <c r="B2879" s="48">
        <v>15</v>
      </c>
      <c r="C2879" s="62">
        <v>15</v>
      </c>
    </row>
    <row r="2880" spans="1:3" x14ac:dyDescent="0.2">
      <c r="A2880" s="62" t="s">
        <v>3161</v>
      </c>
      <c r="B2880" s="48">
        <v>33</v>
      </c>
      <c r="C2880" s="62">
        <v>33</v>
      </c>
    </row>
    <row r="2881" spans="1:3" x14ac:dyDescent="0.2">
      <c r="A2881" s="62" t="s">
        <v>3160</v>
      </c>
      <c r="B2881" s="48">
        <v>116</v>
      </c>
      <c r="C2881" s="62">
        <v>116</v>
      </c>
    </row>
    <row r="2882" spans="1:3" x14ac:dyDescent="0.2">
      <c r="A2882" s="62" t="s">
        <v>3159</v>
      </c>
      <c r="B2882" s="48">
        <v>178</v>
      </c>
      <c r="C2882" s="62">
        <v>178</v>
      </c>
    </row>
    <row r="2883" spans="1:3" x14ac:dyDescent="0.2">
      <c r="A2883" s="62" t="s">
        <v>3158</v>
      </c>
      <c r="B2883" s="48">
        <v>178</v>
      </c>
      <c r="C2883" s="62">
        <v>178</v>
      </c>
    </row>
    <row r="2884" spans="1:3" x14ac:dyDescent="0.2">
      <c r="A2884" s="62" t="s">
        <v>3157</v>
      </c>
      <c r="B2884" s="48">
        <v>14</v>
      </c>
      <c r="C2884" s="62">
        <v>14</v>
      </c>
    </row>
    <row r="2885" spans="1:3" x14ac:dyDescent="0.2">
      <c r="A2885" s="62" t="s">
        <v>3156</v>
      </c>
      <c r="B2885" s="48">
        <v>14</v>
      </c>
      <c r="C2885" s="62">
        <v>14</v>
      </c>
    </row>
    <row r="2886" spans="1:3" x14ac:dyDescent="0.2">
      <c r="A2886" s="62" t="s">
        <v>3155</v>
      </c>
      <c r="B2886" s="48">
        <v>14</v>
      </c>
      <c r="C2886" s="62">
        <v>14</v>
      </c>
    </row>
    <row r="2887" spans="1:3" x14ac:dyDescent="0.2">
      <c r="A2887" s="62" t="s">
        <v>3153</v>
      </c>
      <c r="B2887" s="48">
        <v>14</v>
      </c>
      <c r="C2887" s="62">
        <v>14</v>
      </c>
    </row>
    <row r="2888" spans="1:3" x14ac:dyDescent="0.2">
      <c r="A2888" s="62" t="s">
        <v>3152</v>
      </c>
      <c r="B2888" s="48">
        <v>43</v>
      </c>
      <c r="C2888" s="62">
        <v>43</v>
      </c>
    </row>
    <row r="2889" spans="1:3" x14ac:dyDescent="0.2">
      <c r="A2889" s="62" t="s">
        <v>3151</v>
      </c>
      <c r="B2889" s="48">
        <v>14</v>
      </c>
      <c r="C2889" s="62">
        <v>14</v>
      </c>
    </row>
    <row r="2890" spans="1:3" x14ac:dyDescent="0.2">
      <c r="A2890" s="62" t="s">
        <v>3150</v>
      </c>
      <c r="B2890" s="48">
        <v>217</v>
      </c>
      <c r="C2890" s="62">
        <v>217</v>
      </c>
    </row>
    <row r="2891" spans="1:3" x14ac:dyDescent="0.2">
      <c r="A2891" s="62" t="s">
        <v>3149</v>
      </c>
      <c r="B2891" s="48">
        <v>61</v>
      </c>
      <c r="C2891" s="62">
        <v>61</v>
      </c>
    </row>
    <row r="2892" spans="1:3" x14ac:dyDescent="0.2">
      <c r="A2892" s="62" t="s">
        <v>3148</v>
      </c>
      <c r="B2892" s="48">
        <v>2</v>
      </c>
      <c r="C2892" s="62">
        <v>2</v>
      </c>
    </row>
    <row r="2893" spans="1:3" x14ac:dyDescent="0.2">
      <c r="A2893" s="62" t="s">
        <v>3147</v>
      </c>
      <c r="B2893" s="48">
        <v>4</v>
      </c>
      <c r="C2893" s="62">
        <v>4</v>
      </c>
    </row>
    <row r="2894" spans="1:3" x14ac:dyDescent="0.2">
      <c r="A2894" s="62" t="s">
        <v>3146</v>
      </c>
      <c r="B2894" s="48">
        <v>43</v>
      </c>
      <c r="C2894" s="62">
        <v>43</v>
      </c>
    </row>
    <row r="2895" spans="1:3" x14ac:dyDescent="0.2">
      <c r="A2895" s="62" t="s">
        <v>3145</v>
      </c>
      <c r="B2895" s="48">
        <v>201</v>
      </c>
      <c r="C2895" s="62">
        <v>201</v>
      </c>
    </row>
    <row r="2896" spans="1:3" x14ac:dyDescent="0.2">
      <c r="A2896" s="62" t="s">
        <v>3144</v>
      </c>
      <c r="B2896" s="48">
        <v>61</v>
      </c>
      <c r="C2896" s="62">
        <v>61</v>
      </c>
    </row>
    <row r="2897" spans="1:3" x14ac:dyDescent="0.2">
      <c r="A2897" s="62" t="s">
        <v>3143</v>
      </c>
      <c r="B2897" s="48">
        <v>33</v>
      </c>
      <c r="C2897" s="62">
        <v>33</v>
      </c>
    </row>
    <row r="2898" spans="1:3" x14ac:dyDescent="0.2">
      <c r="A2898" s="62" t="s">
        <v>3142</v>
      </c>
      <c r="B2898" s="48">
        <v>33</v>
      </c>
      <c r="C2898" s="62">
        <v>33</v>
      </c>
    </row>
    <row r="2899" spans="1:3" x14ac:dyDescent="0.2">
      <c r="A2899" s="62" t="s">
        <v>3141</v>
      </c>
      <c r="B2899" s="48">
        <v>176</v>
      </c>
      <c r="C2899" s="62">
        <v>176</v>
      </c>
    </row>
    <row r="2900" spans="1:3" x14ac:dyDescent="0.2">
      <c r="A2900" s="62" t="s">
        <v>3140</v>
      </c>
      <c r="B2900" s="48">
        <v>14</v>
      </c>
      <c r="C2900" s="62">
        <v>14</v>
      </c>
    </row>
    <row r="2901" spans="1:3" x14ac:dyDescent="0.2">
      <c r="A2901" s="62" t="s">
        <v>3138</v>
      </c>
      <c r="B2901" s="48">
        <v>228</v>
      </c>
      <c r="C2901" s="62">
        <v>228</v>
      </c>
    </row>
    <row r="2902" spans="1:3" x14ac:dyDescent="0.2">
      <c r="A2902" s="62" t="s">
        <v>3137</v>
      </c>
      <c r="B2902" s="48">
        <v>192</v>
      </c>
      <c r="C2902" s="62">
        <v>192</v>
      </c>
    </row>
    <row r="2903" spans="1:3" x14ac:dyDescent="0.2">
      <c r="A2903" s="62" t="s">
        <v>3135</v>
      </c>
      <c r="B2903" s="48">
        <v>14</v>
      </c>
      <c r="C2903" s="62">
        <v>14</v>
      </c>
    </row>
    <row r="2904" spans="1:3" x14ac:dyDescent="0.2">
      <c r="A2904" s="62" t="s">
        <v>3134</v>
      </c>
      <c r="B2904" s="48">
        <v>14</v>
      </c>
      <c r="C2904" s="62">
        <v>14</v>
      </c>
    </row>
    <row r="2905" spans="1:3" x14ac:dyDescent="0.2">
      <c r="A2905" s="62" t="s">
        <v>3133</v>
      </c>
      <c r="B2905" s="48">
        <v>14</v>
      </c>
      <c r="C2905" s="62">
        <v>14</v>
      </c>
    </row>
    <row r="2906" spans="1:3" x14ac:dyDescent="0.2">
      <c r="A2906" s="62" t="s">
        <v>3132</v>
      </c>
      <c r="B2906" s="48">
        <v>88</v>
      </c>
      <c r="C2906" s="62">
        <v>88</v>
      </c>
    </row>
    <row r="2907" spans="1:3" x14ac:dyDescent="0.2">
      <c r="A2907" s="62" t="s">
        <v>3131</v>
      </c>
      <c r="B2907" s="48">
        <v>206</v>
      </c>
      <c r="C2907" s="62">
        <v>206</v>
      </c>
    </row>
    <row r="2908" spans="1:3" x14ac:dyDescent="0.2">
      <c r="A2908" s="62" t="s">
        <v>3130</v>
      </c>
      <c r="B2908" s="48">
        <v>206</v>
      </c>
      <c r="C2908" s="62">
        <v>206</v>
      </c>
    </row>
    <row r="2909" spans="1:3" x14ac:dyDescent="0.2">
      <c r="A2909" s="62" t="s">
        <v>3129</v>
      </c>
      <c r="B2909" s="48">
        <v>205</v>
      </c>
      <c r="C2909" s="62">
        <v>205</v>
      </c>
    </row>
    <row r="2910" spans="1:3" x14ac:dyDescent="0.2">
      <c r="A2910" s="62" t="s">
        <v>3128</v>
      </c>
      <c r="B2910" s="48">
        <v>33</v>
      </c>
      <c r="C2910" s="62">
        <v>33</v>
      </c>
    </row>
    <row r="2911" spans="1:3" x14ac:dyDescent="0.2">
      <c r="A2911" s="62" t="s">
        <v>3127</v>
      </c>
      <c r="B2911" s="48">
        <v>33</v>
      </c>
      <c r="C2911" s="62">
        <v>33</v>
      </c>
    </row>
    <row r="2912" spans="1:3" x14ac:dyDescent="0.2">
      <c r="A2912" s="62" t="s">
        <v>3126</v>
      </c>
      <c r="B2912" s="48">
        <v>14</v>
      </c>
      <c r="C2912" s="62">
        <v>14</v>
      </c>
    </row>
    <row r="2913" spans="1:3" x14ac:dyDescent="0.2">
      <c r="A2913" s="62" t="s">
        <v>3125</v>
      </c>
      <c r="B2913" s="48">
        <v>15</v>
      </c>
      <c r="C2913" s="62">
        <v>15</v>
      </c>
    </row>
    <row r="2914" spans="1:3" x14ac:dyDescent="0.2">
      <c r="A2914" s="62" t="s">
        <v>3124</v>
      </c>
      <c r="B2914" s="48">
        <v>15</v>
      </c>
      <c r="C2914" s="62">
        <v>15</v>
      </c>
    </row>
    <row r="2915" spans="1:3" x14ac:dyDescent="0.2">
      <c r="A2915" s="62" t="s">
        <v>3123</v>
      </c>
      <c r="B2915" s="48">
        <v>15</v>
      </c>
      <c r="C2915" s="62">
        <v>15</v>
      </c>
    </row>
    <row r="2916" spans="1:3" x14ac:dyDescent="0.2">
      <c r="A2916" s="62" t="s">
        <v>3122</v>
      </c>
      <c r="B2916" s="48">
        <v>15</v>
      </c>
      <c r="C2916" s="62">
        <v>15</v>
      </c>
    </row>
    <row r="2917" spans="1:3" x14ac:dyDescent="0.2">
      <c r="A2917" s="62" t="s">
        <v>3121</v>
      </c>
      <c r="B2917" s="48">
        <v>120</v>
      </c>
      <c r="C2917" s="62">
        <v>120</v>
      </c>
    </row>
    <row r="2918" spans="1:3" x14ac:dyDescent="0.2">
      <c r="A2918" s="62" t="s">
        <v>3120</v>
      </c>
      <c r="B2918" s="48">
        <v>12</v>
      </c>
      <c r="C2918" s="62">
        <v>12</v>
      </c>
    </row>
    <row r="2919" spans="1:3" x14ac:dyDescent="0.2">
      <c r="A2919" s="62" t="s">
        <v>3119</v>
      </c>
      <c r="B2919" s="48">
        <v>2</v>
      </c>
      <c r="C2919" s="62">
        <v>2</v>
      </c>
    </row>
    <row r="2920" spans="1:3" x14ac:dyDescent="0.2">
      <c r="A2920" s="62" t="s">
        <v>3117</v>
      </c>
      <c r="B2920" s="48">
        <v>2</v>
      </c>
      <c r="C2920" s="62">
        <v>2</v>
      </c>
    </row>
    <row r="2921" spans="1:3" x14ac:dyDescent="0.2">
      <c r="A2921" s="62" t="s">
        <v>3116</v>
      </c>
      <c r="B2921" s="48">
        <v>15</v>
      </c>
      <c r="C2921" s="62">
        <v>15</v>
      </c>
    </row>
    <row r="2922" spans="1:3" x14ac:dyDescent="0.2">
      <c r="A2922" s="62" t="s">
        <v>3114</v>
      </c>
      <c r="B2922" s="48">
        <v>2</v>
      </c>
      <c r="C2922" s="62">
        <v>2</v>
      </c>
    </row>
    <row r="2923" spans="1:3" x14ac:dyDescent="0.2">
      <c r="A2923" s="62" t="s">
        <v>3113</v>
      </c>
      <c r="B2923" s="48">
        <v>66</v>
      </c>
      <c r="C2923" s="62">
        <v>66</v>
      </c>
    </row>
    <row r="2924" spans="1:3" x14ac:dyDescent="0.2">
      <c r="A2924" s="62" t="s">
        <v>3112</v>
      </c>
      <c r="B2924" s="48">
        <v>14</v>
      </c>
      <c r="C2924" s="62">
        <v>14</v>
      </c>
    </row>
    <row r="2925" spans="1:3" x14ac:dyDescent="0.2">
      <c r="A2925" s="62" t="s">
        <v>3111</v>
      </c>
      <c r="B2925" s="48">
        <v>33</v>
      </c>
      <c r="C2925" s="62">
        <v>33</v>
      </c>
    </row>
    <row r="2926" spans="1:3" x14ac:dyDescent="0.2">
      <c r="A2926" s="62" t="s">
        <v>3110</v>
      </c>
      <c r="B2926" s="48">
        <v>14</v>
      </c>
      <c r="C2926" s="62">
        <v>14</v>
      </c>
    </row>
    <row r="2927" spans="1:3" x14ac:dyDescent="0.2">
      <c r="A2927" s="62" t="s">
        <v>3109</v>
      </c>
      <c r="B2927" s="48">
        <v>148</v>
      </c>
      <c r="C2927" s="62">
        <v>148</v>
      </c>
    </row>
    <row r="2928" spans="1:3" x14ac:dyDescent="0.2">
      <c r="A2928" s="62" t="s">
        <v>3108</v>
      </c>
      <c r="B2928" s="48">
        <v>148</v>
      </c>
      <c r="C2928" s="62">
        <v>148</v>
      </c>
    </row>
    <row r="2929" spans="1:3" x14ac:dyDescent="0.2">
      <c r="A2929" s="62" t="s">
        <v>3105</v>
      </c>
      <c r="B2929" s="48">
        <v>14</v>
      </c>
      <c r="C2929" s="62">
        <v>14</v>
      </c>
    </row>
    <row r="2930" spans="1:3" x14ac:dyDescent="0.2">
      <c r="A2930" s="62" t="s">
        <v>3104</v>
      </c>
      <c r="B2930" s="48">
        <v>14</v>
      </c>
      <c r="C2930" s="62">
        <v>14</v>
      </c>
    </row>
    <row r="2931" spans="1:3" x14ac:dyDescent="0.2">
      <c r="A2931" s="62" t="s">
        <v>3103</v>
      </c>
      <c r="B2931" s="48">
        <v>14</v>
      </c>
      <c r="C2931" s="62">
        <v>14</v>
      </c>
    </row>
    <row r="2932" spans="1:3" x14ac:dyDescent="0.2">
      <c r="A2932" s="62" t="s">
        <v>3102</v>
      </c>
      <c r="B2932" s="48">
        <v>19</v>
      </c>
      <c r="C2932" s="62">
        <v>19</v>
      </c>
    </row>
    <row r="2933" spans="1:3" x14ac:dyDescent="0.2">
      <c r="A2933" s="62" t="s">
        <v>3101</v>
      </c>
      <c r="B2933" s="48">
        <v>52</v>
      </c>
      <c r="C2933" s="62">
        <v>52</v>
      </c>
    </row>
    <row r="2934" spans="1:3" x14ac:dyDescent="0.2">
      <c r="A2934" s="62" t="s">
        <v>3100</v>
      </c>
      <c r="B2934" s="48">
        <v>88</v>
      </c>
      <c r="C2934" s="62">
        <v>88</v>
      </c>
    </row>
    <row r="2935" spans="1:3" x14ac:dyDescent="0.2">
      <c r="A2935" s="62" t="s">
        <v>3099</v>
      </c>
      <c r="B2935" s="48">
        <v>9</v>
      </c>
      <c r="C2935" s="62">
        <v>9</v>
      </c>
    </row>
    <row r="2936" spans="1:3" x14ac:dyDescent="0.2">
      <c r="A2936" s="62" t="s">
        <v>3098</v>
      </c>
      <c r="B2936" s="48">
        <v>56</v>
      </c>
      <c r="C2936" s="62">
        <v>56</v>
      </c>
    </row>
    <row r="2937" spans="1:3" x14ac:dyDescent="0.2">
      <c r="A2937" s="62" t="s">
        <v>3097</v>
      </c>
      <c r="B2937" s="48">
        <v>223</v>
      </c>
      <c r="C2937" s="62">
        <v>223</v>
      </c>
    </row>
    <row r="2938" spans="1:3" x14ac:dyDescent="0.2">
      <c r="A2938" s="62" t="s">
        <v>3096</v>
      </c>
      <c r="B2938" s="48">
        <v>129</v>
      </c>
      <c r="C2938" s="62">
        <v>129</v>
      </c>
    </row>
    <row r="2939" spans="1:3" x14ac:dyDescent="0.2">
      <c r="A2939" s="62" t="s">
        <v>3095</v>
      </c>
      <c r="B2939" s="48">
        <v>88</v>
      </c>
      <c r="C2939" s="62">
        <v>88</v>
      </c>
    </row>
    <row r="2940" spans="1:3" x14ac:dyDescent="0.2">
      <c r="A2940" s="62" t="s">
        <v>3094</v>
      </c>
      <c r="B2940" s="48">
        <v>14</v>
      </c>
      <c r="C2940" s="62">
        <v>14</v>
      </c>
    </row>
    <row r="2941" spans="1:3" x14ac:dyDescent="0.2">
      <c r="A2941" s="62" t="s">
        <v>3093</v>
      </c>
      <c r="B2941" s="48">
        <v>61</v>
      </c>
      <c r="C2941" s="62">
        <v>61</v>
      </c>
    </row>
    <row r="2942" spans="1:3" x14ac:dyDescent="0.2">
      <c r="A2942" s="62" t="s">
        <v>3091</v>
      </c>
      <c r="B2942" s="48">
        <v>2</v>
      </c>
      <c r="C2942" s="62">
        <v>2</v>
      </c>
    </row>
    <row r="2943" spans="1:3" x14ac:dyDescent="0.2">
      <c r="A2943" s="62" t="s">
        <v>3090</v>
      </c>
      <c r="B2943" s="48">
        <v>2</v>
      </c>
      <c r="C2943" s="62">
        <v>2</v>
      </c>
    </row>
    <row r="2944" spans="1:3" x14ac:dyDescent="0.2">
      <c r="A2944" s="62" t="s">
        <v>3089</v>
      </c>
      <c r="B2944" s="48">
        <v>2</v>
      </c>
      <c r="C2944" s="62">
        <v>2</v>
      </c>
    </row>
    <row r="2945" spans="1:3" x14ac:dyDescent="0.2">
      <c r="A2945" s="62" t="s">
        <v>3088</v>
      </c>
      <c r="B2945" s="48">
        <v>2</v>
      </c>
      <c r="C2945" s="62">
        <v>2</v>
      </c>
    </row>
    <row r="2946" spans="1:3" x14ac:dyDescent="0.2">
      <c r="A2946" s="62" t="s">
        <v>3086</v>
      </c>
      <c r="B2946" s="48">
        <v>2</v>
      </c>
      <c r="C2946" s="62">
        <v>2</v>
      </c>
    </row>
    <row r="2947" spans="1:3" x14ac:dyDescent="0.2">
      <c r="A2947" s="62" t="s">
        <v>3084</v>
      </c>
      <c r="B2947" s="48">
        <v>60</v>
      </c>
      <c r="C2947" s="62">
        <v>60</v>
      </c>
    </row>
    <row r="2948" spans="1:3" x14ac:dyDescent="0.2">
      <c r="A2948" s="62" t="s">
        <v>3083</v>
      </c>
      <c r="B2948" s="48">
        <v>166</v>
      </c>
      <c r="C2948" s="62">
        <v>166</v>
      </c>
    </row>
    <row r="2949" spans="1:3" x14ac:dyDescent="0.2">
      <c r="A2949" s="62" t="s">
        <v>3082</v>
      </c>
      <c r="B2949" s="48">
        <v>81</v>
      </c>
      <c r="C2949" s="62">
        <v>81</v>
      </c>
    </row>
    <row r="2950" spans="1:3" x14ac:dyDescent="0.2">
      <c r="A2950" s="62" t="s">
        <v>3080</v>
      </c>
      <c r="B2950" s="48">
        <v>60</v>
      </c>
      <c r="C2950" s="62">
        <v>60</v>
      </c>
    </row>
    <row r="2951" spans="1:3" x14ac:dyDescent="0.2">
      <c r="A2951" s="62" t="s">
        <v>3078</v>
      </c>
      <c r="B2951" s="48">
        <v>2</v>
      </c>
      <c r="C2951" s="62">
        <v>2</v>
      </c>
    </row>
    <row r="2952" spans="1:3" x14ac:dyDescent="0.2">
      <c r="A2952" s="62" t="s">
        <v>3077</v>
      </c>
      <c r="B2952" s="48">
        <v>2</v>
      </c>
      <c r="C2952" s="62">
        <v>2</v>
      </c>
    </row>
    <row r="2953" spans="1:3" x14ac:dyDescent="0.2">
      <c r="A2953" s="62" t="s">
        <v>3076</v>
      </c>
      <c r="B2953" s="48">
        <v>88</v>
      </c>
      <c r="C2953" s="62">
        <v>88</v>
      </c>
    </row>
    <row r="2954" spans="1:3" x14ac:dyDescent="0.2">
      <c r="A2954" s="62" t="s">
        <v>3075</v>
      </c>
      <c r="B2954" s="48">
        <v>2</v>
      </c>
      <c r="C2954" s="62">
        <v>2</v>
      </c>
    </row>
    <row r="2955" spans="1:3" x14ac:dyDescent="0.2">
      <c r="A2955" s="62" t="s">
        <v>3074</v>
      </c>
      <c r="B2955" s="48">
        <v>2</v>
      </c>
      <c r="C2955" s="62">
        <v>2</v>
      </c>
    </row>
    <row r="2956" spans="1:3" x14ac:dyDescent="0.2">
      <c r="A2956" s="62" t="s">
        <v>3073</v>
      </c>
      <c r="B2956" s="48">
        <v>2</v>
      </c>
      <c r="C2956" s="62">
        <v>2</v>
      </c>
    </row>
    <row r="2957" spans="1:3" x14ac:dyDescent="0.2">
      <c r="A2957" s="62" t="s">
        <v>3072</v>
      </c>
      <c r="B2957" s="48">
        <v>2</v>
      </c>
      <c r="C2957" s="62">
        <v>2</v>
      </c>
    </row>
    <row r="2958" spans="1:3" x14ac:dyDescent="0.2">
      <c r="A2958" s="62" t="s">
        <v>3071</v>
      </c>
      <c r="B2958" s="48">
        <v>2</v>
      </c>
      <c r="C2958" s="62">
        <v>2</v>
      </c>
    </row>
    <row r="2959" spans="1:3" x14ac:dyDescent="0.2">
      <c r="A2959" s="62" t="s">
        <v>3070</v>
      </c>
      <c r="B2959" s="48">
        <v>14</v>
      </c>
      <c r="C2959" s="62">
        <v>14</v>
      </c>
    </row>
    <row r="2960" spans="1:3" x14ac:dyDescent="0.2">
      <c r="A2960" s="62" t="s">
        <v>3069</v>
      </c>
      <c r="B2960" s="48">
        <v>14</v>
      </c>
      <c r="C2960" s="62">
        <v>14</v>
      </c>
    </row>
    <row r="2961" spans="1:3" x14ac:dyDescent="0.2">
      <c r="A2961" s="62" t="s">
        <v>3068</v>
      </c>
      <c r="B2961" s="48">
        <v>14</v>
      </c>
      <c r="C2961" s="62">
        <v>14</v>
      </c>
    </row>
    <row r="2962" spans="1:3" x14ac:dyDescent="0.2">
      <c r="A2962" s="62" t="s">
        <v>3066</v>
      </c>
      <c r="B2962" s="48">
        <v>70</v>
      </c>
      <c r="C2962" s="62">
        <v>70</v>
      </c>
    </row>
    <row r="2963" spans="1:3" x14ac:dyDescent="0.2">
      <c r="A2963" s="62" t="s">
        <v>3065</v>
      </c>
      <c r="B2963" s="48">
        <v>15</v>
      </c>
      <c r="C2963" s="62">
        <v>15</v>
      </c>
    </row>
    <row r="2964" spans="1:3" x14ac:dyDescent="0.2">
      <c r="A2964" s="62" t="s">
        <v>3064</v>
      </c>
      <c r="B2964" s="48">
        <v>14</v>
      </c>
      <c r="C2964" s="62">
        <v>14</v>
      </c>
    </row>
    <row r="2965" spans="1:3" x14ac:dyDescent="0.2">
      <c r="A2965" s="62" t="s">
        <v>3062</v>
      </c>
      <c r="B2965" s="48">
        <v>14</v>
      </c>
      <c r="C2965" s="62">
        <v>14</v>
      </c>
    </row>
    <row r="2966" spans="1:3" x14ac:dyDescent="0.2">
      <c r="A2966" s="62" t="s">
        <v>3061</v>
      </c>
      <c r="B2966" s="48">
        <v>14</v>
      </c>
      <c r="C2966" s="62">
        <v>14</v>
      </c>
    </row>
    <row r="2967" spans="1:3" x14ac:dyDescent="0.2">
      <c r="A2967" s="62" t="s">
        <v>3060</v>
      </c>
      <c r="B2967" s="48">
        <v>167</v>
      </c>
      <c r="C2967" s="62">
        <v>167</v>
      </c>
    </row>
    <row r="2968" spans="1:3" x14ac:dyDescent="0.2">
      <c r="A2968" s="62" t="s">
        <v>3059</v>
      </c>
      <c r="B2968" s="48">
        <v>2</v>
      </c>
      <c r="C2968" s="62">
        <v>2</v>
      </c>
    </row>
    <row r="2969" spans="1:3" x14ac:dyDescent="0.2">
      <c r="A2969" s="62" t="s">
        <v>3058</v>
      </c>
      <c r="B2969" s="48">
        <v>167</v>
      </c>
      <c r="C2969" s="62">
        <v>167</v>
      </c>
    </row>
    <row r="2970" spans="1:3" x14ac:dyDescent="0.2">
      <c r="A2970" s="62" t="s">
        <v>3057</v>
      </c>
      <c r="B2970" s="48">
        <v>2</v>
      </c>
      <c r="C2970" s="62">
        <v>2</v>
      </c>
    </row>
    <row r="2971" spans="1:3" x14ac:dyDescent="0.2">
      <c r="A2971" s="62" t="s">
        <v>3056</v>
      </c>
      <c r="B2971" s="48">
        <v>14</v>
      </c>
      <c r="C2971" s="62">
        <v>14</v>
      </c>
    </row>
    <row r="2972" spans="1:3" x14ac:dyDescent="0.2">
      <c r="A2972" s="62" t="s">
        <v>3055</v>
      </c>
      <c r="B2972" s="48">
        <v>2</v>
      </c>
      <c r="C2972" s="62">
        <v>2</v>
      </c>
    </row>
    <row r="2973" spans="1:3" x14ac:dyDescent="0.2">
      <c r="A2973" s="62" t="s">
        <v>3054</v>
      </c>
      <c r="B2973" s="48">
        <v>15</v>
      </c>
      <c r="C2973" s="62">
        <v>15</v>
      </c>
    </row>
    <row r="2974" spans="1:3" x14ac:dyDescent="0.2">
      <c r="A2974" s="62" t="s">
        <v>3053</v>
      </c>
      <c r="B2974" s="48">
        <v>15</v>
      </c>
      <c r="C2974" s="62">
        <v>15</v>
      </c>
    </row>
    <row r="2975" spans="1:3" x14ac:dyDescent="0.2">
      <c r="A2975" s="62" t="s">
        <v>3052</v>
      </c>
      <c r="B2975" s="48">
        <v>161</v>
      </c>
      <c r="C2975" s="62">
        <v>161</v>
      </c>
    </row>
    <row r="2976" spans="1:3" x14ac:dyDescent="0.2">
      <c r="A2976" s="62" t="s">
        <v>3051</v>
      </c>
      <c r="B2976" s="48">
        <v>87</v>
      </c>
      <c r="C2976" s="62">
        <v>87</v>
      </c>
    </row>
    <row r="2977" spans="1:3" x14ac:dyDescent="0.2">
      <c r="A2977" s="62" t="s">
        <v>3050</v>
      </c>
      <c r="B2977" s="48">
        <v>14</v>
      </c>
      <c r="C2977" s="62">
        <v>14</v>
      </c>
    </row>
    <row r="2978" spans="1:3" x14ac:dyDescent="0.2">
      <c r="A2978" s="62" t="s">
        <v>3047</v>
      </c>
      <c r="B2978" s="48">
        <v>33</v>
      </c>
      <c r="C2978" s="62">
        <v>33</v>
      </c>
    </row>
    <row r="2979" spans="1:3" x14ac:dyDescent="0.2">
      <c r="A2979" s="62" t="s">
        <v>3046</v>
      </c>
      <c r="B2979" s="48">
        <v>13</v>
      </c>
      <c r="C2979" s="62">
        <v>13</v>
      </c>
    </row>
    <row r="2980" spans="1:3" x14ac:dyDescent="0.2">
      <c r="A2980" s="62" t="s">
        <v>3045</v>
      </c>
      <c r="B2980" s="48">
        <v>138</v>
      </c>
      <c r="C2980" s="62">
        <v>138</v>
      </c>
    </row>
    <row r="2981" spans="1:3" x14ac:dyDescent="0.2">
      <c r="A2981" s="62" t="s">
        <v>3044</v>
      </c>
      <c r="B2981" s="48">
        <v>138</v>
      </c>
      <c r="C2981" s="62">
        <v>138</v>
      </c>
    </row>
    <row r="2982" spans="1:3" x14ac:dyDescent="0.2">
      <c r="A2982" s="62" t="s">
        <v>3043</v>
      </c>
      <c r="B2982" s="48">
        <v>15</v>
      </c>
      <c r="C2982" s="62">
        <v>15</v>
      </c>
    </row>
    <row r="2983" spans="1:3" x14ac:dyDescent="0.2">
      <c r="A2983" s="62" t="s">
        <v>3042</v>
      </c>
      <c r="B2983" s="48">
        <v>20</v>
      </c>
      <c r="C2983" s="62">
        <v>20</v>
      </c>
    </row>
    <row r="2984" spans="1:3" x14ac:dyDescent="0.2">
      <c r="A2984" s="62" t="s">
        <v>3041</v>
      </c>
      <c r="B2984" s="48">
        <v>15</v>
      </c>
      <c r="C2984" s="62">
        <v>15</v>
      </c>
    </row>
    <row r="2985" spans="1:3" x14ac:dyDescent="0.2">
      <c r="A2985" s="62" t="s">
        <v>3040</v>
      </c>
      <c r="B2985" s="48">
        <v>223</v>
      </c>
      <c r="C2985" s="62">
        <v>223</v>
      </c>
    </row>
    <row r="2986" spans="1:3" x14ac:dyDescent="0.2">
      <c r="A2986" s="62" t="s">
        <v>3039</v>
      </c>
      <c r="B2986" s="48">
        <v>88</v>
      </c>
      <c r="C2986" s="62">
        <v>88</v>
      </c>
    </row>
    <row r="2987" spans="1:3" x14ac:dyDescent="0.2">
      <c r="A2987" s="62" t="s">
        <v>3038</v>
      </c>
      <c r="B2987" s="48">
        <v>45</v>
      </c>
      <c r="C2987" s="62">
        <v>45</v>
      </c>
    </row>
    <row r="2988" spans="1:3" x14ac:dyDescent="0.2">
      <c r="A2988" s="62" t="s">
        <v>3037</v>
      </c>
      <c r="B2988" s="48">
        <v>45</v>
      </c>
      <c r="C2988" s="62">
        <v>45</v>
      </c>
    </row>
    <row r="2989" spans="1:3" x14ac:dyDescent="0.2">
      <c r="A2989" s="62" t="s">
        <v>3036</v>
      </c>
      <c r="B2989" s="48">
        <v>20</v>
      </c>
      <c r="C2989" s="62">
        <v>20</v>
      </c>
    </row>
    <row r="2990" spans="1:3" x14ac:dyDescent="0.2">
      <c r="A2990" s="62" t="s">
        <v>3035</v>
      </c>
      <c r="B2990" s="48">
        <v>192</v>
      </c>
      <c r="C2990" s="62">
        <v>192</v>
      </c>
    </row>
    <row r="2991" spans="1:3" x14ac:dyDescent="0.2">
      <c r="A2991" s="62" t="s">
        <v>3034</v>
      </c>
      <c r="B2991" s="48">
        <v>60</v>
      </c>
      <c r="C2991" s="62">
        <v>60</v>
      </c>
    </row>
    <row r="2992" spans="1:3" x14ac:dyDescent="0.2">
      <c r="A2992" s="62" t="s">
        <v>3033</v>
      </c>
      <c r="B2992" s="48">
        <v>45</v>
      </c>
      <c r="C2992" s="62">
        <v>45</v>
      </c>
    </row>
    <row r="2993" spans="1:3" x14ac:dyDescent="0.2">
      <c r="A2993" s="62" t="s">
        <v>3031</v>
      </c>
      <c r="B2993" s="48">
        <v>148</v>
      </c>
      <c r="C2993" s="62">
        <v>148</v>
      </c>
    </row>
    <row r="2994" spans="1:3" x14ac:dyDescent="0.2">
      <c r="A2994" s="62" t="s">
        <v>3030</v>
      </c>
      <c r="B2994" s="48">
        <v>225</v>
      </c>
      <c r="C2994" s="62">
        <v>225</v>
      </c>
    </row>
    <row r="2995" spans="1:3" x14ac:dyDescent="0.2">
      <c r="A2995" s="62" t="s">
        <v>3029</v>
      </c>
      <c r="B2995" s="48">
        <v>166</v>
      </c>
      <c r="C2995" s="62">
        <v>166</v>
      </c>
    </row>
    <row r="2996" spans="1:3" x14ac:dyDescent="0.2">
      <c r="A2996" s="62" t="s">
        <v>3028</v>
      </c>
      <c r="B2996" s="48">
        <v>225</v>
      </c>
      <c r="C2996" s="62">
        <v>225</v>
      </c>
    </row>
    <row r="2997" spans="1:3" x14ac:dyDescent="0.2">
      <c r="A2997" s="62" t="s">
        <v>3027</v>
      </c>
      <c r="B2997" s="48">
        <v>60</v>
      </c>
      <c r="C2997" s="62">
        <v>60</v>
      </c>
    </row>
    <row r="2998" spans="1:3" x14ac:dyDescent="0.2">
      <c r="A2998" s="62" t="s">
        <v>3026</v>
      </c>
      <c r="B2998" s="48">
        <v>148</v>
      </c>
      <c r="C2998" s="62">
        <v>148</v>
      </c>
    </row>
    <row r="2999" spans="1:3" x14ac:dyDescent="0.2">
      <c r="A2999" s="62" t="s">
        <v>3025</v>
      </c>
      <c r="B2999" s="48">
        <v>166</v>
      </c>
      <c r="C2999" s="62">
        <v>166</v>
      </c>
    </row>
    <row r="3000" spans="1:3" x14ac:dyDescent="0.2">
      <c r="A3000" s="62" t="s">
        <v>3023</v>
      </c>
      <c r="B3000" s="48">
        <v>166</v>
      </c>
      <c r="C3000" s="62">
        <v>166</v>
      </c>
    </row>
    <row r="3001" spans="1:3" x14ac:dyDescent="0.2">
      <c r="A3001" s="62" t="s">
        <v>3022</v>
      </c>
      <c r="B3001" s="48">
        <v>88</v>
      </c>
      <c r="C3001" s="62">
        <v>88</v>
      </c>
    </row>
    <row r="3002" spans="1:3" x14ac:dyDescent="0.2">
      <c r="A3002" s="62" t="s">
        <v>3021</v>
      </c>
      <c r="B3002" s="48">
        <v>61</v>
      </c>
      <c r="C3002" s="62">
        <v>61</v>
      </c>
    </row>
    <row r="3003" spans="1:3" x14ac:dyDescent="0.2">
      <c r="A3003" s="62" t="s">
        <v>3019</v>
      </c>
      <c r="B3003" s="48">
        <v>61</v>
      </c>
      <c r="C3003" s="62">
        <v>61</v>
      </c>
    </row>
    <row r="3004" spans="1:3" x14ac:dyDescent="0.2">
      <c r="A3004" s="62" t="s">
        <v>3017</v>
      </c>
      <c r="B3004" s="48">
        <v>61</v>
      </c>
      <c r="C3004" s="62">
        <v>61</v>
      </c>
    </row>
    <row r="3005" spans="1:3" x14ac:dyDescent="0.2">
      <c r="A3005" s="62" t="s">
        <v>3016</v>
      </c>
      <c r="B3005" s="48">
        <v>61</v>
      </c>
      <c r="C3005" s="62">
        <v>61</v>
      </c>
    </row>
    <row r="3006" spans="1:3" x14ac:dyDescent="0.2">
      <c r="A3006" s="62" t="s">
        <v>3015</v>
      </c>
      <c r="B3006" s="48">
        <v>61</v>
      </c>
      <c r="C3006" s="62">
        <v>61</v>
      </c>
    </row>
    <row r="3007" spans="1:3" x14ac:dyDescent="0.2">
      <c r="A3007" s="62" t="s">
        <v>3014</v>
      </c>
      <c r="B3007" s="48">
        <v>61</v>
      </c>
      <c r="C3007" s="62">
        <v>61</v>
      </c>
    </row>
    <row r="3008" spans="1:3" x14ac:dyDescent="0.2">
      <c r="A3008" s="62" t="s">
        <v>3013</v>
      </c>
      <c r="B3008" s="48">
        <v>74</v>
      </c>
      <c r="C3008" s="62">
        <v>74</v>
      </c>
    </row>
    <row r="3009" spans="1:3" x14ac:dyDescent="0.2">
      <c r="A3009" s="62" t="s">
        <v>3012</v>
      </c>
      <c r="B3009" s="48">
        <v>44</v>
      </c>
      <c r="C3009" s="62">
        <v>44</v>
      </c>
    </row>
    <row r="3010" spans="1:3" x14ac:dyDescent="0.2">
      <c r="A3010" s="62" t="s">
        <v>3011</v>
      </c>
      <c r="B3010" s="48">
        <v>44</v>
      </c>
      <c r="C3010" s="62">
        <v>44</v>
      </c>
    </row>
    <row r="3011" spans="1:3" x14ac:dyDescent="0.2">
      <c r="A3011" s="62" t="s">
        <v>3010</v>
      </c>
      <c r="B3011" s="48">
        <v>15</v>
      </c>
      <c r="C3011" s="62">
        <v>15</v>
      </c>
    </row>
    <row r="3012" spans="1:3" x14ac:dyDescent="0.2">
      <c r="A3012" s="62" t="s">
        <v>3009</v>
      </c>
      <c r="B3012" s="48">
        <v>15</v>
      </c>
      <c r="C3012" s="62">
        <v>15</v>
      </c>
    </row>
    <row r="3013" spans="1:3" x14ac:dyDescent="0.2">
      <c r="A3013" s="62" t="s">
        <v>3008</v>
      </c>
      <c r="B3013" s="48">
        <v>15</v>
      </c>
      <c r="C3013" s="62">
        <v>15</v>
      </c>
    </row>
    <row r="3014" spans="1:3" x14ac:dyDescent="0.2">
      <c r="A3014" s="62" t="s">
        <v>3007</v>
      </c>
      <c r="B3014" s="48">
        <v>15</v>
      </c>
      <c r="C3014" s="62">
        <v>15</v>
      </c>
    </row>
    <row r="3015" spans="1:3" x14ac:dyDescent="0.2">
      <c r="A3015" s="62" t="s">
        <v>3006</v>
      </c>
      <c r="B3015" s="48">
        <v>15</v>
      </c>
      <c r="C3015" s="62">
        <v>15</v>
      </c>
    </row>
    <row r="3016" spans="1:3" x14ac:dyDescent="0.2">
      <c r="A3016" s="62" t="s">
        <v>3005</v>
      </c>
      <c r="B3016" s="48">
        <v>15</v>
      </c>
      <c r="C3016" s="62">
        <v>15</v>
      </c>
    </row>
    <row r="3017" spans="1:3" x14ac:dyDescent="0.2">
      <c r="A3017" s="62" t="s">
        <v>3004</v>
      </c>
      <c r="B3017" s="48">
        <v>14</v>
      </c>
      <c r="C3017" s="62">
        <v>14</v>
      </c>
    </row>
    <row r="3018" spans="1:3" x14ac:dyDescent="0.2">
      <c r="A3018" s="62" t="s">
        <v>3003</v>
      </c>
      <c r="B3018" s="48">
        <v>204</v>
      </c>
      <c r="C3018" s="62">
        <v>204</v>
      </c>
    </row>
    <row r="3019" spans="1:3" x14ac:dyDescent="0.2">
      <c r="A3019" s="62" t="s">
        <v>3002</v>
      </c>
      <c r="B3019" s="48">
        <v>14</v>
      </c>
      <c r="C3019" s="62">
        <v>14</v>
      </c>
    </row>
    <row r="3020" spans="1:3" x14ac:dyDescent="0.2">
      <c r="A3020" s="62" t="s">
        <v>3001</v>
      </c>
      <c r="B3020" s="48">
        <v>14</v>
      </c>
      <c r="C3020" s="62">
        <v>14</v>
      </c>
    </row>
    <row r="3021" spans="1:3" x14ac:dyDescent="0.2">
      <c r="A3021" s="62" t="s">
        <v>3000</v>
      </c>
      <c r="B3021" s="48">
        <v>14</v>
      </c>
      <c r="C3021" s="62">
        <v>14</v>
      </c>
    </row>
    <row r="3022" spans="1:3" x14ac:dyDescent="0.2">
      <c r="A3022" s="62" t="s">
        <v>2999</v>
      </c>
      <c r="B3022" s="48">
        <v>14</v>
      </c>
      <c r="C3022" s="62">
        <v>14</v>
      </c>
    </row>
    <row r="3023" spans="1:3" x14ac:dyDescent="0.2">
      <c r="A3023" s="62" t="s">
        <v>2998</v>
      </c>
      <c r="B3023" s="48">
        <v>14</v>
      </c>
      <c r="C3023" s="62">
        <v>14</v>
      </c>
    </row>
    <row r="3024" spans="1:3" x14ac:dyDescent="0.2">
      <c r="A3024" s="62" t="s">
        <v>2997</v>
      </c>
      <c r="B3024" s="48">
        <v>14</v>
      </c>
      <c r="C3024" s="62">
        <v>14</v>
      </c>
    </row>
    <row r="3025" spans="1:3" x14ac:dyDescent="0.2">
      <c r="A3025" s="62" t="s">
        <v>2996</v>
      </c>
      <c r="B3025" s="48">
        <v>192</v>
      </c>
      <c r="C3025" s="62">
        <v>192</v>
      </c>
    </row>
    <row r="3026" spans="1:3" x14ac:dyDescent="0.2">
      <c r="A3026" s="62" t="s">
        <v>2995</v>
      </c>
      <c r="B3026" s="48">
        <v>192</v>
      </c>
      <c r="C3026" s="62">
        <v>192</v>
      </c>
    </row>
    <row r="3027" spans="1:3" x14ac:dyDescent="0.2">
      <c r="A3027" s="62" t="s">
        <v>2994</v>
      </c>
      <c r="B3027" s="48">
        <v>192</v>
      </c>
      <c r="C3027" s="62">
        <v>192</v>
      </c>
    </row>
    <row r="3028" spans="1:3" x14ac:dyDescent="0.2">
      <c r="A3028" s="62" t="s">
        <v>2993</v>
      </c>
      <c r="B3028" s="48">
        <v>15</v>
      </c>
      <c r="C3028" s="62">
        <v>15</v>
      </c>
    </row>
    <row r="3029" spans="1:3" x14ac:dyDescent="0.2">
      <c r="A3029" s="62" t="s">
        <v>2992</v>
      </c>
      <c r="B3029" s="48">
        <v>15</v>
      </c>
      <c r="C3029" s="62">
        <v>15</v>
      </c>
    </row>
    <row r="3030" spans="1:3" x14ac:dyDescent="0.2">
      <c r="A3030" s="62" t="s">
        <v>2991</v>
      </c>
      <c r="B3030" s="48">
        <v>15</v>
      </c>
      <c r="C3030" s="62">
        <v>15</v>
      </c>
    </row>
    <row r="3031" spans="1:3" x14ac:dyDescent="0.2">
      <c r="A3031" s="62" t="s">
        <v>2990</v>
      </c>
      <c r="B3031" s="48">
        <v>52</v>
      </c>
      <c r="C3031" s="62">
        <v>52</v>
      </c>
    </row>
    <row r="3032" spans="1:3" x14ac:dyDescent="0.2">
      <c r="A3032" s="62" t="s">
        <v>2989</v>
      </c>
      <c r="B3032" s="48">
        <v>15</v>
      </c>
      <c r="C3032" s="62">
        <v>15</v>
      </c>
    </row>
    <row r="3033" spans="1:3" x14ac:dyDescent="0.2">
      <c r="A3033" s="62" t="s">
        <v>2988</v>
      </c>
      <c r="B3033" s="48">
        <v>15</v>
      </c>
      <c r="C3033" s="62">
        <v>15</v>
      </c>
    </row>
    <row r="3034" spans="1:3" x14ac:dyDescent="0.2">
      <c r="A3034" s="62" t="s">
        <v>2987</v>
      </c>
      <c r="B3034" s="48">
        <v>14</v>
      </c>
      <c r="C3034" s="62">
        <v>14</v>
      </c>
    </row>
    <row r="3035" spans="1:3" x14ac:dyDescent="0.2">
      <c r="A3035" s="62" t="s">
        <v>2986</v>
      </c>
      <c r="B3035" s="48">
        <v>14</v>
      </c>
      <c r="C3035" s="62">
        <v>14</v>
      </c>
    </row>
    <row r="3036" spans="1:3" x14ac:dyDescent="0.2">
      <c r="A3036" s="62" t="s">
        <v>2985</v>
      </c>
      <c r="B3036" s="48">
        <v>14</v>
      </c>
      <c r="C3036" s="62">
        <v>14</v>
      </c>
    </row>
    <row r="3037" spans="1:3" x14ac:dyDescent="0.2">
      <c r="A3037" s="62" t="s">
        <v>2984</v>
      </c>
      <c r="B3037" s="48">
        <v>14</v>
      </c>
      <c r="C3037" s="62">
        <v>14</v>
      </c>
    </row>
    <row r="3038" spans="1:3" x14ac:dyDescent="0.2">
      <c r="A3038" s="62" t="s">
        <v>2983</v>
      </c>
      <c r="B3038" s="48">
        <v>14</v>
      </c>
      <c r="C3038" s="62">
        <v>14</v>
      </c>
    </row>
    <row r="3039" spans="1:3" x14ac:dyDescent="0.2">
      <c r="A3039" s="62" t="s">
        <v>2982</v>
      </c>
      <c r="B3039" s="48">
        <v>14</v>
      </c>
      <c r="C3039" s="62">
        <v>14</v>
      </c>
    </row>
    <row r="3040" spans="1:3" x14ac:dyDescent="0.2">
      <c r="A3040" s="62" t="s">
        <v>2981</v>
      </c>
      <c r="B3040" s="48">
        <v>14</v>
      </c>
      <c r="C3040" s="62">
        <v>14</v>
      </c>
    </row>
    <row r="3041" spans="1:3" x14ac:dyDescent="0.2">
      <c r="A3041" s="62" t="s">
        <v>2980</v>
      </c>
      <c r="B3041" s="48">
        <v>14</v>
      </c>
      <c r="C3041" s="62">
        <v>14</v>
      </c>
    </row>
    <row r="3042" spans="1:3" x14ac:dyDescent="0.2">
      <c r="A3042" s="62" t="s">
        <v>2979</v>
      </c>
      <c r="B3042" s="48">
        <v>14</v>
      </c>
      <c r="C3042" s="62">
        <v>14</v>
      </c>
    </row>
    <row r="3043" spans="1:3" x14ac:dyDescent="0.2">
      <c r="A3043" s="62" t="s">
        <v>2978</v>
      </c>
      <c r="B3043" s="48">
        <v>14</v>
      </c>
      <c r="C3043" s="62">
        <v>14</v>
      </c>
    </row>
    <row r="3044" spans="1:3" x14ac:dyDescent="0.2">
      <c r="A3044" s="62" t="s">
        <v>2977</v>
      </c>
      <c r="B3044" s="48">
        <v>14</v>
      </c>
      <c r="C3044" s="62">
        <v>14</v>
      </c>
    </row>
    <row r="3045" spans="1:3" x14ac:dyDescent="0.2">
      <c r="A3045" s="62" t="s">
        <v>2976</v>
      </c>
      <c r="B3045" s="48">
        <v>14</v>
      </c>
      <c r="C3045" s="62">
        <v>14</v>
      </c>
    </row>
    <row r="3046" spans="1:3" x14ac:dyDescent="0.2">
      <c r="A3046" s="62" t="s">
        <v>2975</v>
      </c>
      <c r="B3046" s="48">
        <v>15</v>
      </c>
      <c r="C3046" s="62">
        <v>15</v>
      </c>
    </row>
    <row r="3047" spans="1:3" x14ac:dyDescent="0.2">
      <c r="A3047" s="62" t="s">
        <v>2974</v>
      </c>
      <c r="B3047" s="48">
        <v>15</v>
      </c>
      <c r="C3047" s="62">
        <v>15</v>
      </c>
    </row>
    <row r="3048" spans="1:3" x14ac:dyDescent="0.2">
      <c r="A3048" s="62" t="s">
        <v>2973</v>
      </c>
      <c r="B3048" s="48">
        <v>15</v>
      </c>
      <c r="C3048" s="62">
        <v>15</v>
      </c>
    </row>
    <row r="3049" spans="1:3" x14ac:dyDescent="0.2">
      <c r="A3049" s="62" t="s">
        <v>2972</v>
      </c>
      <c r="B3049" s="48">
        <v>15</v>
      </c>
      <c r="C3049" s="62">
        <v>15</v>
      </c>
    </row>
    <row r="3050" spans="1:3" x14ac:dyDescent="0.2">
      <c r="A3050" s="62" t="s">
        <v>2971</v>
      </c>
      <c r="B3050" s="48">
        <v>225</v>
      </c>
      <c r="C3050" s="62">
        <v>225</v>
      </c>
    </row>
    <row r="3051" spans="1:3" x14ac:dyDescent="0.2">
      <c r="A3051" s="62" t="s">
        <v>2970</v>
      </c>
      <c r="B3051" s="48">
        <v>44</v>
      </c>
      <c r="C3051" s="62">
        <v>44</v>
      </c>
    </row>
    <row r="3052" spans="1:3" x14ac:dyDescent="0.2">
      <c r="A3052" s="62" t="s">
        <v>2968</v>
      </c>
      <c r="B3052" s="48">
        <v>14</v>
      </c>
      <c r="C3052" s="62">
        <v>14</v>
      </c>
    </row>
    <row r="3053" spans="1:3" x14ac:dyDescent="0.2">
      <c r="A3053" s="62" t="s">
        <v>2967</v>
      </c>
      <c r="B3053" s="48">
        <v>2</v>
      </c>
      <c r="C3053" s="62">
        <v>2</v>
      </c>
    </row>
    <row r="3054" spans="1:3" x14ac:dyDescent="0.2">
      <c r="A3054" s="62" t="s">
        <v>2966</v>
      </c>
      <c r="B3054" s="48">
        <v>2</v>
      </c>
      <c r="C3054" s="62">
        <v>2</v>
      </c>
    </row>
    <row r="3055" spans="1:3" x14ac:dyDescent="0.2">
      <c r="A3055" s="62" t="s">
        <v>2965</v>
      </c>
      <c r="B3055" s="48">
        <v>14</v>
      </c>
      <c r="C3055" s="62">
        <v>14</v>
      </c>
    </row>
    <row r="3056" spans="1:3" x14ac:dyDescent="0.2">
      <c r="A3056" s="62" t="s">
        <v>2964</v>
      </c>
      <c r="B3056" s="48">
        <v>29</v>
      </c>
      <c r="C3056" s="62">
        <v>29</v>
      </c>
    </row>
    <row r="3057" spans="1:3" x14ac:dyDescent="0.2">
      <c r="A3057" s="62" t="s">
        <v>2963</v>
      </c>
      <c r="B3057" s="48">
        <v>15</v>
      </c>
      <c r="C3057" s="62">
        <v>15</v>
      </c>
    </row>
    <row r="3058" spans="1:3" x14ac:dyDescent="0.2">
      <c r="A3058" s="62" t="s">
        <v>2962</v>
      </c>
      <c r="B3058" s="48">
        <v>29</v>
      </c>
      <c r="C3058" s="62">
        <v>29</v>
      </c>
    </row>
    <row r="3059" spans="1:3" x14ac:dyDescent="0.2">
      <c r="A3059" s="62" t="s">
        <v>2961</v>
      </c>
      <c r="B3059" s="48">
        <v>12</v>
      </c>
      <c r="C3059" s="62">
        <v>12</v>
      </c>
    </row>
    <row r="3060" spans="1:3" x14ac:dyDescent="0.2">
      <c r="A3060" s="62" t="s">
        <v>2960</v>
      </c>
      <c r="B3060" s="48">
        <v>12</v>
      </c>
      <c r="C3060" s="62">
        <v>12</v>
      </c>
    </row>
    <row r="3061" spans="1:3" x14ac:dyDescent="0.2">
      <c r="A3061" s="62" t="s">
        <v>2959</v>
      </c>
      <c r="B3061" s="48">
        <v>38</v>
      </c>
      <c r="C3061" s="62">
        <v>38</v>
      </c>
    </row>
    <row r="3062" spans="1:3" x14ac:dyDescent="0.2">
      <c r="A3062" s="62" t="s">
        <v>2958</v>
      </c>
      <c r="B3062" s="48">
        <v>61</v>
      </c>
      <c r="C3062" s="62">
        <v>61</v>
      </c>
    </row>
    <row r="3063" spans="1:3" x14ac:dyDescent="0.2">
      <c r="A3063" s="62" t="s">
        <v>2957</v>
      </c>
      <c r="B3063" s="48">
        <v>61</v>
      </c>
      <c r="C3063" s="62">
        <v>61</v>
      </c>
    </row>
    <row r="3064" spans="1:3" x14ac:dyDescent="0.2">
      <c r="A3064" s="62" t="s">
        <v>2956</v>
      </c>
      <c r="B3064" s="48">
        <v>61</v>
      </c>
      <c r="C3064" s="62">
        <v>61</v>
      </c>
    </row>
    <row r="3065" spans="1:3" x14ac:dyDescent="0.2">
      <c r="A3065" s="62" t="s">
        <v>2955</v>
      </c>
      <c r="B3065" s="48">
        <v>61</v>
      </c>
      <c r="C3065" s="62">
        <v>61</v>
      </c>
    </row>
    <row r="3066" spans="1:3" x14ac:dyDescent="0.2">
      <c r="A3066" s="62" t="s">
        <v>2954</v>
      </c>
      <c r="B3066" s="48">
        <v>14</v>
      </c>
      <c r="C3066" s="62">
        <v>14</v>
      </c>
    </row>
    <row r="3067" spans="1:3" x14ac:dyDescent="0.2">
      <c r="A3067" s="62" t="s">
        <v>2953</v>
      </c>
      <c r="B3067" s="48">
        <v>15</v>
      </c>
      <c r="C3067" s="62">
        <v>15</v>
      </c>
    </row>
    <row r="3068" spans="1:3" x14ac:dyDescent="0.2">
      <c r="A3068" s="62" t="s">
        <v>2952</v>
      </c>
      <c r="B3068" s="48">
        <v>145</v>
      </c>
      <c r="C3068" s="62">
        <v>145</v>
      </c>
    </row>
    <row r="3069" spans="1:3" x14ac:dyDescent="0.2">
      <c r="A3069" s="62" t="s">
        <v>2951</v>
      </c>
      <c r="B3069" s="48">
        <v>144</v>
      </c>
      <c r="C3069" s="62">
        <v>144</v>
      </c>
    </row>
    <row r="3070" spans="1:3" x14ac:dyDescent="0.2">
      <c r="A3070" s="62" t="s">
        <v>2950</v>
      </c>
      <c r="B3070" s="48">
        <v>144</v>
      </c>
      <c r="C3070" s="62">
        <v>144</v>
      </c>
    </row>
    <row r="3071" spans="1:3" x14ac:dyDescent="0.2">
      <c r="A3071" s="62" t="s">
        <v>2949</v>
      </c>
      <c r="B3071" s="48">
        <v>144</v>
      </c>
      <c r="C3071" s="62">
        <v>144</v>
      </c>
    </row>
    <row r="3072" spans="1:3" x14ac:dyDescent="0.2">
      <c r="A3072" s="62" t="s">
        <v>2948</v>
      </c>
      <c r="B3072" s="48">
        <v>62</v>
      </c>
      <c r="C3072" s="62">
        <v>62</v>
      </c>
    </row>
    <row r="3073" spans="1:3" x14ac:dyDescent="0.2">
      <c r="A3073" s="62" t="s">
        <v>2947</v>
      </c>
      <c r="B3073" s="48">
        <v>14</v>
      </c>
      <c r="C3073" s="62">
        <v>14</v>
      </c>
    </row>
    <row r="3074" spans="1:3" x14ac:dyDescent="0.2">
      <c r="A3074" s="62" t="s">
        <v>2946</v>
      </c>
      <c r="B3074" s="48">
        <v>61</v>
      </c>
      <c r="C3074" s="62">
        <v>61</v>
      </c>
    </row>
    <row r="3075" spans="1:3" x14ac:dyDescent="0.2">
      <c r="A3075" s="62" t="s">
        <v>2945</v>
      </c>
      <c r="B3075" s="48">
        <v>190</v>
      </c>
      <c r="C3075" s="62">
        <v>190</v>
      </c>
    </row>
    <row r="3076" spans="1:3" x14ac:dyDescent="0.2">
      <c r="A3076" s="62" t="s">
        <v>2943</v>
      </c>
      <c r="B3076" s="48">
        <v>14</v>
      </c>
      <c r="C3076" s="62">
        <v>14</v>
      </c>
    </row>
    <row r="3077" spans="1:3" x14ac:dyDescent="0.2">
      <c r="A3077" s="62" t="s">
        <v>2941</v>
      </c>
      <c r="B3077" s="48">
        <v>14</v>
      </c>
      <c r="C3077" s="62">
        <v>14</v>
      </c>
    </row>
    <row r="3078" spans="1:3" x14ac:dyDescent="0.2">
      <c r="A3078" s="62" t="s">
        <v>2940</v>
      </c>
      <c r="B3078" s="48">
        <v>148</v>
      </c>
      <c r="C3078" s="62">
        <v>148</v>
      </c>
    </row>
    <row r="3079" spans="1:3" x14ac:dyDescent="0.2">
      <c r="A3079" s="62" t="s">
        <v>2939</v>
      </c>
      <c r="B3079" s="48">
        <v>9</v>
      </c>
      <c r="C3079" s="62">
        <v>9</v>
      </c>
    </row>
    <row r="3080" spans="1:3" x14ac:dyDescent="0.2">
      <c r="A3080" s="62" t="s">
        <v>2938</v>
      </c>
      <c r="B3080" s="48">
        <v>43</v>
      </c>
      <c r="C3080" s="62">
        <v>43</v>
      </c>
    </row>
    <row r="3081" spans="1:3" x14ac:dyDescent="0.2">
      <c r="A3081" s="62" t="s">
        <v>2937</v>
      </c>
      <c r="B3081" s="48">
        <v>43</v>
      </c>
      <c r="C3081" s="62">
        <v>43</v>
      </c>
    </row>
    <row r="3082" spans="1:3" x14ac:dyDescent="0.2">
      <c r="A3082" s="62" t="s">
        <v>2936</v>
      </c>
      <c r="B3082" s="48">
        <v>154</v>
      </c>
      <c r="C3082" s="62">
        <v>154</v>
      </c>
    </row>
    <row r="3083" spans="1:3" x14ac:dyDescent="0.2">
      <c r="A3083" s="62" t="s">
        <v>2935</v>
      </c>
      <c r="B3083" s="48">
        <v>98</v>
      </c>
      <c r="C3083" s="62">
        <v>98</v>
      </c>
    </row>
    <row r="3084" spans="1:3" x14ac:dyDescent="0.2">
      <c r="A3084" s="62" t="s">
        <v>2934</v>
      </c>
      <c r="B3084" s="48">
        <v>85</v>
      </c>
      <c r="C3084" s="62">
        <v>85</v>
      </c>
    </row>
    <row r="3085" spans="1:3" x14ac:dyDescent="0.2">
      <c r="A3085" s="62" t="s">
        <v>2933</v>
      </c>
      <c r="B3085" s="48">
        <v>220</v>
      </c>
      <c r="C3085" s="62">
        <v>220</v>
      </c>
    </row>
    <row r="3086" spans="1:3" x14ac:dyDescent="0.2">
      <c r="A3086" s="62" t="s">
        <v>2932</v>
      </c>
      <c r="B3086" s="48">
        <v>220</v>
      </c>
      <c r="C3086" s="62">
        <v>220</v>
      </c>
    </row>
    <row r="3087" spans="1:3" x14ac:dyDescent="0.2">
      <c r="A3087" s="62" t="s">
        <v>2931</v>
      </c>
      <c r="B3087" s="48">
        <v>70</v>
      </c>
      <c r="C3087" s="62">
        <v>70</v>
      </c>
    </row>
    <row r="3088" spans="1:3" x14ac:dyDescent="0.2">
      <c r="A3088" s="62" t="s">
        <v>2930</v>
      </c>
      <c r="B3088" s="48">
        <v>14</v>
      </c>
      <c r="C3088" s="62">
        <v>14</v>
      </c>
    </row>
    <row r="3089" spans="1:3" x14ac:dyDescent="0.2">
      <c r="A3089" s="62" t="s">
        <v>2929</v>
      </c>
      <c r="B3089" s="48">
        <v>70</v>
      </c>
      <c r="C3089" s="62">
        <v>70</v>
      </c>
    </row>
    <row r="3090" spans="1:3" x14ac:dyDescent="0.2">
      <c r="A3090" s="62" t="s">
        <v>2928</v>
      </c>
      <c r="B3090" s="48">
        <v>14</v>
      </c>
      <c r="C3090" s="62">
        <v>14</v>
      </c>
    </row>
    <row r="3091" spans="1:3" x14ac:dyDescent="0.2">
      <c r="A3091" s="62" t="s">
        <v>2927</v>
      </c>
      <c r="B3091" s="48">
        <v>166</v>
      </c>
      <c r="C3091" s="62">
        <v>166</v>
      </c>
    </row>
    <row r="3092" spans="1:3" x14ac:dyDescent="0.2">
      <c r="A3092" s="62" t="s">
        <v>2926</v>
      </c>
      <c r="B3092" s="48">
        <v>166</v>
      </c>
      <c r="C3092" s="62">
        <v>166</v>
      </c>
    </row>
    <row r="3093" spans="1:3" x14ac:dyDescent="0.2">
      <c r="A3093" s="62" t="s">
        <v>2925</v>
      </c>
      <c r="B3093" s="48">
        <v>122</v>
      </c>
      <c r="C3093" s="62">
        <v>122</v>
      </c>
    </row>
    <row r="3094" spans="1:3" x14ac:dyDescent="0.2">
      <c r="A3094" s="62" t="s">
        <v>2924</v>
      </c>
      <c r="B3094" s="48">
        <v>192</v>
      </c>
      <c r="C3094" s="62">
        <v>192</v>
      </c>
    </row>
    <row r="3095" spans="1:3" x14ac:dyDescent="0.2">
      <c r="A3095" s="62" t="s">
        <v>2922</v>
      </c>
      <c r="B3095" s="48">
        <v>15</v>
      </c>
      <c r="C3095" s="62">
        <v>15</v>
      </c>
    </row>
    <row r="3096" spans="1:3" x14ac:dyDescent="0.2">
      <c r="A3096" s="62" t="s">
        <v>2921</v>
      </c>
      <c r="B3096" s="48">
        <v>9</v>
      </c>
      <c r="C3096" s="62">
        <v>9</v>
      </c>
    </row>
    <row r="3097" spans="1:3" x14ac:dyDescent="0.2">
      <c r="A3097" s="62" t="s">
        <v>2920</v>
      </c>
      <c r="B3097" s="48">
        <v>30</v>
      </c>
      <c r="C3097" s="62">
        <v>30</v>
      </c>
    </row>
    <row r="3098" spans="1:3" x14ac:dyDescent="0.2">
      <c r="A3098" s="62" t="s">
        <v>2919</v>
      </c>
      <c r="B3098" s="48">
        <v>1</v>
      </c>
      <c r="C3098" s="62">
        <v>1</v>
      </c>
    </row>
    <row r="3099" spans="1:3" x14ac:dyDescent="0.2">
      <c r="A3099" s="62" t="s">
        <v>2917</v>
      </c>
      <c r="B3099" s="48">
        <v>15</v>
      </c>
      <c r="C3099" s="62">
        <v>15</v>
      </c>
    </row>
    <row r="3100" spans="1:3" x14ac:dyDescent="0.2">
      <c r="A3100" s="62" t="s">
        <v>2916</v>
      </c>
      <c r="B3100" s="48">
        <v>14</v>
      </c>
      <c r="C3100" s="62">
        <v>14</v>
      </c>
    </row>
    <row r="3101" spans="1:3" x14ac:dyDescent="0.2">
      <c r="A3101" s="62" t="s">
        <v>2915</v>
      </c>
      <c r="B3101" s="48">
        <v>14</v>
      </c>
      <c r="C3101" s="62">
        <v>14</v>
      </c>
    </row>
    <row r="3102" spans="1:3" x14ac:dyDescent="0.2">
      <c r="A3102" s="62" t="s">
        <v>2914</v>
      </c>
      <c r="B3102" s="48">
        <v>14</v>
      </c>
      <c r="C3102" s="62">
        <v>14</v>
      </c>
    </row>
    <row r="3103" spans="1:3" x14ac:dyDescent="0.2">
      <c r="A3103" s="62" t="s">
        <v>2913</v>
      </c>
      <c r="B3103" s="48">
        <v>14</v>
      </c>
      <c r="C3103" s="62">
        <v>14</v>
      </c>
    </row>
    <row r="3104" spans="1:3" x14ac:dyDescent="0.2">
      <c r="A3104" s="62" t="s">
        <v>2912</v>
      </c>
      <c r="B3104" s="48">
        <v>122</v>
      </c>
      <c r="C3104" s="62">
        <v>122</v>
      </c>
    </row>
    <row r="3105" spans="1:3" x14ac:dyDescent="0.2">
      <c r="A3105" s="62" t="s">
        <v>2911</v>
      </c>
      <c r="B3105" s="48">
        <v>190</v>
      </c>
      <c r="C3105" s="62">
        <v>190</v>
      </c>
    </row>
    <row r="3106" spans="1:3" x14ac:dyDescent="0.2">
      <c r="A3106" s="62" t="s">
        <v>2909</v>
      </c>
      <c r="B3106" s="48">
        <v>14</v>
      </c>
      <c r="C3106" s="62">
        <v>14</v>
      </c>
    </row>
    <row r="3107" spans="1:3" x14ac:dyDescent="0.2">
      <c r="A3107" s="62" t="s">
        <v>2908</v>
      </c>
      <c r="B3107" s="48">
        <v>15</v>
      </c>
      <c r="C3107" s="62">
        <v>15</v>
      </c>
    </row>
    <row r="3108" spans="1:3" x14ac:dyDescent="0.2">
      <c r="A3108" s="62" t="s">
        <v>2907</v>
      </c>
      <c r="B3108" s="48">
        <v>9</v>
      </c>
      <c r="C3108" s="62">
        <v>9</v>
      </c>
    </row>
    <row r="3109" spans="1:3" x14ac:dyDescent="0.2">
      <c r="A3109" s="62" t="s">
        <v>2906</v>
      </c>
      <c r="B3109" s="48">
        <v>15</v>
      </c>
      <c r="C3109" s="62">
        <v>15</v>
      </c>
    </row>
    <row r="3110" spans="1:3" x14ac:dyDescent="0.2">
      <c r="A3110" s="62" t="s">
        <v>2905</v>
      </c>
      <c r="B3110" s="48">
        <v>184</v>
      </c>
      <c r="C3110" s="62">
        <v>184</v>
      </c>
    </row>
    <row r="3111" spans="1:3" x14ac:dyDescent="0.2">
      <c r="A3111" s="62" t="s">
        <v>2904</v>
      </c>
      <c r="B3111" s="48">
        <v>148</v>
      </c>
      <c r="C3111" s="62">
        <v>148</v>
      </c>
    </row>
    <row r="3112" spans="1:3" x14ac:dyDescent="0.2">
      <c r="A3112" s="62" t="s">
        <v>2903</v>
      </c>
      <c r="B3112" s="48">
        <v>18</v>
      </c>
      <c r="C3112" s="62">
        <v>18</v>
      </c>
    </row>
    <row r="3113" spans="1:3" x14ac:dyDescent="0.2">
      <c r="A3113" s="62" t="s">
        <v>2902</v>
      </c>
      <c r="B3113" s="48">
        <v>2</v>
      </c>
      <c r="C3113" s="62">
        <v>2</v>
      </c>
    </row>
    <row r="3114" spans="1:3" x14ac:dyDescent="0.2">
      <c r="A3114" s="62" t="s">
        <v>2901</v>
      </c>
      <c r="B3114" s="48">
        <v>2</v>
      </c>
      <c r="C3114" s="62">
        <v>2</v>
      </c>
    </row>
    <row r="3115" spans="1:3" x14ac:dyDescent="0.2">
      <c r="A3115" s="62" t="s">
        <v>2900</v>
      </c>
      <c r="B3115" s="48">
        <v>227</v>
      </c>
      <c r="C3115" s="62">
        <v>227</v>
      </c>
    </row>
    <row r="3116" spans="1:3" x14ac:dyDescent="0.2">
      <c r="A3116" s="62" t="s">
        <v>2898</v>
      </c>
      <c r="B3116" s="48">
        <v>63</v>
      </c>
      <c r="C3116" s="62">
        <v>63</v>
      </c>
    </row>
    <row r="3117" spans="1:3" x14ac:dyDescent="0.2">
      <c r="A3117" s="62" t="s">
        <v>2897</v>
      </c>
      <c r="B3117" s="48">
        <v>71</v>
      </c>
      <c r="C3117" s="62">
        <v>71</v>
      </c>
    </row>
    <row r="3118" spans="1:3" x14ac:dyDescent="0.2">
      <c r="A3118" s="62" t="s">
        <v>2896</v>
      </c>
      <c r="B3118" s="48">
        <v>14</v>
      </c>
      <c r="C3118" s="62">
        <v>14</v>
      </c>
    </row>
    <row r="3119" spans="1:3" x14ac:dyDescent="0.2">
      <c r="A3119" s="62" t="s">
        <v>2895</v>
      </c>
      <c r="B3119" s="48">
        <v>14</v>
      </c>
      <c r="C3119" s="62">
        <v>14</v>
      </c>
    </row>
    <row r="3120" spans="1:3" x14ac:dyDescent="0.2">
      <c r="A3120" s="62" t="s">
        <v>2894</v>
      </c>
      <c r="B3120" s="48">
        <v>63</v>
      </c>
      <c r="C3120" s="62">
        <v>63</v>
      </c>
    </row>
    <row r="3121" spans="1:3" x14ac:dyDescent="0.2">
      <c r="A3121" s="62" t="s">
        <v>2893</v>
      </c>
      <c r="B3121" s="48">
        <v>192</v>
      </c>
      <c r="C3121" s="62">
        <v>192</v>
      </c>
    </row>
    <row r="3122" spans="1:3" x14ac:dyDescent="0.2">
      <c r="A3122" s="62" t="s">
        <v>2892</v>
      </c>
      <c r="B3122" s="48">
        <v>2</v>
      </c>
      <c r="C3122" s="62">
        <v>2</v>
      </c>
    </row>
    <row r="3123" spans="1:3" x14ac:dyDescent="0.2">
      <c r="A3123" s="62" t="s">
        <v>2891</v>
      </c>
      <c r="B3123" s="48">
        <v>131</v>
      </c>
      <c r="C3123" s="62">
        <v>131</v>
      </c>
    </row>
    <row r="3124" spans="1:3" x14ac:dyDescent="0.2">
      <c r="A3124" s="62" t="s">
        <v>2890</v>
      </c>
      <c r="B3124" s="48">
        <v>15</v>
      </c>
      <c r="C3124" s="62">
        <v>15</v>
      </c>
    </row>
    <row r="3125" spans="1:3" x14ac:dyDescent="0.2">
      <c r="A3125" s="62" t="s">
        <v>2889</v>
      </c>
      <c r="B3125" s="48">
        <v>2</v>
      </c>
      <c r="C3125" s="62">
        <v>2</v>
      </c>
    </row>
    <row r="3126" spans="1:3" x14ac:dyDescent="0.2">
      <c r="A3126" s="62" t="s">
        <v>2888</v>
      </c>
      <c r="B3126" s="48">
        <v>2</v>
      </c>
      <c r="C3126" s="62">
        <v>2</v>
      </c>
    </row>
    <row r="3127" spans="1:3" x14ac:dyDescent="0.2">
      <c r="A3127" s="62" t="s">
        <v>2886</v>
      </c>
      <c r="B3127" s="48">
        <v>14</v>
      </c>
      <c r="C3127" s="62">
        <v>14</v>
      </c>
    </row>
    <row r="3128" spans="1:3" x14ac:dyDescent="0.2">
      <c r="A3128" s="62" t="s">
        <v>2885</v>
      </c>
      <c r="B3128" s="48">
        <v>179</v>
      </c>
      <c r="C3128" s="62">
        <v>179</v>
      </c>
    </row>
    <row r="3129" spans="1:3" x14ac:dyDescent="0.2">
      <c r="A3129" s="62" t="s">
        <v>2884</v>
      </c>
      <c r="B3129" s="48">
        <v>179</v>
      </c>
      <c r="C3129" s="62">
        <v>179</v>
      </c>
    </row>
    <row r="3130" spans="1:3" x14ac:dyDescent="0.2">
      <c r="A3130" s="62" t="s">
        <v>2883</v>
      </c>
      <c r="B3130" s="48">
        <v>159</v>
      </c>
      <c r="C3130" s="62">
        <v>159</v>
      </c>
    </row>
    <row r="3131" spans="1:3" x14ac:dyDescent="0.2">
      <c r="A3131" s="62" t="s">
        <v>2882</v>
      </c>
      <c r="B3131" s="48">
        <v>15</v>
      </c>
      <c r="C3131" s="62">
        <v>15</v>
      </c>
    </row>
    <row r="3132" spans="1:3" x14ac:dyDescent="0.2">
      <c r="A3132" s="62" t="s">
        <v>2881</v>
      </c>
      <c r="B3132" s="48">
        <v>71</v>
      </c>
      <c r="C3132" s="62">
        <v>71</v>
      </c>
    </row>
    <row r="3133" spans="1:3" x14ac:dyDescent="0.2">
      <c r="A3133" s="62" t="s">
        <v>2880</v>
      </c>
      <c r="B3133" s="48">
        <v>139</v>
      </c>
      <c r="C3133" s="62">
        <v>139</v>
      </c>
    </row>
    <row r="3134" spans="1:3" x14ac:dyDescent="0.2">
      <c r="A3134" s="62" t="s">
        <v>2879</v>
      </c>
      <c r="B3134" s="48">
        <v>88</v>
      </c>
      <c r="C3134" s="62">
        <v>88</v>
      </c>
    </row>
    <row r="3135" spans="1:3" x14ac:dyDescent="0.2">
      <c r="A3135" s="62" t="s">
        <v>2878</v>
      </c>
      <c r="B3135" s="48">
        <v>88</v>
      </c>
      <c r="C3135" s="62">
        <v>88</v>
      </c>
    </row>
    <row r="3136" spans="1:3" x14ac:dyDescent="0.2">
      <c r="A3136" s="62" t="s">
        <v>2876</v>
      </c>
      <c r="B3136" s="48">
        <v>217</v>
      </c>
      <c r="C3136" s="62">
        <v>217</v>
      </c>
    </row>
    <row r="3137" spans="1:3" x14ac:dyDescent="0.2">
      <c r="A3137" s="62" t="s">
        <v>2874</v>
      </c>
      <c r="B3137" s="48">
        <v>217</v>
      </c>
      <c r="C3137" s="62">
        <v>217</v>
      </c>
    </row>
    <row r="3138" spans="1:3" x14ac:dyDescent="0.2">
      <c r="A3138" s="62" t="s">
        <v>2873</v>
      </c>
      <c r="B3138" s="48">
        <v>217</v>
      </c>
      <c r="C3138" s="62">
        <v>217</v>
      </c>
    </row>
    <row r="3139" spans="1:3" x14ac:dyDescent="0.2">
      <c r="A3139" s="62" t="s">
        <v>2872</v>
      </c>
      <c r="B3139" s="48">
        <v>165</v>
      </c>
      <c r="C3139" s="62">
        <v>165</v>
      </c>
    </row>
    <row r="3140" spans="1:3" x14ac:dyDescent="0.2">
      <c r="A3140" s="62" t="s">
        <v>2871</v>
      </c>
      <c r="B3140" s="48">
        <v>165</v>
      </c>
      <c r="C3140" s="62">
        <v>165</v>
      </c>
    </row>
    <row r="3141" spans="1:3" x14ac:dyDescent="0.2">
      <c r="A3141" s="62" t="s">
        <v>2870</v>
      </c>
      <c r="B3141" s="48">
        <v>165</v>
      </c>
      <c r="C3141" s="62">
        <v>165</v>
      </c>
    </row>
    <row r="3142" spans="1:3" x14ac:dyDescent="0.2">
      <c r="A3142" s="62" t="s">
        <v>2869</v>
      </c>
      <c r="B3142" s="48">
        <v>103</v>
      </c>
      <c r="C3142" s="62">
        <v>103</v>
      </c>
    </row>
    <row r="3143" spans="1:3" x14ac:dyDescent="0.2">
      <c r="A3143" s="62" t="s">
        <v>2868</v>
      </c>
      <c r="B3143" s="48">
        <v>148</v>
      </c>
      <c r="C3143" s="62">
        <v>148</v>
      </c>
    </row>
    <row r="3144" spans="1:3" x14ac:dyDescent="0.2">
      <c r="A3144" s="62" t="s">
        <v>2867</v>
      </c>
      <c r="B3144" s="48">
        <v>104</v>
      </c>
      <c r="C3144" s="62">
        <v>104</v>
      </c>
    </row>
    <row r="3145" spans="1:3" x14ac:dyDescent="0.2">
      <c r="A3145" s="62" t="s">
        <v>2866</v>
      </c>
      <c r="B3145" s="48">
        <v>148</v>
      </c>
      <c r="C3145" s="62">
        <v>148</v>
      </c>
    </row>
    <row r="3146" spans="1:3" x14ac:dyDescent="0.2">
      <c r="A3146" s="62" t="s">
        <v>2865</v>
      </c>
      <c r="B3146" s="48">
        <v>33</v>
      </c>
      <c r="C3146" s="62">
        <v>33</v>
      </c>
    </row>
    <row r="3147" spans="1:3" x14ac:dyDescent="0.2">
      <c r="A3147" s="62" t="s">
        <v>2864</v>
      </c>
      <c r="B3147" s="48">
        <v>14</v>
      </c>
      <c r="C3147" s="62">
        <v>14</v>
      </c>
    </row>
    <row r="3148" spans="1:3" x14ac:dyDescent="0.2">
      <c r="A3148" s="62" t="s">
        <v>2863</v>
      </c>
      <c r="B3148" s="48">
        <v>15</v>
      </c>
      <c r="C3148" s="62">
        <v>15</v>
      </c>
    </row>
    <row r="3149" spans="1:3" x14ac:dyDescent="0.2">
      <c r="A3149" s="62" t="s">
        <v>2862</v>
      </c>
      <c r="B3149" s="48">
        <v>70</v>
      </c>
      <c r="C3149" s="62">
        <v>70</v>
      </c>
    </row>
    <row r="3150" spans="1:3" x14ac:dyDescent="0.2">
      <c r="A3150" s="62" t="s">
        <v>2861</v>
      </c>
      <c r="B3150" s="48">
        <v>2</v>
      </c>
      <c r="C3150" s="62">
        <v>2</v>
      </c>
    </row>
    <row r="3151" spans="1:3" x14ac:dyDescent="0.2">
      <c r="A3151" s="62" t="s">
        <v>2860</v>
      </c>
      <c r="B3151" s="48">
        <v>19</v>
      </c>
      <c r="C3151" s="62">
        <v>19</v>
      </c>
    </row>
    <row r="3152" spans="1:3" x14ac:dyDescent="0.2">
      <c r="A3152" s="62" t="s">
        <v>2859</v>
      </c>
      <c r="B3152" s="48">
        <v>4</v>
      </c>
      <c r="C3152" s="62">
        <v>4</v>
      </c>
    </row>
    <row r="3153" spans="1:3" x14ac:dyDescent="0.2">
      <c r="A3153" s="62" t="s">
        <v>2858</v>
      </c>
      <c r="B3153" s="48">
        <v>14</v>
      </c>
      <c r="C3153" s="62">
        <v>14</v>
      </c>
    </row>
    <row r="3154" spans="1:3" x14ac:dyDescent="0.2">
      <c r="A3154" s="62" t="s">
        <v>2857</v>
      </c>
      <c r="B3154" s="48">
        <v>19</v>
      </c>
      <c r="C3154" s="62">
        <v>19</v>
      </c>
    </row>
    <row r="3155" spans="1:3" x14ac:dyDescent="0.2">
      <c r="A3155" s="62" t="s">
        <v>2856</v>
      </c>
      <c r="B3155" s="48">
        <v>14</v>
      </c>
      <c r="C3155" s="62">
        <v>14</v>
      </c>
    </row>
    <row r="3156" spans="1:3" x14ac:dyDescent="0.2">
      <c r="A3156" s="62" t="s">
        <v>2855</v>
      </c>
      <c r="B3156" s="48">
        <v>14</v>
      </c>
      <c r="C3156" s="62">
        <v>14</v>
      </c>
    </row>
    <row r="3157" spans="1:3" x14ac:dyDescent="0.2">
      <c r="A3157" s="62" t="s">
        <v>2854</v>
      </c>
      <c r="B3157" s="48">
        <v>146</v>
      </c>
      <c r="C3157" s="62">
        <v>146</v>
      </c>
    </row>
    <row r="3158" spans="1:3" x14ac:dyDescent="0.2">
      <c r="A3158" s="62" t="s">
        <v>2853</v>
      </c>
      <c r="B3158" s="48">
        <v>194</v>
      </c>
      <c r="C3158" s="62">
        <v>194</v>
      </c>
    </row>
    <row r="3159" spans="1:3" x14ac:dyDescent="0.2">
      <c r="A3159" s="62" t="s">
        <v>2852</v>
      </c>
      <c r="B3159" s="48">
        <v>146</v>
      </c>
      <c r="C3159" s="62">
        <v>146</v>
      </c>
    </row>
    <row r="3160" spans="1:3" x14ac:dyDescent="0.2">
      <c r="A3160" s="62" t="s">
        <v>2851</v>
      </c>
      <c r="B3160" s="48">
        <v>88</v>
      </c>
      <c r="C3160" s="62">
        <v>88</v>
      </c>
    </row>
    <row r="3161" spans="1:3" x14ac:dyDescent="0.2">
      <c r="A3161" s="62" t="s">
        <v>2850</v>
      </c>
      <c r="B3161" s="48">
        <v>74</v>
      </c>
      <c r="C3161" s="62">
        <v>74</v>
      </c>
    </row>
    <row r="3162" spans="1:3" x14ac:dyDescent="0.2">
      <c r="A3162" s="62" t="s">
        <v>2849</v>
      </c>
      <c r="B3162" s="48">
        <v>132</v>
      </c>
      <c r="C3162" s="62">
        <v>132</v>
      </c>
    </row>
    <row r="3163" spans="1:3" x14ac:dyDescent="0.2">
      <c r="A3163" s="62" t="s">
        <v>2848</v>
      </c>
      <c r="B3163" s="48">
        <v>132</v>
      </c>
      <c r="C3163" s="62">
        <v>132</v>
      </c>
    </row>
    <row r="3164" spans="1:3" x14ac:dyDescent="0.2">
      <c r="A3164" s="62" t="s">
        <v>2847</v>
      </c>
      <c r="B3164" s="48">
        <v>14</v>
      </c>
      <c r="C3164" s="62">
        <v>14</v>
      </c>
    </row>
    <row r="3165" spans="1:3" x14ac:dyDescent="0.2">
      <c r="A3165" s="62" t="s">
        <v>2846</v>
      </c>
      <c r="B3165" s="48">
        <v>15</v>
      </c>
      <c r="C3165" s="62">
        <v>15</v>
      </c>
    </row>
    <row r="3166" spans="1:3" x14ac:dyDescent="0.2">
      <c r="A3166" s="62" t="s">
        <v>2845</v>
      </c>
      <c r="B3166" s="48">
        <v>15</v>
      </c>
      <c r="C3166" s="62">
        <v>15</v>
      </c>
    </row>
    <row r="3167" spans="1:3" x14ac:dyDescent="0.2">
      <c r="A3167" s="62" t="s">
        <v>2844</v>
      </c>
      <c r="B3167" s="48">
        <v>44</v>
      </c>
      <c r="C3167" s="62">
        <v>44</v>
      </c>
    </row>
    <row r="3168" spans="1:3" x14ac:dyDescent="0.2">
      <c r="A3168" s="62" t="s">
        <v>2843</v>
      </c>
      <c r="B3168" s="48">
        <v>29</v>
      </c>
      <c r="C3168" s="62">
        <v>29</v>
      </c>
    </row>
    <row r="3169" spans="1:3" x14ac:dyDescent="0.2">
      <c r="A3169" s="62" t="s">
        <v>2842</v>
      </c>
      <c r="B3169" s="48">
        <v>61</v>
      </c>
      <c r="C3169" s="62">
        <v>61</v>
      </c>
    </row>
    <row r="3170" spans="1:3" x14ac:dyDescent="0.2">
      <c r="A3170" s="62" t="s">
        <v>2841</v>
      </c>
      <c r="B3170" s="48">
        <v>87</v>
      </c>
      <c r="C3170" s="62">
        <v>87</v>
      </c>
    </row>
    <row r="3171" spans="1:3" x14ac:dyDescent="0.2">
      <c r="A3171" s="62" t="s">
        <v>2840</v>
      </c>
      <c r="B3171" s="48">
        <v>2</v>
      </c>
      <c r="C3171" s="62">
        <v>2</v>
      </c>
    </row>
    <row r="3172" spans="1:3" x14ac:dyDescent="0.2">
      <c r="A3172" s="62" t="s">
        <v>2839</v>
      </c>
      <c r="B3172" s="48">
        <v>150</v>
      </c>
      <c r="C3172" s="62">
        <v>150</v>
      </c>
    </row>
    <row r="3173" spans="1:3" x14ac:dyDescent="0.2">
      <c r="A3173" s="62" t="s">
        <v>2838</v>
      </c>
      <c r="B3173" s="48">
        <v>150</v>
      </c>
      <c r="C3173" s="62">
        <v>150</v>
      </c>
    </row>
    <row r="3174" spans="1:3" x14ac:dyDescent="0.2">
      <c r="A3174" s="62" t="s">
        <v>2837</v>
      </c>
      <c r="B3174" s="48">
        <v>15</v>
      </c>
      <c r="C3174" s="62">
        <v>15</v>
      </c>
    </row>
    <row r="3175" spans="1:3" x14ac:dyDescent="0.2">
      <c r="A3175" s="62" t="s">
        <v>2836</v>
      </c>
      <c r="B3175" s="48">
        <v>7</v>
      </c>
      <c r="C3175" s="62">
        <v>7</v>
      </c>
    </row>
    <row r="3176" spans="1:3" x14ac:dyDescent="0.2">
      <c r="A3176" s="62" t="s">
        <v>2835</v>
      </c>
      <c r="B3176" s="48">
        <v>116</v>
      </c>
      <c r="C3176" s="62">
        <v>116</v>
      </c>
    </row>
    <row r="3177" spans="1:3" x14ac:dyDescent="0.2">
      <c r="A3177" s="62" t="s">
        <v>2834</v>
      </c>
      <c r="B3177" s="48">
        <v>14</v>
      </c>
      <c r="C3177" s="62">
        <v>14</v>
      </c>
    </row>
    <row r="3178" spans="1:3" x14ac:dyDescent="0.2">
      <c r="A3178" s="62" t="s">
        <v>2833</v>
      </c>
      <c r="B3178" s="48">
        <v>14</v>
      </c>
      <c r="C3178" s="62">
        <v>14</v>
      </c>
    </row>
    <row r="3179" spans="1:3" x14ac:dyDescent="0.2">
      <c r="A3179" s="62" t="s">
        <v>2832</v>
      </c>
      <c r="B3179" s="48">
        <v>36</v>
      </c>
      <c r="C3179" s="62">
        <v>36</v>
      </c>
    </row>
    <row r="3180" spans="1:3" x14ac:dyDescent="0.2">
      <c r="A3180" s="62" t="s">
        <v>2831</v>
      </c>
      <c r="B3180" s="48">
        <v>194</v>
      </c>
      <c r="C3180" s="62">
        <v>194</v>
      </c>
    </row>
    <row r="3181" spans="1:3" x14ac:dyDescent="0.2">
      <c r="A3181" s="62" t="s">
        <v>2830</v>
      </c>
      <c r="B3181" s="48">
        <v>190</v>
      </c>
      <c r="C3181" s="62">
        <v>190</v>
      </c>
    </row>
    <row r="3182" spans="1:3" x14ac:dyDescent="0.2">
      <c r="A3182" s="62" t="s">
        <v>2829</v>
      </c>
      <c r="B3182" s="48">
        <v>15</v>
      </c>
      <c r="C3182" s="62">
        <v>15</v>
      </c>
    </row>
    <row r="3183" spans="1:3" x14ac:dyDescent="0.2">
      <c r="A3183" s="62" t="s">
        <v>2828</v>
      </c>
      <c r="B3183" s="48">
        <v>14</v>
      </c>
      <c r="C3183" s="62">
        <v>14</v>
      </c>
    </row>
    <row r="3184" spans="1:3" x14ac:dyDescent="0.2">
      <c r="A3184" s="62" t="s">
        <v>2827</v>
      </c>
      <c r="B3184" s="48">
        <v>148</v>
      </c>
      <c r="C3184" s="62">
        <v>148</v>
      </c>
    </row>
    <row r="3185" spans="1:3" x14ac:dyDescent="0.2">
      <c r="A3185" s="62" t="s">
        <v>2826</v>
      </c>
      <c r="B3185" s="48">
        <v>194</v>
      </c>
      <c r="C3185" s="62">
        <v>194</v>
      </c>
    </row>
    <row r="3186" spans="1:3" x14ac:dyDescent="0.2">
      <c r="A3186" s="62" t="s">
        <v>2825</v>
      </c>
      <c r="B3186" s="48">
        <v>194</v>
      </c>
      <c r="C3186" s="62">
        <v>194</v>
      </c>
    </row>
    <row r="3187" spans="1:3" x14ac:dyDescent="0.2">
      <c r="A3187" s="62" t="s">
        <v>2824</v>
      </c>
      <c r="B3187" s="48">
        <v>30</v>
      </c>
      <c r="C3187" s="62">
        <v>30</v>
      </c>
    </row>
    <row r="3188" spans="1:3" x14ac:dyDescent="0.2">
      <c r="A3188" s="62" t="s">
        <v>2823</v>
      </c>
      <c r="B3188" s="48">
        <v>30</v>
      </c>
      <c r="C3188" s="62">
        <v>30</v>
      </c>
    </row>
    <row r="3189" spans="1:3" x14ac:dyDescent="0.2">
      <c r="A3189" s="62" t="s">
        <v>2822</v>
      </c>
      <c r="B3189" s="48">
        <v>30</v>
      </c>
      <c r="C3189" s="62">
        <v>30</v>
      </c>
    </row>
    <row r="3190" spans="1:3" x14ac:dyDescent="0.2">
      <c r="A3190" s="62" t="s">
        <v>2821</v>
      </c>
      <c r="B3190" s="48">
        <v>148</v>
      </c>
      <c r="C3190" s="62">
        <v>148</v>
      </c>
    </row>
    <row r="3191" spans="1:3" x14ac:dyDescent="0.2">
      <c r="A3191" s="62" t="s">
        <v>2820</v>
      </c>
      <c r="B3191" s="48">
        <v>161</v>
      </c>
      <c r="C3191" s="62">
        <v>161</v>
      </c>
    </row>
    <row r="3192" spans="1:3" x14ac:dyDescent="0.2">
      <c r="A3192" s="62" t="s">
        <v>2819</v>
      </c>
      <c r="B3192" s="48">
        <v>4</v>
      </c>
      <c r="C3192" s="62">
        <v>4</v>
      </c>
    </row>
    <row r="3193" spans="1:3" x14ac:dyDescent="0.2">
      <c r="A3193" s="62" t="s">
        <v>2818</v>
      </c>
      <c r="B3193" s="48">
        <v>142</v>
      </c>
      <c r="C3193" s="62">
        <v>142</v>
      </c>
    </row>
    <row r="3194" spans="1:3" x14ac:dyDescent="0.2">
      <c r="A3194" s="62" t="s">
        <v>2817</v>
      </c>
      <c r="B3194" s="48">
        <v>142</v>
      </c>
      <c r="C3194" s="62">
        <v>142</v>
      </c>
    </row>
    <row r="3195" spans="1:3" x14ac:dyDescent="0.2">
      <c r="A3195" s="62" t="s">
        <v>2816</v>
      </c>
      <c r="B3195" s="48">
        <v>142</v>
      </c>
      <c r="C3195" s="62">
        <v>142</v>
      </c>
    </row>
    <row r="3196" spans="1:3" x14ac:dyDescent="0.2">
      <c r="A3196" s="62" t="s">
        <v>2815</v>
      </c>
      <c r="B3196" s="48">
        <v>33</v>
      </c>
      <c r="C3196" s="62">
        <v>33</v>
      </c>
    </row>
    <row r="3197" spans="1:3" x14ac:dyDescent="0.2">
      <c r="A3197" s="62" t="s">
        <v>2793</v>
      </c>
      <c r="B3197" s="48">
        <v>142</v>
      </c>
      <c r="C3197" s="62">
        <v>142</v>
      </c>
    </row>
    <row r="3198" spans="1:3" x14ac:dyDescent="0.2">
      <c r="A3198" s="62" t="s">
        <v>2792</v>
      </c>
      <c r="B3198" s="48">
        <v>14</v>
      </c>
      <c r="C3198" s="62">
        <v>14</v>
      </c>
    </row>
    <row r="3199" spans="1:3" x14ac:dyDescent="0.2">
      <c r="A3199" s="62" t="s">
        <v>2791</v>
      </c>
      <c r="B3199" s="48">
        <v>2</v>
      </c>
      <c r="C3199" s="62">
        <v>2</v>
      </c>
    </row>
    <row r="3200" spans="1:3" x14ac:dyDescent="0.2">
      <c r="A3200" s="62" t="s">
        <v>2790</v>
      </c>
      <c r="B3200" s="48">
        <v>33</v>
      </c>
      <c r="C3200" s="62">
        <v>33</v>
      </c>
    </row>
    <row r="3201" spans="1:3" x14ac:dyDescent="0.2">
      <c r="A3201" s="62" t="s">
        <v>2789</v>
      </c>
      <c r="B3201" s="48">
        <v>167</v>
      </c>
      <c r="C3201" s="62">
        <v>167</v>
      </c>
    </row>
    <row r="3202" spans="1:3" x14ac:dyDescent="0.2">
      <c r="A3202" s="62" t="s">
        <v>2788</v>
      </c>
      <c r="B3202" s="48">
        <v>167</v>
      </c>
      <c r="C3202" s="62">
        <v>167</v>
      </c>
    </row>
    <row r="3203" spans="1:3" x14ac:dyDescent="0.2">
      <c r="A3203" s="62" t="s">
        <v>2787</v>
      </c>
      <c r="B3203" s="48">
        <v>13</v>
      </c>
      <c r="C3203" s="62">
        <v>13</v>
      </c>
    </row>
    <row r="3204" spans="1:3" x14ac:dyDescent="0.2">
      <c r="A3204" s="62" t="s">
        <v>2786</v>
      </c>
      <c r="B3204" s="48">
        <v>33</v>
      </c>
      <c r="C3204" s="62">
        <v>33</v>
      </c>
    </row>
    <row r="3205" spans="1:3" x14ac:dyDescent="0.2">
      <c r="A3205" s="62" t="s">
        <v>2785</v>
      </c>
      <c r="B3205" s="48">
        <v>15</v>
      </c>
      <c r="C3205" s="62">
        <v>15</v>
      </c>
    </row>
    <row r="3206" spans="1:3" x14ac:dyDescent="0.2">
      <c r="A3206" s="62" t="s">
        <v>2782</v>
      </c>
      <c r="B3206" s="48">
        <v>193</v>
      </c>
      <c r="C3206" s="62">
        <v>193</v>
      </c>
    </row>
    <row r="3207" spans="1:3" x14ac:dyDescent="0.2">
      <c r="A3207" s="62" t="s">
        <v>2781</v>
      </c>
      <c r="B3207" s="48">
        <v>2</v>
      </c>
      <c r="C3207" s="62">
        <v>2</v>
      </c>
    </row>
    <row r="3208" spans="1:3" x14ac:dyDescent="0.2">
      <c r="A3208" s="62" t="s">
        <v>2780</v>
      </c>
      <c r="B3208" s="48">
        <v>2</v>
      </c>
      <c r="C3208" s="62">
        <v>2</v>
      </c>
    </row>
    <row r="3209" spans="1:3" x14ac:dyDescent="0.2">
      <c r="A3209" s="62" t="s">
        <v>2779</v>
      </c>
      <c r="B3209" s="48">
        <v>2</v>
      </c>
      <c r="C3209" s="62">
        <v>2</v>
      </c>
    </row>
    <row r="3210" spans="1:3" x14ac:dyDescent="0.2">
      <c r="A3210" s="62" t="s">
        <v>2778</v>
      </c>
      <c r="B3210" s="48">
        <v>2</v>
      </c>
      <c r="C3210" s="62">
        <v>2</v>
      </c>
    </row>
    <row r="3211" spans="1:3" x14ac:dyDescent="0.2">
      <c r="A3211" s="62" t="s">
        <v>2777</v>
      </c>
      <c r="B3211" s="48">
        <v>2</v>
      </c>
      <c r="C3211" s="62">
        <v>2</v>
      </c>
    </row>
    <row r="3212" spans="1:3" x14ac:dyDescent="0.2">
      <c r="A3212" s="62" t="s">
        <v>2776</v>
      </c>
      <c r="B3212" s="48">
        <v>2</v>
      </c>
      <c r="C3212" s="62">
        <v>2</v>
      </c>
    </row>
    <row r="3213" spans="1:3" x14ac:dyDescent="0.2">
      <c r="A3213" s="62" t="s">
        <v>2775</v>
      </c>
      <c r="B3213" s="48">
        <v>62</v>
      </c>
      <c r="C3213" s="62">
        <v>62</v>
      </c>
    </row>
    <row r="3214" spans="1:3" x14ac:dyDescent="0.2">
      <c r="A3214" s="62" t="s">
        <v>2774</v>
      </c>
      <c r="B3214" s="48">
        <v>4</v>
      </c>
      <c r="C3214" s="62">
        <v>4</v>
      </c>
    </row>
    <row r="3215" spans="1:3" x14ac:dyDescent="0.2">
      <c r="A3215" s="62" t="s">
        <v>2773</v>
      </c>
      <c r="B3215" s="48">
        <v>18</v>
      </c>
      <c r="C3215" s="62">
        <v>18</v>
      </c>
    </row>
    <row r="3216" spans="1:3" x14ac:dyDescent="0.2">
      <c r="A3216" s="62" t="s">
        <v>2772</v>
      </c>
      <c r="B3216" s="48">
        <v>148</v>
      </c>
      <c r="C3216" s="62">
        <v>148</v>
      </c>
    </row>
    <row r="3217" spans="1:3" x14ac:dyDescent="0.2">
      <c r="A3217" s="62" t="s">
        <v>2771</v>
      </c>
      <c r="B3217" s="48">
        <v>46</v>
      </c>
      <c r="C3217" s="62">
        <v>46</v>
      </c>
    </row>
    <row r="3218" spans="1:3" x14ac:dyDescent="0.2">
      <c r="A3218" s="62" t="s">
        <v>2770</v>
      </c>
      <c r="B3218" s="48">
        <v>14</v>
      </c>
      <c r="C3218" s="62">
        <v>14</v>
      </c>
    </row>
    <row r="3219" spans="1:3" x14ac:dyDescent="0.2">
      <c r="A3219" s="62" t="s">
        <v>2769</v>
      </c>
      <c r="B3219" s="48">
        <v>14</v>
      </c>
      <c r="C3219" s="62">
        <v>14</v>
      </c>
    </row>
    <row r="3220" spans="1:3" x14ac:dyDescent="0.2">
      <c r="A3220" s="62" t="s">
        <v>2768</v>
      </c>
      <c r="B3220" s="48">
        <v>4</v>
      </c>
      <c r="C3220" s="62">
        <v>4</v>
      </c>
    </row>
    <row r="3221" spans="1:3" x14ac:dyDescent="0.2">
      <c r="A3221" s="62" t="s">
        <v>2767</v>
      </c>
      <c r="B3221" s="48">
        <v>4</v>
      </c>
      <c r="C3221" s="62">
        <v>4</v>
      </c>
    </row>
    <row r="3222" spans="1:3" x14ac:dyDescent="0.2">
      <c r="A3222" s="62" t="s">
        <v>2766</v>
      </c>
      <c r="B3222" s="48">
        <v>18</v>
      </c>
      <c r="C3222" s="62">
        <v>18</v>
      </c>
    </row>
    <row r="3223" spans="1:3" x14ac:dyDescent="0.2">
      <c r="A3223" s="62" t="s">
        <v>2765</v>
      </c>
      <c r="B3223" s="48">
        <v>148</v>
      </c>
      <c r="C3223" s="62">
        <v>148</v>
      </c>
    </row>
    <row r="3224" spans="1:3" x14ac:dyDescent="0.2">
      <c r="A3224" s="62" t="s">
        <v>2764</v>
      </c>
      <c r="B3224" s="48">
        <v>15</v>
      </c>
      <c r="C3224" s="62">
        <v>15</v>
      </c>
    </row>
    <row r="3225" spans="1:3" x14ac:dyDescent="0.2">
      <c r="A3225" s="62" t="s">
        <v>2763</v>
      </c>
      <c r="B3225" s="48">
        <v>15</v>
      </c>
      <c r="C3225" s="62">
        <v>15</v>
      </c>
    </row>
    <row r="3226" spans="1:3" x14ac:dyDescent="0.2">
      <c r="A3226" s="62" t="s">
        <v>2762</v>
      </c>
      <c r="B3226" s="48">
        <v>15</v>
      </c>
      <c r="C3226" s="62">
        <v>15</v>
      </c>
    </row>
    <row r="3227" spans="1:3" x14ac:dyDescent="0.2">
      <c r="A3227" s="62" t="s">
        <v>2759</v>
      </c>
      <c r="B3227" s="48">
        <v>87</v>
      </c>
      <c r="C3227" s="62">
        <v>87</v>
      </c>
    </row>
    <row r="3228" spans="1:3" x14ac:dyDescent="0.2">
      <c r="A3228" s="62" t="s">
        <v>2758</v>
      </c>
      <c r="B3228" s="48">
        <v>87</v>
      </c>
      <c r="C3228" s="62">
        <v>87</v>
      </c>
    </row>
    <row r="3229" spans="1:3" x14ac:dyDescent="0.2">
      <c r="A3229" s="62" t="s">
        <v>2757</v>
      </c>
      <c r="B3229" s="48">
        <v>87</v>
      </c>
      <c r="C3229" s="62">
        <v>87</v>
      </c>
    </row>
    <row r="3230" spans="1:3" x14ac:dyDescent="0.2">
      <c r="A3230" s="62" t="s">
        <v>2756</v>
      </c>
      <c r="B3230" s="48">
        <v>176</v>
      </c>
      <c r="C3230" s="62">
        <v>176</v>
      </c>
    </row>
    <row r="3231" spans="1:3" x14ac:dyDescent="0.2">
      <c r="A3231" s="62" t="s">
        <v>2754</v>
      </c>
      <c r="B3231" s="48">
        <v>14</v>
      </c>
      <c r="C3231" s="62">
        <v>14</v>
      </c>
    </row>
    <row r="3232" spans="1:3" x14ac:dyDescent="0.2">
      <c r="A3232" s="62" t="s">
        <v>2753</v>
      </c>
      <c r="B3232" s="48">
        <v>62</v>
      </c>
      <c r="C3232" s="62">
        <v>62</v>
      </c>
    </row>
    <row r="3233" spans="1:3" x14ac:dyDescent="0.2">
      <c r="A3233" s="62" t="s">
        <v>2752</v>
      </c>
      <c r="B3233" s="48">
        <v>15</v>
      </c>
      <c r="C3233" s="62">
        <v>15</v>
      </c>
    </row>
    <row r="3234" spans="1:3" x14ac:dyDescent="0.2">
      <c r="A3234" s="62" t="s">
        <v>2751</v>
      </c>
      <c r="B3234" s="48">
        <v>2</v>
      </c>
      <c r="C3234" s="62">
        <v>2</v>
      </c>
    </row>
    <row r="3235" spans="1:3" x14ac:dyDescent="0.2">
      <c r="A3235" s="62" t="s">
        <v>2750</v>
      </c>
      <c r="B3235" s="48">
        <v>15</v>
      </c>
      <c r="C3235" s="62">
        <v>15</v>
      </c>
    </row>
    <row r="3236" spans="1:3" x14ac:dyDescent="0.2">
      <c r="A3236" s="62" t="s">
        <v>2749</v>
      </c>
      <c r="B3236" s="48">
        <v>61</v>
      </c>
      <c r="C3236" s="62">
        <v>61</v>
      </c>
    </row>
    <row r="3237" spans="1:3" x14ac:dyDescent="0.2">
      <c r="A3237" s="62" t="s">
        <v>2748</v>
      </c>
      <c r="B3237" s="48">
        <v>61</v>
      </c>
      <c r="C3237" s="62">
        <v>61</v>
      </c>
    </row>
    <row r="3238" spans="1:3" x14ac:dyDescent="0.2">
      <c r="A3238" s="62" t="s">
        <v>2747</v>
      </c>
      <c r="B3238" s="48">
        <v>88</v>
      </c>
      <c r="C3238" s="62">
        <v>88</v>
      </c>
    </row>
    <row r="3239" spans="1:3" x14ac:dyDescent="0.2">
      <c r="A3239" s="62" t="s">
        <v>2746</v>
      </c>
      <c r="B3239" s="48">
        <v>15</v>
      </c>
      <c r="C3239" s="62">
        <v>15</v>
      </c>
    </row>
    <row r="3240" spans="1:3" x14ac:dyDescent="0.2">
      <c r="A3240" s="62" t="s">
        <v>2745</v>
      </c>
      <c r="B3240" s="48">
        <v>15</v>
      </c>
      <c r="C3240" s="62">
        <v>15</v>
      </c>
    </row>
    <row r="3241" spans="1:3" x14ac:dyDescent="0.2">
      <c r="A3241" s="62" t="s">
        <v>2744</v>
      </c>
      <c r="B3241" s="48">
        <v>15</v>
      </c>
      <c r="C3241" s="62">
        <v>15</v>
      </c>
    </row>
    <row r="3242" spans="1:3" x14ac:dyDescent="0.2">
      <c r="A3242" s="62" t="s">
        <v>2743</v>
      </c>
      <c r="B3242" s="48">
        <v>14</v>
      </c>
      <c r="C3242" s="62">
        <v>14</v>
      </c>
    </row>
    <row r="3243" spans="1:3" x14ac:dyDescent="0.2">
      <c r="A3243" s="62" t="s">
        <v>2742</v>
      </c>
      <c r="B3243" s="48">
        <v>2</v>
      </c>
      <c r="C3243" s="62">
        <v>2</v>
      </c>
    </row>
    <row r="3244" spans="1:3" x14ac:dyDescent="0.2">
      <c r="A3244" s="62" t="s">
        <v>2741</v>
      </c>
      <c r="B3244" s="48">
        <v>15</v>
      </c>
      <c r="C3244" s="62">
        <v>15</v>
      </c>
    </row>
    <row r="3245" spans="1:3" x14ac:dyDescent="0.2">
      <c r="A3245" s="62" t="s">
        <v>2740</v>
      </c>
      <c r="B3245" s="48">
        <v>88</v>
      </c>
      <c r="C3245" s="62">
        <v>88</v>
      </c>
    </row>
    <row r="3246" spans="1:3" x14ac:dyDescent="0.2">
      <c r="A3246" s="62" t="s">
        <v>2739</v>
      </c>
      <c r="B3246" s="48">
        <v>88</v>
      </c>
      <c r="C3246" s="62">
        <v>88</v>
      </c>
    </row>
    <row r="3247" spans="1:3" x14ac:dyDescent="0.2">
      <c r="A3247" s="62" t="s">
        <v>2738</v>
      </c>
      <c r="B3247" s="48">
        <v>88</v>
      </c>
      <c r="C3247" s="62">
        <v>88</v>
      </c>
    </row>
    <row r="3248" spans="1:3" x14ac:dyDescent="0.2">
      <c r="A3248" s="62" t="s">
        <v>2737</v>
      </c>
      <c r="B3248" s="48">
        <v>56</v>
      </c>
      <c r="C3248" s="62">
        <v>56</v>
      </c>
    </row>
    <row r="3249" spans="1:3" x14ac:dyDescent="0.2">
      <c r="A3249" s="62" t="s">
        <v>2736</v>
      </c>
      <c r="B3249" s="48">
        <v>56</v>
      </c>
      <c r="C3249" s="62">
        <v>56</v>
      </c>
    </row>
    <row r="3250" spans="1:3" x14ac:dyDescent="0.2">
      <c r="A3250" s="62" t="s">
        <v>2735</v>
      </c>
      <c r="B3250" s="48">
        <v>56</v>
      </c>
      <c r="C3250" s="62">
        <v>56</v>
      </c>
    </row>
    <row r="3251" spans="1:3" x14ac:dyDescent="0.2">
      <c r="A3251" s="62" t="s">
        <v>2734</v>
      </c>
      <c r="B3251" s="48">
        <v>56</v>
      </c>
      <c r="C3251" s="62">
        <v>56</v>
      </c>
    </row>
    <row r="3252" spans="1:3" x14ac:dyDescent="0.2">
      <c r="A3252" s="62" t="s">
        <v>2733</v>
      </c>
      <c r="B3252" s="48">
        <v>60</v>
      </c>
      <c r="C3252" s="62">
        <v>60</v>
      </c>
    </row>
    <row r="3253" spans="1:3" x14ac:dyDescent="0.2">
      <c r="A3253" s="62" t="s">
        <v>2732</v>
      </c>
      <c r="B3253" s="48">
        <v>14</v>
      </c>
      <c r="C3253" s="62">
        <v>14</v>
      </c>
    </row>
    <row r="3254" spans="1:3" x14ac:dyDescent="0.2">
      <c r="A3254" s="62" t="s">
        <v>2731</v>
      </c>
      <c r="B3254" s="48">
        <v>62</v>
      </c>
      <c r="C3254" s="62">
        <v>62</v>
      </c>
    </row>
    <row r="3255" spans="1:3" x14ac:dyDescent="0.2">
      <c r="A3255" s="62" t="s">
        <v>2730</v>
      </c>
      <c r="B3255" s="48">
        <v>15</v>
      </c>
      <c r="C3255" s="62">
        <v>15</v>
      </c>
    </row>
    <row r="3256" spans="1:3" x14ac:dyDescent="0.2">
      <c r="A3256" s="62" t="s">
        <v>2728</v>
      </c>
      <c r="B3256" s="48">
        <v>14</v>
      </c>
      <c r="C3256" s="62">
        <v>14</v>
      </c>
    </row>
    <row r="3257" spans="1:3" x14ac:dyDescent="0.2">
      <c r="A3257" s="62" t="s">
        <v>2727</v>
      </c>
      <c r="B3257" s="48">
        <v>15</v>
      </c>
      <c r="C3257" s="62">
        <v>15</v>
      </c>
    </row>
    <row r="3258" spans="1:3" x14ac:dyDescent="0.2">
      <c r="A3258" s="62" t="s">
        <v>2726</v>
      </c>
      <c r="B3258" s="48">
        <v>15</v>
      </c>
      <c r="C3258" s="62">
        <v>15</v>
      </c>
    </row>
    <row r="3259" spans="1:3" x14ac:dyDescent="0.2">
      <c r="A3259" s="62" t="s">
        <v>2725</v>
      </c>
      <c r="B3259" s="48">
        <v>14</v>
      </c>
      <c r="C3259" s="62">
        <v>14</v>
      </c>
    </row>
    <row r="3260" spans="1:3" x14ac:dyDescent="0.2">
      <c r="A3260" s="62" t="s">
        <v>2724</v>
      </c>
      <c r="B3260" s="48">
        <v>14</v>
      </c>
      <c r="C3260" s="62">
        <v>14</v>
      </c>
    </row>
    <row r="3261" spans="1:3" x14ac:dyDescent="0.2">
      <c r="A3261" s="62" t="s">
        <v>2722</v>
      </c>
      <c r="B3261" s="48">
        <v>15</v>
      </c>
      <c r="C3261" s="62">
        <v>15</v>
      </c>
    </row>
    <row r="3262" spans="1:3" x14ac:dyDescent="0.2">
      <c r="A3262" s="62" t="s">
        <v>2720</v>
      </c>
      <c r="B3262" s="48">
        <v>33</v>
      </c>
      <c r="C3262" s="62">
        <v>33</v>
      </c>
    </row>
    <row r="3263" spans="1:3" x14ac:dyDescent="0.2">
      <c r="A3263" s="62" t="s">
        <v>2719</v>
      </c>
      <c r="B3263" s="48">
        <v>4</v>
      </c>
      <c r="C3263" s="62">
        <v>4</v>
      </c>
    </row>
    <row r="3264" spans="1:3" x14ac:dyDescent="0.2">
      <c r="A3264" s="62" t="s">
        <v>2718</v>
      </c>
      <c r="B3264" s="48">
        <v>2</v>
      </c>
      <c r="C3264" s="62">
        <v>2</v>
      </c>
    </row>
    <row r="3265" spans="1:3" x14ac:dyDescent="0.2">
      <c r="A3265" s="62" t="s">
        <v>2716</v>
      </c>
      <c r="B3265" s="48">
        <v>230</v>
      </c>
      <c r="C3265" s="62">
        <v>230</v>
      </c>
    </row>
    <row r="3266" spans="1:3" x14ac:dyDescent="0.2">
      <c r="A3266" s="62" t="s">
        <v>2715</v>
      </c>
      <c r="B3266" s="48">
        <v>230</v>
      </c>
      <c r="C3266" s="62">
        <v>230</v>
      </c>
    </row>
    <row r="3267" spans="1:3" x14ac:dyDescent="0.2">
      <c r="A3267" s="62" t="s">
        <v>2714</v>
      </c>
      <c r="B3267" s="48">
        <v>142</v>
      </c>
      <c r="C3267" s="62">
        <v>142</v>
      </c>
    </row>
    <row r="3268" spans="1:3" x14ac:dyDescent="0.2">
      <c r="A3268" s="62" t="s">
        <v>2713</v>
      </c>
      <c r="B3268" s="48">
        <v>230</v>
      </c>
      <c r="C3268" s="62">
        <v>230</v>
      </c>
    </row>
    <row r="3269" spans="1:3" x14ac:dyDescent="0.2">
      <c r="A3269" s="62" t="s">
        <v>2712</v>
      </c>
      <c r="B3269" s="48">
        <v>230</v>
      </c>
      <c r="C3269" s="62">
        <v>230</v>
      </c>
    </row>
    <row r="3270" spans="1:3" x14ac:dyDescent="0.2">
      <c r="A3270" s="62" t="s">
        <v>2711</v>
      </c>
      <c r="B3270" s="48">
        <v>230</v>
      </c>
      <c r="C3270" s="62">
        <v>230</v>
      </c>
    </row>
    <row r="3271" spans="1:3" x14ac:dyDescent="0.2">
      <c r="A3271" s="62" t="s">
        <v>2710</v>
      </c>
      <c r="B3271" s="48">
        <v>220</v>
      </c>
      <c r="C3271" s="62">
        <v>220</v>
      </c>
    </row>
    <row r="3272" spans="1:3" x14ac:dyDescent="0.2">
      <c r="A3272" s="62" t="s">
        <v>2709</v>
      </c>
      <c r="B3272" s="48">
        <v>15</v>
      </c>
      <c r="C3272" s="62">
        <v>15</v>
      </c>
    </row>
    <row r="3273" spans="1:3" x14ac:dyDescent="0.2">
      <c r="A3273" s="62" t="s">
        <v>2707</v>
      </c>
      <c r="B3273" s="48">
        <v>15</v>
      </c>
      <c r="C3273" s="62">
        <v>15</v>
      </c>
    </row>
    <row r="3274" spans="1:3" x14ac:dyDescent="0.2">
      <c r="A3274" s="62" t="s">
        <v>2706</v>
      </c>
      <c r="B3274" s="48">
        <v>2</v>
      </c>
      <c r="C3274" s="62">
        <v>2</v>
      </c>
    </row>
    <row r="3275" spans="1:3" x14ac:dyDescent="0.2">
      <c r="A3275" s="62" t="s">
        <v>2705</v>
      </c>
      <c r="B3275" s="48">
        <v>62</v>
      </c>
      <c r="C3275" s="62">
        <v>62</v>
      </c>
    </row>
    <row r="3276" spans="1:3" x14ac:dyDescent="0.2">
      <c r="A3276" s="62" t="s">
        <v>2704</v>
      </c>
      <c r="B3276" s="48">
        <v>14</v>
      </c>
      <c r="C3276" s="62">
        <v>14</v>
      </c>
    </row>
    <row r="3277" spans="1:3" x14ac:dyDescent="0.2">
      <c r="A3277" s="62" t="s">
        <v>2703</v>
      </c>
      <c r="B3277" s="48">
        <v>2</v>
      </c>
      <c r="C3277" s="62">
        <v>2</v>
      </c>
    </row>
    <row r="3278" spans="1:3" x14ac:dyDescent="0.2">
      <c r="A3278" s="62" t="s">
        <v>2702</v>
      </c>
      <c r="B3278" s="48">
        <v>227</v>
      </c>
      <c r="C3278" s="62">
        <v>227</v>
      </c>
    </row>
    <row r="3279" spans="1:3" x14ac:dyDescent="0.2">
      <c r="A3279" s="62" t="s">
        <v>2701</v>
      </c>
      <c r="B3279" s="48">
        <v>137</v>
      </c>
      <c r="C3279" s="62">
        <v>137</v>
      </c>
    </row>
    <row r="3280" spans="1:3" x14ac:dyDescent="0.2">
      <c r="A3280" s="62" t="s">
        <v>2700</v>
      </c>
      <c r="B3280" s="48">
        <v>15</v>
      </c>
      <c r="C3280" s="62">
        <v>15</v>
      </c>
    </row>
    <row r="3281" spans="1:3" x14ac:dyDescent="0.2">
      <c r="A3281" s="62" t="s">
        <v>2699</v>
      </c>
      <c r="B3281" s="48">
        <v>14</v>
      </c>
      <c r="C3281" s="62">
        <v>14</v>
      </c>
    </row>
    <row r="3282" spans="1:3" x14ac:dyDescent="0.2">
      <c r="A3282" s="62" t="s">
        <v>2698</v>
      </c>
      <c r="B3282" s="48">
        <v>34</v>
      </c>
      <c r="C3282" s="62">
        <v>34</v>
      </c>
    </row>
    <row r="3283" spans="1:3" x14ac:dyDescent="0.2">
      <c r="A3283" s="62" t="s">
        <v>2697</v>
      </c>
      <c r="B3283" s="48">
        <v>167</v>
      </c>
      <c r="C3283" s="62">
        <v>167</v>
      </c>
    </row>
    <row r="3284" spans="1:3" x14ac:dyDescent="0.2">
      <c r="A3284" s="62" t="s">
        <v>2696</v>
      </c>
      <c r="B3284" s="48">
        <v>82</v>
      </c>
      <c r="C3284" s="62">
        <v>82</v>
      </c>
    </row>
    <row r="3285" spans="1:3" x14ac:dyDescent="0.2">
      <c r="A3285" s="62" t="s">
        <v>2695</v>
      </c>
      <c r="B3285" s="48">
        <v>14</v>
      </c>
      <c r="C3285" s="62">
        <v>14</v>
      </c>
    </row>
    <row r="3286" spans="1:3" x14ac:dyDescent="0.2">
      <c r="A3286" s="62" t="s">
        <v>2694</v>
      </c>
      <c r="B3286" s="48">
        <v>217</v>
      </c>
      <c r="C3286" s="62">
        <v>217</v>
      </c>
    </row>
    <row r="3287" spans="1:3" x14ac:dyDescent="0.2">
      <c r="A3287" s="62" t="s">
        <v>2693</v>
      </c>
      <c r="B3287" s="48">
        <v>43</v>
      </c>
      <c r="C3287" s="62">
        <v>43</v>
      </c>
    </row>
    <row r="3288" spans="1:3" x14ac:dyDescent="0.2">
      <c r="A3288" s="62" t="s">
        <v>2692</v>
      </c>
      <c r="B3288" s="48">
        <v>14</v>
      </c>
      <c r="C3288" s="62">
        <v>14</v>
      </c>
    </row>
    <row r="3289" spans="1:3" x14ac:dyDescent="0.2">
      <c r="A3289" s="62" t="s">
        <v>2691</v>
      </c>
      <c r="B3289" s="48">
        <v>2</v>
      </c>
      <c r="C3289" s="62">
        <v>2</v>
      </c>
    </row>
    <row r="3290" spans="1:3" x14ac:dyDescent="0.2">
      <c r="A3290" s="62" t="s">
        <v>2690</v>
      </c>
      <c r="B3290" s="48">
        <v>148</v>
      </c>
      <c r="C3290" s="62">
        <v>148</v>
      </c>
    </row>
    <row r="3291" spans="1:3" x14ac:dyDescent="0.2">
      <c r="A3291" s="62" t="s">
        <v>2689</v>
      </c>
      <c r="B3291" s="48">
        <v>2</v>
      </c>
      <c r="C3291" s="62">
        <v>2</v>
      </c>
    </row>
    <row r="3292" spans="1:3" x14ac:dyDescent="0.2">
      <c r="A3292" s="62" t="s">
        <v>2688</v>
      </c>
      <c r="B3292" s="48">
        <v>166</v>
      </c>
      <c r="C3292" s="62">
        <v>166</v>
      </c>
    </row>
    <row r="3293" spans="1:3" x14ac:dyDescent="0.2">
      <c r="A3293" s="62" t="s">
        <v>2687</v>
      </c>
      <c r="B3293" s="48">
        <v>4</v>
      </c>
      <c r="C3293" s="62">
        <v>4</v>
      </c>
    </row>
    <row r="3294" spans="1:3" x14ac:dyDescent="0.2">
      <c r="A3294" s="62" t="s">
        <v>2686</v>
      </c>
      <c r="B3294" s="48">
        <v>4</v>
      </c>
      <c r="C3294" s="62">
        <v>4</v>
      </c>
    </row>
    <row r="3295" spans="1:3" x14ac:dyDescent="0.2">
      <c r="A3295" s="62" t="s">
        <v>2685</v>
      </c>
      <c r="B3295" s="48">
        <v>4</v>
      </c>
      <c r="C3295" s="62">
        <v>4</v>
      </c>
    </row>
    <row r="3296" spans="1:3" x14ac:dyDescent="0.2">
      <c r="A3296" s="62" t="s">
        <v>2684</v>
      </c>
      <c r="B3296" s="48">
        <v>167</v>
      </c>
      <c r="C3296" s="62">
        <v>167</v>
      </c>
    </row>
    <row r="3297" spans="1:3" x14ac:dyDescent="0.2">
      <c r="A3297" s="62" t="s">
        <v>2683</v>
      </c>
      <c r="B3297" s="48">
        <v>148</v>
      </c>
      <c r="C3297" s="62">
        <v>148</v>
      </c>
    </row>
    <row r="3298" spans="1:3" x14ac:dyDescent="0.2">
      <c r="A3298" s="62" t="s">
        <v>2682</v>
      </c>
      <c r="B3298" s="48">
        <v>148</v>
      </c>
      <c r="C3298" s="62">
        <v>148</v>
      </c>
    </row>
    <row r="3299" spans="1:3" x14ac:dyDescent="0.2">
      <c r="A3299" s="62" t="s">
        <v>2681</v>
      </c>
      <c r="B3299" s="48">
        <v>148</v>
      </c>
      <c r="C3299" s="62">
        <v>148</v>
      </c>
    </row>
    <row r="3300" spans="1:3" x14ac:dyDescent="0.2">
      <c r="A3300" s="62" t="s">
        <v>2680</v>
      </c>
      <c r="B3300" s="48">
        <v>19</v>
      </c>
      <c r="C3300" s="62">
        <v>19</v>
      </c>
    </row>
    <row r="3301" spans="1:3" x14ac:dyDescent="0.2">
      <c r="A3301" s="62" t="s">
        <v>2679</v>
      </c>
      <c r="B3301" s="48">
        <v>36</v>
      </c>
      <c r="C3301" s="62">
        <v>36</v>
      </c>
    </row>
    <row r="3302" spans="1:3" x14ac:dyDescent="0.2">
      <c r="A3302" s="62" t="s">
        <v>2678</v>
      </c>
      <c r="B3302" s="48">
        <v>29</v>
      </c>
      <c r="C3302" s="62">
        <v>29</v>
      </c>
    </row>
    <row r="3303" spans="1:3" x14ac:dyDescent="0.2">
      <c r="A3303" s="62" t="s">
        <v>2677</v>
      </c>
      <c r="B3303" s="48">
        <v>15</v>
      </c>
      <c r="C3303" s="62">
        <v>15</v>
      </c>
    </row>
    <row r="3304" spans="1:3" x14ac:dyDescent="0.2">
      <c r="A3304" s="62" t="s">
        <v>2676</v>
      </c>
      <c r="B3304" s="48">
        <v>154</v>
      </c>
      <c r="C3304" s="62">
        <v>154</v>
      </c>
    </row>
    <row r="3305" spans="1:3" x14ac:dyDescent="0.2">
      <c r="A3305" s="62" t="s">
        <v>2675</v>
      </c>
      <c r="B3305" s="48">
        <v>154</v>
      </c>
      <c r="C3305" s="62">
        <v>154</v>
      </c>
    </row>
    <row r="3306" spans="1:3" x14ac:dyDescent="0.2">
      <c r="A3306" s="62" t="s">
        <v>2674</v>
      </c>
      <c r="B3306" s="48">
        <v>165</v>
      </c>
      <c r="C3306" s="62">
        <v>165</v>
      </c>
    </row>
    <row r="3307" spans="1:3" x14ac:dyDescent="0.2">
      <c r="A3307" s="62" t="s">
        <v>2673</v>
      </c>
      <c r="B3307" s="48">
        <v>147</v>
      </c>
      <c r="C3307" s="62">
        <v>147</v>
      </c>
    </row>
    <row r="3308" spans="1:3" x14ac:dyDescent="0.2">
      <c r="A3308" s="62" t="s">
        <v>2672</v>
      </c>
      <c r="B3308" s="48">
        <v>14</v>
      </c>
      <c r="C3308" s="62">
        <v>14</v>
      </c>
    </row>
    <row r="3309" spans="1:3" x14ac:dyDescent="0.2">
      <c r="A3309" s="62" t="s">
        <v>2671</v>
      </c>
      <c r="B3309" s="48">
        <v>14</v>
      </c>
      <c r="C3309" s="62">
        <v>14</v>
      </c>
    </row>
    <row r="3310" spans="1:3" x14ac:dyDescent="0.2">
      <c r="A3310" s="62" t="s">
        <v>2670</v>
      </c>
      <c r="B3310" s="48">
        <v>15</v>
      </c>
      <c r="C3310" s="62">
        <v>15</v>
      </c>
    </row>
    <row r="3311" spans="1:3" x14ac:dyDescent="0.2">
      <c r="A3311" s="62" t="s">
        <v>2669</v>
      </c>
      <c r="B3311" s="48">
        <v>14</v>
      </c>
      <c r="C3311" s="62">
        <v>14</v>
      </c>
    </row>
    <row r="3312" spans="1:3" x14ac:dyDescent="0.2">
      <c r="A3312" s="62" t="s">
        <v>2667</v>
      </c>
      <c r="B3312" s="48">
        <v>50</v>
      </c>
      <c r="C3312" s="62">
        <v>50</v>
      </c>
    </row>
    <row r="3313" spans="1:3" x14ac:dyDescent="0.2">
      <c r="A3313" s="62" t="s">
        <v>2666</v>
      </c>
      <c r="B3313" s="48">
        <v>15</v>
      </c>
      <c r="C3313" s="62">
        <v>15</v>
      </c>
    </row>
    <row r="3314" spans="1:3" x14ac:dyDescent="0.2">
      <c r="A3314" s="62" t="s">
        <v>2663</v>
      </c>
      <c r="B3314" s="48">
        <v>14</v>
      </c>
      <c r="C3314" s="62">
        <v>14</v>
      </c>
    </row>
    <row r="3315" spans="1:3" x14ac:dyDescent="0.2">
      <c r="A3315" s="62" t="s">
        <v>2662</v>
      </c>
      <c r="B3315" s="48">
        <v>14</v>
      </c>
      <c r="C3315" s="62">
        <v>14</v>
      </c>
    </row>
    <row r="3316" spans="1:3" x14ac:dyDescent="0.2">
      <c r="A3316" s="62" t="s">
        <v>2661</v>
      </c>
      <c r="B3316" s="48">
        <v>14</v>
      </c>
      <c r="C3316" s="62">
        <v>14</v>
      </c>
    </row>
    <row r="3317" spans="1:3" x14ac:dyDescent="0.2">
      <c r="A3317" s="62" t="s">
        <v>2659</v>
      </c>
      <c r="B3317" s="48">
        <v>15</v>
      </c>
      <c r="C3317" s="62">
        <v>15</v>
      </c>
    </row>
    <row r="3318" spans="1:3" x14ac:dyDescent="0.2">
      <c r="A3318" s="62" t="s">
        <v>2658</v>
      </c>
      <c r="B3318" s="48">
        <v>15</v>
      </c>
      <c r="C3318" s="62">
        <v>15</v>
      </c>
    </row>
    <row r="3319" spans="1:3" x14ac:dyDescent="0.2">
      <c r="A3319" s="62" t="s">
        <v>2656</v>
      </c>
      <c r="B3319" s="48">
        <v>15</v>
      </c>
      <c r="C3319" s="62">
        <v>15</v>
      </c>
    </row>
    <row r="3320" spans="1:3" x14ac:dyDescent="0.2">
      <c r="A3320" s="62" t="s">
        <v>2655</v>
      </c>
      <c r="B3320" s="48">
        <v>2</v>
      </c>
      <c r="C3320" s="62">
        <v>2</v>
      </c>
    </row>
    <row r="3321" spans="1:3" x14ac:dyDescent="0.2">
      <c r="A3321" s="62" t="s">
        <v>2654</v>
      </c>
      <c r="B3321" s="48">
        <v>14</v>
      </c>
      <c r="C3321" s="62">
        <v>14</v>
      </c>
    </row>
    <row r="3322" spans="1:3" x14ac:dyDescent="0.2">
      <c r="A3322" s="62" t="s">
        <v>2653</v>
      </c>
      <c r="B3322" s="48">
        <v>14</v>
      </c>
      <c r="C3322" s="62">
        <v>14</v>
      </c>
    </row>
    <row r="3323" spans="1:3" x14ac:dyDescent="0.2">
      <c r="A3323" s="62" t="s">
        <v>2652</v>
      </c>
      <c r="B3323" s="48">
        <v>14</v>
      </c>
      <c r="C3323" s="62">
        <v>14</v>
      </c>
    </row>
    <row r="3324" spans="1:3" x14ac:dyDescent="0.2">
      <c r="A3324" s="62" t="s">
        <v>2651</v>
      </c>
      <c r="B3324" s="48">
        <v>15</v>
      </c>
      <c r="C3324" s="62">
        <v>15</v>
      </c>
    </row>
    <row r="3325" spans="1:3" x14ac:dyDescent="0.2">
      <c r="A3325" s="62" t="s">
        <v>2650</v>
      </c>
      <c r="B3325" s="48">
        <v>148</v>
      </c>
      <c r="C3325" s="62">
        <v>148</v>
      </c>
    </row>
    <row r="3326" spans="1:3" x14ac:dyDescent="0.2">
      <c r="A3326" s="62" t="s">
        <v>2649</v>
      </c>
      <c r="B3326" s="48">
        <v>14</v>
      </c>
      <c r="C3326" s="62">
        <v>14</v>
      </c>
    </row>
    <row r="3327" spans="1:3" x14ac:dyDescent="0.2">
      <c r="A3327" s="62" t="s">
        <v>2648</v>
      </c>
      <c r="B3327" s="48">
        <v>136</v>
      </c>
      <c r="C3327" s="62">
        <v>136</v>
      </c>
    </row>
    <row r="3328" spans="1:3" x14ac:dyDescent="0.2">
      <c r="A3328" s="62" t="s">
        <v>2647</v>
      </c>
      <c r="B3328" s="48">
        <v>7</v>
      </c>
      <c r="C3328" s="62">
        <v>7</v>
      </c>
    </row>
    <row r="3329" spans="1:3" x14ac:dyDescent="0.2">
      <c r="A3329" s="62" t="s">
        <v>2646</v>
      </c>
      <c r="B3329" s="48">
        <v>15</v>
      </c>
      <c r="C3329" s="62">
        <v>15</v>
      </c>
    </row>
    <row r="3330" spans="1:3" x14ac:dyDescent="0.2">
      <c r="A3330" s="62" t="s">
        <v>2645</v>
      </c>
      <c r="B3330" s="48">
        <v>15</v>
      </c>
      <c r="C3330" s="62">
        <v>15</v>
      </c>
    </row>
    <row r="3331" spans="1:3" x14ac:dyDescent="0.2">
      <c r="A3331" s="62" t="s">
        <v>2644</v>
      </c>
      <c r="B3331" s="48">
        <v>2</v>
      </c>
      <c r="C3331" s="62">
        <v>2</v>
      </c>
    </row>
    <row r="3332" spans="1:3" x14ac:dyDescent="0.2">
      <c r="A3332" s="62" t="s">
        <v>2643</v>
      </c>
      <c r="B3332" s="48">
        <v>14</v>
      </c>
      <c r="C3332" s="62">
        <v>14</v>
      </c>
    </row>
    <row r="3333" spans="1:3" x14ac:dyDescent="0.2">
      <c r="A3333" s="62" t="s">
        <v>2641</v>
      </c>
      <c r="B3333" s="48">
        <v>2</v>
      </c>
      <c r="C3333" s="62">
        <v>2</v>
      </c>
    </row>
    <row r="3334" spans="1:3" x14ac:dyDescent="0.2">
      <c r="A3334" s="62" t="s">
        <v>2640</v>
      </c>
      <c r="B3334" s="48">
        <v>55</v>
      </c>
      <c r="C3334" s="62">
        <v>55</v>
      </c>
    </row>
    <row r="3335" spans="1:3" x14ac:dyDescent="0.2">
      <c r="A3335" s="62" t="s">
        <v>2639</v>
      </c>
      <c r="B3335" s="48">
        <v>14</v>
      </c>
      <c r="C3335" s="62">
        <v>14</v>
      </c>
    </row>
    <row r="3336" spans="1:3" x14ac:dyDescent="0.2">
      <c r="A3336" s="62" t="s">
        <v>2638</v>
      </c>
      <c r="B3336" s="48">
        <v>14</v>
      </c>
      <c r="C3336" s="62">
        <v>14</v>
      </c>
    </row>
    <row r="3337" spans="1:3" x14ac:dyDescent="0.2">
      <c r="A3337" s="62" t="s">
        <v>2637</v>
      </c>
      <c r="B3337" s="48">
        <v>14</v>
      </c>
      <c r="C3337" s="62">
        <v>14</v>
      </c>
    </row>
    <row r="3338" spans="1:3" x14ac:dyDescent="0.2">
      <c r="A3338" s="62" t="s">
        <v>2636</v>
      </c>
      <c r="B3338" s="48">
        <v>14</v>
      </c>
      <c r="C3338" s="62">
        <v>14</v>
      </c>
    </row>
    <row r="3339" spans="1:3" x14ac:dyDescent="0.2">
      <c r="A3339" s="62" t="s">
        <v>2635</v>
      </c>
      <c r="B3339" s="48">
        <v>18</v>
      </c>
      <c r="C3339" s="62">
        <v>18</v>
      </c>
    </row>
    <row r="3340" spans="1:3" x14ac:dyDescent="0.2">
      <c r="A3340" s="62" t="s">
        <v>2634</v>
      </c>
      <c r="B3340" s="48">
        <v>1</v>
      </c>
      <c r="C3340" s="62">
        <v>1</v>
      </c>
    </row>
    <row r="3341" spans="1:3" x14ac:dyDescent="0.2">
      <c r="A3341" s="62" t="s">
        <v>2633</v>
      </c>
      <c r="B3341" s="48">
        <v>18</v>
      </c>
      <c r="C3341" s="62">
        <v>18</v>
      </c>
    </row>
    <row r="3342" spans="1:3" x14ac:dyDescent="0.2">
      <c r="A3342" s="62" t="s">
        <v>2632</v>
      </c>
      <c r="B3342" s="48">
        <v>14</v>
      </c>
      <c r="C3342" s="62">
        <v>14</v>
      </c>
    </row>
    <row r="3343" spans="1:3" x14ac:dyDescent="0.2">
      <c r="A3343" s="62" t="s">
        <v>2631</v>
      </c>
      <c r="B3343" s="48">
        <v>14</v>
      </c>
      <c r="C3343" s="62">
        <v>14</v>
      </c>
    </row>
    <row r="3344" spans="1:3" x14ac:dyDescent="0.2">
      <c r="A3344" s="62" t="s">
        <v>2630</v>
      </c>
      <c r="B3344" s="48">
        <v>14</v>
      </c>
      <c r="C3344" s="62">
        <v>14</v>
      </c>
    </row>
    <row r="3345" spans="1:3" x14ac:dyDescent="0.2">
      <c r="A3345" s="62" t="s">
        <v>2629</v>
      </c>
      <c r="B3345" s="48">
        <v>14</v>
      </c>
      <c r="C3345" s="62">
        <v>14</v>
      </c>
    </row>
    <row r="3346" spans="1:3" x14ac:dyDescent="0.2">
      <c r="A3346" s="62" t="s">
        <v>2628</v>
      </c>
      <c r="B3346" s="48">
        <v>14</v>
      </c>
      <c r="C3346" s="62">
        <v>14</v>
      </c>
    </row>
    <row r="3347" spans="1:3" x14ac:dyDescent="0.2">
      <c r="A3347" s="62" t="s">
        <v>2627</v>
      </c>
      <c r="B3347" s="48">
        <v>14</v>
      </c>
      <c r="C3347" s="62">
        <v>14</v>
      </c>
    </row>
    <row r="3348" spans="1:3" x14ac:dyDescent="0.2">
      <c r="A3348" s="62" t="s">
        <v>2626</v>
      </c>
      <c r="B3348" s="48">
        <v>14</v>
      </c>
      <c r="C3348" s="62">
        <v>14</v>
      </c>
    </row>
    <row r="3349" spans="1:3" x14ac:dyDescent="0.2">
      <c r="A3349" s="62" t="s">
        <v>2625</v>
      </c>
      <c r="B3349" s="48">
        <v>170</v>
      </c>
      <c r="C3349" s="62">
        <v>170</v>
      </c>
    </row>
    <row r="3350" spans="1:3" x14ac:dyDescent="0.2">
      <c r="A3350" s="62" t="s">
        <v>2624</v>
      </c>
      <c r="B3350" s="48">
        <v>88</v>
      </c>
      <c r="C3350" s="62">
        <v>88</v>
      </c>
    </row>
    <row r="3351" spans="1:3" x14ac:dyDescent="0.2">
      <c r="A3351" s="62" t="s">
        <v>2623</v>
      </c>
      <c r="B3351" s="48">
        <v>88</v>
      </c>
      <c r="C3351" s="62">
        <v>88</v>
      </c>
    </row>
    <row r="3352" spans="1:3" x14ac:dyDescent="0.2">
      <c r="A3352" s="62" t="s">
        <v>2622</v>
      </c>
      <c r="B3352" s="48">
        <v>88</v>
      </c>
      <c r="C3352" s="62">
        <v>88</v>
      </c>
    </row>
    <row r="3353" spans="1:3" x14ac:dyDescent="0.2">
      <c r="A3353" s="62" t="s">
        <v>2621</v>
      </c>
      <c r="B3353" s="48">
        <v>88</v>
      </c>
      <c r="C3353" s="62">
        <v>88</v>
      </c>
    </row>
    <row r="3354" spans="1:3" x14ac:dyDescent="0.2">
      <c r="A3354" s="62" t="s">
        <v>2620</v>
      </c>
      <c r="B3354" s="48">
        <v>88</v>
      </c>
      <c r="C3354" s="62">
        <v>88</v>
      </c>
    </row>
    <row r="3355" spans="1:3" x14ac:dyDescent="0.2">
      <c r="A3355" s="62" t="s">
        <v>2619</v>
      </c>
      <c r="B3355" s="48">
        <v>230</v>
      </c>
      <c r="C3355" s="62">
        <v>230</v>
      </c>
    </row>
    <row r="3356" spans="1:3" x14ac:dyDescent="0.2">
      <c r="A3356" s="62" t="s">
        <v>2617</v>
      </c>
      <c r="B3356" s="48">
        <v>20</v>
      </c>
      <c r="C3356" s="62">
        <v>20</v>
      </c>
    </row>
    <row r="3357" spans="1:3" x14ac:dyDescent="0.2">
      <c r="A3357" s="62" t="s">
        <v>2616</v>
      </c>
      <c r="B3357" s="48">
        <v>62</v>
      </c>
      <c r="C3357" s="62">
        <v>62</v>
      </c>
    </row>
    <row r="3358" spans="1:3" x14ac:dyDescent="0.2">
      <c r="A3358" s="62" t="s">
        <v>2615</v>
      </c>
      <c r="B3358" s="48">
        <v>74</v>
      </c>
      <c r="C3358" s="62">
        <v>74</v>
      </c>
    </row>
    <row r="3359" spans="1:3" x14ac:dyDescent="0.2">
      <c r="A3359" s="62" t="s">
        <v>2614</v>
      </c>
      <c r="B3359" s="48">
        <v>206</v>
      </c>
      <c r="C3359" s="62">
        <v>206</v>
      </c>
    </row>
    <row r="3360" spans="1:3" x14ac:dyDescent="0.2">
      <c r="A3360" s="62" t="s">
        <v>2613</v>
      </c>
      <c r="B3360" s="48">
        <v>220</v>
      </c>
      <c r="C3360" s="62">
        <v>220</v>
      </c>
    </row>
    <row r="3361" spans="1:3" x14ac:dyDescent="0.2">
      <c r="A3361" s="62" t="s">
        <v>2612</v>
      </c>
      <c r="B3361" s="48">
        <v>67</v>
      </c>
      <c r="C3361" s="62">
        <v>67</v>
      </c>
    </row>
    <row r="3362" spans="1:3" x14ac:dyDescent="0.2">
      <c r="A3362" s="62" t="s">
        <v>2611</v>
      </c>
      <c r="B3362" s="48">
        <v>148</v>
      </c>
      <c r="C3362" s="62">
        <v>148</v>
      </c>
    </row>
    <row r="3363" spans="1:3" x14ac:dyDescent="0.2">
      <c r="A3363" s="62" t="s">
        <v>2610</v>
      </c>
      <c r="B3363" s="48">
        <v>15</v>
      </c>
      <c r="C3363" s="62">
        <v>15</v>
      </c>
    </row>
    <row r="3364" spans="1:3" x14ac:dyDescent="0.2">
      <c r="A3364" s="62" t="s">
        <v>2609</v>
      </c>
      <c r="B3364" s="48">
        <v>15</v>
      </c>
      <c r="C3364" s="62">
        <v>15</v>
      </c>
    </row>
    <row r="3365" spans="1:3" x14ac:dyDescent="0.2">
      <c r="A3365" s="62" t="s">
        <v>2608</v>
      </c>
      <c r="B3365" s="48">
        <v>56</v>
      </c>
      <c r="C3365" s="62">
        <v>56</v>
      </c>
    </row>
    <row r="3366" spans="1:3" x14ac:dyDescent="0.2">
      <c r="A3366" s="62" t="s">
        <v>2607</v>
      </c>
      <c r="B3366" s="48">
        <v>2</v>
      </c>
      <c r="C3366" s="62">
        <v>2</v>
      </c>
    </row>
    <row r="3367" spans="1:3" x14ac:dyDescent="0.2">
      <c r="A3367" s="62" t="s">
        <v>2606</v>
      </c>
      <c r="B3367" s="48">
        <v>15</v>
      </c>
      <c r="C3367" s="62">
        <v>15</v>
      </c>
    </row>
    <row r="3368" spans="1:3" x14ac:dyDescent="0.2">
      <c r="A3368" s="62" t="s">
        <v>2605</v>
      </c>
      <c r="B3368" s="48">
        <v>122</v>
      </c>
      <c r="C3368" s="62">
        <v>122</v>
      </c>
    </row>
    <row r="3369" spans="1:3" x14ac:dyDescent="0.2">
      <c r="A3369" s="62" t="s">
        <v>2604</v>
      </c>
      <c r="B3369" s="48">
        <v>14</v>
      </c>
      <c r="C3369" s="62">
        <v>14</v>
      </c>
    </row>
    <row r="3370" spans="1:3" x14ac:dyDescent="0.2">
      <c r="A3370" s="62" t="s">
        <v>2603</v>
      </c>
      <c r="B3370" s="48">
        <v>9</v>
      </c>
      <c r="C3370" s="62">
        <v>9</v>
      </c>
    </row>
    <row r="3371" spans="1:3" x14ac:dyDescent="0.2">
      <c r="A3371" s="62" t="s">
        <v>2602</v>
      </c>
      <c r="B3371" s="48">
        <v>180</v>
      </c>
      <c r="C3371" s="62">
        <v>180</v>
      </c>
    </row>
    <row r="3372" spans="1:3" x14ac:dyDescent="0.2">
      <c r="A3372" s="62" t="s">
        <v>2601</v>
      </c>
      <c r="B3372" s="48">
        <v>14</v>
      </c>
      <c r="C3372" s="62">
        <v>14</v>
      </c>
    </row>
    <row r="3373" spans="1:3" x14ac:dyDescent="0.2">
      <c r="A3373" s="62" t="s">
        <v>2600</v>
      </c>
      <c r="B3373" s="48">
        <v>70</v>
      </c>
      <c r="C3373" s="62">
        <v>70</v>
      </c>
    </row>
    <row r="3374" spans="1:3" x14ac:dyDescent="0.2">
      <c r="A3374" s="62" t="s">
        <v>2599</v>
      </c>
      <c r="B3374" s="48">
        <v>154</v>
      </c>
      <c r="C3374" s="62">
        <v>154</v>
      </c>
    </row>
    <row r="3375" spans="1:3" x14ac:dyDescent="0.2">
      <c r="A3375" s="62" t="s">
        <v>2598</v>
      </c>
      <c r="B3375" s="48">
        <v>14</v>
      </c>
      <c r="C3375" s="62">
        <v>14</v>
      </c>
    </row>
    <row r="3376" spans="1:3" x14ac:dyDescent="0.2">
      <c r="A3376" s="62" t="s">
        <v>2597</v>
      </c>
      <c r="B3376" s="48">
        <v>19</v>
      </c>
      <c r="C3376" s="62">
        <v>19</v>
      </c>
    </row>
    <row r="3377" spans="1:3" x14ac:dyDescent="0.2">
      <c r="A3377" s="62" t="s">
        <v>2596</v>
      </c>
      <c r="B3377" s="48">
        <v>222</v>
      </c>
      <c r="C3377" s="62">
        <v>222</v>
      </c>
    </row>
    <row r="3378" spans="1:3" x14ac:dyDescent="0.2">
      <c r="A3378" s="62" t="s">
        <v>2595</v>
      </c>
      <c r="B3378" s="48">
        <v>13</v>
      </c>
      <c r="C3378" s="62">
        <v>13</v>
      </c>
    </row>
    <row r="3379" spans="1:3" x14ac:dyDescent="0.2">
      <c r="A3379" s="62" t="s">
        <v>2594</v>
      </c>
      <c r="B3379" s="48">
        <v>14</v>
      </c>
      <c r="C3379" s="62">
        <v>14</v>
      </c>
    </row>
    <row r="3380" spans="1:3" x14ac:dyDescent="0.2">
      <c r="A3380" s="62" t="s">
        <v>2593</v>
      </c>
      <c r="B3380" s="48">
        <v>122</v>
      </c>
      <c r="C3380" s="62">
        <v>122</v>
      </c>
    </row>
    <row r="3381" spans="1:3" x14ac:dyDescent="0.2">
      <c r="A3381" s="62" t="s">
        <v>2592</v>
      </c>
      <c r="B3381" s="48">
        <v>14</v>
      </c>
      <c r="C3381" s="62">
        <v>14</v>
      </c>
    </row>
    <row r="3382" spans="1:3" x14ac:dyDescent="0.2">
      <c r="A3382" s="62" t="s">
        <v>2591</v>
      </c>
      <c r="B3382" s="48">
        <v>15</v>
      </c>
      <c r="C3382" s="62">
        <v>15</v>
      </c>
    </row>
    <row r="3383" spans="1:3" x14ac:dyDescent="0.2">
      <c r="A3383" s="62" t="s">
        <v>2590</v>
      </c>
      <c r="B3383" s="48">
        <v>15</v>
      </c>
      <c r="C3383" s="62">
        <v>15</v>
      </c>
    </row>
    <row r="3384" spans="1:3" x14ac:dyDescent="0.2">
      <c r="A3384" s="62" t="s">
        <v>2589</v>
      </c>
      <c r="B3384" s="48">
        <v>122</v>
      </c>
      <c r="C3384" s="62">
        <v>122</v>
      </c>
    </row>
    <row r="3385" spans="1:3" x14ac:dyDescent="0.2">
      <c r="A3385" s="62" t="s">
        <v>2588</v>
      </c>
      <c r="B3385" s="48">
        <v>2</v>
      </c>
      <c r="C3385" s="62">
        <v>2</v>
      </c>
    </row>
    <row r="3386" spans="1:3" x14ac:dyDescent="0.2">
      <c r="A3386" s="62" t="s">
        <v>2587</v>
      </c>
      <c r="B3386" s="48">
        <v>56</v>
      </c>
      <c r="C3386" s="62">
        <v>56</v>
      </c>
    </row>
    <row r="3387" spans="1:3" x14ac:dyDescent="0.2">
      <c r="A3387" s="62" t="s">
        <v>2586</v>
      </c>
      <c r="B3387" s="48">
        <v>62</v>
      </c>
      <c r="C3387" s="62">
        <v>62</v>
      </c>
    </row>
    <row r="3388" spans="1:3" x14ac:dyDescent="0.2">
      <c r="A3388" s="62" t="s">
        <v>2585</v>
      </c>
      <c r="B3388" s="48">
        <v>72</v>
      </c>
      <c r="C3388" s="62">
        <v>72</v>
      </c>
    </row>
    <row r="3389" spans="1:3" x14ac:dyDescent="0.2">
      <c r="A3389" s="62" t="s">
        <v>2584</v>
      </c>
      <c r="B3389" s="48">
        <v>2</v>
      </c>
      <c r="C3389" s="62">
        <v>2</v>
      </c>
    </row>
    <row r="3390" spans="1:3" x14ac:dyDescent="0.2">
      <c r="A3390" s="62" t="s">
        <v>2583</v>
      </c>
      <c r="B3390" s="48">
        <v>18</v>
      </c>
      <c r="C3390" s="62">
        <v>18</v>
      </c>
    </row>
    <row r="3391" spans="1:3" x14ac:dyDescent="0.2">
      <c r="A3391" s="62" t="s">
        <v>2582</v>
      </c>
      <c r="B3391" s="48">
        <v>19</v>
      </c>
      <c r="C3391" s="62">
        <v>19</v>
      </c>
    </row>
    <row r="3392" spans="1:3" x14ac:dyDescent="0.2">
      <c r="A3392" s="62" t="s">
        <v>2581</v>
      </c>
      <c r="B3392" s="48">
        <v>19</v>
      </c>
      <c r="C3392" s="62">
        <v>19</v>
      </c>
    </row>
    <row r="3393" spans="1:3" x14ac:dyDescent="0.2">
      <c r="A3393" s="62" t="s">
        <v>2580</v>
      </c>
      <c r="B3393" s="48">
        <v>62</v>
      </c>
      <c r="C3393" s="62">
        <v>62</v>
      </c>
    </row>
    <row r="3394" spans="1:3" x14ac:dyDescent="0.2">
      <c r="A3394" s="62" t="s">
        <v>2579</v>
      </c>
      <c r="B3394" s="48">
        <v>62</v>
      </c>
      <c r="C3394" s="62">
        <v>62</v>
      </c>
    </row>
    <row r="3395" spans="1:3" x14ac:dyDescent="0.2">
      <c r="A3395" s="62" t="s">
        <v>2578</v>
      </c>
      <c r="B3395" s="48">
        <v>126</v>
      </c>
      <c r="C3395" s="62">
        <v>126</v>
      </c>
    </row>
    <row r="3396" spans="1:3" x14ac:dyDescent="0.2">
      <c r="A3396" s="62" t="s">
        <v>2577</v>
      </c>
      <c r="B3396" s="48">
        <v>126</v>
      </c>
      <c r="C3396" s="62">
        <v>126</v>
      </c>
    </row>
    <row r="3397" spans="1:3" x14ac:dyDescent="0.2">
      <c r="A3397" s="62" t="s">
        <v>2576</v>
      </c>
      <c r="B3397" s="48">
        <v>110</v>
      </c>
      <c r="C3397" s="62">
        <v>110</v>
      </c>
    </row>
    <row r="3398" spans="1:3" x14ac:dyDescent="0.2">
      <c r="A3398" s="62" t="s">
        <v>2575</v>
      </c>
      <c r="B3398" s="48">
        <v>15</v>
      </c>
      <c r="C3398" s="62">
        <v>15</v>
      </c>
    </row>
    <row r="3399" spans="1:3" x14ac:dyDescent="0.2">
      <c r="A3399" s="62" t="s">
        <v>2574</v>
      </c>
      <c r="B3399" s="48">
        <v>14</v>
      </c>
      <c r="C3399" s="62">
        <v>14</v>
      </c>
    </row>
    <row r="3400" spans="1:3" x14ac:dyDescent="0.2">
      <c r="A3400" s="62" t="s">
        <v>2573</v>
      </c>
      <c r="B3400" s="48">
        <v>2</v>
      </c>
      <c r="C3400" s="62">
        <v>2</v>
      </c>
    </row>
    <row r="3401" spans="1:3" x14ac:dyDescent="0.2">
      <c r="A3401" s="62" t="s">
        <v>2571</v>
      </c>
      <c r="B3401" s="48">
        <v>18</v>
      </c>
      <c r="C3401" s="62">
        <v>18</v>
      </c>
    </row>
    <row r="3402" spans="1:3" x14ac:dyDescent="0.2">
      <c r="A3402" s="62" t="s">
        <v>2570</v>
      </c>
      <c r="B3402" s="48">
        <v>142</v>
      </c>
      <c r="C3402" s="62">
        <v>142</v>
      </c>
    </row>
    <row r="3403" spans="1:3" x14ac:dyDescent="0.2">
      <c r="A3403" s="62" t="s">
        <v>2569</v>
      </c>
      <c r="B3403" s="48">
        <v>14</v>
      </c>
      <c r="C3403" s="62">
        <v>14</v>
      </c>
    </row>
    <row r="3404" spans="1:3" x14ac:dyDescent="0.2">
      <c r="A3404" s="62" t="s">
        <v>2568</v>
      </c>
      <c r="B3404" s="48">
        <v>225</v>
      </c>
      <c r="C3404" s="62">
        <v>225</v>
      </c>
    </row>
    <row r="3405" spans="1:3" x14ac:dyDescent="0.2">
      <c r="A3405" s="62" t="s">
        <v>2567</v>
      </c>
      <c r="B3405" s="48">
        <v>15</v>
      </c>
      <c r="C3405" s="62">
        <v>15</v>
      </c>
    </row>
    <row r="3406" spans="1:3" x14ac:dyDescent="0.2">
      <c r="A3406" s="62" t="s">
        <v>2566</v>
      </c>
      <c r="B3406" s="48">
        <v>9</v>
      </c>
      <c r="C3406" s="62">
        <v>9</v>
      </c>
    </row>
    <row r="3407" spans="1:3" x14ac:dyDescent="0.2">
      <c r="A3407" s="62" t="s">
        <v>2565</v>
      </c>
      <c r="B3407" s="48">
        <v>9</v>
      </c>
      <c r="C3407" s="62">
        <v>9</v>
      </c>
    </row>
    <row r="3408" spans="1:3" x14ac:dyDescent="0.2">
      <c r="A3408" s="62" t="s">
        <v>2564</v>
      </c>
      <c r="B3408" s="48">
        <v>216</v>
      </c>
      <c r="C3408" s="62">
        <v>216</v>
      </c>
    </row>
    <row r="3409" spans="1:3" x14ac:dyDescent="0.2">
      <c r="A3409" s="62" t="s">
        <v>2563</v>
      </c>
      <c r="B3409" s="48">
        <v>216</v>
      </c>
      <c r="C3409" s="62">
        <v>216</v>
      </c>
    </row>
    <row r="3410" spans="1:3" x14ac:dyDescent="0.2">
      <c r="A3410" s="62" t="s">
        <v>2562</v>
      </c>
      <c r="B3410" s="48">
        <v>225</v>
      </c>
      <c r="C3410" s="62">
        <v>225</v>
      </c>
    </row>
    <row r="3411" spans="1:3" x14ac:dyDescent="0.2">
      <c r="A3411" s="62" t="s">
        <v>2561</v>
      </c>
      <c r="B3411" s="48">
        <v>225</v>
      </c>
      <c r="C3411" s="62">
        <v>225</v>
      </c>
    </row>
    <row r="3412" spans="1:3" x14ac:dyDescent="0.2">
      <c r="A3412" s="62" t="s">
        <v>2560</v>
      </c>
      <c r="B3412" s="48">
        <v>225</v>
      </c>
      <c r="C3412" s="62">
        <v>225</v>
      </c>
    </row>
    <row r="3413" spans="1:3" x14ac:dyDescent="0.2">
      <c r="A3413" s="62" t="s">
        <v>2559</v>
      </c>
      <c r="B3413" s="48">
        <v>14</v>
      </c>
      <c r="C3413" s="62">
        <v>14</v>
      </c>
    </row>
    <row r="3414" spans="1:3" x14ac:dyDescent="0.2">
      <c r="A3414" s="62" t="s">
        <v>2558</v>
      </c>
      <c r="B3414" s="48">
        <v>5</v>
      </c>
      <c r="C3414" s="62">
        <v>5</v>
      </c>
    </row>
    <row r="3415" spans="1:3" x14ac:dyDescent="0.2">
      <c r="A3415" s="62" t="s">
        <v>2557</v>
      </c>
      <c r="B3415" s="48">
        <v>5</v>
      </c>
      <c r="C3415" s="62">
        <v>5</v>
      </c>
    </row>
    <row r="3416" spans="1:3" x14ac:dyDescent="0.2">
      <c r="A3416" s="62" t="s">
        <v>2556</v>
      </c>
      <c r="B3416" s="48">
        <v>2</v>
      </c>
      <c r="C3416" s="62">
        <v>2</v>
      </c>
    </row>
    <row r="3417" spans="1:3" x14ac:dyDescent="0.2">
      <c r="A3417" s="62" t="s">
        <v>2555</v>
      </c>
      <c r="B3417" s="48">
        <v>160</v>
      </c>
      <c r="C3417" s="62">
        <v>160</v>
      </c>
    </row>
    <row r="3418" spans="1:3" x14ac:dyDescent="0.2">
      <c r="A3418" s="62" t="s">
        <v>2554</v>
      </c>
      <c r="B3418" s="48">
        <v>88</v>
      </c>
      <c r="C3418" s="62">
        <v>88</v>
      </c>
    </row>
    <row r="3419" spans="1:3" x14ac:dyDescent="0.2">
      <c r="A3419" s="62" t="s">
        <v>2553</v>
      </c>
      <c r="B3419" s="48">
        <v>87</v>
      </c>
      <c r="C3419" s="62">
        <v>87</v>
      </c>
    </row>
    <row r="3420" spans="1:3" x14ac:dyDescent="0.2">
      <c r="A3420" s="62" t="s">
        <v>2552</v>
      </c>
      <c r="B3420" s="48">
        <v>15</v>
      </c>
      <c r="C3420" s="62">
        <v>15</v>
      </c>
    </row>
    <row r="3421" spans="1:3" x14ac:dyDescent="0.2">
      <c r="A3421" s="62" t="s">
        <v>2551</v>
      </c>
      <c r="B3421" s="48">
        <v>15</v>
      </c>
      <c r="C3421" s="62">
        <v>15</v>
      </c>
    </row>
    <row r="3422" spans="1:3" x14ac:dyDescent="0.2">
      <c r="A3422" s="62" t="s">
        <v>2550</v>
      </c>
      <c r="B3422" s="48">
        <v>15</v>
      </c>
      <c r="C3422" s="62">
        <v>15</v>
      </c>
    </row>
    <row r="3423" spans="1:3" x14ac:dyDescent="0.2">
      <c r="A3423" s="62" t="s">
        <v>2549</v>
      </c>
      <c r="B3423" s="48">
        <v>14</v>
      </c>
      <c r="C3423" s="62">
        <v>14</v>
      </c>
    </row>
    <row r="3424" spans="1:3" x14ac:dyDescent="0.2">
      <c r="A3424" s="62" t="s">
        <v>2547</v>
      </c>
      <c r="B3424" s="48">
        <v>2</v>
      </c>
      <c r="C3424" s="62">
        <v>2</v>
      </c>
    </row>
    <row r="3425" spans="1:3" x14ac:dyDescent="0.2">
      <c r="A3425" s="62" t="s">
        <v>2546</v>
      </c>
      <c r="B3425" s="48">
        <v>15</v>
      </c>
      <c r="C3425" s="62">
        <v>15</v>
      </c>
    </row>
    <row r="3426" spans="1:3" x14ac:dyDescent="0.2">
      <c r="A3426" s="62" t="s">
        <v>2545</v>
      </c>
      <c r="B3426" s="48">
        <v>194</v>
      </c>
      <c r="C3426" s="62">
        <v>194</v>
      </c>
    </row>
    <row r="3427" spans="1:3" x14ac:dyDescent="0.2">
      <c r="A3427" s="62" t="s">
        <v>2538</v>
      </c>
      <c r="B3427" s="48">
        <v>15</v>
      </c>
      <c r="C3427" s="62">
        <v>15</v>
      </c>
    </row>
    <row r="3428" spans="1:3" x14ac:dyDescent="0.2">
      <c r="A3428" s="62" t="s">
        <v>2537</v>
      </c>
      <c r="B3428" s="48">
        <v>15</v>
      </c>
      <c r="C3428" s="62">
        <v>15</v>
      </c>
    </row>
    <row r="3429" spans="1:3" x14ac:dyDescent="0.2">
      <c r="A3429" s="62" t="s">
        <v>2536</v>
      </c>
      <c r="B3429" s="48">
        <v>15</v>
      </c>
      <c r="C3429" s="62">
        <v>15</v>
      </c>
    </row>
    <row r="3430" spans="1:3" x14ac:dyDescent="0.2">
      <c r="A3430" s="62" t="s">
        <v>2535</v>
      </c>
      <c r="B3430" s="48">
        <v>15</v>
      </c>
      <c r="C3430" s="62">
        <v>15</v>
      </c>
    </row>
    <row r="3431" spans="1:3" x14ac:dyDescent="0.2">
      <c r="A3431" s="62" t="s">
        <v>2534</v>
      </c>
      <c r="B3431" s="48">
        <v>220</v>
      </c>
      <c r="C3431" s="62">
        <v>220</v>
      </c>
    </row>
    <row r="3432" spans="1:3" x14ac:dyDescent="0.2">
      <c r="A3432" s="62" t="s">
        <v>2533</v>
      </c>
      <c r="B3432" s="48">
        <v>15</v>
      </c>
      <c r="C3432" s="62">
        <v>15</v>
      </c>
    </row>
    <row r="3433" spans="1:3" x14ac:dyDescent="0.2">
      <c r="A3433" s="62" t="s">
        <v>2532</v>
      </c>
      <c r="B3433" s="48">
        <v>15</v>
      </c>
      <c r="C3433" s="62">
        <v>15</v>
      </c>
    </row>
    <row r="3434" spans="1:3" x14ac:dyDescent="0.2">
      <c r="A3434" s="62" t="s">
        <v>2531</v>
      </c>
      <c r="B3434" s="48">
        <v>15</v>
      </c>
      <c r="C3434" s="62">
        <v>15</v>
      </c>
    </row>
    <row r="3435" spans="1:3" x14ac:dyDescent="0.2">
      <c r="A3435" s="62" t="s">
        <v>2530</v>
      </c>
      <c r="B3435" s="48">
        <v>9</v>
      </c>
      <c r="C3435" s="62">
        <v>9</v>
      </c>
    </row>
    <row r="3436" spans="1:3" x14ac:dyDescent="0.2">
      <c r="A3436" s="62" t="s">
        <v>2529</v>
      </c>
      <c r="B3436" s="48">
        <v>60</v>
      </c>
      <c r="C3436" s="62">
        <v>60</v>
      </c>
    </row>
    <row r="3437" spans="1:3" x14ac:dyDescent="0.2">
      <c r="A3437" s="62" t="s">
        <v>2528</v>
      </c>
      <c r="B3437" s="48">
        <v>9</v>
      </c>
      <c r="C3437" s="62">
        <v>9</v>
      </c>
    </row>
    <row r="3438" spans="1:3" x14ac:dyDescent="0.2">
      <c r="A3438" s="62" t="s">
        <v>2527</v>
      </c>
      <c r="B3438" s="48">
        <v>14</v>
      </c>
      <c r="C3438" s="62">
        <v>14</v>
      </c>
    </row>
    <row r="3439" spans="1:3" x14ac:dyDescent="0.2">
      <c r="A3439" s="62" t="s">
        <v>2525</v>
      </c>
      <c r="B3439" s="48">
        <v>15</v>
      </c>
      <c r="C3439" s="62">
        <v>15</v>
      </c>
    </row>
    <row r="3440" spans="1:3" x14ac:dyDescent="0.2">
      <c r="A3440" s="62" t="s">
        <v>2524</v>
      </c>
      <c r="B3440" s="48">
        <v>13</v>
      </c>
      <c r="C3440" s="62">
        <v>13</v>
      </c>
    </row>
    <row r="3441" spans="1:3" x14ac:dyDescent="0.2">
      <c r="A3441" s="62" t="s">
        <v>2523</v>
      </c>
      <c r="B3441" s="48">
        <v>13</v>
      </c>
      <c r="C3441" s="62">
        <v>13</v>
      </c>
    </row>
    <row r="3442" spans="1:3" x14ac:dyDescent="0.2">
      <c r="A3442" s="62" t="s">
        <v>2522</v>
      </c>
      <c r="B3442" s="48">
        <v>227</v>
      </c>
      <c r="C3442" s="62">
        <v>227</v>
      </c>
    </row>
    <row r="3443" spans="1:3" x14ac:dyDescent="0.2">
      <c r="A3443" s="62" t="s">
        <v>2516</v>
      </c>
      <c r="B3443" s="48">
        <v>229</v>
      </c>
      <c r="C3443" s="62">
        <v>229</v>
      </c>
    </row>
    <row r="3444" spans="1:3" x14ac:dyDescent="0.2">
      <c r="A3444" s="62" t="s">
        <v>2514</v>
      </c>
      <c r="B3444" s="48">
        <v>33</v>
      </c>
      <c r="C3444" s="62">
        <v>33</v>
      </c>
    </row>
    <row r="3445" spans="1:3" x14ac:dyDescent="0.2">
      <c r="A3445" s="62" t="s">
        <v>2513</v>
      </c>
      <c r="B3445" s="48">
        <v>2</v>
      </c>
      <c r="C3445" s="62">
        <v>2</v>
      </c>
    </row>
    <row r="3446" spans="1:3" x14ac:dyDescent="0.2">
      <c r="A3446" s="62" t="s">
        <v>2512</v>
      </c>
      <c r="B3446" s="48">
        <v>14</v>
      </c>
      <c r="C3446" s="62">
        <v>14</v>
      </c>
    </row>
    <row r="3447" spans="1:3" x14ac:dyDescent="0.2">
      <c r="A3447" s="62" t="s">
        <v>2511</v>
      </c>
      <c r="B3447" s="48">
        <v>15</v>
      </c>
      <c r="C3447" s="62">
        <v>15</v>
      </c>
    </row>
    <row r="3448" spans="1:3" x14ac:dyDescent="0.2">
      <c r="A3448" s="62" t="s">
        <v>2510</v>
      </c>
      <c r="B3448" s="48">
        <v>14</v>
      </c>
      <c r="C3448" s="62">
        <v>14</v>
      </c>
    </row>
    <row r="3449" spans="1:3" x14ac:dyDescent="0.2">
      <c r="A3449" s="62" t="s">
        <v>2509</v>
      </c>
      <c r="B3449" s="48">
        <v>2</v>
      </c>
      <c r="C3449" s="62">
        <v>2</v>
      </c>
    </row>
    <row r="3450" spans="1:3" x14ac:dyDescent="0.2">
      <c r="A3450" s="62" t="s">
        <v>2508</v>
      </c>
      <c r="B3450" s="48">
        <v>33</v>
      </c>
      <c r="C3450" s="62">
        <v>33</v>
      </c>
    </row>
    <row r="3451" spans="1:3" x14ac:dyDescent="0.2">
      <c r="A3451" s="62" t="s">
        <v>2507</v>
      </c>
      <c r="B3451" s="48">
        <v>15</v>
      </c>
      <c r="C3451" s="62">
        <v>15</v>
      </c>
    </row>
    <row r="3452" spans="1:3" x14ac:dyDescent="0.2">
      <c r="A3452" s="62" t="s">
        <v>2506</v>
      </c>
      <c r="B3452" s="48">
        <v>62</v>
      </c>
      <c r="C3452" s="62">
        <v>62</v>
      </c>
    </row>
    <row r="3453" spans="1:3" x14ac:dyDescent="0.2">
      <c r="A3453" s="62" t="s">
        <v>2505</v>
      </c>
      <c r="B3453" s="48">
        <v>14</v>
      </c>
      <c r="C3453" s="62">
        <v>14</v>
      </c>
    </row>
    <row r="3454" spans="1:3" x14ac:dyDescent="0.2">
      <c r="A3454" s="62" t="s">
        <v>2503</v>
      </c>
      <c r="B3454" s="48">
        <v>14</v>
      </c>
      <c r="C3454" s="62">
        <v>14</v>
      </c>
    </row>
    <row r="3455" spans="1:3" x14ac:dyDescent="0.2">
      <c r="A3455" s="62" t="s">
        <v>2501</v>
      </c>
      <c r="B3455" s="48">
        <v>14</v>
      </c>
      <c r="C3455" s="62">
        <v>14</v>
      </c>
    </row>
    <row r="3456" spans="1:3" x14ac:dyDescent="0.2">
      <c r="A3456" s="62" t="s">
        <v>2499</v>
      </c>
      <c r="B3456" s="48">
        <v>229</v>
      </c>
      <c r="C3456" s="62">
        <v>229</v>
      </c>
    </row>
    <row r="3457" spans="1:3" x14ac:dyDescent="0.2">
      <c r="A3457" s="62" t="s">
        <v>2498</v>
      </c>
      <c r="B3457" s="48">
        <v>15</v>
      </c>
      <c r="C3457" s="62">
        <v>15</v>
      </c>
    </row>
    <row r="3458" spans="1:3" x14ac:dyDescent="0.2">
      <c r="A3458" s="62" t="s">
        <v>2496</v>
      </c>
      <c r="B3458" s="48">
        <v>15</v>
      </c>
      <c r="C3458" s="62">
        <v>15</v>
      </c>
    </row>
    <row r="3459" spans="1:3" x14ac:dyDescent="0.2">
      <c r="A3459" s="62" t="s">
        <v>2495</v>
      </c>
      <c r="B3459" s="48">
        <v>15</v>
      </c>
      <c r="C3459" s="62">
        <v>15</v>
      </c>
    </row>
    <row r="3460" spans="1:3" x14ac:dyDescent="0.2">
      <c r="A3460" s="62" t="s">
        <v>2494</v>
      </c>
      <c r="B3460" s="48">
        <v>15</v>
      </c>
      <c r="C3460" s="62">
        <v>15</v>
      </c>
    </row>
    <row r="3461" spans="1:3" x14ac:dyDescent="0.2">
      <c r="A3461" s="62" t="s">
        <v>2493</v>
      </c>
      <c r="B3461" s="48">
        <v>15</v>
      </c>
      <c r="C3461" s="62">
        <v>15</v>
      </c>
    </row>
    <row r="3462" spans="1:3" x14ac:dyDescent="0.2">
      <c r="A3462" s="62" t="s">
        <v>2492</v>
      </c>
      <c r="B3462" s="48">
        <v>56</v>
      </c>
      <c r="C3462" s="62">
        <v>56</v>
      </c>
    </row>
    <row r="3463" spans="1:3" x14ac:dyDescent="0.2">
      <c r="A3463" s="62" t="s">
        <v>2491</v>
      </c>
      <c r="B3463" s="48">
        <v>2</v>
      </c>
      <c r="C3463" s="62">
        <v>2</v>
      </c>
    </row>
    <row r="3464" spans="1:3" x14ac:dyDescent="0.2">
      <c r="A3464" s="62" t="s">
        <v>2489</v>
      </c>
      <c r="B3464" s="48">
        <v>14</v>
      </c>
      <c r="C3464" s="62">
        <v>14</v>
      </c>
    </row>
    <row r="3465" spans="1:3" x14ac:dyDescent="0.2">
      <c r="A3465" s="62" t="s">
        <v>2487</v>
      </c>
      <c r="B3465" s="48">
        <v>14</v>
      </c>
      <c r="C3465" s="62">
        <v>14</v>
      </c>
    </row>
    <row r="3466" spans="1:3" x14ac:dyDescent="0.2">
      <c r="A3466" s="62" t="s">
        <v>2486</v>
      </c>
      <c r="B3466" s="48">
        <v>2</v>
      </c>
      <c r="C3466" s="62">
        <v>2</v>
      </c>
    </row>
    <row r="3467" spans="1:3" x14ac:dyDescent="0.2">
      <c r="A3467" s="62" t="s">
        <v>2485</v>
      </c>
      <c r="B3467" s="48">
        <v>15</v>
      </c>
      <c r="C3467" s="62">
        <v>15</v>
      </c>
    </row>
    <row r="3468" spans="1:3" x14ac:dyDescent="0.2">
      <c r="A3468" s="62" t="s">
        <v>2484</v>
      </c>
      <c r="B3468" s="48">
        <v>15</v>
      </c>
      <c r="C3468" s="62">
        <v>15</v>
      </c>
    </row>
    <row r="3469" spans="1:3" x14ac:dyDescent="0.2">
      <c r="A3469" s="62" t="s">
        <v>2483</v>
      </c>
      <c r="B3469" s="48">
        <v>14</v>
      </c>
      <c r="C3469" s="62">
        <v>14</v>
      </c>
    </row>
    <row r="3470" spans="1:3" x14ac:dyDescent="0.2">
      <c r="A3470" s="62" t="s">
        <v>2482</v>
      </c>
      <c r="B3470" s="48">
        <v>9</v>
      </c>
      <c r="C3470" s="62">
        <v>9</v>
      </c>
    </row>
    <row r="3471" spans="1:3" x14ac:dyDescent="0.2">
      <c r="A3471" s="62" t="s">
        <v>2481</v>
      </c>
      <c r="B3471" s="48">
        <v>2</v>
      </c>
      <c r="C3471" s="62">
        <v>2</v>
      </c>
    </row>
    <row r="3472" spans="1:3" x14ac:dyDescent="0.2">
      <c r="A3472" s="62" t="s">
        <v>2480</v>
      </c>
      <c r="B3472" s="48">
        <v>2</v>
      </c>
      <c r="C3472" s="62">
        <v>2</v>
      </c>
    </row>
    <row r="3473" spans="1:3" x14ac:dyDescent="0.2">
      <c r="A3473" s="62" t="s">
        <v>2479</v>
      </c>
      <c r="B3473" s="48">
        <v>180</v>
      </c>
      <c r="C3473" s="62">
        <v>180</v>
      </c>
    </row>
    <row r="3474" spans="1:3" x14ac:dyDescent="0.2">
      <c r="A3474" s="62" t="s">
        <v>2478</v>
      </c>
      <c r="B3474" s="48">
        <v>181</v>
      </c>
      <c r="C3474" s="62">
        <v>181</v>
      </c>
    </row>
    <row r="3475" spans="1:3" x14ac:dyDescent="0.2">
      <c r="A3475" s="62" t="s">
        <v>2477</v>
      </c>
      <c r="B3475" s="48">
        <v>60</v>
      </c>
      <c r="C3475" s="62">
        <v>60</v>
      </c>
    </row>
    <row r="3476" spans="1:3" x14ac:dyDescent="0.2">
      <c r="A3476" s="62" t="s">
        <v>2476</v>
      </c>
      <c r="B3476" s="48">
        <v>2</v>
      </c>
      <c r="C3476" s="62">
        <v>2</v>
      </c>
    </row>
    <row r="3477" spans="1:3" x14ac:dyDescent="0.2">
      <c r="A3477" s="62" t="s">
        <v>2475</v>
      </c>
      <c r="B3477" s="48">
        <v>15</v>
      </c>
      <c r="C3477" s="62">
        <v>15</v>
      </c>
    </row>
    <row r="3478" spans="1:3" x14ac:dyDescent="0.2">
      <c r="A3478" s="62" t="s">
        <v>2474</v>
      </c>
      <c r="B3478" s="48">
        <v>13</v>
      </c>
      <c r="C3478" s="62">
        <v>13</v>
      </c>
    </row>
    <row r="3479" spans="1:3" x14ac:dyDescent="0.2">
      <c r="A3479" s="62" t="s">
        <v>2473</v>
      </c>
      <c r="B3479" s="48">
        <v>15</v>
      </c>
      <c r="C3479" s="62">
        <v>15</v>
      </c>
    </row>
    <row r="3480" spans="1:3" x14ac:dyDescent="0.2">
      <c r="A3480" s="62" t="s">
        <v>2469</v>
      </c>
      <c r="B3480" s="48">
        <v>62</v>
      </c>
      <c r="C3480" s="62">
        <v>62</v>
      </c>
    </row>
    <row r="3481" spans="1:3" x14ac:dyDescent="0.2">
      <c r="A3481" s="62" t="s">
        <v>2468</v>
      </c>
      <c r="B3481" s="48">
        <v>2</v>
      </c>
      <c r="C3481" s="62">
        <v>2</v>
      </c>
    </row>
    <row r="3482" spans="1:3" x14ac:dyDescent="0.2">
      <c r="A3482" s="62" t="s">
        <v>2467</v>
      </c>
      <c r="B3482" s="48">
        <v>194</v>
      </c>
      <c r="C3482" s="62">
        <v>194</v>
      </c>
    </row>
    <row r="3483" spans="1:3" x14ac:dyDescent="0.2">
      <c r="A3483" s="62" t="s">
        <v>2466</v>
      </c>
      <c r="B3483" s="48">
        <v>15</v>
      </c>
      <c r="C3483" s="62">
        <v>15</v>
      </c>
    </row>
    <row r="3484" spans="1:3" x14ac:dyDescent="0.2">
      <c r="A3484" s="62" t="s">
        <v>2465</v>
      </c>
      <c r="B3484" s="48">
        <v>15</v>
      </c>
      <c r="C3484" s="62">
        <v>15</v>
      </c>
    </row>
    <row r="3485" spans="1:3" x14ac:dyDescent="0.2">
      <c r="A3485" s="62" t="s">
        <v>2464</v>
      </c>
      <c r="B3485" s="48">
        <v>122</v>
      </c>
      <c r="C3485" s="62">
        <v>122</v>
      </c>
    </row>
    <row r="3486" spans="1:3" x14ac:dyDescent="0.2">
      <c r="A3486" s="62" t="s">
        <v>2463</v>
      </c>
      <c r="B3486" s="48">
        <v>122</v>
      </c>
      <c r="C3486" s="62">
        <v>122</v>
      </c>
    </row>
    <row r="3487" spans="1:3" x14ac:dyDescent="0.2">
      <c r="A3487" s="62" t="s">
        <v>2461</v>
      </c>
      <c r="B3487" s="48">
        <v>215</v>
      </c>
      <c r="C3487" s="62">
        <v>215</v>
      </c>
    </row>
    <row r="3488" spans="1:3" x14ac:dyDescent="0.2">
      <c r="A3488" s="62" t="s">
        <v>2460</v>
      </c>
      <c r="B3488" s="48">
        <v>19</v>
      </c>
      <c r="C3488" s="62">
        <v>19</v>
      </c>
    </row>
    <row r="3489" spans="1:3" x14ac:dyDescent="0.2">
      <c r="A3489" s="62" t="s">
        <v>2459</v>
      </c>
      <c r="B3489" s="48">
        <v>61</v>
      </c>
      <c r="C3489" s="62">
        <v>61</v>
      </c>
    </row>
    <row r="3490" spans="1:3" x14ac:dyDescent="0.2">
      <c r="A3490" s="62" t="s">
        <v>2458</v>
      </c>
      <c r="B3490" s="48">
        <v>2</v>
      </c>
      <c r="C3490" s="62">
        <v>2</v>
      </c>
    </row>
    <row r="3491" spans="1:3" x14ac:dyDescent="0.2">
      <c r="A3491" s="62" t="s">
        <v>2457</v>
      </c>
      <c r="B3491" s="48">
        <v>62</v>
      </c>
      <c r="C3491" s="62">
        <v>62</v>
      </c>
    </row>
    <row r="3492" spans="1:3" x14ac:dyDescent="0.2">
      <c r="A3492" s="62" t="s">
        <v>2456</v>
      </c>
      <c r="B3492" s="48">
        <v>2</v>
      </c>
      <c r="C3492" s="62">
        <v>2</v>
      </c>
    </row>
    <row r="3493" spans="1:3" x14ac:dyDescent="0.2">
      <c r="A3493" s="62" t="s">
        <v>2454</v>
      </c>
      <c r="B3493" s="48">
        <v>225</v>
      </c>
      <c r="C3493" s="62">
        <v>225</v>
      </c>
    </row>
    <row r="3494" spans="1:3" x14ac:dyDescent="0.2">
      <c r="A3494" s="62" t="s">
        <v>2453</v>
      </c>
      <c r="B3494" s="48">
        <v>136</v>
      </c>
      <c r="C3494" s="62">
        <v>136</v>
      </c>
    </row>
    <row r="3495" spans="1:3" x14ac:dyDescent="0.2">
      <c r="A3495" s="62" t="s">
        <v>2452</v>
      </c>
      <c r="B3495" s="48">
        <v>228</v>
      </c>
      <c r="C3495" s="62">
        <v>228</v>
      </c>
    </row>
    <row r="3496" spans="1:3" x14ac:dyDescent="0.2">
      <c r="A3496" s="62" t="s">
        <v>2451</v>
      </c>
      <c r="B3496" s="48">
        <v>167</v>
      </c>
      <c r="C3496" s="62">
        <v>167</v>
      </c>
    </row>
    <row r="3497" spans="1:3" x14ac:dyDescent="0.2">
      <c r="A3497" s="62" t="s">
        <v>2449</v>
      </c>
      <c r="B3497" s="48">
        <v>19</v>
      </c>
      <c r="C3497" s="62">
        <v>19</v>
      </c>
    </row>
    <row r="3498" spans="1:3" x14ac:dyDescent="0.2">
      <c r="A3498" s="62" t="s">
        <v>2447</v>
      </c>
      <c r="B3498" s="48">
        <v>226</v>
      </c>
      <c r="C3498" s="62">
        <v>226</v>
      </c>
    </row>
    <row r="3499" spans="1:3" x14ac:dyDescent="0.2">
      <c r="A3499" s="62" t="s">
        <v>2446</v>
      </c>
      <c r="B3499" s="48">
        <v>56</v>
      </c>
      <c r="C3499" s="62">
        <v>56</v>
      </c>
    </row>
    <row r="3500" spans="1:3" x14ac:dyDescent="0.2">
      <c r="A3500" s="62" t="s">
        <v>2444</v>
      </c>
      <c r="B3500" s="48">
        <v>74</v>
      </c>
      <c r="C3500" s="62">
        <v>74</v>
      </c>
    </row>
    <row r="3501" spans="1:3" x14ac:dyDescent="0.2">
      <c r="A3501" s="62" t="s">
        <v>2443</v>
      </c>
      <c r="B3501" s="48">
        <v>19</v>
      </c>
      <c r="C3501" s="62">
        <v>19</v>
      </c>
    </row>
    <row r="3502" spans="1:3" x14ac:dyDescent="0.2">
      <c r="A3502" s="62" t="s">
        <v>2442</v>
      </c>
      <c r="B3502" s="48">
        <v>19</v>
      </c>
      <c r="C3502" s="62">
        <v>19</v>
      </c>
    </row>
    <row r="3503" spans="1:3" x14ac:dyDescent="0.2">
      <c r="A3503" s="62" t="s">
        <v>2441</v>
      </c>
      <c r="B3503" s="48">
        <v>178</v>
      </c>
      <c r="C3503" s="62">
        <v>178</v>
      </c>
    </row>
    <row r="3504" spans="1:3" x14ac:dyDescent="0.2">
      <c r="A3504" s="62" t="s">
        <v>2440</v>
      </c>
      <c r="B3504" s="48">
        <v>178</v>
      </c>
      <c r="C3504" s="62">
        <v>178</v>
      </c>
    </row>
    <row r="3505" spans="1:3" x14ac:dyDescent="0.2">
      <c r="A3505" s="62" t="s">
        <v>2439</v>
      </c>
      <c r="B3505" s="48">
        <v>15</v>
      </c>
      <c r="C3505" s="62">
        <v>15</v>
      </c>
    </row>
    <row r="3506" spans="1:3" x14ac:dyDescent="0.2">
      <c r="A3506" s="62" t="s">
        <v>2438</v>
      </c>
      <c r="B3506" s="48">
        <v>15</v>
      </c>
      <c r="C3506" s="62">
        <v>15</v>
      </c>
    </row>
    <row r="3507" spans="1:3" x14ac:dyDescent="0.2">
      <c r="A3507" s="62" t="s">
        <v>2437</v>
      </c>
      <c r="B3507" s="48">
        <v>15</v>
      </c>
      <c r="C3507" s="62">
        <v>15</v>
      </c>
    </row>
    <row r="3508" spans="1:3" x14ac:dyDescent="0.2">
      <c r="A3508" s="62" t="s">
        <v>2436</v>
      </c>
      <c r="B3508" s="48">
        <v>2</v>
      </c>
      <c r="C3508" s="62">
        <v>2</v>
      </c>
    </row>
    <row r="3509" spans="1:3" x14ac:dyDescent="0.2">
      <c r="A3509" s="62" t="s">
        <v>2435</v>
      </c>
      <c r="B3509" s="48">
        <v>2</v>
      </c>
      <c r="C3509" s="62">
        <v>2</v>
      </c>
    </row>
    <row r="3510" spans="1:3" x14ac:dyDescent="0.2">
      <c r="A3510" s="62" t="s">
        <v>2434</v>
      </c>
      <c r="B3510" s="48">
        <v>15</v>
      </c>
      <c r="C3510" s="62">
        <v>15</v>
      </c>
    </row>
    <row r="3511" spans="1:3" x14ac:dyDescent="0.2">
      <c r="A3511" s="62" t="s">
        <v>2433</v>
      </c>
      <c r="B3511" s="48">
        <v>14</v>
      </c>
      <c r="C3511" s="62">
        <v>14</v>
      </c>
    </row>
    <row r="3512" spans="1:3" x14ac:dyDescent="0.2">
      <c r="A3512" s="62" t="s">
        <v>2432</v>
      </c>
      <c r="B3512" s="48">
        <v>154</v>
      </c>
      <c r="C3512" s="62">
        <v>154</v>
      </c>
    </row>
    <row r="3513" spans="1:3" x14ac:dyDescent="0.2">
      <c r="A3513" s="62" t="s">
        <v>2430</v>
      </c>
      <c r="B3513" s="48">
        <v>2</v>
      </c>
      <c r="C3513" s="62">
        <v>2</v>
      </c>
    </row>
    <row r="3514" spans="1:3" x14ac:dyDescent="0.2">
      <c r="A3514" s="62" t="s">
        <v>2429</v>
      </c>
      <c r="B3514" s="48">
        <v>148</v>
      </c>
      <c r="C3514" s="62">
        <v>148</v>
      </c>
    </row>
    <row r="3515" spans="1:3" x14ac:dyDescent="0.2">
      <c r="A3515" s="62" t="s">
        <v>2428</v>
      </c>
      <c r="B3515" s="48">
        <v>64</v>
      </c>
      <c r="C3515" s="62">
        <v>64</v>
      </c>
    </row>
    <row r="3516" spans="1:3" x14ac:dyDescent="0.2">
      <c r="A3516" s="62" t="s">
        <v>2427</v>
      </c>
      <c r="B3516" s="48">
        <v>12</v>
      </c>
      <c r="C3516" s="62">
        <v>12</v>
      </c>
    </row>
    <row r="3517" spans="1:3" x14ac:dyDescent="0.2">
      <c r="A3517" s="62" t="s">
        <v>2426</v>
      </c>
      <c r="B3517" s="48">
        <v>14</v>
      </c>
      <c r="C3517" s="62">
        <v>14</v>
      </c>
    </row>
    <row r="3518" spans="1:3" x14ac:dyDescent="0.2">
      <c r="A3518" s="62" t="s">
        <v>2425</v>
      </c>
      <c r="B3518" s="48">
        <v>155</v>
      </c>
      <c r="C3518" s="62">
        <v>155</v>
      </c>
    </row>
    <row r="3519" spans="1:3" x14ac:dyDescent="0.2">
      <c r="A3519" s="62" t="s">
        <v>2424</v>
      </c>
      <c r="B3519" s="48">
        <v>14</v>
      </c>
      <c r="C3519" s="62">
        <v>14</v>
      </c>
    </row>
    <row r="3520" spans="1:3" x14ac:dyDescent="0.2">
      <c r="A3520" s="62" t="s">
        <v>2423</v>
      </c>
      <c r="B3520" s="48">
        <v>15</v>
      </c>
      <c r="C3520" s="62">
        <v>15</v>
      </c>
    </row>
    <row r="3521" spans="1:3" x14ac:dyDescent="0.2">
      <c r="A3521" s="62" t="s">
        <v>2422</v>
      </c>
      <c r="B3521" s="48">
        <v>2</v>
      </c>
      <c r="C3521" s="62">
        <v>2</v>
      </c>
    </row>
    <row r="3522" spans="1:3" x14ac:dyDescent="0.2">
      <c r="A3522" s="62" t="s">
        <v>2420</v>
      </c>
      <c r="B3522" s="48">
        <v>2</v>
      </c>
      <c r="C3522" s="62">
        <v>2</v>
      </c>
    </row>
    <row r="3523" spans="1:3" x14ac:dyDescent="0.2">
      <c r="A3523" s="62" t="s">
        <v>2418</v>
      </c>
      <c r="B3523" s="48">
        <v>2</v>
      </c>
      <c r="C3523" s="62">
        <v>2</v>
      </c>
    </row>
    <row r="3524" spans="1:3" x14ac:dyDescent="0.2">
      <c r="A3524" s="62" t="s">
        <v>2417</v>
      </c>
      <c r="B3524" s="48">
        <v>2</v>
      </c>
      <c r="C3524" s="62">
        <v>2</v>
      </c>
    </row>
    <row r="3525" spans="1:3" x14ac:dyDescent="0.2">
      <c r="A3525" s="62" t="s">
        <v>2416</v>
      </c>
      <c r="B3525" s="48">
        <v>2</v>
      </c>
      <c r="C3525" s="62">
        <v>2</v>
      </c>
    </row>
    <row r="3526" spans="1:3" x14ac:dyDescent="0.2">
      <c r="A3526" s="62" t="s">
        <v>2415</v>
      </c>
      <c r="B3526" s="48">
        <v>14</v>
      </c>
      <c r="C3526" s="62">
        <v>14</v>
      </c>
    </row>
    <row r="3527" spans="1:3" x14ac:dyDescent="0.2">
      <c r="A3527" s="62" t="s">
        <v>2414</v>
      </c>
      <c r="B3527" s="48">
        <v>2</v>
      </c>
      <c r="C3527" s="62">
        <v>2</v>
      </c>
    </row>
    <row r="3528" spans="1:3" x14ac:dyDescent="0.2">
      <c r="A3528" s="62" t="s">
        <v>2413</v>
      </c>
      <c r="B3528" s="48">
        <v>122</v>
      </c>
      <c r="C3528" s="62">
        <v>122</v>
      </c>
    </row>
    <row r="3529" spans="1:3" x14ac:dyDescent="0.2">
      <c r="A3529" s="62" t="s">
        <v>2412</v>
      </c>
      <c r="B3529" s="48">
        <v>15</v>
      </c>
      <c r="C3529" s="62">
        <v>15</v>
      </c>
    </row>
    <row r="3530" spans="1:3" x14ac:dyDescent="0.2">
      <c r="A3530" s="62" t="s">
        <v>2411</v>
      </c>
      <c r="B3530" s="48">
        <v>224</v>
      </c>
      <c r="C3530" s="62">
        <v>224</v>
      </c>
    </row>
    <row r="3531" spans="1:3" x14ac:dyDescent="0.2">
      <c r="A3531" s="62" t="s">
        <v>2410</v>
      </c>
      <c r="B3531" s="48">
        <v>142</v>
      </c>
      <c r="C3531" s="62">
        <v>142</v>
      </c>
    </row>
    <row r="3532" spans="1:3" x14ac:dyDescent="0.2">
      <c r="A3532" s="62" t="s">
        <v>2409</v>
      </c>
      <c r="B3532" s="48">
        <v>60</v>
      </c>
      <c r="C3532" s="62">
        <v>60</v>
      </c>
    </row>
    <row r="3533" spans="1:3" x14ac:dyDescent="0.2">
      <c r="A3533" s="62" t="s">
        <v>2408</v>
      </c>
      <c r="B3533" s="48">
        <v>15</v>
      </c>
      <c r="C3533" s="62">
        <v>15</v>
      </c>
    </row>
    <row r="3534" spans="1:3" x14ac:dyDescent="0.2">
      <c r="A3534" s="62" t="s">
        <v>2407</v>
      </c>
      <c r="B3534" s="48">
        <v>2</v>
      </c>
      <c r="C3534" s="62">
        <v>2</v>
      </c>
    </row>
    <row r="3535" spans="1:3" x14ac:dyDescent="0.2">
      <c r="A3535" s="62" t="s">
        <v>2406</v>
      </c>
      <c r="B3535" s="48">
        <v>2</v>
      </c>
      <c r="C3535" s="62">
        <v>2</v>
      </c>
    </row>
    <row r="3536" spans="1:3" x14ac:dyDescent="0.2">
      <c r="A3536" s="62" t="s">
        <v>2405</v>
      </c>
      <c r="B3536" s="48">
        <v>12</v>
      </c>
      <c r="C3536" s="62">
        <v>12</v>
      </c>
    </row>
    <row r="3537" spans="1:3" x14ac:dyDescent="0.2">
      <c r="A3537" s="62" t="s">
        <v>2404</v>
      </c>
      <c r="B3537" s="48">
        <v>14</v>
      </c>
      <c r="C3537" s="62">
        <v>14</v>
      </c>
    </row>
    <row r="3538" spans="1:3" x14ac:dyDescent="0.2">
      <c r="A3538" s="62" t="s">
        <v>2403</v>
      </c>
      <c r="B3538" s="48">
        <v>152</v>
      </c>
      <c r="C3538" s="62">
        <v>152</v>
      </c>
    </row>
    <row r="3539" spans="1:3" x14ac:dyDescent="0.2">
      <c r="A3539" s="62" t="s">
        <v>2402</v>
      </c>
      <c r="B3539" s="48">
        <v>14</v>
      </c>
      <c r="C3539" s="62">
        <v>14</v>
      </c>
    </row>
    <row r="3540" spans="1:3" x14ac:dyDescent="0.2">
      <c r="A3540" s="62" t="s">
        <v>2401</v>
      </c>
      <c r="B3540" s="48">
        <v>9</v>
      </c>
      <c r="C3540" s="62">
        <v>9</v>
      </c>
    </row>
    <row r="3541" spans="1:3" x14ac:dyDescent="0.2">
      <c r="A3541" s="62" t="s">
        <v>2400</v>
      </c>
      <c r="B3541" s="48">
        <v>9</v>
      </c>
      <c r="C3541" s="62">
        <v>9</v>
      </c>
    </row>
    <row r="3542" spans="1:3" x14ac:dyDescent="0.2">
      <c r="A3542" s="62" t="s">
        <v>2399</v>
      </c>
      <c r="B3542" s="48">
        <v>148</v>
      </c>
      <c r="C3542" s="62">
        <v>148</v>
      </c>
    </row>
    <row r="3543" spans="1:3" x14ac:dyDescent="0.2">
      <c r="A3543" s="62" t="s">
        <v>2398</v>
      </c>
      <c r="B3543" s="48">
        <v>2</v>
      </c>
      <c r="C3543" s="62">
        <v>2</v>
      </c>
    </row>
    <row r="3544" spans="1:3" x14ac:dyDescent="0.2">
      <c r="A3544" s="62" t="s">
        <v>2397</v>
      </c>
      <c r="B3544" s="48">
        <v>14</v>
      </c>
      <c r="C3544" s="62">
        <v>14</v>
      </c>
    </row>
    <row r="3545" spans="1:3" x14ac:dyDescent="0.2">
      <c r="A3545" s="62" t="s">
        <v>2396</v>
      </c>
      <c r="B3545" s="48">
        <v>15</v>
      </c>
      <c r="C3545" s="62">
        <v>15</v>
      </c>
    </row>
    <row r="3546" spans="1:3" x14ac:dyDescent="0.2">
      <c r="A3546" s="62" t="s">
        <v>2395</v>
      </c>
      <c r="B3546" s="48">
        <v>130</v>
      </c>
      <c r="C3546" s="62">
        <v>130</v>
      </c>
    </row>
    <row r="3547" spans="1:3" x14ac:dyDescent="0.2">
      <c r="A3547" s="62" t="s">
        <v>2394</v>
      </c>
      <c r="B3547" s="48">
        <v>61</v>
      </c>
      <c r="C3547" s="62">
        <v>61</v>
      </c>
    </row>
    <row r="3548" spans="1:3" x14ac:dyDescent="0.2">
      <c r="A3548" s="62" t="s">
        <v>2393</v>
      </c>
      <c r="B3548" s="48">
        <v>72</v>
      </c>
      <c r="C3548" s="62">
        <v>72</v>
      </c>
    </row>
    <row r="3549" spans="1:3" x14ac:dyDescent="0.2">
      <c r="A3549" s="62" t="s">
        <v>2392</v>
      </c>
      <c r="B3549" s="48">
        <v>59</v>
      </c>
      <c r="C3549" s="62">
        <v>59</v>
      </c>
    </row>
    <row r="3550" spans="1:3" x14ac:dyDescent="0.2">
      <c r="A3550" s="62" t="s">
        <v>2391</v>
      </c>
      <c r="B3550" s="48">
        <v>7</v>
      </c>
      <c r="C3550" s="62">
        <v>7</v>
      </c>
    </row>
    <row r="3551" spans="1:3" x14ac:dyDescent="0.2">
      <c r="A3551" s="62" t="s">
        <v>2390</v>
      </c>
      <c r="B3551" s="48">
        <v>60</v>
      </c>
      <c r="C3551" s="62">
        <v>60</v>
      </c>
    </row>
    <row r="3552" spans="1:3" x14ac:dyDescent="0.2">
      <c r="A3552" s="62" t="s">
        <v>2387</v>
      </c>
      <c r="B3552" s="48">
        <v>15</v>
      </c>
      <c r="C3552" s="62">
        <v>15</v>
      </c>
    </row>
    <row r="3553" spans="1:3" x14ac:dyDescent="0.2">
      <c r="A3553" s="62" t="s">
        <v>2386</v>
      </c>
      <c r="B3553" s="48">
        <v>87</v>
      </c>
      <c r="C3553" s="62">
        <v>87</v>
      </c>
    </row>
    <row r="3554" spans="1:3" x14ac:dyDescent="0.2">
      <c r="A3554" s="62" t="s">
        <v>2385</v>
      </c>
      <c r="B3554" s="48">
        <v>87</v>
      </c>
      <c r="C3554" s="62">
        <v>87</v>
      </c>
    </row>
    <row r="3555" spans="1:3" x14ac:dyDescent="0.2">
      <c r="A3555" s="62" t="s">
        <v>2384</v>
      </c>
      <c r="B3555" s="48">
        <v>14</v>
      </c>
      <c r="C3555" s="62">
        <v>14</v>
      </c>
    </row>
    <row r="3556" spans="1:3" x14ac:dyDescent="0.2">
      <c r="A3556" s="62" t="s">
        <v>2383</v>
      </c>
      <c r="B3556" s="48">
        <v>61</v>
      </c>
      <c r="C3556" s="62">
        <v>61</v>
      </c>
    </row>
    <row r="3557" spans="1:3" x14ac:dyDescent="0.2">
      <c r="A3557" s="62" t="s">
        <v>2381</v>
      </c>
      <c r="B3557" s="48">
        <v>2</v>
      </c>
      <c r="C3557" s="62">
        <v>2</v>
      </c>
    </row>
    <row r="3558" spans="1:3" x14ac:dyDescent="0.2">
      <c r="A3558" s="62" t="s">
        <v>2380</v>
      </c>
      <c r="B3558" s="48">
        <v>2</v>
      </c>
      <c r="C3558" s="62">
        <v>2</v>
      </c>
    </row>
    <row r="3559" spans="1:3" x14ac:dyDescent="0.2">
      <c r="A3559" s="62" t="s">
        <v>2379</v>
      </c>
      <c r="B3559" s="48">
        <v>2</v>
      </c>
      <c r="C3559" s="62">
        <v>2</v>
      </c>
    </row>
    <row r="3560" spans="1:3" x14ac:dyDescent="0.2">
      <c r="A3560" s="62" t="s">
        <v>2377</v>
      </c>
      <c r="B3560" s="48">
        <v>167</v>
      </c>
      <c r="C3560" s="62">
        <v>167</v>
      </c>
    </row>
    <row r="3561" spans="1:3" x14ac:dyDescent="0.2">
      <c r="A3561" s="62" t="s">
        <v>2376</v>
      </c>
      <c r="B3561" s="48">
        <v>167</v>
      </c>
      <c r="C3561" s="62">
        <v>167</v>
      </c>
    </row>
    <row r="3562" spans="1:3" x14ac:dyDescent="0.2">
      <c r="A3562" s="62" t="s">
        <v>2375</v>
      </c>
      <c r="B3562" s="48">
        <v>14</v>
      </c>
      <c r="C3562" s="62">
        <v>14</v>
      </c>
    </row>
    <row r="3563" spans="1:3" x14ac:dyDescent="0.2">
      <c r="A3563" s="62" t="s">
        <v>2374</v>
      </c>
      <c r="B3563" s="48">
        <v>14</v>
      </c>
      <c r="C3563" s="62">
        <v>14</v>
      </c>
    </row>
    <row r="3564" spans="1:3" x14ac:dyDescent="0.2">
      <c r="A3564" s="62" t="s">
        <v>2373</v>
      </c>
      <c r="B3564" s="48">
        <v>2</v>
      </c>
      <c r="C3564" s="62">
        <v>2</v>
      </c>
    </row>
    <row r="3565" spans="1:3" x14ac:dyDescent="0.2">
      <c r="A3565" s="62" t="s">
        <v>2372</v>
      </c>
      <c r="B3565" s="48">
        <v>18</v>
      </c>
      <c r="C3565" s="62">
        <v>18</v>
      </c>
    </row>
    <row r="3566" spans="1:3" x14ac:dyDescent="0.2">
      <c r="A3566" s="62" t="s">
        <v>2370</v>
      </c>
      <c r="B3566" s="48">
        <v>14</v>
      </c>
      <c r="C3566" s="62">
        <v>14</v>
      </c>
    </row>
    <row r="3567" spans="1:3" x14ac:dyDescent="0.2">
      <c r="A3567" s="62" t="s">
        <v>2369</v>
      </c>
      <c r="B3567" s="48">
        <v>14</v>
      </c>
      <c r="C3567" s="62">
        <v>14</v>
      </c>
    </row>
    <row r="3568" spans="1:3" x14ac:dyDescent="0.2">
      <c r="A3568" s="62" t="s">
        <v>2368</v>
      </c>
      <c r="B3568" s="48">
        <v>85</v>
      </c>
      <c r="C3568" s="62">
        <v>85</v>
      </c>
    </row>
    <row r="3569" spans="1:3" x14ac:dyDescent="0.2">
      <c r="A3569" s="62" t="s">
        <v>2367</v>
      </c>
      <c r="B3569" s="48">
        <v>2</v>
      </c>
      <c r="C3569" s="62">
        <v>2</v>
      </c>
    </row>
    <row r="3570" spans="1:3" x14ac:dyDescent="0.2">
      <c r="A3570" s="62" t="s">
        <v>2366</v>
      </c>
      <c r="B3570" s="48">
        <v>2</v>
      </c>
      <c r="C3570" s="62">
        <v>2</v>
      </c>
    </row>
    <row r="3571" spans="1:3" x14ac:dyDescent="0.2">
      <c r="A3571" s="62" t="s">
        <v>2365</v>
      </c>
      <c r="B3571" s="48">
        <v>61</v>
      </c>
      <c r="C3571" s="62">
        <v>61</v>
      </c>
    </row>
    <row r="3572" spans="1:3" x14ac:dyDescent="0.2">
      <c r="A3572" s="62" t="s">
        <v>2364</v>
      </c>
      <c r="B3572" s="48">
        <v>15</v>
      </c>
      <c r="C3572" s="62">
        <v>15</v>
      </c>
    </row>
    <row r="3573" spans="1:3" x14ac:dyDescent="0.2">
      <c r="A3573" s="62" t="s">
        <v>2363</v>
      </c>
      <c r="B3573" s="48">
        <v>9</v>
      </c>
      <c r="C3573" s="62">
        <v>9</v>
      </c>
    </row>
    <row r="3574" spans="1:3" x14ac:dyDescent="0.2">
      <c r="A3574" s="62" t="s">
        <v>2362</v>
      </c>
      <c r="B3574" s="48">
        <v>15</v>
      </c>
      <c r="C3574" s="62">
        <v>15</v>
      </c>
    </row>
    <row r="3575" spans="1:3" x14ac:dyDescent="0.2">
      <c r="A3575" s="62" t="s">
        <v>2361</v>
      </c>
      <c r="B3575" s="48">
        <v>2</v>
      </c>
      <c r="C3575" s="62">
        <v>2</v>
      </c>
    </row>
    <row r="3576" spans="1:3" x14ac:dyDescent="0.2">
      <c r="A3576" s="62" t="s">
        <v>2360</v>
      </c>
      <c r="B3576" s="48">
        <v>1</v>
      </c>
      <c r="C3576" s="62">
        <v>1</v>
      </c>
    </row>
    <row r="3577" spans="1:3" x14ac:dyDescent="0.2">
      <c r="A3577" s="62" t="s">
        <v>2359</v>
      </c>
      <c r="B3577" s="48">
        <v>4</v>
      </c>
      <c r="C3577" s="62">
        <v>4</v>
      </c>
    </row>
    <row r="3578" spans="1:3" x14ac:dyDescent="0.2">
      <c r="A3578" s="62" t="s">
        <v>2357</v>
      </c>
      <c r="B3578" s="48">
        <v>2</v>
      </c>
      <c r="C3578" s="62">
        <v>2</v>
      </c>
    </row>
    <row r="3579" spans="1:3" x14ac:dyDescent="0.2">
      <c r="A3579" s="62" t="s">
        <v>2356</v>
      </c>
      <c r="B3579" s="48">
        <v>12</v>
      </c>
      <c r="C3579" s="62">
        <v>12</v>
      </c>
    </row>
    <row r="3580" spans="1:3" x14ac:dyDescent="0.2">
      <c r="A3580" s="62" t="s">
        <v>2355</v>
      </c>
      <c r="B3580" s="48">
        <v>19</v>
      </c>
      <c r="C3580" s="62">
        <v>19</v>
      </c>
    </row>
    <row r="3581" spans="1:3" x14ac:dyDescent="0.2">
      <c r="A3581" s="62" t="s">
        <v>2354</v>
      </c>
      <c r="B3581" s="48">
        <v>2</v>
      </c>
      <c r="C3581" s="62">
        <v>2</v>
      </c>
    </row>
    <row r="3582" spans="1:3" x14ac:dyDescent="0.2">
      <c r="A3582" s="62" t="s">
        <v>2353</v>
      </c>
      <c r="B3582" s="48">
        <v>148</v>
      </c>
      <c r="C3582" s="62">
        <v>148</v>
      </c>
    </row>
    <row r="3583" spans="1:3" x14ac:dyDescent="0.2">
      <c r="A3583" s="62" t="s">
        <v>2352</v>
      </c>
      <c r="B3583" s="48">
        <v>87</v>
      </c>
      <c r="C3583" s="62">
        <v>87</v>
      </c>
    </row>
    <row r="3584" spans="1:3" x14ac:dyDescent="0.2">
      <c r="A3584" s="62" t="s">
        <v>2351</v>
      </c>
      <c r="B3584" s="48">
        <v>87</v>
      </c>
      <c r="C3584" s="62">
        <v>87</v>
      </c>
    </row>
    <row r="3585" spans="1:3" x14ac:dyDescent="0.2">
      <c r="A3585" s="62" t="s">
        <v>2350</v>
      </c>
      <c r="B3585" s="48">
        <v>14</v>
      </c>
      <c r="C3585" s="62">
        <v>14</v>
      </c>
    </row>
    <row r="3586" spans="1:3" x14ac:dyDescent="0.2">
      <c r="A3586" s="62" t="s">
        <v>2348</v>
      </c>
      <c r="B3586" s="48">
        <v>204</v>
      </c>
      <c r="C3586" s="62">
        <v>204</v>
      </c>
    </row>
    <row r="3587" spans="1:3" x14ac:dyDescent="0.2">
      <c r="A3587" s="62" t="s">
        <v>2346</v>
      </c>
      <c r="B3587" s="48">
        <v>58</v>
      </c>
      <c r="C3587" s="62">
        <v>58</v>
      </c>
    </row>
    <row r="3588" spans="1:3" x14ac:dyDescent="0.2">
      <c r="A3588" s="62" t="s">
        <v>2345</v>
      </c>
      <c r="B3588" s="48">
        <v>52</v>
      </c>
      <c r="C3588" s="62">
        <v>52</v>
      </c>
    </row>
    <row r="3589" spans="1:3" x14ac:dyDescent="0.2">
      <c r="A3589" s="62" t="s">
        <v>2344</v>
      </c>
      <c r="B3589" s="48">
        <v>14</v>
      </c>
      <c r="C3589" s="62">
        <v>14</v>
      </c>
    </row>
    <row r="3590" spans="1:3" x14ac:dyDescent="0.2">
      <c r="A3590" s="62" t="s">
        <v>2343</v>
      </c>
      <c r="B3590" s="48">
        <v>148</v>
      </c>
      <c r="C3590" s="62">
        <v>148</v>
      </c>
    </row>
    <row r="3591" spans="1:3" x14ac:dyDescent="0.2">
      <c r="A3591" s="62" t="s">
        <v>2342</v>
      </c>
      <c r="B3591" s="48">
        <v>148</v>
      </c>
      <c r="C3591" s="62">
        <v>148</v>
      </c>
    </row>
    <row r="3592" spans="1:3" x14ac:dyDescent="0.2">
      <c r="A3592" s="62" t="s">
        <v>2341</v>
      </c>
      <c r="B3592" s="48">
        <v>148</v>
      </c>
      <c r="C3592" s="62">
        <v>148</v>
      </c>
    </row>
    <row r="3593" spans="1:3" x14ac:dyDescent="0.2">
      <c r="A3593" s="62" t="s">
        <v>2340</v>
      </c>
      <c r="B3593" s="48">
        <v>14</v>
      </c>
      <c r="C3593" s="62">
        <v>14</v>
      </c>
    </row>
    <row r="3594" spans="1:3" x14ac:dyDescent="0.2">
      <c r="A3594" s="62" t="s">
        <v>2339</v>
      </c>
      <c r="B3594" s="48">
        <v>14</v>
      </c>
      <c r="C3594" s="62">
        <v>14</v>
      </c>
    </row>
    <row r="3595" spans="1:3" x14ac:dyDescent="0.2">
      <c r="A3595" s="62" t="s">
        <v>2338</v>
      </c>
      <c r="B3595" s="48">
        <v>14</v>
      </c>
      <c r="C3595" s="62">
        <v>14</v>
      </c>
    </row>
    <row r="3596" spans="1:3" x14ac:dyDescent="0.2">
      <c r="A3596" s="62" t="s">
        <v>2337</v>
      </c>
      <c r="B3596" s="48">
        <v>15</v>
      </c>
      <c r="C3596" s="62">
        <v>15</v>
      </c>
    </row>
    <row r="3597" spans="1:3" x14ac:dyDescent="0.2">
      <c r="A3597" s="62" t="s">
        <v>2336</v>
      </c>
      <c r="B3597" s="48">
        <v>57</v>
      </c>
      <c r="C3597" s="62">
        <v>57</v>
      </c>
    </row>
    <row r="3598" spans="1:3" x14ac:dyDescent="0.2">
      <c r="A3598" s="62" t="s">
        <v>2334</v>
      </c>
      <c r="B3598" s="48">
        <v>15</v>
      </c>
      <c r="C3598" s="62">
        <v>15</v>
      </c>
    </row>
    <row r="3599" spans="1:3" x14ac:dyDescent="0.2">
      <c r="A3599" s="62" t="s">
        <v>2333</v>
      </c>
      <c r="B3599" s="48">
        <v>15</v>
      </c>
      <c r="C3599" s="62">
        <v>15</v>
      </c>
    </row>
    <row r="3600" spans="1:3" x14ac:dyDescent="0.2">
      <c r="A3600" s="62" t="s">
        <v>2332</v>
      </c>
      <c r="B3600" s="48">
        <v>15</v>
      </c>
      <c r="C3600" s="62">
        <v>15</v>
      </c>
    </row>
    <row r="3601" spans="1:3" x14ac:dyDescent="0.2">
      <c r="A3601" s="62" t="s">
        <v>2331</v>
      </c>
      <c r="B3601" s="48">
        <v>161</v>
      </c>
      <c r="C3601" s="62">
        <v>161</v>
      </c>
    </row>
    <row r="3602" spans="1:3" x14ac:dyDescent="0.2">
      <c r="A3602" s="62" t="s">
        <v>2329</v>
      </c>
      <c r="B3602" s="48">
        <v>15</v>
      </c>
      <c r="C3602" s="62">
        <v>15</v>
      </c>
    </row>
    <row r="3603" spans="1:3" x14ac:dyDescent="0.2">
      <c r="A3603" s="62" t="s">
        <v>2328</v>
      </c>
      <c r="B3603" s="48">
        <v>14</v>
      </c>
      <c r="C3603" s="62">
        <v>14</v>
      </c>
    </row>
    <row r="3604" spans="1:3" x14ac:dyDescent="0.2">
      <c r="A3604" s="62" t="s">
        <v>2327</v>
      </c>
      <c r="B3604" s="48">
        <v>14</v>
      </c>
      <c r="C3604" s="62">
        <v>14</v>
      </c>
    </row>
    <row r="3605" spans="1:3" x14ac:dyDescent="0.2">
      <c r="A3605" s="62" t="s">
        <v>2326</v>
      </c>
      <c r="B3605" s="48">
        <v>122</v>
      </c>
      <c r="C3605" s="62">
        <v>122</v>
      </c>
    </row>
    <row r="3606" spans="1:3" x14ac:dyDescent="0.2">
      <c r="A3606" s="62" t="s">
        <v>2325</v>
      </c>
      <c r="B3606" s="48">
        <v>30</v>
      </c>
      <c r="C3606" s="62">
        <v>30</v>
      </c>
    </row>
    <row r="3607" spans="1:3" x14ac:dyDescent="0.2">
      <c r="A3607" s="62" t="s">
        <v>2324</v>
      </c>
      <c r="B3607" s="48">
        <v>148</v>
      </c>
      <c r="C3607" s="62">
        <v>148</v>
      </c>
    </row>
    <row r="3608" spans="1:3" x14ac:dyDescent="0.2">
      <c r="A3608" s="62" t="s">
        <v>2323</v>
      </c>
      <c r="B3608" s="48">
        <v>227</v>
      </c>
      <c r="C3608" s="62">
        <v>227</v>
      </c>
    </row>
    <row r="3609" spans="1:3" x14ac:dyDescent="0.2">
      <c r="A3609" s="62" t="s">
        <v>2322</v>
      </c>
      <c r="B3609" s="48">
        <v>70</v>
      </c>
      <c r="C3609" s="62">
        <v>70</v>
      </c>
    </row>
    <row r="3610" spans="1:3" x14ac:dyDescent="0.2">
      <c r="A3610" s="62" t="s">
        <v>2321</v>
      </c>
      <c r="B3610" s="48">
        <v>13</v>
      </c>
      <c r="C3610" s="62">
        <v>13</v>
      </c>
    </row>
    <row r="3611" spans="1:3" x14ac:dyDescent="0.2">
      <c r="A3611" s="62" t="s">
        <v>2320</v>
      </c>
      <c r="B3611" s="48">
        <v>15</v>
      </c>
      <c r="C3611" s="62">
        <v>15</v>
      </c>
    </row>
    <row r="3612" spans="1:3" x14ac:dyDescent="0.2">
      <c r="A3612" s="62" t="s">
        <v>2319</v>
      </c>
      <c r="B3612" s="48">
        <v>73</v>
      </c>
      <c r="C3612" s="62">
        <v>73</v>
      </c>
    </row>
    <row r="3613" spans="1:3" x14ac:dyDescent="0.2">
      <c r="A3613" s="62" t="s">
        <v>2318</v>
      </c>
      <c r="B3613" s="48">
        <v>14</v>
      </c>
      <c r="C3613" s="62">
        <v>14</v>
      </c>
    </row>
    <row r="3614" spans="1:3" x14ac:dyDescent="0.2">
      <c r="A3614" s="62" t="s">
        <v>2317</v>
      </c>
      <c r="B3614" s="48">
        <v>161</v>
      </c>
      <c r="C3614" s="62">
        <v>161</v>
      </c>
    </row>
    <row r="3615" spans="1:3" x14ac:dyDescent="0.2">
      <c r="A3615" s="62" t="s">
        <v>2316</v>
      </c>
      <c r="B3615" s="48">
        <v>15</v>
      </c>
      <c r="C3615" s="62">
        <v>15</v>
      </c>
    </row>
    <row r="3616" spans="1:3" x14ac:dyDescent="0.2">
      <c r="A3616" s="62" t="s">
        <v>2315</v>
      </c>
      <c r="B3616" s="48">
        <v>60</v>
      </c>
      <c r="C3616" s="62">
        <v>60</v>
      </c>
    </row>
    <row r="3617" spans="1:3" x14ac:dyDescent="0.2">
      <c r="A3617" s="62" t="s">
        <v>2314</v>
      </c>
      <c r="B3617" s="48">
        <v>148</v>
      </c>
      <c r="C3617" s="62">
        <v>148</v>
      </c>
    </row>
    <row r="3618" spans="1:3" x14ac:dyDescent="0.2">
      <c r="A3618" s="62" t="s">
        <v>2313</v>
      </c>
      <c r="B3618" s="48">
        <v>15</v>
      </c>
      <c r="C3618" s="62">
        <v>15</v>
      </c>
    </row>
    <row r="3619" spans="1:3" x14ac:dyDescent="0.2">
      <c r="A3619" s="62" t="s">
        <v>2312</v>
      </c>
      <c r="B3619" s="48">
        <v>14</v>
      </c>
      <c r="C3619" s="62">
        <v>14</v>
      </c>
    </row>
    <row r="3620" spans="1:3" x14ac:dyDescent="0.2">
      <c r="A3620" s="62" t="s">
        <v>2311</v>
      </c>
      <c r="B3620" s="48">
        <v>10</v>
      </c>
      <c r="C3620" s="62">
        <v>10</v>
      </c>
    </row>
    <row r="3621" spans="1:3" x14ac:dyDescent="0.2">
      <c r="A3621" s="62" t="s">
        <v>2310</v>
      </c>
      <c r="B3621" s="48">
        <v>14</v>
      </c>
      <c r="C3621" s="62">
        <v>14</v>
      </c>
    </row>
    <row r="3622" spans="1:3" x14ac:dyDescent="0.2">
      <c r="A3622" s="62" t="s">
        <v>2309</v>
      </c>
      <c r="B3622" s="48">
        <v>68</v>
      </c>
      <c r="C3622" s="62">
        <v>68</v>
      </c>
    </row>
    <row r="3623" spans="1:3" x14ac:dyDescent="0.2">
      <c r="A3623" s="62" t="s">
        <v>2308</v>
      </c>
      <c r="B3623" s="48">
        <v>15</v>
      </c>
      <c r="C3623" s="62">
        <v>15</v>
      </c>
    </row>
    <row r="3624" spans="1:3" x14ac:dyDescent="0.2">
      <c r="A3624" s="62" t="s">
        <v>2307</v>
      </c>
      <c r="B3624" s="48">
        <v>19</v>
      </c>
      <c r="C3624" s="62">
        <v>19</v>
      </c>
    </row>
    <row r="3625" spans="1:3" x14ac:dyDescent="0.2">
      <c r="A3625" s="62" t="s">
        <v>2306</v>
      </c>
      <c r="B3625" s="48">
        <v>180</v>
      </c>
      <c r="C3625" s="62">
        <v>180</v>
      </c>
    </row>
    <row r="3626" spans="1:3" x14ac:dyDescent="0.2">
      <c r="A3626" s="62" t="s">
        <v>2305</v>
      </c>
      <c r="B3626" s="48">
        <v>14</v>
      </c>
      <c r="C3626" s="62">
        <v>14</v>
      </c>
    </row>
    <row r="3627" spans="1:3" x14ac:dyDescent="0.2">
      <c r="A3627" s="62" t="s">
        <v>2303</v>
      </c>
      <c r="B3627" s="48">
        <v>2</v>
      </c>
      <c r="C3627" s="62">
        <v>2</v>
      </c>
    </row>
    <row r="3628" spans="1:3" x14ac:dyDescent="0.2">
      <c r="A3628" s="62" t="s">
        <v>2302</v>
      </c>
      <c r="B3628" s="48">
        <v>14</v>
      </c>
      <c r="C3628" s="62">
        <v>14</v>
      </c>
    </row>
    <row r="3629" spans="1:3" x14ac:dyDescent="0.2">
      <c r="A3629" s="62" t="s">
        <v>2301</v>
      </c>
      <c r="B3629" s="48">
        <v>19</v>
      </c>
      <c r="C3629" s="62">
        <v>19</v>
      </c>
    </row>
    <row r="3630" spans="1:3" x14ac:dyDescent="0.2">
      <c r="A3630" s="62" t="s">
        <v>2300</v>
      </c>
      <c r="B3630" s="48">
        <v>19</v>
      </c>
      <c r="C3630" s="62">
        <v>19</v>
      </c>
    </row>
    <row r="3631" spans="1:3" x14ac:dyDescent="0.2">
      <c r="A3631" s="62" t="s">
        <v>2299</v>
      </c>
      <c r="B3631" s="48">
        <v>19</v>
      </c>
      <c r="C3631" s="62">
        <v>19</v>
      </c>
    </row>
    <row r="3632" spans="1:3" x14ac:dyDescent="0.2">
      <c r="A3632" s="62" t="s">
        <v>2298</v>
      </c>
      <c r="B3632" s="48">
        <v>19</v>
      </c>
      <c r="C3632" s="62">
        <v>19</v>
      </c>
    </row>
    <row r="3633" spans="1:3" x14ac:dyDescent="0.2">
      <c r="A3633" s="62" t="s">
        <v>2297</v>
      </c>
      <c r="B3633" s="48">
        <v>14</v>
      </c>
      <c r="C3633" s="62">
        <v>14</v>
      </c>
    </row>
    <row r="3634" spans="1:3" x14ac:dyDescent="0.2">
      <c r="A3634" s="62" t="s">
        <v>2296</v>
      </c>
      <c r="B3634" s="48">
        <v>55</v>
      </c>
      <c r="C3634" s="62">
        <v>55</v>
      </c>
    </row>
    <row r="3635" spans="1:3" x14ac:dyDescent="0.2">
      <c r="A3635" s="62" t="s">
        <v>2295</v>
      </c>
      <c r="B3635" s="48">
        <v>179</v>
      </c>
      <c r="C3635" s="62">
        <v>179</v>
      </c>
    </row>
    <row r="3636" spans="1:3" x14ac:dyDescent="0.2">
      <c r="A3636" s="62" t="s">
        <v>2294</v>
      </c>
      <c r="B3636" s="48">
        <v>182</v>
      </c>
      <c r="C3636" s="62">
        <v>182</v>
      </c>
    </row>
    <row r="3637" spans="1:3" x14ac:dyDescent="0.2">
      <c r="A3637" s="62" t="s">
        <v>2293</v>
      </c>
      <c r="B3637" s="48">
        <v>53</v>
      </c>
      <c r="C3637" s="62">
        <v>53</v>
      </c>
    </row>
    <row r="3638" spans="1:3" x14ac:dyDescent="0.2">
      <c r="A3638" s="62" t="s">
        <v>2292</v>
      </c>
      <c r="B3638" s="48">
        <v>53</v>
      </c>
      <c r="C3638" s="62">
        <v>53</v>
      </c>
    </row>
    <row r="3639" spans="1:3" x14ac:dyDescent="0.2">
      <c r="A3639" s="62" t="s">
        <v>2291</v>
      </c>
      <c r="B3639" s="48">
        <v>205</v>
      </c>
      <c r="C3639" s="62">
        <v>205</v>
      </c>
    </row>
    <row r="3640" spans="1:3" x14ac:dyDescent="0.2">
      <c r="A3640" s="62" t="s">
        <v>2290</v>
      </c>
      <c r="B3640" s="48">
        <v>56</v>
      </c>
      <c r="C3640" s="62">
        <v>56</v>
      </c>
    </row>
    <row r="3641" spans="1:3" x14ac:dyDescent="0.2">
      <c r="A3641" s="62" t="s">
        <v>2287</v>
      </c>
      <c r="B3641" s="48">
        <v>19</v>
      </c>
      <c r="C3641" s="62">
        <v>19</v>
      </c>
    </row>
    <row r="3642" spans="1:3" x14ac:dyDescent="0.2">
      <c r="A3642" s="62" t="s">
        <v>2286</v>
      </c>
      <c r="B3642" s="48">
        <v>225</v>
      </c>
      <c r="C3642" s="62">
        <v>225</v>
      </c>
    </row>
    <row r="3643" spans="1:3" x14ac:dyDescent="0.2">
      <c r="A3643" s="62" t="s">
        <v>2285</v>
      </c>
      <c r="B3643" s="48">
        <v>2</v>
      </c>
      <c r="C3643" s="62">
        <v>2</v>
      </c>
    </row>
    <row r="3644" spans="1:3" x14ac:dyDescent="0.2">
      <c r="A3644" s="62" t="s">
        <v>2284</v>
      </c>
      <c r="B3644" s="48">
        <v>4</v>
      </c>
      <c r="C3644" s="62">
        <v>4</v>
      </c>
    </row>
    <row r="3645" spans="1:3" x14ac:dyDescent="0.2">
      <c r="A3645" s="62" t="s">
        <v>2283</v>
      </c>
      <c r="B3645" s="48">
        <v>4</v>
      </c>
      <c r="C3645" s="62">
        <v>4</v>
      </c>
    </row>
    <row r="3646" spans="1:3" x14ac:dyDescent="0.2">
      <c r="A3646" s="62" t="s">
        <v>2282</v>
      </c>
      <c r="B3646" s="48">
        <v>15</v>
      </c>
      <c r="C3646" s="62">
        <v>15</v>
      </c>
    </row>
    <row r="3647" spans="1:3" x14ac:dyDescent="0.2">
      <c r="A3647" s="62" t="s">
        <v>2281</v>
      </c>
      <c r="B3647" s="48">
        <v>33</v>
      </c>
      <c r="C3647" s="62">
        <v>33</v>
      </c>
    </row>
    <row r="3648" spans="1:3" x14ac:dyDescent="0.2">
      <c r="A3648" s="62" t="s">
        <v>2280</v>
      </c>
      <c r="B3648" s="48">
        <v>43</v>
      </c>
      <c r="C3648" s="62">
        <v>43</v>
      </c>
    </row>
    <row r="3649" spans="1:3" x14ac:dyDescent="0.2">
      <c r="A3649" s="62" t="s">
        <v>2279</v>
      </c>
      <c r="B3649" s="48">
        <v>88</v>
      </c>
      <c r="C3649" s="62">
        <v>88</v>
      </c>
    </row>
    <row r="3650" spans="1:3" x14ac:dyDescent="0.2">
      <c r="A3650" s="62" t="s">
        <v>2278</v>
      </c>
      <c r="B3650" s="48">
        <v>88</v>
      </c>
      <c r="C3650" s="62">
        <v>88</v>
      </c>
    </row>
    <row r="3651" spans="1:3" x14ac:dyDescent="0.2">
      <c r="A3651" s="62" t="s">
        <v>2277</v>
      </c>
      <c r="B3651" s="48">
        <v>14</v>
      </c>
      <c r="C3651" s="62">
        <v>14</v>
      </c>
    </row>
    <row r="3652" spans="1:3" x14ac:dyDescent="0.2">
      <c r="A3652" s="62" t="s">
        <v>2276</v>
      </c>
      <c r="B3652" s="48">
        <v>14</v>
      </c>
      <c r="C3652" s="62">
        <v>14</v>
      </c>
    </row>
    <row r="3653" spans="1:3" x14ac:dyDescent="0.2">
      <c r="A3653" s="62" t="s">
        <v>2275</v>
      </c>
      <c r="B3653" s="48">
        <v>14</v>
      </c>
      <c r="C3653" s="62">
        <v>14</v>
      </c>
    </row>
    <row r="3654" spans="1:3" x14ac:dyDescent="0.2">
      <c r="A3654" s="62" t="s">
        <v>2274</v>
      </c>
      <c r="B3654" s="48">
        <v>14</v>
      </c>
      <c r="C3654" s="62">
        <v>14</v>
      </c>
    </row>
    <row r="3655" spans="1:3" x14ac:dyDescent="0.2">
      <c r="A3655" s="62" t="s">
        <v>2273</v>
      </c>
      <c r="B3655" s="48">
        <v>14</v>
      </c>
      <c r="C3655" s="62">
        <v>14</v>
      </c>
    </row>
    <row r="3656" spans="1:3" x14ac:dyDescent="0.2">
      <c r="A3656" s="62" t="s">
        <v>2272</v>
      </c>
      <c r="B3656" s="48">
        <v>33</v>
      </c>
      <c r="C3656" s="62">
        <v>33</v>
      </c>
    </row>
    <row r="3657" spans="1:3" x14ac:dyDescent="0.2">
      <c r="A3657" s="62" t="s">
        <v>2271</v>
      </c>
      <c r="B3657" s="48">
        <v>33</v>
      </c>
      <c r="C3657" s="62">
        <v>33</v>
      </c>
    </row>
    <row r="3658" spans="1:3" x14ac:dyDescent="0.2">
      <c r="A3658" s="62" t="s">
        <v>2270</v>
      </c>
      <c r="B3658" s="48">
        <v>33</v>
      </c>
      <c r="C3658" s="62">
        <v>33</v>
      </c>
    </row>
    <row r="3659" spans="1:3" x14ac:dyDescent="0.2">
      <c r="A3659" s="62" t="s">
        <v>2269</v>
      </c>
      <c r="B3659" s="48">
        <v>14</v>
      </c>
      <c r="C3659" s="62">
        <v>14</v>
      </c>
    </row>
    <row r="3660" spans="1:3" x14ac:dyDescent="0.2">
      <c r="A3660" s="62" t="s">
        <v>2268</v>
      </c>
      <c r="B3660" s="48">
        <v>14</v>
      </c>
      <c r="C3660" s="62">
        <v>14</v>
      </c>
    </row>
    <row r="3661" spans="1:3" x14ac:dyDescent="0.2">
      <c r="A3661" s="62" t="s">
        <v>2267</v>
      </c>
      <c r="B3661" s="48">
        <v>14</v>
      </c>
      <c r="C3661" s="62">
        <v>14</v>
      </c>
    </row>
    <row r="3662" spans="1:3" x14ac:dyDescent="0.2">
      <c r="A3662" s="62" t="s">
        <v>2266</v>
      </c>
      <c r="B3662" s="48">
        <v>14</v>
      </c>
      <c r="C3662" s="62">
        <v>14</v>
      </c>
    </row>
    <row r="3663" spans="1:3" x14ac:dyDescent="0.2">
      <c r="A3663" s="62" t="s">
        <v>2265</v>
      </c>
      <c r="B3663" s="48">
        <v>14</v>
      </c>
      <c r="C3663" s="62">
        <v>14</v>
      </c>
    </row>
    <row r="3664" spans="1:3" x14ac:dyDescent="0.2">
      <c r="A3664" s="62" t="s">
        <v>2264</v>
      </c>
      <c r="B3664" s="48">
        <v>14</v>
      </c>
      <c r="C3664" s="62">
        <v>14</v>
      </c>
    </row>
    <row r="3665" spans="1:3" x14ac:dyDescent="0.2">
      <c r="A3665" s="62" t="s">
        <v>2263</v>
      </c>
      <c r="B3665" s="48">
        <v>148</v>
      </c>
      <c r="C3665" s="62">
        <v>148</v>
      </c>
    </row>
    <row r="3666" spans="1:3" x14ac:dyDescent="0.2">
      <c r="A3666" s="62" t="s">
        <v>2262</v>
      </c>
      <c r="B3666" s="48">
        <v>148</v>
      </c>
      <c r="C3666" s="62">
        <v>148</v>
      </c>
    </row>
    <row r="3667" spans="1:3" x14ac:dyDescent="0.2">
      <c r="A3667" s="62" t="s">
        <v>2261</v>
      </c>
      <c r="B3667" s="48">
        <v>146</v>
      </c>
      <c r="C3667" s="62">
        <v>146</v>
      </c>
    </row>
    <row r="3668" spans="1:3" x14ac:dyDescent="0.2">
      <c r="A3668" s="62" t="s">
        <v>2260</v>
      </c>
      <c r="B3668" s="48">
        <v>146</v>
      </c>
      <c r="C3668" s="62">
        <v>146</v>
      </c>
    </row>
    <row r="3669" spans="1:3" x14ac:dyDescent="0.2">
      <c r="A3669" s="62" t="s">
        <v>2259</v>
      </c>
      <c r="B3669" s="48">
        <v>148</v>
      </c>
      <c r="C3669" s="62">
        <v>148</v>
      </c>
    </row>
    <row r="3670" spans="1:3" x14ac:dyDescent="0.2">
      <c r="A3670" s="62" t="s">
        <v>2258</v>
      </c>
      <c r="B3670" s="48">
        <v>146</v>
      </c>
      <c r="C3670" s="62">
        <v>146</v>
      </c>
    </row>
    <row r="3671" spans="1:3" x14ac:dyDescent="0.2">
      <c r="A3671" s="62" t="s">
        <v>2257</v>
      </c>
      <c r="B3671" s="48">
        <v>146</v>
      </c>
      <c r="C3671" s="62">
        <v>146</v>
      </c>
    </row>
    <row r="3672" spans="1:3" x14ac:dyDescent="0.2">
      <c r="A3672" s="62" t="s">
        <v>2256</v>
      </c>
      <c r="B3672" s="48">
        <v>148</v>
      </c>
      <c r="C3672" s="62">
        <v>148</v>
      </c>
    </row>
    <row r="3673" spans="1:3" x14ac:dyDescent="0.2">
      <c r="A3673" s="62" t="s">
        <v>2255</v>
      </c>
      <c r="B3673" s="48">
        <v>146</v>
      </c>
      <c r="C3673" s="62">
        <v>146</v>
      </c>
    </row>
    <row r="3674" spans="1:3" x14ac:dyDescent="0.2">
      <c r="A3674" s="62" t="s">
        <v>2254</v>
      </c>
      <c r="B3674" s="48">
        <v>146</v>
      </c>
      <c r="C3674" s="62">
        <v>146</v>
      </c>
    </row>
    <row r="3675" spans="1:3" x14ac:dyDescent="0.2">
      <c r="A3675" s="62" t="s">
        <v>2253</v>
      </c>
      <c r="B3675" s="48">
        <v>15</v>
      </c>
      <c r="C3675" s="62">
        <v>15</v>
      </c>
    </row>
    <row r="3676" spans="1:3" x14ac:dyDescent="0.2">
      <c r="A3676" s="62" t="s">
        <v>2252</v>
      </c>
      <c r="B3676" s="48">
        <v>15</v>
      </c>
      <c r="C3676" s="62">
        <v>15</v>
      </c>
    </row>
    <row r="3677" spans="1:3" x14ac:dyDescent="0.2">
      <c r="A3677" s="62" t="s">
        <v>2251</v>
      </c>
      <c r="B3677" s="48">
        <v>14</v>
      </c>
      <c r="C3677" s="62">
        <v>14</v>
      </c>
    </row>
    <row r="3678" spans="1:3" x14ac:dyDescent="0.2">
      <c r="A3678" s="62" t="s">
        <v>2250</v>
      </c>
      <c r="B3678" s="48">
        <v>14</v>
      </c>
      <c r="C3678" s="62">
        <v>14</v>
      </c>
    </row>
    <row r="3679" spans="1:3" x14ac:dyDescent="0.2">
      <c r="A3679" s="62" t="s">
        <v>2249</v>
      </c>
      <c r="B3679" s="48">
        <v>14</v>
      </c>
      <c r="C3679" s="62">
        <v>14</v>
      </c>
    </row>
    <row r="3680" spans="1:3" x14ac:dyDescent="0.2">
      <c r="A3680" s="62" t="s">
        <v>2247</v>
      </c>
      <c r="B3680" s="48">
        <v>15</v>
      </c>
      <c r="C3680" s="62">
        <v>15</v>
      </c>
    </row>
    <row r="3681" spans="1:3" x14ac:dyDescent="0.2">
      <c r="A3681" s="62" t="s">
        <v>2246</v>
      </c>
      <c r="B3681" s="48">
        <v>148</v>
      </c>
      <c r="C3681" s="62">
        <v>148</v>
      </c>
    </row>
    <row r="3682" spans="1:3" x14ac:dyDescent="0.2">
      <c r="A3682" s="62" t="s">
        <v>2245</v>
      </c>
      <c r="B3682" s="48">
        <v>148</v>
      </c>
      <c r="C3682" s="62">
        <v>148</v>
      </c>
    </row>
    <row r="3683" spans="1:3" x14ac:dyDescent="0.2">
      <c r="A3683" s="62" t="s">
        <v>2244</v>
      </c>
      <c r="B3683" s="48">
        <v>181</v>
      </c>
      <c r="C3683" s="62">
        <v>181</v>
      </c>
    </row>
    <row r="3684" spans="1:3" x14ac:dyDescent="0.2">
      <c r="A3684" s="62" t="s">
        <v>2243</v>
      </c>
      <c r="B3684" s="48">
        <v>180</v>
      </c>
      <c r="C3684" s="62">
        <v>180</v>
      </c>
    </row>
    <row r="3685" spans="1:3" x14ac:dyDescent="0.2">
      <c r="A3685" s="62" t="s">
        <v>2242</v>
      </c>
      <c r="B3685" s="48">
        <v>180</v>
      </c>
      <c r="C3685" s="62">
        <v>180</v>
      </c>
    </row>
    <row r="3686" spans="1:3" x14ac:dyDescent="0.2">
      <c r="A3686" s="62" t="s">
        <v>2241</v>
      </c>
      <c r="B3686" s="48">
        <v>181</v>
      </c>
      <c r="C3686" s="62">
        <v>181</v>
      </c>
    </row>
    <row r="3687" spans="1:3" x14ac:dyDescent="0.2">
      <c r="A3687" s="62" t="s">
        <v>2240</v>
      </c>
      <c r="B3687" s="48">
        <v>180</v>
      </c>
      <c r="C3687" s="62">
        <v>180</v>
      </c>
    </row>
    <row r="3688" spans="1:3" x14ac:dyDescent="0.2">
      <c r="A3688" s="62" t="s">
        <v>2239</v>
      </c>
      <c r="B3688" s="48">
        <v>181</v>
      </c>
      <c r="C3688" s="62">
        <v>181</v>
      </c>
    </row>
    <row r="3689" spans="1:3" x14ac:dyDescent="0.2">
      <c r="A3689" s="62" t="s">
        <v>2238</v>
      </c>
      <c r="B3689" s="48">
        <v>180</v>
      </c>
      <c r="C3689" s="62">
        <v>180</v>
      </c>
    </row>
    <row r="3690" spans="1:3" x14ac:dyDescent="0.2">
      <c r="A3690" s="62" t="s">
        <v>2237</v>
      </c>
      <c r="B3690" s="48">
        <v>181</v>
      </c>
      <c r="C3690" s="62">
        <v>181</v>
      </c>
    </row>
    <row r="3691" spans="1:3" x14ac:dyDescent="0.2">
      <c r="A3691" s="62" t="s">
        <v>2236</v>
      </c>
      <c r="B3691" s="48">
        <v>2</v>
      </c>
      <c r="C3691" s="62">
        <v>2</v>
      </c>
    </row>
    <row r="3692" spans="1:3" x14ac:dyDescent="0.2">
      <c r="A3692" s="62" t="s">
        <v>2235</v>
      </c>
      <c r="B3692" s="48">
        <v>180</v>
      </c>
      <c r="C3692" s="62">
        <v>180</v>
      </c>
    </row>
    <row r="3693" spans="1:3" x14ac:dyDescent="0.2">
      <c r="A3693" s="62" t="s">
        <v>2234</v>
      </c>
      <c r="B3693" s="48">
        <v>190</v>
      </c>
      <c r="C3693" s="62">
        <v>190</v>
      </c>
    </row>
    <row r="3694" spans="1:3" x14ac:dyDescent="0.2">
      <c r="A3694" s="62" t="s">
        <v>2233</v>
      </c>
      <c r="B3694" s="48">
        <v>190</v>
      </c>
      <c r="C3694" s="62">
        <v>190</v>
      </c>
    </row>
    <row r="3695" spans="1:3" x14ac:dyDescent="0.2">
      <c r="A3695" s="62" t="s">
        <v>2232</v>
      </c>
      <c r="B3695" s="48">
        <v>88</v>
      </c>
      <c r="C3695" s="62">
        <v>88</v>
      </c>
    </row>
    <row r="3696" spans="1:3" x14ac:dyDescent="0.2">
      <c r="A3696" s="62" t="s">
        <v>2231</v>
      </c>
      <c r="B3696" s="48">
        <v>122</v>
      </c>
      <c r="C3696" s="62">
        <v>122</v>
      </c>
    </row>
    <row r="3697" spans="1:3" x14ac:dyDescent="0.2">
      <c r="A3697" s="62" t="s">
        <v>2230</v>
      </c>
      <c r="B3697" s="48">
        <v>141</v>
      </c>
      <c r="C3697" s="62">
        <v>141</v>
      </c>
    </row>
    <row r="3698" spans="1:3" x14ac:dyDescent="0.2">
      <c r="A3698" s="62" t="s">
        <v>2228</v>
      </c>
      <c r="B3698" s="48">
        <v>88</v>
      </c>
      <c r="C3698" s="62">
        <v>88</v>
      </c>
    </row>
    <row r="3699" spans="1:3" x14ac:dyDescent="0.2">
      <c r="A3699" s="62" t="s">
        <v>2227</v>
      </c>
      <c r="B3699" s="48">
        <v>14</v>
      </c>
      <c r="C3699" s="62">
        <v>14</v>
      </c>
    </row>
    <row r="3700" spans="1:3" x14ac:dyDescent="0.2">
      <c r="A3700" s="62" t="s">
        <v>2226</v>
      </c>
      <c r="B3700" s="48">
        <v>15</v>
      </c>
      <c r="C3700" s="62">
        <v>15</v>
      </c>
    </row>
    <row r="3701" spans="1:3" x14ac:dyDescent="0.2">
      <c r="A3701" s="62" t="s">
        <v>2225</v>
      </c>
      <c r="B3701" s="48">
        <v>15</v>
      </c>
      <c r="C3701" s="62">
        <v>15</v>
      </c>
    </row>
    <row r="3702" spans="1:3" x14ac:dyDescent="0.2">
      <c r="A3702" s="62" t="s">
        <v>2223</v>
      </c>
      <c r="B3702" s="48">
        <v>62</v>
      </c>
      <c r="C3702" s="62">
        <v>62</v>
      </c>
    </row>
    <row r="3703" spans="1:3" x14ac:dyDescent="0.2">
      <c r="A3703" s="62" t="s">
        <v>2222</v>
      </c>
      <c r="B3703" s="48">
        <v>62</v>
      </c>
      <c r="C3703" s="62">
        <v>62</v>
      </c>
    </row>
    <row r="3704" spans="1:3" x14ac:dyDescent="0.2">
      <c r="A3704" s="62" t="s">
        <v>2220</v>
      </c>
      <c r="B3704" s="48">
        <v>12</v>
      </c>
      <c r="C3704" s="62">
        <v>12</v>
      </c>
    </row>
    <row r="3705" spans="1:3" x14ac:dyDescent="0.2">
      <c r="A3705" s="62" t="s">
        <v>2219</v>
      </c>
      <c r="B3705" s="48">
        <v>12</v>
      </c>
      <c r="C3705" s="62">
        <v>12</v>
      </c>
    </row>
    <row r="3706" spans="1:3" x14ac:dyDescent="0.2">
      <c r="A3706" s="62" t="s">
        <v>2218</v>
      </c>
      <c r="B3706" s="48">
        <v>12</v>
      </c>
      <c r="C3706" s="62">
        <v>12</v>
      </c>
    </row>
    <row r="3707" spans="1:3" x14ac:dyDescent="0.2">
      <c r="A3707" s="62" t="s">
        <v>2217</v>
      </c>
      <c r="B3707" s="48">
        <v>18</v>
      </c>
      <c r="C3707" s="62">
        <v>18</v>
      </c>
    </row>
    <row r="3708" spans="1:3" x14ac:dyDescent="0.2">
      <c r="A3708" s="62" t="s">
        <v>2216</v>
      </c>
      <c r="B3708" s="48">
        <v>185</v>
      </c>
      <c r="C3708" s="62">
        <v>185</v>
      </c>
    </row>
    <row r="3709" spans="1:3" x14ac:dyDescent="0.2">
      <c r="A3709" s="62" t="s">
        <v>2215</v>
      </c>
      <c r="B3709" s="48">
        <v>14</v>
      </c>
      <c r="C3709" s="62">
        <v>14</v>
      </c>
    </row>
    <row r="3710" spans="1:3" x14ac:dyDescent="0.2">
      <c r="A3710" s="62" t="s">
        <v>2214</v>
      </c>
      <c r="B3710" s="48">
        <v>14</v>
      </c>
      <c r="C3710" s="62">
        <v>14</v>
      </c>
    </row>
    <row r="3711" spans="1:3" x14ac:dyDescent="0.2">
      <c r="A3711" s="62" t="s">
        <v>2213</v>
      </c>
      <c r="B3711" s="48">
        <v>15</v>
      </c>
      <c r="C3711" s="62">
        <v>15</v>
      </c>
    </row>
    <row r="3712" spans="1:3" x14ac:dyDescent="0.2">
      <c r="A3712" s="62" t="s">
        <v>2212</v>
      </c>
      <c r="B3712" s="48">
        <v>229</v>
      </c>
      <c r="C3712" s="62">
        <v>229</v>
      </c>
    </row>
    <row r="3713" spans="1:3" x14ac:dyDescent="0.2">
      <c r="A3713" s="62" t="s">
        <v>2211</v>
      </c>
      <c r="B3713" s="48">
        <v>226</v>
      </c>
      <c r="C3713" s="62">
        <v>226</v>
      </c>
    </row>
    <row r="3714" spans="1:3" x14ac:dyDescent="0.2">
      <c r="A3714" s="62" t="s">
        <v>2210</v>
      </c>
      <c r="B3714" s="48">
        <v>15</v>
      </c>
      <c r="C3714" s="62">
        <v>15</v>
      </c>
    </row>
    <row r="3715" spans="1:3" x14ac:dyDescent="0.2">
      <c r="A3715" s="62" t="s">
        <v>2209</v>
      </c>
      <c r="B3715" s="48">
        <v>15</v>
      </c>
      <c r="C3715" s="62">
        <v>15</v>
      </c>
    </row>
    <row r="3716" spans="1:3" x14ac:dyDescent="0.2">
      <c r="A3716" s="62" t="s">
        <v>2208</v>
      </c>
      <c r="B3716" s="48">
        <v>112</v>
      </c>
      <c r="C3716" s="62">
        <v>112</v>
      </c>
    </row>
    <row r="3717" spans="1:3" x14ac:dyDescent="0.2">
      <c r="A3717" s="62" t="s">
        <v>2207</v>
      </c>
      <c r="B3717" s="48">
        <v>2</v>
      </c>
      <c r="C3717" s="62">
        <v>2</v>
      </c>
    </row>
    <row r="3718" spans="1:3" x14ac:dyDescent="0.2">
      <c r="A3718" s="62" t="s">
        <v>2206</v>
      </c>
      <c r="B3718" s="48">
        <v>2</v>
      </c>
      <c r="C3718" s="62">
        <v>2</v>
      </c>
    </row>
    <row r="3719" spans="1:3" x14ac:dyDescent="0.2">
      <c r="A3719" s="62" t="s">
        <v>2205</v>
      </c>
      <c r="B3719" s="48">
        <v>2</v>
      </c>
      <c r="C3719" s="62">
        <v>2</v>
      </c>
    </row>
    <row r="3720" spans="1:3" x14ac:dyDescent="0.2">
      <c r="A3720" s="62" t="s">
        <v>2204</v>
      </c>
      <c r="B3720" s="48">
        <v>14</v>
      </c>
      <c r="C3720" s="62">
        <v>14</v>
      </c>
    </row>
    <row r="3721" spans="1:3" x14ac:dyDescent="0.2">
      <c r="A3721" s="62" t="s">
        <v>2203</v>
      </c>
      <c r="B3721" s="48">
        <v>14</v>
      </c>
      <c r="C3721" s="62">
        <v>14</v>
      </c>
    </row>
    <row r="3722" spans="1:3" x14ac:dyDescent="0.2">
      <c r="A3722" s="62" t="s">
        <v>2202</v>
      </c>
      <c r="B3722" s="48">
        <v>9</v>
      </c>
      <c r="C3722" s="62">
        <v>9</v>
      </c>
    </row>
    <row r="3723" spans="1:3" x14ac:dyDescent="0.2">
      <c r="A3723" s="62" t="s">
        <v>2201</v>
      </c>
      <c r="B3723" s="48">
        <v>9</v>
      </c>
      <c r="C3723" s="62">
        <v>9</v>
      </c>
    </row>
    <row r="3724" spans="1:3" x14ac:dyDescent="0.2">
      <c r="A3724" s="62" t="s">
        <v>2200</v>
      </c>
      <c r="B3724" s="48">
        <v>161</v>
      </c>
      <c r="C3724" s="62">
        <v>161</v>
      </c>
    </row>
    <row r="3725" spans="1:3" x14ac:dyDescent="0.2">
      <c r="A3725" s="62" t="s">
        <v>2199</v>
      </c>
      <c r="B3725" s="48">
        <v>2</v>
      </c>
      <c r="C3725" s="62">
        <v>2</v>
      </c>
    </row>
    <row r="3726" spans="1:3" x14ac:dyDescent="0.2">
      <c r="A3726" s="62" t="s">
        <v>2198</v>
      </c>
      <c r="B3726" s="48">
        <v>5</v>
      </c>
      <c r="C3726" s="62">
        <v>5</v>
      </c>
    </row>
    <row r="3727" spans="1:3" x14ac:dyDescent="0.2">
      <c r="A3727" s="62" t="s">
        <v>2197</v>
      </c>
      <c r="B3727" s="48">
        <v>2</v>
      </c>
      <c r="C3727" s="62">
        <v>2</v>
      </c>
    </row>
    <row r="3728" spans="1:3" x14ac:dyDescent="0.2">
      <c r="A3728" s="62" t="s">
        <v>2196</v>
      </c>
      <c r="B3728" s="48">
        <v>2</v>
      </c>
      <c r="C3728" s="62">
        <v>2</v>
      </c>
    </row>
    <row r="3729" spans="1:3" x14ac:dyDescent="0.2">
      <c r="A3729" s="62" t="s">
        <v>2195</v>
      </c>
      <c r="B3729" s="48">
        <v>2</v>
      </c>
      <c r="C3729" s="62">
        <v>2</v>
      </c>
    </row>
    <row r="3730" spans="1:3" x14ac:dyDescent="0.2">
      <c r="A3730" s="62" t="s">
        <v>2194</v>
      </c>
      <c r="B3730" s="48">
        <v>2</v>
      </c>
      <c r="C3730" s="62">
        <v>2</v>
      </c>
    </row>
    <row r="3731" spans="1:3" x14ac:dyDescent="0.2">
      <c r="A3731" s="62" t="s">
        <v>2193</v>
      </c>
      <c r="B3731" s="48">
        <v>54</v>
      </c>
      <c r="C3731" s="62">
        <v>54</v>
      </c>
    </row>
    <row r="3732" spans="1:3" x14ac:dyDescent="0.2">
      <c r="A3732" s="62" t="s">
        <v>2192</v>
      </c>
      <c r="B3732" s="48">
        <v>136</v>
      </c>
      <c r="C3732" s="62">
        <v>136</v>
      </c>
    </row>
    <row r="3733" spans="1:3" x14ac:dyDescent="0.2">
      <c r="A3733" s="62" t="s">
        <v>2191</v>
      </c>
      <c r="B3733" s="48">
        <v>87</v>
      </c>
      <c r="C3733" s="62">
        <v>87</v>
      </c>
    </row>
    <row r="3734" spans="1:3" x14ac:dyDescent="0.2">
      <c r="A3734" s="62" t="s">
        <v>2190</v>
      </c>
      <c r="B3734" s="48">
        <v>87</v>
      </c>
      <c r="C3734" s="62">
        <v>87</v>
      </c>
    </row>
    <row r="3735" spans="1:3" x14ac:dyDescent="0.2">
      <c r="A3735" s="62" t="s">
        <v>2189</v>
      </c>
      <c r="B3735" s="48">
        <v>15</v>
      </c>
      <c r="C3735" s="62">
        <v>15</v>
      </c>
    </row>
    <row r="3736" spans="1:3" x14ac:dyDescent="0.2">
      <c r="A3736" s="62" t="s">
        <v>2188</v>
      </c>
      <c r="B3736" s="48">
        <v>9</v>
      </c>
      <c r="C3736" s="62">
        <v>9</v>
      </c>
    </row>
    <row r="3737" spans="1:3" x14ac:dyDescent="0.2">
      <c r="A3737" s="62" t="s">
        <v>2187</v>
      </c>
      <c r="B3737" s="48">
        <v>15</v>
      </c>
      <c r="C3737" s="62">
        <v>15</v>
      </c>
    </row>
    <row r="3738" spans="1:3" x14ac:dyDescent="0.2">
      <c r="A3738" s="62" t="s">
        <v>2186</v>
      </c>
      <c r="B3738" s="48">
        <v>4</v>
      </c>
      <c r="C3738" s="62">
        <v>4</v>
      </c>
    </row>
    <row r="3739" spans="1:3" x14ac:dyDescent="0.2">
      <c r="A3739" s="62" t="s">
        <v>2185</v>
      </c>
      <c r="B3739" s="48">
        <v>2</v>
      </c>
      <c r="C3739" s="62">
        <v>2</v>
      </c>
    </row>
    <row r="3740" spans="1:3" x14ac:dyDescent="0.2">
      <c r="A3740" s="62" t="s">
        <v>2184</v>
      </c>
      <c r="B3740" s="48">
        <v>15</v>
      </c>
      <c r="C3740" s="62">
        <v>15</v>
      </c>
    </row>
    <row r="3741" spans="1:3" x14ac:dyDescent="0.2">
      <c r="A3741" s="62" t="s">
        <v>2183</v>
      </c>
      <c r="B3741" s="48">
        <v>2</v>
      </c>
      <c r="C3741" s="62">
        <v>2</v>
      </c>
    </row>
    <row r="3742" spans="1:3" x14ac:dyDescent="0.2">
      <c r="A3742" s="62" t="s">
        <v>2182</v>
      </c>
      <c r="B3742" s="48">
        <v>15</v>
      </c>
      <c r="C3742" s="62">
        <v>15</v>
      </c>
    </row>
    <row r="3743" spans="1:3" x14ac:dyDescent="0.2">
      <c r="A3743" s="62" t="s">
        <v>2181</v>
      </c>
      <c r="B3743" s="48">
        <v>15</v>
      </c>
      <c r="C3743" s="62">
        <v>15</v>
      </c>
    </row>
    <row r="3744" spans="1:3" x14ac:dyDescent="0.2">
      <c r="A3744" s="62" t="s">
        <v>2180</v>
      </c>
      <c r="B3744" s="48">
        <v>15</v>
      </c>
      <c r="C3744" s="62">
        <v>15</v>
      </c>
    </row>
    <row r="3745" spans="1:3" x14ac:dyDescent="0.2">
      <c r="A3745" s="62" t="s">
        <v>2179</v>
      </c>
      <c r="B3745" s="48">
        <v>9</v>
      </c>
      <c r="C3745" s="62">
        <v>9</v>
      </c>
    </row>
    <row r="3746" spans="1:3" x14ac:dyDescent="0.2">
      <c r="A3746" s="62" t="s">
        <v>2178</v>
      </c>
      <c r="B3746" s="48">
        <v>15</v>
      </c>
      <c r="C3746" s="62">
        <v>15</v>
      </c>
    </row>
    <row r="3747" spans="1:3" x14ac:dyDescent="0.2">
      <c r="A3747" s="62" t="s">
        <v>2177</v>
      </c>
      <c r="B3747" s="48">
        <v>15</v>
      </c>
      <c r="C3747" s="62">
        <v>15</v>
      </c>
    </row>
    <row r="3748" spans="1:3" x14ac:dyDescent="0.2">
      <c r="A3748" s="62" t="s">
        <v>2176</v>
      </c>
      <c r="B3748" s="48">
        <v>14</v>
      </c>
      <c r="C3748" s="62">
        <v>14</v>
      </c>
    </row>
    <row r="3749" spans="1:3" x14ac:dyDescent="0.2">
      <c r="A3749" s="62" t="s">
        <v>2175</v>
      </c>
      <c r="B3749" s="48">
        <v>15</v>
      </c>
      <c r="C3749" s="62">
        <v>15</v>
      </c>
    </row>
    <row r="3750" spans="1:3" x14ac:dyDescent="0.2">
      <c r="A3750" s="62" t="s">
        <v>2174</v>
      </c>
      <c r="B3750" s="48">
        <v>14</v>
      </c>
      <c r="C3750" s="62">
        <v>14</v>
      </c>
    </row>
    <row r="3751" spans="1:3" x14ac:dyDescent="0.2">
      <c r="A3751" s="62" t="s">
        <v>2173</v>
      </c>
      <c r="B3751" s="48">
        <v>88</v>
      </c>
      <c r="C3751" s="62">
        <v>88</v>
      </c>
    </row>
    <row r="3752" spans="1:3" x14ac:dyDescent="0.2">
      <c r="A3752" s="62" t="s">
        <v>2172</v>
      </c>
      <c r="B3752" s="48">
        <v>2</v>
      </c>
      <c r="C3752" s="62">
        <v>2</v>
      </c>
    </row>
    <row r="3753" spans="1:3" x14ac:dyDescent="0.2">
      <c r="A3753" s="62" t="s">
        <v>2171</v>
      </c>
      <c r="B3753" s="48">
        <v>13</v>
      </c>
      <c r="C3753" s="62">
        <v>13</v>
      </c>
    </row>
    <row r="3754" spans="1:3" x14ac:dyDescent="0.2">
      <c r="A3754" s="62" t="s">
        <v>2170</v>
      </c>
      <c r="B3754" s="48">
        <v>20</v>
      </c>
      <c r="C3754" s="62">
        <v>20</v>
      </c>
    </row>
    <row r="3755" spans="1:3" x14ac:dyDescent="0.2">
      <c r="A3755" s="62" t="s">
        <v>2169</v>
      </c>
      <c r="B3755" s="48">
        <v>20</v>
      </c>
      <c r="C3755" s="62">
        <v>20</v>
      </c>
    </row>
    <row r="3756" spans="1:3" x14ac:dyDescent="0.2">
      <c r="A3756" s="62" t="s">
        <v>2168</v>
      </c>
      <c r="B3756" s="48">
        <v>14</v>
      </c>
      <c r="C3756" s="62">
        <v>14</v>
      </c>
    </row>
    <row r="3757" spans="1:3" x14ac:dyDescent="0.2">
      <c r="A3757" s="62" t="s">
        <v>2167</v>
      </c>
      <c r="B3757" s="48">
        <v>46</v>
      </c>
      <c r="C3757" s="62">
        <v>46</v>
      </c>
    </row>
    <row r="3758" spans="1:3" x14ac:dyDescent="0.2">
      <c r="A3758" s="62" t="s">
        <v>2166</v>
      </c>
      <c r="B3758" s="48">
        <v>2</v>
      </c>
      <c r="C3758" s="62">
        <v>2</v>
      </c>
    </row>
    <row r="3759" spans="1:3" x14ac:dyDescent="0.2">
      <c r="A3759" s="62" t="s">
        <v>2165</v>
      </c>
      <c r="B3759" s="48">
        <v>218</v>
      </c>
      <c r="C3759" s="62">
        <v>218</v>
      </c>
    </row>
    <row r="3760" spans="1:3" x14ac:dyDescent="0.2">
      <c r="A3760" s="62" t="s">
        <v>2164</v>
      </c>
      <c r="B3760" s="48">
        <v>15</v>
      </c>
      <c r="C3760" s="62">
        <v>15</v>
      </c>
    </row>
    <row r="3761" spans="1:3" x14ac:dyDescent="0.2">
      <c r="A3761" s="62" t="s">
        <v>2163</v>
      </c>
      <c r="B3761" s="48">
        <v>220</v>
      </c>
      <c r="C3761" s="62">
        <v>220</v>
      </c>
    </row>
    <row r="3762" spans="1:3" x14ac:dyDescent="0.2">
      <c r="A3762" s="62" t="s">
        <v>2161</v>
      </c>
      <c r="B3762" s="48">
        <v>36</v>
      </c>
      <c r="C3762" s="62">
        <v>36</v>
      </c>
    </row>
    <row r="3763" spans="1:3" x14ac:dyDescent="0.2">
      <c r="A3763" s="62" t="s">
        <v>2160</v>
      </c>
      <c r="B3763" s="48">
        <v>225</v>
      </c>
      <c r="C3763" s="62">
        <v>225</v>
      </c>
    </row>
    <row r="3764" spans="1:3" x14ac:dyDescent="0.2">
      <c r="A3764" s="62" t="s">
        <v>2159</v>
      </c>
      <c r="B3764" s="48">
        <v>2</v>
      </c>
      <c r="C3764" s="62">
        <v>2</v>
      </c>
    </row>
    <row r="3765" spans="1:3" x14ac:dyDescent="0.2">
      <c r="A3765" s="62" t="s">
        <v>2158</v>
      </c>
      <c r="B3765" s="48">
        <v>15</v>
      </c>
      <c r="C3765" s="62">
        <v>15</v>
      </c>
    </row>
    <row r="3766" spans="1:3" x14ac:dyDescent="0.2">
      <c r="A3766" s="62" t="s">
        <v>2157</v>
      </c>
      <c r="B3766" s="48">
        <v>228</v>
      </c>
      <c r="C3766" s="62">
        <v>228</v>
      </c>
    </row>
    <row r="3767" spans="1:3" x14ac:dyDescent="0.2">
      <c r="A3767" s="62" t="s">
        <v>2156</v>
      </c>
      <c r="B3767" s="48">
        <v>14</v>
      </c>
      <c r="C3767" s="62">
        <v>14</v>
      </c>
    </row>
    <row r="3768" spans="1:3" x14ac:dyDescent="0.2">
      <c r="A3768" s="62" t="s">
        <v>2155</v>
      </c>
      <c r="B3768" s="48">
        <v>15</v>
      </c>
      <c r="C3768" s="62">
        <v>15</v>
      </c>
    </row>
    <row r="3769" spans="1:3" x14ac:dyDescent="0.2">
      <c r="A3769" s="62" t="s">
        <v>2154</v>
      </c>
      <c r="B3769" s="48">
        <v>228</v>
      </c>
      <c r="C3769" s="62">
        <v>228</v>
      </c>
    </row>
    <row r="3770" spans="1:3" x14ac:dyDescent="0.2">
      <c r="A3770" s="62" t="s">
        <v>2152</v>
      </c>
      <c r="B3770" s="48">
        <v>33</v>
      </c>
      <c r="C3770" s="62">
        <v>33</v>
      </c>
    </row>
    <row r="3771" spans="1:3" x14ac:dyDescent="0.2">
      <c r="A3771" s="62" t="s">
        <v>2151</v>
      </c>
      <c r="B3771" s="48">
        <v>20</v>
      </c>
      <c r="C3771" s="62">
        <v>20</v>
      </c>
    </row>
    <row r="3772" spans="1:3" x14ac:dyDescent="0.2">
      <c r="A3772" s="62" t="s">
        <v>2150</v>
      </c>
      <c r="B3772" s="48">
        <v>14</v>
      </c>
      <c r="C3772" s="62">
        <v>14</v>
      </c>
    </row>
    <row r="3773" spans="1:3" x14ac:dyDescent="0.2">
      <c r="A3773" s="62" t="s">
        <v>2149</v>
      </c>
      <c r="B3773" s="48">
        <v>13</v>
      </c>
      <c r="C3773" s="62">
        <v>13</v>
      </c>
    </row>
    <row r="3774" spans="1:3" x14ac:dyDescent="0.2">
      <c r="A3774" s="62" t="s">
        <v>2147</v>
      </c>
      <c r="B3774" s="48">
        <v>178</v>
      </c>
      <c r="C3774" s="62">
        <v>178</v>
      </c>
    </row>
    <row r="3775" spans="1:3" x14ac:dyDescent="0.2">
      <c r="A3775" s="62" t="s">
        <v>2145</v>
      </c>
      <c r="B3775" s="48">
        <v>4</v>
      </c>
      <c r="C3775" s="62">
        <v>4</v>
      </c>
    </row>
    <row r="3776" spans="1:3" x14ac:dyDescent="0.2">
      <c r="A3776" s="62" t="s">
        <v>2144</v>
      </c>
      <c r="B3776" s="48">
        <v>15</v>
      </c>
      <c r="C3776" s="62">
        <v>15</v>
      </c>
    </row>
    <row r="3777" spans="1:3" x14ac:dyDescent="0.2">
      <c r="A3777" s="62" t="s">
        <v>2143</v>
      </c>
      <c r="B3777" s="48">
        <v>14</v>
      </c>
      <c r="C3777" s="62">
        <v>14</v>
      </c>
    </row>
    <row r="3778" spans="1:3" x14ac:dyDescent="0.2">
      <c r="A3778" s="62" t="s">
        <v>2141</v>
      </c>
      <c r="B3778" s="48">
        <v>15</v>
      </c>
      <c r="C3778" s="62">
        <v>15</v>
      </c>
    </row>
    <row r="3779" spans="1:3" x14ac:dyDescent="0.2">
      <c r="A3779" s="62" t="s">
        <v>2140</v>
      </c>
      <c r="B3779" s="48">
        <v>88</v>
      </c>
      <c r="C3779" s="62">
        <v>88</v>
      </c>
    </row>
    <row r="3780" spans="1:3" x14ac:dyDescent="0.2">
      <c r="A3780" s="62" t="s">
        <v>2139</v>
      </c>
      <c r="B3780" s="48">
        <v>14</v>
      </c>
      <c r="C3780" s="62">
        <v>14</v>
      </c>
    </row>
    <row r="3781" spans="1:3" x14ac:dyDescent="0.2">
      <c r="A3781" s="62" t="s">
        <v>2138</v>
      </c>
      <c r="B3781" s="48">
        <v>127</v>
      </c>
      <c r="C3781" s="62">
        <v>127</v>
      </c>
    </row>
    <row r="3782" spans="1:3" x14ac:dyDescent="0.2">
      <c r="A3782" s="62" t="s">
        <v>2137</v>
      </c>
      <c r="B3782" s="48">
        <v>192</v>
      </c>
      <c r="C3782" s="62">
        <v>192</v>
      </c>
    </row>
    <row r="3783" spans="1:3" x14ac:dyDescent="0.2">
      <c r="A3783" s="62" t="s">
        <v>2135</v>
      </c>
      <c r="B3783" s="48">
        <v>24</v>
      </c>
      <c r="C3783" s="62">
        <v>24</v>
      </c>
    </row>
    <row r="3784" spans="1:3" x14ac:dyDescent="0.2">
      <c r="A3784" s="62" t="s">
        <v>2134</v>
      </c>
      <c r="B3784" s="48">
        <v>68</v>
      </c>
      <c r="C3784" s="62">
        <v>68</v>
      </c>
    </row>
    <row r="3785" spans="1:3" x14ac:dyDescent="0.2">
      <c r="A3785" s="62" t="s">
        <v>2133</v>
      </c>
      <c r="B3785" s="48">
        <v>14</v>
      </c>
      <c r="C3785" s="62">
        <v>14</v>
      </c>
    </row>
    <row r="3786" spans="1:3" x14ac:dyDescent="0.2">
      <c r="A3786" s="62" t="s">
        <v>2131</v>
      </c>
      <c r="B3786" s="48">
        <v>14</v>
      </c>
      <c r="C3786" s="62">
        <v>14</v>
      </c>
    </row>
    <row r="3787" spans="1:3" x14ac:dyDescent="0.2">
      <c r="A3787" s="62" t="s">
        <v>2129</v>
      </c>
      <c r="B3787" s="48">
        <v>225</v>
      </c>
      <c r="C3787" s="62">
        <v>225</v>
      </c>
    </row>
    <row r="3788" spans="1:3" x14ac:dyDescent="0.2">
      <c r="A3788" s="62" t="s">
        <v>2128</v>
      </c>
      <c r="B3788" s="48">
        <v>225</v>
      </c>
      <c r="C3788" s="62">
        <v>225</v>
      </c>
    </row>
    <row r="3789" spans="1:3" x14ac:dyDescent="0.2">
      <c r="A3789" s="62" t="s">
        <v>2127</v>
      </c>
      <c r="B3789" s="48">
        <v>181</v>
      </c>
      <c r="C3789" s="62">
        <v>181</v>
      </c>
    </row>
    <row r="3790" spans="1:3" x14ac:dyDescent="0.2">
      <c r="A3790" s="62" t="s">
        <v>2125</v>
      </c>
      <c r="B3790" s="48">
        <v>2</v>
      </c>
      <c r="C3790" s="62">
        <v>2</v>
      </c>
    </row>
    <row r="3791" spans="1:3" x14ac:dyDescent="0.2">
      <c r="A3791" s="62" t="s">
        <v>2124</v>
      </c>
      <c r="B3791" s="48">
        <v>2</v>
      </c>
      <c r="C3791" s="62">
        <v>2</v>
      </c>
    </row>
    <row r="3792" spans="1:3" x14ac:dyDescent="0.2">
      <c r="A3792" s="62" t="s">
        <v>2123</v>
      </c>
      <c r="B3792" s="48">
        <v>15</v>
      </c>
      <c r="C3792" s="62">
        <v>15</v>
      </c>
    </row>
    <row r="3793" spans="1:3" x14ac:dyDescent="0.2">
      <c r="A3793" s="62" t="s">
        <v>2122</v>
      </c>
      <c r="B3793" s="48">
        <v>15</v>
      </c>
      <c r="C3793" s="62">
        <v>15</v>
      </c>
    </row>
    <row r="3794" spans="1:3" x14ac:dyDescent="0.2">
      <c r="A3794" s="62" t="s">
        <v>2121</v>
      </c>
      <c r="B3794" s="48">
        <v>192</v>
      </c>
      <c r="C3794" s="62">
        <v>192</v>
      </c>
    </row>
    <row r="3795" spans="1:3" x14ac:dyDescent="0.2">
      <c r="A3795" s="62" t="s">
        <v>2119</v>
      </c>
      <c r="B3795" s="48">
        <v>229</v>
      </c>
      <c r="C3795" s="62">
        <v>229</v>
      </c>
    </row>
    <row r="3796" spans="1:3" x14ac:dyDescent="0.2">
      <c r="A3796" s="62" t="s">
        <v>2118</v>
      </c>
      <c r="B3796" s="48">
        <v>229</v>
      </c>
      <c r="C3796" s="62">
        <v>229</v>
      </c>
    </row>
    <row r="3797" spans="1:3" x14ac:dyDescent="0.2">
      <c r="A3797" s="62" t="s">
        <v>2117</v>
      </c>
      <c r="B3797" s="48">
        <v>9</v>
      </c>
      <c r="C3797" s="62">
        <v>9</v>
      </c>
    </row>
    <row r="3798" spans="1:3" x14ac:dyDescent="0.2">
      <c r="A3798" s="62" t="s">
        <v>2116</v>
      </c>
      <c r="B3798" s="48">
        <v>139</v>
      </c>
      <c r="C3798" s="62">
        <v>139</v>
      </c>
    </row>
    <row r="3799" spans="1:3" x14ac:dyDescent="0.2">
      <c r="A3799" s="62" t="s">
        <v>2115</v>
      </c>
      <c r="B3799" s="48">
        <v>19</v>
      </c>
      <c r="C3799" s="62">
        <v>19</v>
      </c>
    </row>
    <row r="3800" spans="1:3" x14ac:dyDescent="0.2">
      <c r="A3800" s="62" t="s">
        <v>2114</v>
      </c>
      <c r="B3800" s="48">
        <v>10</v>
      </c>
      <c r="C3800" s="62">
        <v>10</v>
      </c>
    </row>
    <row r="3801" spans="1:3" x14ac:dyDescent="0.2">
      <c r="A3801" s="62" t="s">
        <v>2112</v>
      </c>
      <c r="B3801" s="48">
        <v>2</v>
      </c>
      <c r="C3801" s="62">
        <v>2</v>
      </c>
    </row>
    <row r="3802" spans="1:3" x14ac:dyDescent="0.2">
      <c r="A3802" s="62" t="s">
        <v>2111</v>
      </c>
      <c r="B3802" s="48">
        <v>14</v>
      </c>
      <c r="C3802" s="62">
        <v>14</v>
      </c>
    </row>
    <row r="3803" spans="1:3" x14ac:dyDescent="0.2">
      <c r="A3803" s="62" t="s">
        <v>2109</v>
      </c>
      <c r="B3803" s="48">
        <v>2</v>
      </c>
      <c r="C3803" s="62">
        <v>2</v>
      </c>
    </row>
    <row r="3804" spans="1:3" x14ac:dyDescent="0.2">
      <c r="A3804" s="62" t="s">
        <v>2105</v>
      </c>
      <c r="B3804" s="48">
        <v>167</v>
      </c>
      <c r="C3804" s="62">
        <v>167</v>
      </c>
    </row>
    <row r="3805" spans="1:3" x14ac:dyDescent="0.2">
      <c r="A3805" s="62" t="s">
        <v>2103</v>
      </c>
      <c r="B3805" s="48">
        <v>166</v>
      </c>
      <c r="C3805" s="62">
        <v>166</v>
      </c>
    </row>
    <row r="3806" spans="1:3" x14ac:dyDescent="0.2">
      <c r="A3806" s="62" t="s">
        <v>2102</v>
      </c>
      <c r="B3806" s="48">
        <v>58</v>
      </c>
      <c r="C3806" s="62">
        <v>58</v>
      </c>
    </row>
    <row r="3807" spans="1:3" x14ac:dyDescent="0.2">
      <c r="A3807" s="62" t="s">
        <v>2101</v>
      </c>
      <c r="B3807" s="48">
        <v>15</v>
      </c>
      <c r="C3807" s="62">
        <v>15</v>
      </c>
    </row>
    <row r="3808" spans="1:3" x14ac:dyDescent="0.2">
      <c r="A3808" s="62" t="s">
        <v>2100</v>
      </c>
      <c r="B3808" s="48">
        <v>2</v>
      </c>
      <c r="C3808" s="62">
        <v>2</v>
      </c>
    </row>
    <row r="3809" spans="1:3" x14ac:dyDescent="0.2">
      <c r="A3809" s="62" t="s">
        <v>2099</v>
      </c>
      <c r="B3809" s="48">
        <v>2</v>
      </c>
      <c r="C3809" s="62">
        <v>2</v>
      </c>
    </row>
    <row r="3810" spans="1:3" x14ac:dyDescent="0.2">
      <c r="A3810" s="62" t="s">
        <v>2098</v>
      </c>
      <c r="B3810" s="48">
        <v>2</v>
      </c>
      <c r="C3810" s="62">
        <v>2</v>
      </c>
    </row>
    <row r="3811" spans="1:3" x14ac:dyDescent="0.2">
      <c r="A3811" s="62" t="s">
        <v>2097</v>
      </c>
      <c r="B3811" s="48">
        <v>2</v>
      </c>
      <c r="C3811" s="62">
        <v>2</v>
      </c>
    </row>
    <row r="3812" spans="1:3" x14ac:dyDescent="0.2">
      <c r="A3812" s="62" t="s">
        <v>2096</v>
      </c>
      <c r="B3812" s="48">
        <v>2</v>
      </c>
      <c r="C3812" s="62">
        <v>2</v>
      </c>
    </row>
    <row r="3813" spans="1:3" x14ac:dyDescent="0.2">
      <c r="A3813" s="62" t="s">
        <v>2094</v>
      </c>
      <c r="B3813" s="48">
        <v>62</v>
      </c>
      <c r="C3813" s="62">
        <v>62</v>
      </c>
    </row>
    <row r="3814" spans="1:3" x14ac:dyDescent="0.2">
      <c r="A3814" s="62" t="s">
        <v>2091</v>
      </c>
      <c r="B3814" s="48">
        <v>9</v>
      </c>
      <c r="C3814" s="62">
        <v>9</v>
      </c>
    </row>
    <row r="3815" spans="1:3" x14ac:dyDescent="0.2">
      <c r="A3815" s="62" t="s">
        <v>2090</v>
      </c>
      <c r="B3815" s="48">
        <v>61</v>
      </c>
      <c r="C3815" s="62">
        <v>61</v>
      </c>
    </row>
    <row r="3816" spans="1:3" x14ac:dyDescent="0.2">
      <c r="A3816" s="62" t="s">
        <v>2089</v>
      </c>
      <c r="B3816" s="48">
        <v>61</v>
      </c>
      <c r="C3816" s="62">
        <v>61</v>
      </c>
    </row>
    <row r="3817" spans="1:3" x14ac:dyDescent="0.2">
      <c r="A3817" s="62" t="s">
        <v>2085</v>
      </c>
      <c r="B3817" s="48">
        <v>15</v>
      </c>
      <c r="C3817" s="62">
        <v>15</v>
      </c>
    </row>
    <row r="3818" spans="1:3" x14ac:dyDescent="0.2">
      <c r="A3818" s="62" t="s">
        <v>2084</v>
      </c>
      <c r="B3818" s="48">
        <v>15</v>
      </c>
      <c r="C3818" s="62">
        <v>15</v>
      </c>
    </row>
    <row r="3819" spans="1:3" x14ac:dyDescent="0.2">
      <c r="A3819" s="62" t="s">
        <v>2083</v>
      </c>
      <c r="B3819" s="48">
        <v>74</v>
      </c>
      <c r="C3819" s="62">
        <v>74</v>
      </c>
    </row>
    <row r="3820" spans="1:3" x14ac:dyDescent="0.2">
      <c r="A3820" s="62" t="s">
        <v>2082</v>
      </c>
      <c r="B3820" s="48">
        <v>176</v>
      </c>
      <c r="C3820" s="62">
        <v>176</v>
      </c>
    </row>
    <row r="3821" spans="1:3" x14ac:dyDescent="0.2">
      <c r="A3821" s="62" t="s">
        <v>2076</v>
      </c>
      <c r="B3821" s="48">
        <v>225</v>
      </c>
      <c r="C3821" s="62">
        <v>225</v>
      </c>
    </row>
    <row r="3822" spans="1:3" x14ac:dyDescent="0.2">
      <c r="A3822" s="62" t="s">
        <v>2074</v>
      </c>
      <c r="B3822" s="48">
        <v>225</v>
      </c>
      <c r="C3822" s="62">
        <v>225</v>
      </c>
    </row>
    <row r="3823" spans="1:3" x14ac:dyDescent="0.2">
      <c r="A3823" s="62" t="s">
        <v>2073</v>
      </c>
      <c r="B3823" s="48">
        <v>225</v>
      </c>
      <c r="C3823" s="62">
        <v>225</v>
      </c>
    </row>
    <row r="3824" spans="1:3" x14ac:dyDescent="0.2">
      <c r="A3824" s="62" t="s">
        <v>2072</v>
      </c>
      <c r="B3824" s="48">
        <v>225</v>
      </c>
      <c r="C3824" s="62">
        <v>225</v>
      </c>
    </row>
    <row r="3825" spans="1:3" x14ac:dyDescent="0.2">
      <c r="A3825" s="62" t="s">
        <v>2071</v>
      </c>
      <c r="B3825" s="48">
        <v>225</v>
      </c>
      <c r="C3825" s="62">
        <v>225</v>
      </c>
    </row>
    <row r="3826" spans="1:3" x14ac:dyDescent="0.2">
      <c r="A3826" s="62" t="s">
        <v>2070</v>
      </c>
      <c r="B3826" s="48">
        <v>225</v>
      </c>
      <c r="C3826" s="62">
        <v>225</v>
      </c>
    </row>
    <row r="3827" spans="1:3" x14ac:dyDescent="0.2">
      <c r="A3827" s="62" t="s">
        <v>2069</v>
      </c>
      <c r="B3827" s="48">
        <v>122</v>
      </c>
      <c r="C3827" s="62">
        <v>122</v>
      </c>
    </row>
    <row r="3828" spans="1:3" x14ac:dyDescent="0.2">
      <c r="A3828" s="62" t="s">
        <v>2068</v>
      </c>
      <c r="B3828" s="48">
        <v>226</v>
      </c>
      <c r="C3828" s="62">
        <v>226</v>
      </c>
    </row>
    <row r="3829" spans="1:3" x14ac:dyDescent="0.2">
      <c r="A3829" s="62" t="s">
        <v>2067</v>
      </c>
      <c r="B3829" s="48">
        <v>19</v>
      </c>
      <c r="C3829" s="62">
        <v>19</v>
      </c>
    </row>
    <row r="3830" spans="1:3" x14ac:dyDescent="0.2">
      <c r="A3830" s="62" t="s">
        <v>2066</v>
      </c>
      <c r="B3830" s="48">
        <v>19</v>
      </c>
      <c r="C3830" s="62">
        <v>19</v>
      </c>
    </row>
    <row r="3831" spans="1:3" x14ac:dyDescent="0.2">
      <c r="A3831" s="62" t="s">
        <v>2065</v>
      </c>
      <c r="B3831" s="48">
        <v>15</v>
      </c>
      <c r="C3831" s="62">
        <v>15</v>
      </c>
    </row>
    <row r="3832" spans="1:3" x14ac:dyDescent="0.2">
      <c r="A3832" s="62" t="s">
        <v>2064</v>
      </c>
      <c r="B3832" s="48">
        <v>15</v>
      </c>
      <c r="C3832" s="62">
        <v>15</v>
      </c>
    </row>
    <row r="3833" spans="1:3" x14ac:dyDescent="0.2">
      <c r="A3833" s="62" t="s">
        <v>2061</v>
      </c>
      <c r="B3833" s="48">
        <v>14</v>
      </c>
      <c r="C3833" s="62">
        <v>14</v>
      </c>
    </row>
    <row r="3834" spans="1:3" x14ac:dyDescent="0.2">
      <c r="A3834" s="62" t="s">
        <v>2060</v>
      </c>
      <c r="B3834" s="48">
        <v>14</v>
      </c>
      <c r="C3834" s="62">
        <v>14</v>
      </c>
    </row>
    <row r="3835" spans="1:3" x14ac:dyDescent="0.2">
      <c r="A3835" s="62" t="s">
        <v>2059</v>
      </c>
      <c r="B3835" s="48">
        <v>55</v>
      </c>
      <c r="C3835" s="62">
        <v>55</v>
      </c>
    </row>
    <row r="3836" spans="1:3" x14ac:dyDescent="0.2">
      <c r="A3836" s="62" t="s">
        <v>2058</v>
      </c>
      <c r="B3836" s="48">
        <v>230</v>
      </c>
      <c r="C3836" s="62">
        <v>230</v>
      </c>
    </row>
    <row r="3837" spans="1:3" x14ac:dyDescent="0.2">
      <c r="A3837" s="62" t="s">
        <v>2057</v>
      </c>
      <c r="B3837" s="48">
        <v>142</v>
      </c>
      <c r="C3837" s="62">
        <v>142</v>
      </c>
    </row>
    <row r="3838" spans="1:3" x14ac:dyDescent="0.2">
      <c r="A3838" s="62" t="s">
        <v>2055</v>
      </c>
      <c r="B3838" s="48">
        <v>142</v>
      </c>
      <c r="C3838" s="62">
        <v>142</v>
      </c>
    </row>
    <row r="3839" spans="1:3" x14ac:dyDescent="0.2">
      <c r="A3839" s="62" t="s">
        <v>2053</v>
      </c>
      <c r="B3839" s="48">
        <v>15</v>
      </c>
      <c r="C3839" s="62">
        <v>15</v>
      </c>
    </row>
    <row r="3840" spans="1:3" x14ac:dyDescent="0.2">
      <c r="A3840" s="62" t="s">
        <v>2052</v>
      </c>
      <c r="B3840" s="48">
        <v>15</v>
      </c>
      <c r="C3840" s="62">
        <v>15</v>
      </c>
    </row>
    <row r="3841" spans="1:3" x14ac:dyDescent="0.2">
      <c r="A3841" s="62" t="s">
        <v>2051</v>
      </c>
      <c r="B3841" s="48">
        <v>15</v>
      </c>
      <c r="C3841" s="62">
        <v>15</v>
      </c>
    </row>
    <row r="3842" spans="1:3" x14ac:dyDescent="0.2">
      <c r="A3842" s="62" t="s">
        <v>2049</v>
      </c>
      <c r="B3842" s="48">
        <v>14</v>
      </c>
      <c r="C3842" s="62">
        <v>14</v>
      </c>
    </row>
    <row r="3843" spans="1:3" x14ac:dyDescent="0.2">
      <c r="A3843" s="62" t="s">
        <v>2048</v>
      </c>
      <c r="B3843" s="48">
        <v>18</v>
      </c>
      <c r="C3843" s="62">
        <v>18</v>
      </c>
    </row>
    <row r="3844" spans="1:3" x14ac:dyDescent="0.2">
      <c r="A3844" s="62" t="s">
        <v>2047</v>
      </c>
      <c r="B3844" s="48">
        <v>70</v>
      </c>
      <c r="C3844" s="62">
        <v>70</v>
      </c>
    </row>
    <row r="3845" spans="1:3" x14ac:dyDescent="0.2">
      <c r="A3845" s="62" t="s">
        <v>2046</v>
      </c>
      <c r="B3845" s="48">
        <v>70</v>
      </c>
      <c r="C3845" s="62">
        <v>70</v>
      </c>
    </row>
    <row r="3846" spans="1:3" x14ac:dyDescent="0.2">
      <c r="A3846" s="62" t="s">
        <v>2045</v>
      </c>
      <c r="B3846" s="48">
        <v>148</v>
      </c>
      <c r="C3846" s="62">
        <v>148</v>
      </c>
    </row>
    <row r="3847" spans="1:3" x14ac:dyDescent="0.2">
      <c r="A3847" s="62" t="s">
        <v>2044</v>
      </c>
      <c r="B3847" s="48">
        <v>148</v>
      </c>
      <c r="C3847" s="62">
        <v>148</v>
      </c>
    </row>
    <row r="3848" spans="1:3" x14ac:dyDescent="0.2">
      <c r="A3848" s="62" t="s">
        <v>2043</v>
      </c>
      <c r="B3848" s="48">
        <v>148</v>
      </c>
      <c r="C3848" s="62">
        <v>148</v>
      </c>
    </row>
    <row r="3849" spans="1:3" x14ac:dyDescent="0.2">
      <c r="A3849" s="62" t="s">
        <v>2042</v>
      </c>
      <c r="B3849" s="48">
        <v>110</v>
      </c>
      <c r="C3849" s="62">
        <v>110</v>
      </c>
    </row>
    <row r="3850" spans="1:3" x14ac:dyDescent="0.2">
      <c r="A3850" s="62" t="s">
        <v>2041</v>
      </c>
      <c r="B3850" s="48">
        <v>110</v>
      </c>
      <c r="C3850" s="62">
        <v>110</v>
      </c>
    </row>
    <row r="3851" spans="1:3" x14ac:dyDescent="0.2">
      <c r="A3851" s="62" t="s">
        <v>2040</v>
      </c>
      <c r="B3851" s="48">
        <v>14</v>
      </c>
      <c r="C3851" s="62">
        <v>14</v>
      </c>
    </row>
    <row r="3852" spans="1:3" x14ac:dyDescent="0.2">
      <c r="A3852" s="62" t="s">
        <v>2039</v>
      </c>
      <c r="B3852" s="48">
        <v>148</v>
      </c>
      <c r="C3852" s="62">
        <v>148</v>
      </c>
    </row>
    <row r="3853" spans="1:3" x14ac:dyDescent="0.2">
      <c r="A3853" s="62" t="s">
        <v>2038</v>
      </c>
      <c r="B3853" s="48">
        <v>68</v>
      </c>
      <c r="C3853" s="62">
        <v>68</v>
      </c>
    </row>
    <row r="3854" spans="1:3" x14ac:dyDescent="0.2">
      <c r="A3854" s="62" t="s">
        <v>2037</v>
      </c>
      <c r="B3854" s="48">
        <v>13</v>
      </c>
      <c r="C3854" s="62">
        <v>13</v>
      </c>
    </row>
    <row r="3855" spans="1:3" x14ac:dyDescent="0.2">
      <c r="A3855" s="62" t="s">
        <v>2036</v>
      </c>
      <c r="B3855" s="48">
        <v>68</v>
      </c>
      <c r="C3855" s="62">
        <v>68</v>
      </c>
    </row>
    <row r="3856" spans="1:3" x14ac:dyDescent="0.2">
      <c r="A3856" s="62" t="s">
        <v>2035</v>
      </c>
      <c r="B3856" s="48">
        <v>68</v>
      </c>
      <c r="C3856" s="62">
        <v>68</v>
      </c>
    </row>
    <row r="3857" spans="1:3" x14ac:dyDescent="0.2">
      <c r="A3857" s="62" t="s">
        <v>2034</v>
      </c>
      <c r="B3857" s="48">
        <v>148</v>
      </c>
      <c r="C3857" s="62">
        <v>148</v>
      </c>
    </row>
    <row r="3858" spans="1:3" x14ac:dyDescent="0.2">
      <c r="A3858" s="62" t="s">
        <v>2033</v>
      </c>
      <c r="B3858" s="48">
        <v>148</v>
      </c>
      <c r="C3858" s="62">
        <v>148</v>
      </c>
    </row>
    <row r="3859" spans="1:3" x14ac:dyDescent="0.2">
      <c r="A3859" s="62" t="s">
        <v>2032</v>
      </c>
      <c r="B3859" s="48">
        <v>61</v>
      </c>
      <c r="C3859" s="62">
        <v>61</v>
      </c>
    </row>
    <row r="3860" spans="1:3" x14ac:dyDescent="0.2">
      <c r="A3860" s="62" t="s">
        <v>2031</v>
      </c>
      <c r="B3860" s="48">
        <v>15</v>
      </c>
      <c r="C3860" s="62">
        <v>15</v>
      </c>
    </row>
    <row r="3861" spans="1:3" x14ac:dyDescent="0.2">
      <c r="A3861" s="62" t="s">
        <v>2030</v>
      </c>
      <c r="B3861" s="48">
        <v>19</v>
      </c>
      <c r="C3861" s="62">
        <v>19</v>
      </c>
    </row>
    <row r="3862" spans="1:3" x14ac:dyDescent="0.2">
      <c r="A3862" s="62" t="s">
        <v>2029</v>
      </c>
      <c r="B3862" s="48">
        <v>43</v>
      </c>
      <c r="C3862" s="62">
        <v>43</v>
      </c>
    </row>
    <row r="3863" spans="1:3" x14ac:dyDescent="0.2">
      <c r="A3863" s="62" t="s">
        <v>2028</v>
      </c>
      <c r="B3863" s="48">
        <v>2</v>
      </c>
      <c r="C3863" s="62">
        <v>2</v>
      </c>
    </row>
    <row r="3864" spans="1:3" x14ac:dyDescent="0.2">
      <c r="A3864" s="62" t="s">
        <v>2027</v>
      </c>
      <c r="B3864" s="48">
        <v>148</v>
      </c>
      <c r="C3864" s="62">
        <v>148</v>
      </c>
    </row>
    <row r="3865" spans="1:3" x14ac:dyDescent="0.2">
      <c r="A3865" s="62" t="s">
        <v>2026</v>
      </c>
      <c r="B3865" s="48">
        <v>148</v>
      </c>
      <c r="C3865" s="62">
        <v>148</v>
      </c>
    </row>
    <row r="3866" spans="1:3" x14ac:dyDescent="0.2">
      <c r="A3866" s="62" t="s">
        <v>2025</v>
      </c>
      <c r="B3866" s="48">
        <v>14</v>
      </c>
      <c r="C3866" s="62">
        <v>14</v>
      </c>
    </row>
    <row r="3867" spans="1:3" x14ac:dyDescent="0.2">
      <c r="A3867" s="62" t="s">
        <v>2024</v>
      </c>
      <c r="B3867" s="48">
        <v>14</v>
      </c>
      <c r="C3867" s="62">
        <v>14</v>
      </c>
    </row>
    <row r="3868" spans="1:3" x14ac:dyDescent="0.2">
      <c r="A3868" s="62" t="s">
        <v>2023</v>
      </c>
      <c r="B3868" s="48">
        <v>14</v>
      </c>
      <c r="C3868" s="62">
        <v>14</v>
      </c>
    </row>
    <row r="3869" spans="1:3" x14ac:dyDescent="0.2">
      <c r="A3869" s="62" t="s">
        <v>2022</v>
      </c>
      <c r="B3869" s="48">
        <v>14</v>
      </c>
      <c r="C3869" s="62">
        <v>14</v>
      </c>
    </row>
    <row r="3870" spans="1:3" x14ac:dyDescent="0.2">
      <c r="A3870" s="62" t="s">
        <v>2020</v>
      </c>
      <c r="B3870" s="48">
        <v>5</v>
      </c>
      <c r="C3870" s="62">
        <v>5</v>
      </c>
    </row>
    <row r="3871" spans="1:3" x14ac:dyDescent="0.2">
      <c r="A3871" s="62" t="s">
        <v>2019</v>
      </c>
      <c r="B3871" s="48">
        <v>5</v>
      </c>
      <c r="C3871" s="62">
        <v>5</v>
      </c>
    </row>
    <row r="3872" spans="1:3" x14ac:dyDescent="0.2">
      <c r="A3872" s="62" t="s">
        <v>2018</v>
      </c>
      <c r="B3872" s="48">
        <v>70</v>
      </c>
      <c r="C3872" s="62">
        <v>70</v>
      </c>
    </row>
    <row r="3873" spans="1:3" x14ac:dyDescent="0.2">
      <c r="A3873" s="62" t="s">
        <v>2017</v>
      </c>
      <c r="B3873" s="48">
        <v>70</v>
      </c>
      <c r="C3873" s="62">
        <v>70</v>
      </c>
    </row>
    <row r="3874" spans="1:3" x14ac:dyDescent="0.2">
      <c r="A3874" s="62" t="s">
        <v>2016</v>
      </c>
      <c r="B3874" s="48">
        <v>88</v>
      </c>
      <c r="C3874" s="62">
        <v>88</v>
      </c>
    </row>
    <row r="3875" spans="1:3" x14ac:dyDescent="0.2">
      <c r="A3875" s="62" t="s">
        <v>2015</v>
      </c>
      <c r="B3875" s="48">
        <v>225</v>
      </c>
      <c r="C3875" s="62">
        <v>225</v>
      </c>
    </row>
    <row r="3876" spans="1:3" x14ac:dyDescent="0.2">
      <c r="A3876" s="62" t="s">
        <v>2014</v>
      </c>
      <c r="B3876" s="48">
        <v>225</v>
      </c>
      <c r="C3876" s="62">
        <v>225</v>
      </c>
    </row>
    <row r="3877" spans="1:3" x14ac:dyDescent="0.2">
      <c r="A3877" s="62" t="s">
        <v>2013</v>
      </c>
      <c r="B3877" s="48">
        <v>229</v>
      </c>
      <c r="C3877" s="62">
        <v>229</v>
      </c>
    </row>
    <row r="3878" spans="1:3" x14ac:dyDescent="0.2">
      <c r="A3878" s="62" t="s">
        <v>2012</v>
      </c>
      <c r="B3878" s="48">
        <v>19</v>
      </c>
      <c r="C3878" s="62">
        <v>19</v>
      </c>
    </row>
    <row r="3879" spans="1:3" x14ac:dyDescent="0.2">
      <c r="A3879" s="62" t="s">
        <v>2011</v>
      </c>
      <c r="B3879" s="48">
        <v>198</v>
      </c>
      <c r="C3879" s="62">
        <v>198</v>
      </c>
    </row>
    <row r="3880" spans="1:3" x14ac:dyDescent="0.2">
      <c r="A3880" s="62" t="s">
        <v>2010</v>
      </c>
      <c r="B3880" s="48">
        <v>19</v>
      </c>
      <c r="C3880" s="62">
        <v>19</v>
      </c>
    </row>
    <row r="3881" spans="1:3" x14ac:dyDescent="0.2">
      <c r="A3881" s="62" t="s">
        <v>2009</v>
      </c>
      <c r="B3881" s="48">
        <v>19</v>
      </c>
      <c r="C3881" s="62">
        <v>19</v>
      </c>
    </row>
    <row r="3882" spans="1:3" x14ac:dyDescent="0.2">
      <c r="A3882" s="62" t="s">
        <v>2008</v>
      </c>
      <c r="B3882" s="48">
        <v>154</v>
      </c>
      <c r="C3882" s="62">
        <v>154</v>
      </c>
    </row>
    <row r="3883" spans="1:3" x14ac:dyDescent="0.2">
      <c r="A3883" s="62" t="s">
        <v>2007</v>
      </c>
      <c r="B3883" s="48">
        <v>154</v>
      </c>
      <c r="C3883" s="62">
        <v>154</v>
      </c>
    </row>
    <row r="3884" spans="1:3" x14ac:dyDescent="0.2">
      <c r="A3884" s="62" t="s">
        <v>2006</v>
      </c>
      <c r="B3884" s="48">
        <v>2</v>
      </c>
      <c r="C3884" s="62">
        <v>2</v>
      </c>
    </row>
    <row r="3885" spans="1:3" x14ac:dyDescent="0.2">
      <c r="A3885" s="62" t="s">
        <v>2005</v>
      </c>
      <c r="B3885" s="48">
        <v>62</v>
      </c>
      <c r="C3885" s="62">
        <v>62</v>
      </c>
    </row>
    <row r="3886" spans="1:3" x14ac:dyDescent="0.2">
      <c r="A3886" s="62" t="s">
        <v>2004</v>
      </c>
      <c r="B3886" s="48">
        <v>62</v>
      </c>
      <c r="C3886" s="62">
        <v>62</v>
      </c>
    </row>
    <row r="3887" spans="1:3" x14ac:dyDescent="0.2">
      <c r="A3887" s="62" t="s">
        <v>2003</v>
      </c>
      <c r="B3887" s="48">
        <v>62</v>
      </c>
      <c r="C3887" s="62">
        <v>62</v>
      </c>
    </row>
    <row r="3888" spans="1:3" x14ac:dyDescent="0.2">
      <c r="A3888" s="62" t="s">
        <v>2002</v>
      </c>
      <c r="B3888" s="48">
        <v>185</v>
      </c>
      <c r="C3888" s="62">
        <v>185</v>
      </c>
    </row>
    <row r="3889" spans="1:3" x14ac:dyDescent="0.2">
      <c r="A3889" s="62" t="s">
        <v>2001</v>
      </c>
      <c r="B3889" s="48">
        <v>185</v>
      </c>
      <c r="C3889" s="62">
        <v>185</v>
      </c>
    </row>
    <row r="3890" spans="1:3" x14ac:dyDescent="0.2">
      <c r="A3890" s="62" t="s">
        <v>2000</v>
      </c>
      <c r="B3890" s="48">
        <v>15</v>
      </c>
      <c r="C3890" s="62">
        <v>15</v>
      </c>
    </row>
    <row r="3891" spans="1:3" x14ac:dyDescent="0.2">
      <c r="A3891" s="62" t="s">
        <v>1999</v>
      </c>
      <c r="B3891" s="48">
        <v>75</v>
      </c>
      <c r="C3891" s="62">
        <v>75</v>
      </c>
    </row>
    <row r="3892" spans="1:3" x14ac:dyDescent="0.2">
      <c r="A3892" s="62" t="s">
        <v>1998</v>
      </c>
      <c r="B3892" s="48">
        <v>14</v>
      </c>
      <c r="C3892" s="62">
        <v>14</v>
      </c>
    </row>
    <row r="3893" spans="1:3" x14ac:dyDescent="0.2">
      <c r="A3893" s="62" t="s">
        <v>1997</v>
      </c>
      <c r="B3893" s="48">
        <v>19</v>
      </c>
      <c r="C3893" s="62">
        <v>19</v>
      </c>
    </row>
    <row r="3894" spans="1:3" x14ac:dyDescent="0.2">
      <c r="A3894" s="62" t="s">
        <v>1996</v>
      </c>
      <c r="B3894" s="48">
        <v>197</v>
      </c>
      <c r="C3894" s="62">
        <v>197</v>
      </c>
    </row>
    <row r="3895" spans="1:3" x14ac:dyDescent="0.2">
      <c r="A3895" s="62" t="s">
        <v>1995</v>
      </c>
      <c r="B3895" s="48">
        <v>15</v>
      </c>
      <c r="C3895" s="62">
        <v>15</v>
      </c>
    </row>
    <row r="3896" spans="1:3" x14ac:dyDescent="0.2">
      <c r="A3896" s="62" t="s">
        <v>1994</v>
      </c>
      <c r="B3896" s="48">
        <v>15</v>
      </c>
      <c r="C3896" s="62">
        <v>15</v>
      </c>
    </row>
    <row r="3897" spans="1:3" x14ac:dyDescent="0.2">
      <c r="A3897" s="62" t="s">
        <v>1993</v>
      </c>
      <c r="B3897" s="48">
        <v>189</v>
      </c>
      <c r="C3897" s="62">
        <v>189</v>
      </c>
    </row>
    <row r="3898" spans="1:3" x14ac:dyDescent="0.2">
      <c r="A3898" s="62" t="s">
        <v>1992</v>
      </c>
      <c r="B3898" s="48">
        <v>189</v>
      </c>
      <c r="C3898" s="62">
        <v>189</v>
      </c>
    </row>
    <row r="3899" spans="1:3" x14ac:dyDescent="0.2">
      <c r="A3899" s="62" t="s">
        <v>1991</v>
      </c>
      <c r="B3899" s="48">
        <v>189</v>
      </c>
      <c r="C3899" s="62">
        <v>189</v>
      </c>
    </row>
    <row r="3900" spans="1:3" x14ac:dyDescent="0.2">
      <c r="A3900" s="62" t="s">
        <v>1989</v>
      </c>
      <c r="B3900" s="48">
        <v>2</v>
      </c>
      <c r="C3900" s="62">
        <v>2</v>
      </c>
    </row>
    <row r="3901" spans="1:3" x14ac:dyDescent="0.2">
      <c r="A3901" s="62" t="s">
        <v>1988</v>
      </c>
      <c r="B3901" s="48">
        <v>2</v>
      </c>
      <c r="C3901" s="62">
        <v>2</v>
      </c>
    </row>
    <row r="3902" spans="1:3" x14ac:dyDescent="0.2">
      <c r="A3902" s="62" t="s">
        <v>1987</v>
      </c>
      <c r="B3902" s="48">
        <v>2</v>
      </c>
      <c r="C3902" s="62">
        <v>2</v>
      </c>
    </row>
    <row r="3903" spans="1:3" x14ac:dyDescent="0.2">
      <c r="A3903" s="62" t="s">
        <v>1985</v>
      </c>
      <c r="B3903" s="48">
        <v>230</v>
      </c>
      <c r="C3903" s="62">
        <v>230</v>
      </c>
    </row>
    <row r="3904" spans="1:3" x14ac:dyDescent="0.2">
      <c r="A3904" s="62" t="s">
        <v>1982</v>
      </c>
      <c r="B3904" s="48">
        <v>19</v>
      </c>
      <c r="C3904" s="62">
        <v>19</v>
      </c>
    </row>
    <row r="3905" spans="1:3" x14ac:dyDescent="0.2">
      <c r="A3905" s="62" t="s">
        <v>1981</v>
      </c>
      <c r="B3905" s="48">
        <v>19</v>
      </c>
      <c r="C3905" s="62">
        <v>19</v>
      </c>
    </row>
    <row r="3906" spans="1:3" x14ac:dyDescent="0.2">
      <c r="A3906" s="62" t="s">
        <v>1980</v>
      </c>
      <c r="B3906" s="48">
        <v>19</v>
      </c>
      <c r="C3906" s="62">
        <v>19</v>
      </c>
    </row>
    <row r="3907" spans="1:3" x14ac:dyDescent="0.2">
      <c r="A3907" s="62" t="s">
        <v>1979</v>
      </c>
      <c r="B3907" s="48">
        <v>14</v>
      </c>
      <c r="C3907" s="62">
        <v>14</v>
      </c>
    </row>
    <row r="3908" spans="1:3" x14ac:dyDescent="0.2">
      <c r="A3908" s="62" t="s">
        <v>1978</v>
      </c>
      <c r="B3908" s="48">
        <v>9</v>
      </c>
      <c r="C3908" s="62">
        <v>9</v>
      </c>
    </row>
    <row r="3909" spans="1:3" x14ac:dyDescent="0.2">
      <c r="A3909" s="62" t="s">
        <v>1977</v>
      </c>
      <c r="B3909" s="48">
        <v>19</v>
      </c>
      <c r="C3909" s="62">
        <v>19</v>
      </c>
    </row>
    <row r="3910" spans="1:3" x14ac:dyDescent="0.2">
      <c r="A3910" s="62" t="s">
        <v>1976</v>
      </c>
      <c r="B3910" s="48">
        <v>146</v>
      </c>
      <c r="C3910" s="62">
        <v>146</v>
      </c>
    </row>
    <row r="3911" spans="1:3" x14ac:dyDescent="0.2">
      <c r="A3911" s="62" t="s">
        <v>1975</v>
      </c>
      <c r="B3911" s="48">
        <v>14</v>
      </c>
      <c r="C3911" s="62">
        <v>14</v>
      </c>
    </row>
    <row r="3912" spans="1:3" x14ac:dyDescent="0.2">
      <c r="A3912" s="62" t="s">
        <v>1974</v>
      </c>
      <c r="B3912" s="48">
        <v>14</v>
      </c>
      <c r="C3912" s="62">
        <v>14</v>
      </c>
    </row>
    <row r="3913" spans="1:3" x14ac:dyDescent="0.2">
      <c r="A3913" s="62" t="s">
        <v>1973</v>
      </c>
      <c r="B3913" s="48">
        <v>19</v>
      </c>
      <c r="C3913" s="62">
        <v>19</v>
      </c>
    </row>
    <row r="3914" spans="1:3" x14ac:dyDescent="0.2">
      <c r="A3914" s="62" t="s">
        <v>1972</v>
      </c>
      <c r="B3914" s="48">
        <v>14</v>
      </c>
      <c r="C3914" s="62">
        <v>14</v>
      </c>
    </row>
    <row r="3915" spans="1:3" x14ac:dyDescent="0.2">
      <c r="A3915" s="62" t="s">
        <v>1971</v>
      </c>
      <c r="B3915" s="48">
        <v>60</v>
      </c>
      <c r="C3915" s="62">
        <v>60</v>
      </c>
    </row>
    <row r="3916" spans="1:3" x14ac:dyDescent="0.2">
      <c r="A3916" s="62" t="s">
        <v>1969</v>
      </c>
      <c r="B3916" s="48">
        <v>43</v>
      </c>
      <c r="C3916" s="62">
        <v>43</v>
      </c>
    </row>
    <row r="3917" spans="1:3" x14ac:dyDescent="0.2">
      <c r="A3917" s="62" t="s">
        <v>1968</v>
      </c>
      <c r="B3917" s="48">
        <v>15</v>
      </c>
      <c r="C3917" s="62">
        <v>15</v>
      </c>
    </row>
    <row r="3918" spans="1:3" x14ac:dyDescent="0.2">
      <c r="A3918" s="62" t="s">
        <v>1966</v>
      </c>
      <c r="B3918" s="48">
        <v>62</v>
      </c>
      <c r="C3918" s="62">
        <v>62</v>
      </c>
    </row>
    <row r="3919" spans="1:3" x14ac:dyDescent="0.2">
      <c r="A3919" s="62" t="s">
        <v>1964</v>
      </c>
      <c r="B3919" s="48">
        <v>2</v>
      </c>
      <c r="C3919" s="62">
        <v>2</v>
      </c>
    </row>
    <row r="3920" spans="1:3" x14ac:dyDescent="0.2">
      <c r="A3920" s="62" t="s">
        <v>1963</v>
      </c>
      <c r="B3920" s="48">
        <v>56</v>
      </c>
      <c r="C3920" s="62">
        <v>56</v>
      </c>
    </row>
    <row r="3921" spans="1:3" x14ac:dyDescent="0.2">
      <c r="A3921" s="62" t="s">
        <v>1961</v>
      </c>
      <c r="B3921" s="48">
        <v>56</v>
      </c>
      <c r="C3921" s="62">
        <v>56</v>
      </c>
    </row>
    <row r="3922" spans="1:3" x14ac:dyDescent="0.2">
      <c r="A3922" s="62" t="s">
        <v>1959</v>
      </c>
      <c r="B3922" s="48">
        <v>225</v>
      </c>
      <c r="C3922" s="62">
        <v>225</v>
      </c>
    </row>
    <row r="3923" spans="1:3" x14ac:dyDescent="0.2">
      <c r="A3923" s="62" t="s">
        <v>1958</v>
      </c>
      <c r="B3923" s="48">
        <v>10</v>
      </c>
      <c r="C3923" s="62">
        <v>10</v>
      </c>
    </row>
    <row r="3924" spans="1:3" x14ac:dyDescent="0.2">
      <c r="A3924" s="62" t="s">
        <v>1957</v>
      </c>
      <c r="B3924" s="48">
        <v>206</v>
      </c>
      <c r="C3924" s="62">
        <v>206</v>
      </c>
    </row>
    <row r="3925" spans="1:3" x14ac:dyDescent="0.2">
      <c r="A3925" s="62" t="s">
        <v>1956</v>
      </c>
      <c r="B3925" s="48">
        <v>33</v>
      </c>
      <c r="C3925" s="62">
        <v>33</v>
      </c>
    </row>
    <row r="3926" spans="1:3" x14ac:dyDescent="0.2">
      <c r="A3926" s="62" t="s">
        <v>1955</v>
      </c>
      <c r="B3926" s="48">
        <v>14</v>
      </c>
      <c r="C3926" s="62">
        <v>14</v>
      </c>
    </row>
    <row r="3927" spans="1:3" x14ac:dyDescent="0.2">
      <c r="A3927" s="62" t="s">
        <v>1954</v>
      </c>
      <c r="B3927" s="48">
        <v>14</v>
      </c>
      <c r="C3927" s="62">
        <v>14</v>
      </c>
    </row>
    <row r="3928" spans="1:3" x14ac:dyDescent="0.2">
      <c r="A3928" s="62" t="s">
        <v>1953</v>
      </c>
      <c r="B3928" s="48">
        <v>61</v>
      </c>
      <c r="C3928" s="62">
        <v>61</v>
      </c>
    </row>
    <row r="3929" spans="1:3" x14ac:dyDescent="0.2">
      <c r="A3929" s="62" t="s">
        <v>1952</v>
      </c>
      <c r="B3929" s="48">
        <v>19</v>
      </c>
      <c r="C3929" s="62">
        <v>19</v>
      </c>
    </row>
    <row r="3930" spans="1:3" x14ac:dyDescent="0.2">
      <c r="A3930" s="62" t="s">
        <v>1951</v>
      </c>
      <c r="B3930" s="48">
        <v>61</v>
      </c>
      <c r="C3930" s="62">
        <v>61</v>
      </c>
    </row>
    <row r="3931" spans="1:3" x14ac:dyDescent="0.2">
      <c r="A3931" s="62" t="s">
        <v>1950</v>
      </c>
      <c r="B3931" s="48">
        <v>2</v>
      </c>
      <c r="C3931" s="62">
        <v>2</v>
      </c>
    </row>
    <row r="3932" spans="1:3" x14ac:dyDescent="0.2">
      <c r="A3932" s="62" t="s">
        <v>1948</v>
      </c>
      <c r="B3932" s="48">
        <v>61</v>
      </c>
      <c r="C3932" s="62">
        <v>61</v>
      </c>
    </row>
    <row r="3933" spans="1:3" x14ac:dyDescent="0.2">
      <c r="A3933" s="62" t="s">
        <v>1944</v>
      </c>
      <c r="B3933" s="48">
        <v>225</v>
      </c>
      <c r="C3933" s="62">
        <v>225</v>
      </c>
    </row>
    <row r="3934" spans="1:3" x14ac:dyDescent="0.2">
      <c r="A3934" s="62" t="s">
        <v>1943</v>
      </c>
      <c r="B3934" s="48">
        <v>225</v>
      </c>
      <c r="C3934" s="62">
        <v>225</v>
      </c>
    </row>
    <row r="3935" spans="1:3" x14ac:dyDescent="0.2">
      <c r="A3935" s="62" t="s">
        <v>1942</v>
      </c>
      <c r="B3935" s="48">
        <v>225</v>
      </c>
      <c r="C3935" s="62">
        <v>225</v>
      </c>
    </row>
    <row r="3936" spans="1:3" x14ac:dyDescent="0.2">
      <c r="A3936" s="62" t="s">
        <v>1941</v>
      </c>
      <c r="B3936" s="48">
        <v>88</v>
      </c>
      <c r="C3936" s="62">
        <v>88</v>
      </c>
    </row>
    <row r="3937" spans="1:3" x14ac:dyDescent="0.2">
      <c r="A3937" s="62" t="s">
        <v>1939</v>
      </c>
      <c r="B3937" s="48">
        <v>4</v>
      </c>
      <c r="C3937" s="62">
        <v>4</v>
      </c>
    </row>
    <row r="3938" spans="1:3" x14ac:dyDescent="0.2">
      <c r="A3938" s="62" t="s">
        <v>1938</v>
      </c>
      <c r="B3938" s="48">
        <v>2</v>
      </c>
      <c r="C3938" s="62">
        <v>2</v>
      </c>
    </row>
    <row r="3939" spans="1:3" x14ac:dyDescent="0.2">
      <c r="A3939" s="62" t="s">
        <v>1937</v>
      </c>
      <c r="B3939" s="48">
        <v>10</v>
      </c>
      <c r="C3939" s="62">
        <v>10</v>
      </c>
    </row>
    <row r="3940" spans="1:3" x14ac:dyDescent="0.2">
      <c r="A3940" s="62" t="s">
        <v>1934</v>
      </c>
      <c r="B3940" s="48">
        <v>14</v>
      </c>
      <c r="C3940" s="62">
        <v>14</v>
      </c>
    </row>
    <row r="3941" spans="1:3" x14ac:dyDescent="0.2">
      <c r="A3941" s="62" t="s">
        <v>1932</v>
      </c>
      <c r="B3941" s="48">
        <v>173</v>
      </c>
      <c r="C3941" s="62">
        <v>173</v>
      </c>
    </row>
    <row r="3942" spans="1:3" x14ac:dyDescent="0.2">
      <c r="A3942" s="62" t="s">
        <v>1931</v>
      </c>
      <c r="B3942" s="48">
        <v>15</v>
      </c>
      <c r="C3942" s="62">
        <v>15</v>
      </c>
    </row>
    <row r="3943" spans="1:3" x14ac:dyDescent="0.2">
      <c r="A3943" s="62" t="s">
        <v>1930</v>
      </c>
      <c r="B3943" s="48">
        <v>225</v>
      </c>
      <c r="C3943" s="62">
        <v>225</v>
      </c>
    </row>
    <row r="3944" spans="1:3" x14ac:dyDescent="0.2">
      <c r="A3944" s="62" t="s">
        <v>1929</v>
      </c>
      <c r="B3944" s="48">
        <v>88</v>
      </c>
      <c r="C3944" s="62">
        <v>88</v>
      </c>
    </row>
    <row r="3945" spans="1:3" x14ac:dyDescent="0.2">
      <c r="A3945" s="62" t="s">
        <v>1928</v>
      </c>
      <c r="B3945" s="48">
        <v>88</v>
      </c>
      <c r="C3945" s="62">
        <v>88</v>
      </c>
    </row>
    <row r="3946" spans="1:3" x14ac:dyDescent="0.2">
      <c r="A3946" s="62" t="s">
        <v>1927</v>
      </c>
      <c r="B3946" s="48">
        <v>1</v>
      </c>
      <c r="C3946" s="62">
        <v>1</v>
      </c>
    </row>
    <row r="3947" spans="1:3" x14ac:dyDescent="0.2">
      <c r="A3947" s="62" t="s">
        <v>1926</v>
      </c>
      <c r="B3947" s="48">
        <v>86</v>
      </c>
      <c r="C3947" s="62">
        <v>86</v>
      </c>
    </row>
    <row r="3948" spans="1:3" x14ac:dyDescent="0.2">
      <c r="A3948" s="62" t="s">
        <v>1925</v>
      </c>
      <c r="B3948" s="48">
        <v>61</v>
      </c>
      <c r="C3948" s="62">
        <v>61</v>
      </c>
    </row>
    <row r="3949" spans="1:3" x14ac:dyDescent="0.2">
      <c r="A3949" s="62" t="s">
        <v>1924</v>
      </c>
      <c r="B3949" s="48">
        <v>61</v>
      </c>
      <c r="C3949" s="62">
        <v>61</v>
      </c>
    </row>
    <row r="3950" spans="1:3" x14ac:dyDescent="0.2">
      <c r="A3950" s="62" t="s">
        <v>1923</v>
      </c>
      <c r="B3950" s="48">
        <v>163</v>
      </c>
      <c r="C3950" s="62">
        <v>163</v>
      </c>
    </row>
    <row r="3951" spans="1:3" x14ac:dyDescent="0.2">
      <c r="A3951" s="62" t="s">
        <v>1922</v>
      </c>
      <c r="B3951" s="48">
        <v>163</v>
      </c>
      <c r="C3951" s="62">
        <v>163</v>
      </c>
    </row>
    <row r="3952" spans="1:3" x14ac:dyDescent="0.2">
      <c r="A3952" s="62" t="s">
        <v>1920</v>
      </c>
      <c r="B3952" s="48">
        <v>163</v>
      </c>
      <c r="C3952" s="62">
        <v>163</v>
      </c>
    </row>
    <row r="3953" spans="1:3" x14ac:dyDescent="0.2">
      <c r="A3953" s="62" t="s">
        <v>1918</v>
      </c>
      <c r="B3953" s="48">
        <v>131</v>
      </c>
      <c r="C3953" s="62">
        <v>131</v>
      </c>
    </row>
    <row r="3954" spans="1:3" x14ac:dyDescent="0.2">
      <c r="A3954" s="62" t="s">
        <v>1917</v>
      </c>
      <c r="B3954" s="48">
        <v>114</v>
      </c>
      <c r="C3954" s="62">
        <v>114</v>
      </c>
    </row>
    <row r="3955" spans="1:3" x14ac:dyDescent="0.2">
      <c r="A3955" s="62" t="s">
        <v>1916</v>
      </c>
      <c r="B3955" s="48">
        <v>14</v>
      </c>
      <c r="C3955" s="62">
        <v>14</v>
      </c>
    </row>
    <row r="3956" spans="1:3" x14ac:dyDescent="0.2">
      <c r="A3956" s="62" t="s">
        <v>1915</v>
      </c>
      <c r="B3956" s="48">
        <v>14</v>
      </c>
      <c r="C3956" s="62">
        <v>14</v>
      </c>
    </row>
    <row r="3957" spans="1:3" x14ac:dyDescent="0.2">
      <c r="A3957" s="62" t="s">
        <v>1914</v>
      </c>
      <c r="B3957" s="48">
        <v>2</v>
      </c>
      <c r="C3957" s="62">
        <v>2</v>
      </c>
    </row>
    <row r="3958" spans="1:3" x14ac:dyDescent="0.2">
      <c r="A3958" s="62" t="s">
        <v>1913</v>
      </c>
      <c r="B3958" s="48">
        <v>2</v>
      </c>
      <c r="C3958" s="62">
        <v>2</v>
      </c>
    </row>
    <row r="3959" spans="1:3" x14ac:dyDescent="0.2">
      <c r="A3959" s="62" t="s">
        <v>1912</v>
      </c>
      <c r="B3959" s="48">
        <v>2</v>
      </c>
      <c r="C3959" s="62">
        <v>2</v>
      </c>
    </row>
    <row r="3960" spans="1:3" x14ac:dyDescent="0.2">
      <c r="A3960" s="62" t="s">
        <v>1911</v>
      </c>
      <c r="B3960" s="48">
        <v>2</v>
      </c>
      <c r="C3960" s="62">
        <v>2</v>
      </c>
    </row>
    <row r="3961" spans="1:3" x14ac:dyDescent="0.2">
      <c r="A3961" s="62" t="s">
        <v>1910</v>
      </c>
      <c r="B3961" s="48">
        <v>141</v>
      </c>
      <c r="C3961" s="62">
        <v>141</v>
      </c>
    </row>
    <row r="3962" spans="1:3" x14ac:dyDescent="0.2">
      <c r="A3962" s="62" t="s">
        <v>1909</v>
      </c>
      <c r="B3962" s="48">
        <v>114</v>
      </c>
      <c r="C3962" s="62">
        <v>114</v>
      </c>
    </row>
    <row r="3963" spans="1:3" x14ac:dyDescent="0.2">
      <c r="A3963" s="62" t="s">
        <v>1908</v>
      </c>
      <c r="B3963" s="48">
        <v>45</v>
      </c>
      <c r="C3963" s="62">
        <v>45</v>
      </c>
    </row>
    <row r="3964" spans="1:3" x14ac:dyDescent="0.2">
      <c r="A3964" s="62" t="s">
        <v>1907</v>
      </c>
      <c r="B3964" s="48">
        <v>45</v>
      </c>
      <c r="C3964" s="62">
        <v>45</v>
      </c>
    </row>
    <row r="3965" spans="1:3" x14ac:dyDescent="0.2">
      <c r="A3965" s="62" t="s">
        <v>1906</v>
      </c>
      <c r="B3965" s="48">
        <v>74</v>
      </c>
      <c r="C3965" s="62">
        <v>74</v>
      </c>
    </row>
    <row r="3966" spans="1:3" x14ac:dyDescent="0.2">
      <c r="A3966" s="62" t="s">
        <v>1905</v>
      </c>
      <c r="B3966" s="48">
        <v>82</v>
      </c>
      <c r="C3966" s="62">
        <v>82</v>
      </c>
    </row>
    <row r="3967" spans="1:3" x14ac:dyDescent="0.2">
      <c r="A3967" s="62" t="s">
        <v>1903</v>
      </c>
      <c r="B3967" s="48">
        <v>5</v>
      </c>
      <c r="C3967" s="62">
        <v>5</v>
      </c>
    </row>
    <row r="3968" spans="1:3" x14ac:dyDescent="0.2">
      <c r="A3968" s="62" t="s">
        <v>1902</v>
      </c>
      <c r="B3968" s="48">
        <v>14</v>
      </c>
      <c r="C3968" s="62">
        <v>14</v>
      </c>
    </row>
    <row r="3969" spans="1:3" x14ac:dyDescent="0.2">
      <c r="A3969" s="62" t="s">
        <v>1901</v>
      </c>
      <c r="B3969" s="48">
        <v>24</v>
      </c>
      <c r="C3969" s="62">
        <v>24</v>
      </c>
    </row>
    <row r="3970" spans="1:3" x14ac:dyDescent="0.2">
      <c r="A3970" s="62" t="s">
        <v>1900</v>
      </c>
      <c r="B3970" s="48">
        <v>24</v>
      </c>
      <c r="C3970" s="62">
        <v>24</v>
      </c>
    </row>
    <row r="3971" spans="1:3" x14ac:dyDescent="0.2">
      <c r="A3971" s="62" t="s">
        <v>1898</v>
      </c>
      <c r="B3971" s="48">
        <v>15</v>
      </c>
      <c r="C3971" s="62">
        <v>15</v>
      </c>
    </row>
    <row r="3972" spans="1:3" x14ac:dyDescent="0.2">
      <c r="A3972" s="62" t="s">
        <v>1897</v>
      </c>
      <c r="B3972" s="48">
        <v>88</v>
      </c>
      <c r="C3972" s="62">
        <v>88</v>
      </c>
    </row>
    <row r="3973" spans="1:3" x14ac:dyDescent="0.2">
      <c r="A3973" s="62" t="s">
        <v>1895</v>
      </c>
      <c r="B3973" s="48">
        <v>122</v>
      </c>
      <c r="C3973" s="62">
        <v>122</v>
      </c>
    </row>
    <row r="3974" spans="1:3" x14ac:dyDescent="0.2">
      <c r="A3974" s="62" t="s">
        <v>1894</v>
      </c>
      <c r="B3974" s="48">
        <v>13</v>
      </c>
      <c r="C3974" s="62">
        <v>13</v>
      </c>
    </row>
    <row r="3975" spans="1:3" x14ac:dyDescent="0.2">
      <c r="A3975" s="62" t="s">
        <v>1893</v>
      </c>
      <c r="B3975" s="48">
        <v>9</v>
      </c>
      <c r="C3975" s="62">
        <v>9</v>
      </c>
    </row>
    <row r="3976" spans="1:3" x14ac:dyDescent="0.2">
      <c r="A3976" s="62" t="s">
        <v>1892</v>
      </c>
      <c r="B3976" s="48">
        <v>14</v>
      </c>
      <c r="C3976" s="62">
        <v>14</v>
      </c>
    </row>
    <row r="3977" spans="1:3" x14ac:dyDescent="0.2">
      <c r="A3977" s="62" t="s">
        <v>1890</v>
      </c>
      <c r="B3977" s="48">
        <v>29</v>
      </c>
      <c r="C3977" s="62">
        <v>29</v>
      </c>
    </row>
    <row r="3978" spans="1:3" x14ac:dyDescent="0.2">
      <c r="A3978" s="62" t="s">
        <v>1888</v>
      </c>
      <c r="B3978" s="48">
        <v>192</v>
      </c>
      <c r="C3978" s="62">
        <v>192</v>
      </c>
    </row>
    <row r="3979" spans="1:3" x14ac:dyDescent="0.2">
      <c r="A3979" s="62" t="s">
        <v>1887</v>
      </c>
      <c r="B3979" s="48">
        <v>192</v>
      </c>
      <c r="C3979" s="62">
        <v>192</v>
      </c>
    </row>
    <row r="3980" spans="1:3" x14ac:dyDescent="0.2">
      <c r="A3980" s="62" t="s">
        <v>1886</v>
      </c>
      <c r="B3980" s="48">
        <v>14</v>
      </c>
      <c r="C3980" s="62">
        <v>14</v>
      </c>
    </row>
    <row r="3981" spans="1:3" x14ac:dyDescent="0.2">
      <c r="A3981" s="62" t="s">
        <v>1885</v>
      </c>
      <c r="B3981" s="48">
        <v>148</v>
      </c>
      <c r="C3981" s="62">
        <v>148</v>
      </c>
    </row>
    <row r="3982" spans="1:3" x14ac:dyDescent="0.2">
      <c r="A3982" s="62" t="s">
        <v>1884</v>
      </c>
      <c r="B3982" s="48">
        <v>148</v>
      </c>
      <c r="C3982" s="62">
        <v>148</v>
      </c>
    </row>
    <row r="3983" spans="1:3" x14ac:dyDescent="0.2">
      <c r="A3983" s="62" t="s">
        <v>1883</v>
      </c>
      <c r="B3983" s="48">
        <v>2</v>
      </c>
      <c r="C3983" s="62">
        <v>2</v>
      </c>
    </row>
    <row r="3984" spans="1:3" x14ac:dyDescent="0.2">
      <c r="A3984" s="62" t="s">
        <v>1882</v>
      </c>
      <c r="B3984" s="48">
        <v>2</v>
      </c>
      <c r="C3984" s="62">
        <v>2</v>
      </c>
    </row>
    <row r="3985" spans="1:3" x14ac:dyDescent="0.2">
      <c r="A3985" s="62" t="s">
        <v>1881</v>
      </c>
      <c r="B3985" s="48">
        <v>2</v>
      </c>
      <c r="C3985" s="62">
        <v>2</v>
      </c>
    </row>
    <row r="3986" spans="1:3" x14ac:dyDescent="0.2">
      <c r="A3986" s="62" t="s">
        <v>1880</v>
      </c>
      <c r="B3986" s="48">
        <v>2</v>
      </c>
      <c r="C3986" s="62">
        <v>2</v>
      </c>
    </row>
    <row r="3987" spans="1:3" x14ac:dyDescent="0.2">
      <c r="A3987" s="62" t="s">
        <v>1878</v>
      </c>
      <c r="B3987" s="48">
        <v>14</v>
      </c>
      <c r="C3987" s="62">
        <v>14</v>
      </c>
    </row>
    <row r="3988" spans="1:3" x14ac:dyDescent="0.2">
      <c r="A3988" s="62" t="s">
        <v>1877</v>
      </c>
      <c r="B3988" s="48">
        <v>15</v>
      </c>
      <c r="C3988" s="62">
        <v>15</v>
      </c>
    </row>
    <row r="3989" spans="1:3" x14ac:dyDescent="0.2">
      <c r="A3989" s="62" t="s">
        <v>1876</v>
      </c>
      <c r="B3989" s="48">
        <v>14</v>
      </c>
      <c r="C3989" s="62">
        <v>14</v>
      </c>
    </row>
    <row r="3990" spans="1:3" x14ac:dyDescent="0.2">
      <c r="A3990" s="62" t="s">
        <v>1875</v>
      </c>
      <c r="B3990" s="48">
        <v>2</v>
      </c>
      <c r="C3990" s="62">
        <v>2</v>
      </c>
    </row>
    <row r="3991" spans="1:3" x14ac:dyDescent="0.2">
      <c r="A3991" s="62" t="s">
        <v>1874</v>
      </c>
      <c r="B3991" s="48">
        <v>36</v>
      </c>
      <c r="C3991" s="62">
        <v>36</v>
      </c>
    </row>
    <row r="3992" spans="1:3" x14ac:dyDescent="0.2">
      <c r="A3992" s="62" t="s">
        <v>1873</v>
      </c>
      <c r="B3992" s="48">
        <v>36</v>
      </c>
      <c r="C3992" s="62">
        <v>36</v>
      </c>
    </row>
    <row r="3993" spans="1:3" x14ac:dyDescent="0.2">
      <c r="A3993" s="62" t="s">
        <v>1871</v>
      </c>
      <c r="B3993" s="48">
        <v>36</v>
      </c>
      <c r="C3993" s="62">
        <v>36</v>
      </c>
    </row>
    <row r="3994" spans="1:3" x14ac:dyDescent="0.2">
      <c r="A3994" s="62" t="s">
        <v>1870</v>
      </c>
      <c r="B3994" s="48">
        <v>74</v>
      </c>
      <c r="C3994" s="62">
        <v>74</v>
      </c>
    </row>
    <row r="3995" spans="1:3" x14ac:dyDescent="0.2">
      <c r="A3995" s="62" t="s">
        <v>1869</v>
      </c>
      <c r="B3995" s="48">
        <v>15</v>
      </c>
      <c r="C3995" s="62">
        <v>15</v>
      </c>
    </row>
    <row r="3996" spans="1:3" x14ac:dyDescent="0.2">
      <c r="A3996" s="62" t="s">
        <v>1868</v>
      </c>
      <c r="B3996" s="48">
        <v>15</v>
      </c>
      <c r="C3996" s="62">
        <v>15</v>
      </c>
    </row>
    <row r="3997" spans="1:3" x14ac:dyDescent="0.2">
      <c r="A3997" s="62" t="s">
        <v>1867</v>
      </c>
      <c r="B3997" s="48">
        <v>15</v>
      </c>
      <c r="C3997" s="62">
        <v>15</v>
      </c>
    </row>
    <row r="3998" spans="1:3" x14ac:dyDescent="0.2">
      <c r="A3998" s="62" t="s">
        <v>1866</v>
      </c>
      <c r="B3998" s="48">
        <v>15</v>
      </c>
      <c r="C3998" s="62">
        <v>15</v>
      </c>
    </row>
    <row r="3999" spans="1:3" x14ac:dyDescent="0.2">
      <c r="A3999" s="62" t="s">
        <v>1865</v>
      </c>
      <c r="B3999" s="48">
        <v>142</v>
      </c>
      <c r="C3999" s="62">
        <v>142</v>
      </c>
    </row>
    <row r="4000" spans="1:3" x14ac:dyDescent="0.2">
      <c r="A4000" s="62" t="s">
        <v>1864</v>
      </c>
      <c r="B4000" s="48">
        <v>52</v>
      </c>
      <c r="C4000" s="62">
        <v>52</v>
      </c>
    </row>
    <row r="4001" spans="1:3" x14ac:dyDescent="0.2">
      <c r="A4001" s="62" t="s">
        <v>1863</v>
      </c>
      <c r="B4001" s="48">
        <v>52</v>
      </c>
      <c r="C4001" s="62">
        <v>52</v>
      </c>
    </row>
    <row r="4002" spans="1:3" x14ac:dyDescent="0.2">
      <c r="A4002" s="62" t="s">
        <v>1862</v>
      </c>
      <c r="B4002" s="48">
        <v>15</v>
      </c>
      <c r="C4002" s="62">
        <v>15</v>
      </c>
    </row>
    <row r="4003" spans="1:3" x14ac:dyDescent="0.2">
      <c r="A4003" s="62" t="s">
        <v>1861</v>
      </c>
      <c r="B4003" s="48">
        <v>211</v>
      </c>
      <c r="C4003" s="62">
        <v>211</v>
      </c>
    </row>
    <row r="4004" spans="1:3" x14ac:dyDescent="0.2">
      <c r="A4004" s="62" t="s">
        <v>1860</v>
      </c>
      <c r="B4004" s="48">
        <v>211</v>
      </c>
      <c r="C4004" s="62">
        <v>211</v>
      </c>
    </row>
    <row r="4005" spans="1:3" x14ac:dyDescent="0.2">
      <c r="A4005" s="62" t="s">
        <v>1859</v>
      </c>
      <c r="B4005" s="48">
        <v>211</v>
      </c>
      <c r="C4005" s="62">
        <v>211</v>
      </c>
    </row>
    <row r="4006" spans="1:3" x14ac:dyDescent="0.2">
      <c r="A4006" s="62" t="s">
        <v>1857</v>
      </c>
      <c r="B4006" s="48">
        <v>62</v>
      </c>
      <c r="C4006" s="62">
        <v>62</v>
      </c>
    </row>
    <row r="4007" spans="1:3" x14ac:dyDescent="0.2">
      <c r="A4007" s="62" t="s">
        <v>1856</v>
      </c>
      <c r="B4007" s="48">
        <v>4</v>
      </c>
      <c r="C4007" s="62">
        <v>4</v>
      </c>
    </row>
    <row r="4008" spans="1:3" x14ac:dyDescent="0.2">
      <c r="A4008" s="62" t="s">
        <v>1855</v>
      </c>
      <c r="B4008" s="48">
        <v>5</v>
      </c>
      <c r="C4008" s="62">
        <v>5</v>
      </c>
    </row>
    <row r="4009" spans="1:3" x14ac:dyDescent="0.2">
      <c r="A4009" s="62" t="s">
        <v>1854</v>
      </c>
      <c r="B4009" s="48">
        <v>15</v>
      </c>
      <c r="C4009" s="62">
        <v>15</v>
      </c>
    </row>
    <row r="4010" spans="1:3" x14ac:dyDescent="0.2">
      <c r="A4010" s="62" t="s">
        <v>1853</v>
      </c>
      <c r="B4010" s="48">
        <v>138</v>
      </c>
      <c r="C4010" s="62">
        <v>138</v>
      </c>
    </row>
    <row r="4011" spans="1:3" x14ac:dyDescent="0.2">
      <c r="A4011" s="62" t="s">
        <v>1851</v>
      </c>
      <c r="B4011" s="48">
        <v>138</v>
      </c>
      <c r="C4011" s="62">
        <v>138</v>
      </c>
    </row>
    <row r="4012" spans="1:3" x14ac:dyDescent="0.2">
      <c r="A4012" s="62" t="s">
        <v>1850</v>
      </c>
      <c r="B4012" s="48">
        <v>138</v>
      </c>
      <c r="C4012" s="62">
        <v>138</v>
      </c>
    </row>
    <row r="4013" spans="1:3" x14ac:dyDescent="0.2">
      <c r="A4013" s="62" t="s">
        <v>1848</v>
      </c>
      <c r="B4013" s="48">
        <v>2</v>
      </c>
      <c r="C4013" s="62">
        <v>2</v>
      </c>
    </row>
    <row r="4014" spans="1:3" x14ac:dyDescent="0.2">
      <c r="A4014" s="62" t="s">
        <v>1847</v>
      </c>
      <c r="B4014" s="48">
        <v>14</v>
      </c>
      <c r="C4014" s="62">
        <v>14</v>
      </c>
    </row>
    <row r="4015" spans="1:3" x14ac:dyDescent="0.2">
      <c r="A4015" s="62" t="s">
        <v>1846</v>
      </c>
      <c r="B4015" s="48">
        <v>14</v>
      </c>
      <c r="C4015" s="62">
        <v>14</v>
      </c>
    </row>
    <row r="4016" spans="1:3" x14ac:dyDescent="0.2">
      <c r="A4016" s="62" t="s">
        <v>1845</v>
      </c>
      <c r="B4016" s="48">
        <v>14</v>
      </c>
      <c r="C4016" s="62">
        <v>14</v>
      </c>
    </row>
    <row r="4017" spans="1:3" x14ac:dyDescent="0.2">
      <c r="A4017" s="62" t="s">
        <v>1844</v>
      </c>
      <c r="B4017" s="48">
        <v>14</v>
      </c>
      <c r="C4017" s="62">
        <v>14</v>
      </c>
    </row>
    <row r="4018" spans="1:3" x14ac:dyDescent="0.2">
      <c r="A4018" s="62" t="s">
        <v>1843</v>
      </c>
      <c r="B4018" s="48">
        <v>15</v>
      </c>
      <c r="C4018" s="62">
        <v>15</v>
      </c>
    </row>
    <row r="4019" spans="1:3" x14ac:dyDescent="0.2">
      <c r="A4019" s="62" t="s">
        <v>1842</v>
      </c>
      <c r="B4019" s="48">
        <v>15</v>
      </c>
      <c r="C4019" s="62">
        <v>15</v>
      </c>
    </row>
    <row r="4020" spans="1:3" x14ac:dyDescent="0.2">
      <c r="A4020" s="62" t="s">
        <v>1841</v>
      </c>
      <c r="B4020" s="48">
        <v>136</v>
      </c>
      <c r="C4020" s="62">
        <v>136</v>
      </c>
    </row>
    <row r="4021" spans="1:3" x14ac:dyDescent="0.2">
      <c r="A4021" s="62" t="s">
        <v>1840</v>
      </c>
      <c r="B4021" s="48">
        <v>148</v>
      </c>
      <c r="C4021" s="62">
        <v>148</v>
      </c>
    </row>
    <row r="4022" spans="1:3" x14ac:dyDescent="0.2">
      <c r="A4022" s="62" t="s">
        <v>1839</v>
      </c>
      <c r="B4022" s="48">
        <v>167</v>
      </c>
      <c r="C4022" s="62">
        <v>167</v>
      </c>
    </row>
    <row r="4023" spans="1:3" x14ac:dyDescent="0.2">
      <c r="A4023" s="62" t="s">
        <v>1838</v>
      </c>
      <c r="B4023" s="48">
        <v>15</v>
      </c>
      <c r="C4023" s="62">
        <v>15</v>
      </c>
    </row>
    <row r="4024" spans="1:3" x14ac:dyDescent="0.2">
      <c r="A4024" s="62" t="s">
        <v>1837</v>
      </c>
      <c r="B4024" s="48">
        <v>14</v>
      </c>
      <c r="C4024" s="62">
        <v>14</v>
      </c>
    </row>
    <row r="4025" spans="1:3" x14ac:dyDescent="0.2">
      <c r="A4025" s="62" t="s">
        <v>1836</v>
      </c>
      <c r="B4025" s="48">
        <v>229</v>
      </c>
      <c r="C4025" s="62">
        <v>229</v>
      </c>
    </row>
    <row r="4026" spans="1:3" x14ac:dyDescent="0.2">
      <c r="A4026" s="62" t="s">
        <v>1835</v>
      </c>
      <c r="B4026" s="48">
        <v>228</v>
      </c>
      <c r="C4026" s="62">
        <v>228</v>
      </c>
    </row>
    <row r="4027" spans="1:3" x14ac:dyDescent="0.2">
      <c r="A4027" s="62" t="s">
        <v>1834</v>
      </c>
      <c r="B4027" s="48">
        <v>11</v>
      </c>
      <c r="C4027" s="62">
        <v>11</v>
      </c>
    </row>
    <row r="4028" spans="1:3" x14ac:dyDescent="0.2">
      <c r="A4028" s="62" t="s">
        <v>1832</v>
      </c>
      <c r="B4028" s="48">
        <v>14</v>
      </c>
      <c r="C4028" s="62">
        <v>14</v>
      </c>
    </row>
    <row r="4029" spans="1:3" x14ac:dyDescent="0.2">
      <c r="A4029" s="62" t="s">
        <v>1831</v>
      </c>
      <c r="B4029" s="48">
        <v>14</v>
      </c>
      <c r="C4029" s="62">
        <v>14</v>
      </c>
    </row>
    <row r="4030" spans="1:3" x14ac:dyDescent="0.2">
      <c r="A4030" s="62" t="s">
        <v>1830</v>
      </c>
      <c r="B4030" s="48">
        <v>14</v>
      </c>
      <c r="C4030" s="62">
        <v>14</v>
      </c>
    </row>
    <row r="4031" spans="1:3" x14ac:dyDescent="0.2">
      <c r="A4031" s="62" t="s">
        <v>1829</v>
      </c>
      <c r="B4031" s="48">
        <v>14</v>
      </c>
      <c r="C4031" s="62">
        <v>14</v>
      </c>
    </row>
    <row r="4032" spans="1:3" x14ac:dyDescent="0.2">
      <c r="A4032" s="62" t="s">
        <v>1828</v>
      </c>
      <c r="B4032" s="48">
        <v>14</v>
      </c>
      <c r="C4032" s="62">
        <v>14</v>
      </c>
    </row>
    <row r="4033" spans="1:3" x14ac:dyDescent="0.2">
      <c r="A4033" s="62" t="s">
        <v>1827</v>
      </c>
      <c r="B4033" s="48">
        <v>60</v>
      </c>
      <c r="C4033" s="62">
        <v>60</v>
      </c>
    </row>
    <row r="4034" spans="1:3" x14ac:dyDescent="0.2">
      <c r="A4034" s="62" t="s">
        <v>1826</v>
      </c>
      <c r="B4034" s="48">
        <v>167</v>
      </c>
      <c r="C4034" s="62">
        <v>167</v>
      </c>
    </row>
    <row r="4035" spans="1:3" x14ac:dyDescent="0.2">
      <c r="A4035" s="62" t="s">
        <v>1825</v>
      </c>
      <c r="B4035" s="48">
        <v>15</v>
      </c>
      <c r="C4035" s="62">
        <v>15</v>
      </c>
    </row>
    <row r="4036" spans="1:3" x14ac:dyDescent="0.2">
      <c r="A4036" s="62" t="s">
        <v>1824</v>
      </c>
      <c r="B4036" s="48">
        <v>88</v>
      </c>
      <c r="C4036" s="62">
        <v>88</v>
      </c>
    </row>
    <row r="4037" spans="1:3" x14ac:dyDescent="0.2">
      <c r="A4037" s="62" t="s">
        <v>1823</v>
      </c>
      <c r="B4037" s="48">
        <v>33</v>
      </c>
      <c r="C4037" s="62">
        <v>33</v>
      </c>
    </row>
    <row r="4038" spans="1:3" x14ac:dyDescent="0.2">
      <c r="A4038" s="62" t="s">
        <v>1822</v>
      </c>
      <c r="B4038" s="48">
        <v>33</v>
      </c>
      <c r="C4038" s="62">
        <v>33</v>
      </c>
    </row>
    <row r="4039" spans="1:3" x14ac:dyDescent="0.2">
      <c r="A4039" s="62" t="s">
        <v>1821</v>
      </c>
      <c r="B4039" s="48">
        <v>225</v>
      </c>
      <c r="C4039" s="62">
        <v>225</v>
      </c>
    </row>
    <row r="4040" spans="1:3" x14ac:dyDescent="0.2">
      <c r="A4040" s="62" t="s">
        <v>1820</v>
      </c>
      <c r="B4040" s="48">
        <v>14</v>
      </c>
      <c r="C4040" s="62">
        <v>14</v>
      </c>
    </row>
    <row r="4041" spans="1:3" x14ac:dyDescent="0.2">
      <c r="A4041" s="62" t="s">
        <v>1819</v>
      </c>
      <c r="B4041" s="48">
        <v>14</v>
      </c>
      <c r="C4041" s="62">
        <v>14</v>
      </c>
    </row>
    <row r="4042" spans="1:3" x14ac:dyDescent="0.2">
      <c r="A4042" s="62" t="s">
        <v>1815</v>
      </c>
      <c r="B4042" s="48">
        <v>8</v>
      </c>
      <c r="C4042" s="62">
        <v>8</v>
      </c>
    </row>
    <row r="4043" spans="1:3" x14ac:dyDescent="0.2">
      <c r="A4043" s="62" t="s">
        <v>1813</v>
      </c>
      <c r="B4043" s="48">
        <v>2</v>
      </c>
      <c r="C4043" s="62">
        <v>2</v>
      </c>
    </row>
    <row r="4044" spans="1:3" x14ac:dyDescent="0.2">
      <c r="A4044" s="62" t="s">
        <v>1811</v>
      </c>
      <c r="B4044" s="48">
        <v>2</v>
      </c>
      <c r="C4044" s="62">
        <v>2</v>
      </c>
    </row>
    <row r="4045" spans="1:3" x14ac:dyDescent="0.2">
      <c r="A4045" s="62" t="s">
        <v>1809</v>
      </c>
      <c r="B4045" s="48">
        <v>15</v>
      </c>
      <c r="C4045" s="62">
        <v>15</v>
      </c>
    </row>
    <row r="4046" spans="1:3" x14ac:dyDescent="0.2">
      <c r="A4046" s="62" t="s">
        <v>1808</v>
      </c>
      <c r="B4046" s="48">
        <v>14</v>
      </c>
      <c r="C4046" s="62">
        <v>14</v>
      </c>
    </row>
    <row r="4047" spans="1:3" x14ac:dyDescent="0.2">
      <c r="A4047" s="62" t="s">
        <v>1807</v>
      </c>
      <c r="B4047" s="48">
        <v>14</v>
      </c>
      <c r="C4047" s="62">
        <v>14</v>
      </c>
    </row>
    <row r="4048" spans="1:3" x14ac:dyDescent="0.2">
      <c r="A4048" s="62" t="s">
        <v>1806</v>
      </c>
      <c r="B4048" s="48">
        <v>14</v>
      </c>
      <c r="C4048" s="62">
        <v>14</v>
      </c>
    </row>
    <row r="4049" spans="1:3" x14ac:dyDescent="0.2">
      <c r="A4049" s="62" t="s">
        <v>1805</v>
      </c>
      <c r="B4049" s="48">
        <v>2</v>
      </c>
      <c r="C4049" s="62">
        <v>2</v>
      </c>
    </row>
    <row r="4050" spans="1:3" x14ac:dyDescent="0.2">
      <c r="A4050" s="62" t="s">
        <v>1804</v>
      </c>
      <c r="B4050" s="48">
        <v>15</v>
      </c>
      <c r="C4050" s="62">
        <v>15</v>
      </c>
    </row>
    <row r="4051" spans="1:3" x14ac:dyDescent="0.2">
      <c r="A4051" s="62" t="s">
        <v>1803</v>
      </c>
      <c r="B4051" s="48">
        <v>2</v>
      </c>
      <c r="C4051" s="62">
        <v>2</v>
      </c>
    </row>
    <row r="4052" spans="1:3" x14ac:dyDescent="0.2">
      <c r="A4052" s="62" t="s">
        <v>1802</v>
      </c>
      <c r="B4052" s="48">
        <v>14</v>
      </c>
      <c r="C4052" s="62">
        <v>14</v>
      </c>
    </row>
    <row r="4053" spans="1:3" x14ac:dyDescent="0.2">
      <c r="A4053" s="62" t="s">
        <v>1801</v>
      </c>
      <c r="B4053" s="48">
        <v>14</v>
      </c>
      <c r="C4053" s="62">
        <v>14</v>
      </c>
    </row>
    <row r="4054" spans="1:3" x14ac:dyDescent="0.2">
      <c r="A4054" s="62" t="s">
        <v>1800</v>
      </c>
      <c r="B4054" s="48">
        <v>14</v>
      </c>
      <c r="C4054" s="62">
        <v>14</v>
      </c>
    </row>
    <row r="4055" spans="1:3" x14ac:dyDescent="0.2">
      <c r="A4055" s="62" t="s">
        <v>1799</v>
      </c>
      <c r="B4055" s="48">
        <v>14</v>
      </c>
      <c r="C4055" s="62">
        <v>14</v>
      </c>
    </row>
    <row r="4056" spans="1:3" x14ac:dyDescent="0.2">
      <c r="A4056" s="62" t="s">
        <v>1798</v>
      </c>
      <c r="B4056" s="48">
        <v>14</v>
      </c>
      <c r="C4056" s="62">
        <v>14</v>
      </c>
    </row>
    <row r="4057" spans="1:3" x14ac:dyDescent="0.2">
      <c r="A4057" s="62" t="s">
        <v>1797</v>
      </c>
      <c r="B4057" s="48">
        <v>73</v>
      </c>
      <c r="C4057" s="62">
        <v>73</v>
      </c>
    </row>
    <row r="4058" spans="1:3" x14ac:dyDescent="0.2">
      <c r="A4058" s="62" t="s">
        <v>1796</v>
      </c>
      <c r="B4058" s="48">
        <v>73</v>
      </c>
      <c r="C4058" s="62">
        <v>73</v>
      </c>
    </row>
    <row r="4059" spans="1:3" x14ac:dyDescent="0.2">
      <c r="A4059" s="62" t="s">
        <v>1795</v>
      </c>
      <c r="B4059" s="48">
        <v>73</v>
      </c>
      <c r="C4059" s="62">
        <v>73</v>
      </c>
    </row>
    <row r="4060" spans="1:3" x14ac:dyDescent="0.2">
      <c r="A4060" s="62" t="s">
        <v>1794</v>
      </c>
      <c r="B4060" s="48">
        <v>73</v>
      </c>
      <c r="C4060" s="62">
        <v>73</v>
      </c>
    </row>
    <row r="4061" spans="1:3" x14ac:dyDescent="0.2">
      <c r="A4061" s="62" t="s">
        <v>1793</v>
      </c>
      <c r="B4061" s="48">
        <v>2</v>
      </c>
      <c r="C4061" s="62">
        <v>2</v>
      </c>
    </row>
    <row r="4062" spans="1:3" x14ac:dyDescent="0.2">
      <c r="A4062" s="62" t="s">
        <v>1792</v>
      </c>
      <c r="B4062" s="48">
        <v>206</v>
      </c>
      <c r="C4062" s="62">
        <v>206</v>
      </c>
    </row>
    <row r="4063" spans="1:3" x14ac:dyDescent="0.2">
      <c r="A4063" s="62" t="s">
        <v>1791</v>
      </c>
      <c r="B4063" s="48">
        <v>14</v>
      </c>
      <c r="C4063" s="62">
        <v>14</v>
      </c>
    </row>
    <row r="4064" spans="1:3" x14ac:dyDescent="0.2">
      <c r="A4064" s="62" t="s">
        <v>1789</v>
      </c>
      <c r="B4064" s="48">
        <v>2</v>
      </c>
      <c r="C4064" s="62">
        <v>2</v>
      </c>
    </row>
    <row r="4065" spans="1:3" x14ac:dyDescent="0.2">
      <c r="A4065" s="62" t="s">
        <v>1788</v>
      </c>
      <c r="B4065" s="48">
        <v>45</v>
      </c>
      <c r="C4065" s="62">
        <v>45</v>
      </c>
    </row>
    <row r="4066" spans="1:3" x14ac:dyDescent="0.2">
      <c r="A4066" s="62" t="s">
        <v>1787</v>
      </c>
      <c r="B4066" s="48">
        <v>4</v>
      </c>
      <c r="C4066" s="62">
        <v>4</v>
      </c>
    </row>
    <row r="4067" spans="1:3" x14ac:dyDescent="0.2">
      <c r="A4067" s="62" t="s">
        <v>1784</v>
      </c>
      <c r="B4067" s="48">
        <v>15</v>
      </c>
      <c r="C4067" s="62">
        <v>15</v>
      </c>
    </row>
    <row r="4068" spans="1:3" x14ac:dyDescent="0.2">
      <c r="A4068" s="62" t="s">
        <v>1783</v>
      </c>
      <c r="B4068" s="48">
        <v>15</v>
      </c>
      <c r="C4068" s="62">
        <v>15</v>
      </c>
    </row>
    <row r="4069" spans="1:3" x14ac:dyDescent="0.2">
      <c r="A4069" s="62" t="s">
        <v>1782</v>
      </c>
      <c r="B4069" s="48">
        <v>15</v>
      </c>
      <c r="C4069" s="62">
        <v>15</v>
      </c>
    </row>
    <row r="4070" spans="1:3" x14ac:dyDescent="0.2">
      <c r="A4070" s="62" t="s">
        <v>1781</v>
      </c>
      <c r="B4070" s="48">
        <v>2</v>
      </c>
      <c r="C4070" s="62">
        <v>2</v>
      </c>
    </row>
    <row r="4071" spans="1:3" x14ac:dyDescent="0.2">
      <c r="A4071" s="62" t="s">
        <v>1780</v>
      </c>
      <c r="B4071" s="48">
        <v>15</v>
      </c>
      <c r="C4071" s="62">
        <v>15</v>
      </c>
    </row>
    <row r="4072" spans="1:3" x14ac:dyDescent="0.2">
      <c r="A4072" s="62" t="s">
        <v>1779</v>
      </c>
      <c r="B4072" s="48">
        <v>15</v>
      </c>
      <c r="C4072" s="62">
        <v>15</v>
      </c>
    </row>
    <row r="4073" spans="1:3" x14ac:dyDescent="0.2">
      <c r="A4073" s="62" t="s">
        <v>1778</v>
      </c>
      <c r="B4073" s="48">
        <v>15</v>
      </c>
      <c r="C4073" s="62">
        <v>15</v>
      </c>
    </row>
    <row r="4074" spans="1:3" x14ac:dyDescent="0.2">
      <c r="A4074" s="62" t="s">
        <v>1777</v>
      </c>
      <c r="B4074" s="48">
        <v>14</v>
      </c>
      <c r="C4074" s="62">
        <v>14</v>
      </c>
    </row>
    <row r="4075" spans="1:3" x14ac:dyDescent="0.2">
      <c r="A4075" s="62" t="s">
        <v>1776</v>
      </c>
      <c r="B4075" s="48">
        <v>14</v>
      </c>
      <c r="C4075" s="62">
        <v>14</v>
      </c>
    </row>
    <row r="4076" spans="1:3" x14ac:dyDescent="0.2">
      <c r="A4076" s="62" t="s">
        <v>1775</v>
      </c>
      <c r="B4076" s="48">
        <v>7</v>
      </c>
      <c r="C4076" s="62">
        <v>7</v>
      </c>
    </row>
    <row r="4077" spans="1:3" x14ac:dyDescent="0.2">
      <c r="A4077" s="62" t="s">
        <v>1774</v>
      </c>
      <c r="B4077" s="48">
        <v>81</v>
      </c>
      <c r="C4077" s="62">
        <v>81</v>
      </c>
    </row>
    <row r="4078" spans="1:3" x14ac:dyDescent="0.2">
      <c r="A4078" s="62" t="s">
        <v>1772</v>
      </c>
      <c r="B4078" s="48">
        <v>81</v>
      </c>
      <c r="C4078" s="62">
        <v>81</v>
      </c>
    </row>
    <row r="4079" spans="1:3" x14ac:dyDescent="0.2">
      <c r="A4079" s="62" t="s">
        <v>1770</v>
      </c>
      <c r="B4079" s="48">
        <v>81</v>
      </c>
      <c r="C4079" s="62">
        <v>81</v>
      </c>
    </row>
    <row r="4080" spans="1:3" x14ac:dyDescent="0.2">
      <c r="A4080" s="62" t="s">
        <v>1768</v>
      </c>
      <c r="B4080" s="48">
        <v>81</v>
      </c>
      <c r="C4080" s="62">
        <v>81</v>
      </c>
    </row>
    <row r="4081" spans="1:3" x14ac:dyDescent="0.2">
      <c r="A4081" s="62" t="s">
        <v>1766</v>
      </c>
      <c r="B4081" s="48">
        <v>14</v>
      </c>
      <c r="C4081" s="62">
        <v>14</v>
      </c>
    </row>
    <row r="4082" spans="1:3" x14ac:dyDescent="0.2">
      <c r="A4082" s="62" t="s">
        <v>1765</v>
      </c>
      <c r="B4082" s="48">
        <v>220</v>
      </c>
      <c r="C4082" s="62">
        <v>220</v>
      </c>
    </row>
    <row r="4083" spans="1:3" x14ac:dyDescent="0.2">
      <c r="A4083" s="62" t="s">
        <v>1764</v>
      </c>
      <c r="B4083" s="48">
        <v>2</v>
      </c>
      <c r="C4083" s="62">
        <v>2</v>
      </c>
    </row>
    <row r="4084" spans="1:3" x14ac:dyDescent="0.2">
      <c r="A4084" s="62" t="s">
        <v>1763</v>
      </c>
      <c r="B4084" s="48">
        <v>14</v>
      </c>
      <c r="C4084" s="62">
        <v>14</v>
      </c>
    </row>
    <row r="4085" spans="1:3" x14ac:dyDescent="0.2">
      <c r="A4085" s="62" t="s">
        <v>1762</v>
      </c>
      <c r="B4085" s="48">
        <v>148</v>
      </c>
      <c r="C4085" s="62">
        <v>148</v>
      </c>
    </row>
    <row r="4086" spans="1:3" x14ac:dyDescent="0.2">
      <c r="A4086" s="62" t="s">
        <v>1761</v>
      </c>
      <c r="B4086" s="48">
        <v>15</v>
      </c>
      <c r="C4086" s="62">
        <v>15</v>
      </c>
    </row>
    <row r="4087" spans="1:3" x14ac:dyDescent="0.2">
      <c r="A4087" s="62" t="s">
        <v>1760</v>
      </c>
      <c r="B4087" s="48">
        <v>14</v>
      </c>
      <c r="C4087" s="62">
        <v>14</v>
      </c>
    </row>
    <row r="4088" spans="1:3" x14ac:dyDescent="0.2">
      <c r="A4088" s="62" t="s">
        <v>1759</v>
      </c>
      <c r="B4088" s="48">
        <v>7</v>
      </c>
      <c r="C4088" s="62">
        <v>7</v>
      </c>
    </row>
    <row r="4089" spans="1:3" x14ac:dyDescent="0.2">
      <c r="A4089" s="62" t="s">
        <v>1758</v>
      </c>
      <c r="B4089" s="48">
        <v>7</v>
      </c>
      <c r="C4089" s="62">
        <v>7</v>
      </c>
    </row>
    <row r="4090" spans="1:3" x14ac:dyDescent="0.2">
      <c r="A4090" s="62" t="s">
        <v>1757</v>
      </c>
      <c r="B4090" s="48">
        <v>7</v>
      </c>
      <c r="C4090" s="62">
        <v>7</v>
      </c>
    </row>
    <row r="4091" spans="1:3" x14ac:dyDescent="0.2">
      <c r="A4091" s="62" t="s">
        <v>1756</v>
      </c>
      <c r="B4091" s="48">
        <v>148</v>
      </c>
      <c r="C4091" s="62">
        <v>148</v>
      </c>
    </row>
    <row r="4092" spans="1:3" x14ac:dyDescent="0.2">
      <c r="A4092" s="62" t="s">
        <v>1755</v>
      </c>
      <c r="B4092" s="48">
        <v>62</v>
      </c>
      <c r="C4092" s="62">
        <v>62</v>
      </c>
    </row>
    <row r="4093" spans="1:3" x14ac:dyDescent="0.2">
      <c r="A4093" s="62" t="s">
        <v>1754</v>
      </c>
      <c r="B4093" s="48">
        <v>9</v>
      </c>
      <c r="C4093" s="62">
        <v>9</v>
      </c>
    </row>
    <row r="4094" spans="1:3" x14ac:dyDescent="0.2">
      <c r="A4094" s="62" t="s">
        <v>1753</v>
      </c>
      <c r="B4094" s="48">
        <v>9</v>
      </c>
      <c r="C4094" s="62">
        <v>9</v>
      </c>
    </row>
    <row r="4095" spans="1:3" x14ac:dyDescent="0.2">
      <c r="A4095" s="62" t="s">
        <v>1752</v>
      </c>
      <c r="B4095" s="48">
        <v>9</v>
      </c>
      <c r="C4095" s="62">
        <v>9</v>
      </c>
    </row>
    <row r="4096" spans="1:3" x14ac:dyDescent="0.2">
      <c r="A4096" s="62" t="s">
        <v>1751</v>
      </c>
      <c r="B4096" s="48">
        <v>9</v>
      </c>
      <c r="C4096" s="62">
        <v>9</v>
      </c>
    </row>
    <row r="4097" spans="1:3" x14ac:dyDescent="0.2">
      <c r="A4097" s="62" t="s">
        <v>1749</v>
      </c>
      <c r="B4097" s="48">
        <v>88</v>
      </c>
      <c r="C4097" s="62">
        <v>88</v>
      </c>
    </row>
    <row r="4098" spans="1:3" x14ac:dyDescent="0.2">
      <c r="A4098" s="62" t="s">
        <v>1748</v>
      </c>
      <c r="B4098" s="48">
        <v>33</v>
      </c>
      <c r="C4098" s="62">
        <v>33</v>
      </c>
    </row>
    <row r="4099" spans="1:3" x14ac:dyDescent="0.2">
      <c r="A4099" s="62" t="s">
        <v>1747</v>
      </c>
      <c r="B4099" s="48">
        <v>2</v>
      </c>
      <c r="C4099" s="62">
        <v>2</v>
      </c>
    </row>
    <row r="4100" spans="1:3" x14ac:dyDescent="0.2">
      <c r="A4100" s="62" t="s">
        <v>1746</v>
      </c>
      <c r="B4100" s="48">
        <v>14</v>
      </c>
      <c r="C4100" s="62">
        <v>14</v>
      </c>
    </row>
    <row r="4101" spans="1:3" x14ac:dyDescent="0.2">
      <c r="A4101" s="62" t="s">
        <v>1745</v>
      </c>
      <c r="B4101" s="48">
        <v>14</v>
      </c>
      <c r="C4101" s="62">
        <v>14</v>
      </c>
    </row>
    <row r="4102" spans="1:3" x14ac:dyDescent="0.2">
      <c r="A4102" s="62" t="s">
        <v>1744</v>
      </c>
      <c r="B4102" s="48">
        <v>15</v>
      </c>
      <c r="C4102" s="62">
        <v>15</v>
      </c>
    </row>
    <row r="4103" spans="1:3" x14ac:dyDescent="0.2">
      <c r="A4103" s="62" t="s">
        <v>1743</v>
      </c>
      <c r="B4103" s="48">
        <v>14</v>
      </c>
      <c r="C4103" s="62">
        <v>14</v>
      </c>
    </row>
    <row r="4104" spans="1:3" x14ac:dyDescent="0.2">
      <c r="A4104" s="62" t="s">
        <v>1742</v>
      </c>
      <c r="B4104" s="48">
        <v>14</v>
      </c>
      <c r="C4104" s="62">
        <v>14</v>
      </c>
    </row>
    <row r="4105" spans="1:3" x14ac:dyDescent="0.2">
      <c r="A4105" s="62" t="s">
        <v>1741</v>
      </c>
      <c r="B4105" s="48">
        <v>167</v>
      </c>
      <c r="C4105" s="62">
        <v>167</v>
      </c>
    </row>
    <row r="4106" spans="1:3" x14ac:dyDescent="0.2">
      <c r="A4106" s="62" t="s">
        <v>1740</v>
      </c>
      <c r="B4106" s="48">
        <v>74</v>
      </c>
      <c r="C4106" s="62">
        <v>74</v>
      </c>
    </row>
    <row r="4107" spans="1:3" x14ac:dyDescent="0.2">
      <c r="A4107" s="62" t="s">
        <v>1739</v>
      </c>
      <c r="B4107" s="48">
        <v>14</v>
      </c>
      <c r="C4107" s="62">
        <v>14</v>
      </c>
    </row>
    <row r="4108" spans="1:3" x14ac:dyDescent="0.2">
      <c r="A4108" s="62" t="s">
        <v>1737</v>
      </c>
      <c r="B4108" s="48">
        <v>33</v>
      </c>
      <c r="C4108" s="62">
        <v>33</v>
      </c>
    </row>
    <row r="4109" spans="1:3" x14ac:dyDescent="0.2">
      <c r="A4109" s="62" t="s">
        <v>1736</v>
      </c>
      <c r="B4109" s="48">
        <v>14</v>
      </c>
      <c r="C4109" s="62">
        <v>14</v>
      </c>
    </row>
    <row r="4110" spans="1:3" x14ac:dyDescent="0.2">
      <c r="A4110" s="62" t="s">
        <v>1735</v>
      </c>
      <c r="B4110" s="48">
        <v>217</v>
      </c>
      <c r="C4110" s="62">
        <v>217</v>
      </c>
    </row>
    <row r="4111" spans="1:3" x14ac:dyDescent="0.2">
      <c r="A4111" s="62" t="s">
        <v>1734</v>
      </c>
      <c r="B4111" s="48">
        <v>217</v>
      </c>
      <c r="C4111" s="62">
        <v>217</v>
      </c>
    </row>
    <row r="4112" spans="1:3" x14ac:dyDescent="0.2">
      <c r="A4112" s="62" t="s">
        <v>1733</v>
      </c>
      <c r="B4112" s="48">
        <v>217</v>
      </c>
      <c r="C4112" s="62">
        <v>217</v>
      </c>
    </row>
    <row r="4113" spans="1:3" x14ac:dyDescent="0.2">
      <c r="A4113" s="62" t="s">
        <v>1732</v>
      </c>
      <c r="B4113" s="48">
        <v>217</v>
      </c>
      <c r="C4113" s="62">
        <v>217</v>
      </c>
    </row>
    <row r="4114" spans="1:3" x14ac:dyDescent="0.2">
      <c r="A4114" s="62" t="s">
        <v>1731</v>
      </c>
      <c r="B4114" s="48">
        <v>217</v>
      </c>
      <c r="C4114" s="62">
        <v>217</v>
      </c>
    </row>
    <row r="4115" spans="1:3" x14ac:dyDescent="0.2">
      <c r="A4115" s="62" t="s">
        <v>1730</v>
      </c>
      <c r="B4115" s="48">
        <v>217</v>
      </c>
      <c r="C4115" s="62">
        <v>217</v>
      </c>
    </row>
    <row r="4116" spans="1:3" x14ac:dyDescent="0.2">
      <c r="A4116" s="62" t="s">
        <v>1729</v>
      </c>
      <c r="B4116" s="48">
        <v>217</v>
      </c>
      <c r="C4116" s="62">
        <v>217</v>
      </c>
    </row>
    <row r="4117" spans="1:3" x14ac:dyDescent="0.2">
      <c r="A4117" s="62" t="s">
        <v>1728</v>
      </c>
      <c r="B4117" s="48">
        <v>217</v>
      </c>
      <c r="C4117" s="62">
        <v>217</v>
      </c>
    </row>
    <row r="4118" spans="1:3" x14ac:dyDescent="0.2">
      <c r="A4118" s="62" t="s">
        <v>1727</v>
      </c>
      <c r="B4118" s="48">
        <v>15</v>
      </c>
      <c r="C4118" s="62">
        <v>15</v>
      </c>
    </row>
    <row r="4119" spans="1:3" x14ac:dyDescent="0.2">
      <c r="A4119" s="62" t="s">
        <v>1726</v>
      </c>
      <c r="B4119" s="48">
        <v>15</v>
      </c>
      <c r="C4119" s="62">
        <v>15</v>
      </c>
    </row>
    <row r="4120" spans="1:3" x14ac:dyDescent="0.2">
      <c r="A4120" s="62" t="s">
        <v>1725</v>
      </c>
      <c r="B4120" s="48">
        <v>61</v>
      </c>
      <c r="C4120" s="62">
        <v>61</v>
      </c>
    </row>
    <row r="4121" spans="1:3" x14ac:dyDescent="0.2">
      <c r="A4121" s="62" t="s">
        <v>1724</v>
      </c>
      <c r="B4121" s="48">
        <v>2</v>
      </c>
      <c r="C4121" s="62">
        <v>2</v>
      </c>
    </row>
    <row r="4122" spans="1:3" x14ac:dyDescent="0.2">
      <c r="A4122" s="62" t="s">
        <v>1723</v>
      </c>
      <c r="B4122" s="48">
        <v>14</v>
      </c>
      <c r="C4122" s="62">
        <v>14</v>
      </c>
    </row>
    <row r="4123" spans="1:3" x14ac:dyDescent="0.2">
      <c r="A4123" s="62" t="s">
        <v>1722</v>
      </c>
      <c r="B4123" s="48">
        <v>9</v>
      </c>
      <c r="C4123" s="62">
        <v>9</v>
      </c>
    </row>
    <row r="4124" spans="1:3" x14ac:dyDescent="0.2">
      <c r="A4124" s="62" t="s">
        <v>1721</v>
      </c>
      <c r="B4124" s="48">
        <v>14</v>
      </c>
      <c r="C4124" s="62">
        <v>14</v>
      </c>
    </row>
    <row r="4125" spans="1:3" x14ac:dyDescent="0.2">
      <c r="A4125" s="62" t="s">
        <v>1720</v>
      </c>
      <c r="B4125" s="48">
        <v>14</v>
      </c>
      <c r="C4125" s="62">
        <v>14</v>
      </c>
    </row>
    <row r="4126" spans="1:3" x14ac:dyDescent="0.2">
      <c r="A4126" s="62" t="s">
        <v>1719</v>
      </c>
      <c r="B4126" s="48">
        <v>140</v>
      </c>
      <c r="C4126" s="62">
        <v>140</v>
      </c>
    </row>
    <row r="4127" spans="1:3" x14ac:dyDescent="0.2">
      <c r="A4127" s="62" t="s">
        <v>1717</v>
      </c>
      <c r="B4127" s="48">
        <v>15</v>
      </c>
      <c r="C4127" s="62">
        <v>15</v>
      </c>
    </row>
    <row r="4128" spans="1:3" x14ac:dyDescent="0.2">
      <c r="A4128" s="62" t="s">
        <v>1716</v>
      </c>
      <c r="B4128" s="48">
        <v>14</v>
      </c>
      <c r="C4128" s="62">
        <v>14</v>
      </c>
    </row>
    <row r="4129" spans="1:3" x14ac:dyDescent="0.2">
      <c r="A4129" s="62" t="s">
        <v>1715</v>
      </c>
      <c r="B4129" s="48">
        <v>14</v>
      </c>
      <c r="C4129" s="62">
        <v>14</v>
      </c>
    </row>
    <row r="4130" spans="1:3" x14ac:dyDescent="0.2">
      <c r="A4130" s="62" t="s">
        <v>1714</v>
      </c>
      <c r="B4130" s="48">
        <v>14</v>
      </c>
      <c r="C4130" s="62">
        <v>14</v>
      </c>
    </row>
    <row r="4131" spans="1:3" x14ac:dyDescent="0.2">
      <c r="A4131" s="62" t="s">
        <v>1713</v>
      </c>
      <c r="B4131" s="48">
        <v>192</v>
      </c>
      <c r="C4131" s="62">
        <v>192</v>
      </c>
    </row>
    <row r="4132" spans="1:3" x14ac:dyDescent="0.2">
      <c r="A4132" s="62" t="s">
        <v>1711</v>
      </c>
      <c r="B4132" s="48">
        <v>192</v>
      </c>
      <c r="C4132" s="62">
        <v>192</v>
      </c>
    </row>
    <row r="4133" spans="1:3" x14ac:dyDescent="0.2">
      <c r="A4133" s="62" t="s">
        <v>1709</v>
      </c>
      <c r="B4133" s="48">
        <v>192</v>
      </c>
      <c r="C4133" s="62">
        <v>192</v>
      </c>
    </row>
    <row r="4134" spans="1:3" x14ac:dyDescent="0.2">
      <c r="A4134" s="62" t="s">
        <v>1707</v>
      </c>
      <c r="B4134" s="48">
        <v>19</v>
      </c>
      <c r="C4134" s="62">
        <v>19</v>
      </c>
    </row>
    <row r="4135" spans="1:3" x14ac:dyDescent="0.2">
      <c r="A4135" s="62" t="s">
        <v>1706</v>
      </c>
      <c r="B4135" s="48">
        <v>15</v>
      </c>
      <c r="C4135" s="62">
        <v>15</v>
      </c>
    </row>
    <row r="4136" spans="1:3" x14ac:dyDescent="0.2">
      <c r="A4136" s="62" t="s">
        <v>1705</v>
      </c>
      <c r="B4136" s="48">
        <v>15</v>
      </c>
      <c r="C4136" s="62">
        <v>15</v>
      </c>
    </row>
    <row r="4137" spans="1:3" x14ac:dyDescent="0.2">
      <c r="A4137" s="62" t="s">
        <v>1704</v>
      </c>
      <c r="B4137" s="48">
        <v>2</v>
      </c>
      <c r="C4137" s="62">
        <v>2</v>
      </c>
    </row>
    <row r="4138" spans="1:3" x14ac:dyDescent="0.2">
      <c r="A4138" s="62" t="s">
        <v>1703</v>
      </c>
      <c r="B4138" s="48">
        <v>2</v>
      </c>
      <c r="C4138" s="62">
        <v>2</v>
      </c>
    </row>
    <row r="4139" spans="1:3" x14ac:dyDescent="0.2">
      <c r="A4139" s="62" t="s">
        <v>1701</v>
      </c>
      <c r="B4139" s="48">
        <v>173</v>
      </c>
      <c r="C4139" s="62">
        <v>173</v>
      </c>
    </row>
    <row r="4140" spans="1:3" x14ac:dyDescent="0.2">
      <c r="A4140" s="62" t="s">
        <v>1700</v>
      </c>
      <c r="B4140" s="48">
        <v>61</v>
      </c>
      <c r="C4140" s="62">
        <v>61</v>
      </c>
    </row>
    <row r="4141" spans="1:3" x14ac:dyDescent="0.2">
      <c r="A4141" s="62" t="s">
        <v>1699</v>
      </c>
      <c r="B4141" s="48">
        <v>33</v>
      </c>
      <c r="C4141" s="62">
        <v>33</v>
      </c>
    </row>
    <row r="4142" spans="1:3" x14ac:dyDescent="0.2">
      <c r="A4142" s="62" t="s">
        <v>1698</v>
      </c>
      <c r="B4142" s="48">
        <v>15</v>
      </c>
      <c r="C4142" s="62">
        <v>15</v>
      </c>
    </row>
    <row r="4143" spans="1:3" x14ac:dyDescent="0.2">
      <c r="A4143" s="62" t="s">
        <v>1696</v>
      </c>
      <c r="B4143" s="48">
        <v>2</v>
      </c>
      <c r="C4143" s="62">
        <v>2</v>
      </c>
    </row>
    <row r="4144" spans="1:3" x14ac:dyDescent="0.2">
      <c r="A4144" s="62" t="s">
        <v>1695</v>
      </c>
      <c r="B4144" s="48">
        <v>2</v>
      </c>
      <c r="C4144" s="62">
        <v>2</v>
      </c>
    </row>
    <row r="4145" spans="1:3" x14ac:dyDescent="0.2">
      <c r="A4145" s="62" t="s">
        <v>1694</v>
      </c>
      <c r="B4145" s="48">
        <v>2</v>
      </c>
      <c r="C4145" s="62">
        <v>2</v>
      </c>
    </row>
    <row r="4146" spans="1:3" x14ac:dyDescent="0.2">
      <c r="A4146" s="62" t="s">
        <v>1693</v>
      </c>
      <c r="B4146" s="48">
        <v>2</v>
      </c>
      <c r="C4146" s="62">
        <v>2</v>
      </c>
    </row>
    <row r="4147" spans="1:3" x14ac:dyDescent="0.2">
      <c r="A4147" s="62" t="s">
        <v>1692</v>
      </c>
      <c r="B4147" s="48">
        <v>225</v>
      </c>
      <c r="C4147" s="62">
        <v>225</v>
      </c>
    </row>
    <row r="4148" spans="1:3" x14ac:dyDescent="0.2">
      <c r="A4148" s="62" t="s">
        <v>1690</v>
      </c>
      <c r="B4148" s="48">
        <v>61</v>
      </c>
      <c r="C4148" s="62">
        <v>61</v>
      </c>
    </row>
    <row r="4149" spans="1:3" x14ac:dyDescent="0.2">
      <c r="A4149" s="62" t="s">
        <v>1689</v>
      </c>
      <c r="B4149" s="48">
        <v>61</v>
      </c>
      <c r="C4149" s="62">
        <v>61</v>
      </c>
    </row>
    <row r="4150" spans="1:3" x14ac:dyDescent="0.2">
      <c r="A4150" s="62" t="s">
        <v>1688</v>
      </c>
      <c r="B4150" s="48">
        <v>15</v>
      </c>
      <c r="C4150" s="62">
        <v>15</v>
      </c>
    </row>
    <row r="4151" spans="1:3" x14ac:dyDescent="0.2">
      <c r="A4151" s="62" t="s">
        <v>1687</v>
      </c>
      <c r="B4151" s="48">
        <v>139</v>
      </c>
      <c r="C4151" s="62">
        <v>139</v>
      </c>
    </row>
    <row r="4152" spans="1:3" x14ac:dyDescent="0.2">
      <c r="A4152" s="62" t="s">
        <v>1686</v>
      </c>
      <c r="B4152" s="48">
        <v>227</v>
      </c>
      <c r="C4152" s="62">
        <v>227</v>
      </c>
    </row>
    <row r="4153" spans="1:3" x14ac:dyDescent="0.2">
      <c r="A4153" s="62" t="s">
        <v>1684</v>
      </c>
      <c r="B4153" s="48">
        <v>88</v>
      </c>
      <c r="C4153" s="62">
        <v>88</v>
      </c>
    </row>
    <row r="4154" spans="1:3" x14ac:dyDescent="0.2">
      <c r="A4154" s="62" t="s">
        <v>1683</v>
      </c>
      <c r="B4154" s="48">
        <v>14</v>
      </c>
      <c r="C4154" s="62">
        <v>14</v>
      </c>
    </row>
    <row r="4155" spans="1:3" x14ac:dyDescent="0.2">
      <c r="A4155" s="62" t="s">
        <v>1682</v>
      </c>
      <c r="B4155" s="48">
        <v>14</v>
      </c>
      <c r="C4155" s="62">
        <v>14</v>
      </c>
    </row>
    <row r="4156" spans="1:3" x14ac:dyDescent="0.2">
      <c r="A4156" s="62" t="s">
        <v>1680</v>
      </c>
      <c r="B4156" s="48">
        <v>60</v>
      </c>
      <c r="C4156" s="62">
        <v>60</v>
      </c>
    </row>
    <row r="4157" spans="1:3" x14ac:dyDescent="0.2">
      <c r="A4157" s="62" t="s">
        <v>1679</v>
      </c>
      <c r="B4157" s="48">
        <v>178</v>
      </c>
      <c r="C4157" s="62">
        <v>178</v>
      </c>
    </row>
    <row r="4158" spans="1:3" x14ac:dyDescent="0.2">
      <c r="A4158" s="62" t="s">
        <v>1678</v>
      </c>
      <c r="B4158" s="48">
        <v>12</v>
      </c>
      <c r="C4158" s="62">
        <v>12</v>
      </c>
    </row>
    <row r="4159" spans="1:3" x14ac:dyDescent="0.2">
      <c r="A4159" s="62" t="s">
        <v>1677</v>
      </c>
      <c r="B4159" s="48">
        <v>126</v>
      </c>
      <c r="C4159" s="62">
        <v>126</v>
      </c>
    </row>
    <row r="4160" spans="1:3" x14ac:dyDescent="0.2">
      <c r="A4160" s="62" t="s">
        <v>1676</v>
      </c>
      <c r="B4160" s="48">
        <v>98</v>
      </c>
      <c r="C4160" s="62">
        <v>98</v>
      </c>
    </row>
    <row r="4161" spans="1:3" x14ac:dyDescent="0.2">
      <c r="A4161" s="62" t="s">
        <v>1675</v>
      </c>
      <c r="B4161" s="48">
        <v>64</v>
      </c>
      <c r="C4161" s="62">
        <v>64</v>
      </c>
    </row>
    <row r="4162" spans="1:3" x14ac:dyDescent="0.2">
      <c r="A4162" s="62" t="s">
        <v>1674</v>
      </c>
      <c r="B4162" s="48">
        <v>13</v>
      </c>
      <c r="C4162" s="62">
        <v>13</v>
      </c>
    </row>
    <row r="4163" spans="1:3" x14ac:dyDescent="0.2">
      <c r="A4163" s="62" t="s">
        <v>1673</v>
      </c>
      <c r="B4163" s="48">
        <v>34</v>
      </c>
      <c r="C4163" s="62">
        <v>34</v>
      </c>
    </row>
    <row r="4164" spans="1:3" x14ac:dyDescent="0.2">
      <c r="A4164" s="62" t="s">
        <v>1672</v>
      </c>
      <c r="B4164" s="48">
        <v>9</v>
      </c>
      <c r="C4164" s="62">
        <v>9</v>
      </c>
    </row>
    <row r="4165" spans="1:3" x14ac:dyDescent="0.2">
      <c r="A4165" s="62" t="s">
        <v>1671</v>
      </c>
      <c r="B4165" s="48">
        <v>15</v>
      </c>
      <c r="C4165" s="62">
        <v>15</v>
      </c>
    </row>
    <row r="4166" spans="1:3" x14ac:dyDescent="0.2">
      <c r="A4166" s="62" t="s">
        <v>1670</v>
      </c>
      <c r="B4166" s="48">
        <v>148</v>
      </c>
      <c r="C4166" s="62">
        <v>148</v>
      </c>
    </row>
    <row r="4167" spans="1:3" x14ac:dyDescent="0.2">
      <c r="A4167" s="62" t="s">
        <v>1669</v>
      </c>
      <c r="B4167" s="48">
        <v>148</v>
      </c>
      <c r="C4167" s="62">
        <v>148</v>
      </c>
    </row>
    <row r="4168" spans="1:3" x14ac:dyDescent="0.2">
      <c r="A4168" s="62" t="s">
        <v>1667</v>
      </c>
      <c r="B4168" s="48">
        <v>167</v>
      </c>
      <c r="C4168" s="62">
        <v>167</v>
      </c>
    </row>
    <row r="4169" spans="1:3" x14ac:dyDescent="0.2">
      <c r="A4169" s="62" t="s">
        <v>1666</v>
      </c>
      <c r="B4169" s="48">
        <v>4</v>
      </c>
      <c r="C4169" s="62">
        <v>4</v>
      </c>
    </row>
    <row r="4170" spans="1:3" x14ac:dyDescent="0.2">
      <c r="A4170" s="62" t="s">
        <v>1665</v>
      </c>
      <c r="B4170" s="48">
        <v>9</v>
      </c>
      <c r="C4170" s="62">
        <v>9</v>
      </c>
    </row>
    <row r="4171" spans="1:3" x14ac:dyDescent="0.2">
      <c r="A4171" s="62" t="s">
        <v>1664</v>
      </c>
      <c r="B4171" s="48">
        <v>9</v>
      </c>
      <c r="C4171" s="62">
        <v>9</v>
      </c>
    </row>
    <row r="4172" spans="1:3" x14ac:dyDescent="0.2">
      <c r="A4172" s="62" t="s">
        <v>1663</v>
      </c>
      <c r="B4172" s="48">
        <v>9</v>
      </c>
      <c r="C4172" s="62">
        <v>9</v>
      </c>
    </row>
    <row r="4173" spans="1:3" x14ac:dyDescent="0.2">
      <c r="A4173" s="62" t="s">
        <v>1662</v>
      </c>
      <c r="B4173" s="48">
        <v>9</v>
      </c>
      <c r="C4173" s="62">
        <v>9</v>
      </c>
    </row>
    <row r="4174" spans="1:3" x14ac:dyDescent="0.2">
      <c r="A4174" s="62" t="s">
        <v>1661</v>
      </c>
      <c r="B4174" s="48">
        <v>142</v>
      </c>
      <c r="C4174" s="62">
        <v>142</v>
      </c>
    </row>
    <row r="4175" spans="1:3" x14ac:dyDescent="0.2">
      <c r="A4175" s="62" t="s">
        <v>1660</v>
      </c>
      <c r="B4175" s="48">
        <v>2</v>
      </c>
      <c r="C4175" s="62">
        <v>2</v>
      </c>
    </row>
    <row r="4176" spans="1:3" x14ac:dyDescent="0.2">
      <c r="A4176" s="62" t="s">
        <v>1657</v>
      </c>
      <c r="B4176" s="48">
        <v>14</v>
      </c>
      <c r="C4176" s="62">
        <v>14</v>
      </c>
    </row>
    <row r="4177" spans="1:3" x14ac:dyDescent="0.2">
      <c r="A4177" s="62" t="s">
        <v>1656</v>
      </c>
      <c r="B4177" s="48">
        <v>14</v>
      </c>
      <c r="C4177" s="62">
        <v>14</v>
      </c>
    </row>
    <row r="4178" spans="1:3" x14ac:dyDescent="0.2">
      <c r="A4178" s="62" t="s">
        <v>1655</v>
      </c>
      <c r="B4178" s="48">
        <v>88</v>
      </c>
      <c r="C4178" s="62">
        <v>88</v>
      </c>
    </row>
    <row r="4179" spans="1:3" x14ac:dyDescent="0.2">
      <c r="A4179" s="62" t="s">
        <v>1654</v>
      </c>
      <c r="B4179" s="48">
        <v>14</v>
      </c>
      <c r="C4179" s="62">
        <v>14</v>
      </c>
    </row>
    <row r="4180" spans="1:3" x14ac:dyDescent="0.2">
      <c r="A4180" s="62" t="s">
        <v>1653</v>
      </c>
      <c r="B4180" s="48">
        <v>14</v>
      </c>
      <c r="C4180" s="62">
        <v>14</v>
      </c>
    </row>
    <row r="4181" spans="1:3" x14ac:dyDescent="0.2">
      <c r="A4181" s="62" t="s">
        <v>1651</v>
      </c>
      <c r="B4181" s="48">
        <v>14</v>
      </c>
      <c r="C4181" s="62">
        <v>14</v>
      </c>
    </row>
    <row r="4182" spans="1:3" x14ac:dyDescent="0.2">
      <c r="A4182" s="62" t="s">
        <v>1650</v>
      </c>
      <c r="B4182" s="48">
        <v>15</v>
      </c>
      <c r="C4182" s="62">
        <v>15</v>
      </c>
    </row>
    <row r="4183" spans="1:3" x14ac:dyDescent="0.2">
      <c r="A4183" s="62" t="s">
        <v>1649</v>
      </c>
      <c r="B4183" s="48">
        <v>14</v>
      </c>
      <c r="C4183" s="62">
        <v>14</v>
      </c>
    </row>
    <row r="4184" spans="1:3" x14ac:dyDescent="0.2">
      <c r="A4184" s="62" t="s">
        <v>1648</v>
      </c>
      <c r="B4184" s="48">
        <v>14</v>
      </c>
      <c r="C4184" s="62">
        <v>14</v>
      </c>
    </row>
    <row r="4185" spans="1:3" x14ac:dyDescent="0.2">
      <c r="A4185" s="62" t="s">
        <v>1647</v>
      </c>
      <c r="B4185" s="48">
        <v>2</v>
      </c>
      <c r="C4185" s="62">
        <v>2</v>
      </c>
    </row>
    <row r="4186" spans="1:3" x14ac:dyDescent="0.2">
      <c r="A4186" s="62" t="s">
        <v>1646</v>
      </c>
      <c r="B4186" s="48">
        <v>15</v>
      </c>
      <c r="C4186" s="62">
        <v>15</v>
      </c>
    </row>
    <row r="4187" spans="1:3" x14ac:dyDescent="0.2">
      <c r="A4187" s="62" t="s">
        <v>1645</v>
      </c>
      <c r="B4187" s="48">
        <v>2</v>
      </c>
      <c r="C4187" s="62">
        <v>2</v>
      </c>
    </row>
    <row r="4188" spans="1:3" x14ac:dyDescent="0.2">
      <c r="A4188" s="62" t="s">
        <v>1644</v>
      </c>
      <c r="B4188" s="48">
        <v>19</v>
      </c>
      <c r="C4188" s="62">
        <v>19</v>
      </c>
    </row>
    <row r="4189" spans="1:3" x14ac:dyDescent="0.2">
      <c r="A4189" s="62" t="s">
        <v>1643</v>
      </c>
      <c r="B4189" s="48">
        <v>2</v>
      </c>
      <c r="C4189" s="62">
        <v>2</v>
      </c>
    </row>
    <row r="4190" spans="1:3" x14ac:dyDescent="0.2">
      <c r="A4190" s="62" t="s">
        <v>1642</v>
      </c>
      <c r="B4190" s="48">
        <v>152</v>
      </c>
      <c r="C4190" s="62">
        <v>152</v>
      </c>
    </row>
    <row r="4191" spans="1:3" x14ac:dyDescent="0.2">
      <c r="A4191" s="62" t="s">
        <v>1641</v>
      </c>
      <c r="B4191" s="48">
        <v>15</v>
      </c>
      <c r="C4191" s="62">
        <v>15</v>
      </c>
    </row>
    <row r="4192" spans="1:3" x14ac:dyDescent="0.2">
      <c r="A4192" s="62" t="s">
        <v>1640</v>
      </c>
      <c r="B4192" s="48">
        <v>15</v>
      </c>
      <c r="C4192" s="62">
        <v>15</v>
      </c>
    </row>
    <row r="4193" spans="1:3" x14ac:dyDescent="0.2">
      <c r="A4193" s="62" t="s">
        <v>1639</v>
      </c>
      <c r="B4193" s="48">
        <v>63</v>
      </c>
      <c r="C4193" s="62">
        <v>63</v>
      </c>
    </row>
    <row r="4194" spans="1:3" x14ac:dyDescent="0.2">
      <c r="A4194" s="62" t="s">
        <v>1638</v>
      </c>
      <c r="B4194" s="48">
        <v>88</v>
      </c>
      <c r="C4194" s="62">
        <v>88</v>
      </c>
    </row>
    <row r="4195" spans="1:3" x14ac:dyDescent="0.2">
      <c r="A4195" s="62" t="s">
        <v>1636</v>
      </c>
      <c r="B4195" s="48">
        <v>88</v>
      </c>
      <c r="C4195" s="62">
        <v>88</v>
      </c>
    </row>
    <row r="4196" spans="1:3" x14ac:dyDescent="0.2">
      <c r="A4196" s="62" t="s">
        <v>1635</v>
      </c>
      <c r="B4196" s="48">
        <v>2</v>
      </c>
      <c r="C4196" s="62">
        <v>2</v>
      </c>
    </row>
    <row r="4197" spans="1:3" x14ac:dyDescent="0.2">
      <c r="A4197" s="62" t="s">
        <v>1634</v>
      </c>
      <c r="B4197" s="48">
        <v>2</v>
      </c>
      <c r="C4197" s="62">
        <v>2</v>
      </c>
    </row>
    <row r="4198" spans="1:3" x14ac:dyDescent="0.2">
      <c r="A4198" s="62" t="s">
        <v>1633</v>
      </c>
      <c r="B4198" s="48">
        <v>2</v>
      </c>
      <c r="C4198" s="62">
        <v>2</v>
      </c>
    </row>
    <row r="4199" spans="1:3" x14ac:dyDescent="0.2">
      <c r="A4199" s="62" t="s">
        <v>1632</v>
      </c>
      <c r="B4199" s="48">
        <v>2</v>
      </c>
      <c r="C4199" s="62">
        <v>2</v>
      </c>
    </row>
    <row r="4200" spans="1:3" x14ac:dyDescent="0.2">
      <c r="A4200" s="62" t="s">
        <v>1631</v>
      </c>
      <c r="B4200" s="48">
        <v>148</v>
      </c>
      <c r="C4200" s="62">
        <v>148</v>
      </c>
    </row>
    <row r="4201" spans="1:3" x14ac:dyDescent="0.2">
      <c r="A4201" s="62" t="s">
        <v>1630</v>
      </c>
      <c r="B4201" s="48">
        <v>194</v>
      </c>
      <c r="C4201" s="62">
        <v>194</v>
      </c>
    </row>
    <row r="4202" spans="1:3" x14ac:dyDescent="0.2">
      <c r="A4202" s="62" t="s">
        <v>1628</v>
      </c>
      <c r="B4202" s="48">
        <v>86</v>
      </c>
      <c r="C4202" s="62">
        <v>86</v>
      </c>
    </row>
    <row r="4203" spans="1:3" x14ac:dyDescent="0.2">
      <c r="A4203" s="62" t="s">
        <v>1627</v>
      </c>
      <c r="B4203" s="48">
        <v>86</v>
      </c>
      <c r="C4203" s="62">
        <v>86</v>
      </c>
    </row>
    <row r="4204" spans="1:3" x14ac:dyDescent="0.2">
      <c r="A4204" s="62" t="s">
        <v>1626</v>
      </c>
      <c r="B4204" s="48">
        <v>86</v>
      </c>
      <c r="C4204" s="62">
        <v>86</v>
      </c>
    </row>
    <row r="4205" spans="1:3" x14ac:dyDescent="0.2">
      <c r="A4205" s="62" t="s">
        <v>1625</v>
      </c>
      <c r="B4205" s="48">
        <v>86</v>
      </c>
      <c r="C4205" s="62">
        <v>86</v>
      </c>
    </row>
    <row r="4206" spans="1:3" x14ac:dyDescent="0.2">
      <c r="A4206" s="62" t="s">
        <v>1624</v>
      </c>
      <c r="B4206" s="48">
        <v>14</v>
      </c>
      <c r="C4206" s="62">
        <v>14</v>
      </c>
    </row>
    <row r="4207" spans="1:3" x14ac:dyDescent="0.2">
      <c r="A4207" s="62" t="s">
        <v>1623</v>
      </c>
      <c r="B4207" s="48">
        <v>14</v>
      </c>
      <c r="C4207" s="62">
        <v>14</v>
      </c>
    </row>
    <row r="4208" spans="1:3" x14ac:dyDescent="0.2">
      <c r="A4208" s="62" t="s">
        <v>1621</v>
      </c>
      <c r="B4208" s="48">
        <v>14</v>
      </c>
      <c r="C4208" s="62">
        <v>14</v>
      </c>
    </row>
    <row r="4209" spans="1:3" x14ac:dyDescent="0.2">
      <c r="A4209" s="62" t="s">
        <v>1620</v>
      </c>
      <c r="B4209" s="48">
        <v>14</v>
      </c>
      <c r="C4209" s="62">
        <v>14</v>
      </c>
    </row>
    <row r="4210" spans="1:3" x14ac:dyDescent="0.2">
      <c r="A4210" s="62" t="s">
        <v>1619</v>
      </c>
      <c r="B4210" s="48">
        <v>114</v>
      </c>
      <c r="C4210" s="62">
        <v>114</v>
      </c>
    </row>
    <row r="4211" spans="1:3" x14ac:dyDescent="0.2">
      <c r="A4211" s="62" t="s">
        <v>1617</v>
      </c>
      <c r="B4211" s="48">
        <v>2</v>
      </c>
      <c r="C4211" s="62">
        <v>2</v>
      </c>
    </row>
    <row r="4212" spans="1:3" x14ac:dyDescent="0.2">
      <c r="A4212" s="62" t="s">
        <v>1616</v>
      </c>
      <c r="B4212" s="48">
        <v>19</v>
      </c>
      <c r="C4212" s="62">
        <v>19</v>
      </c>
    </row>
    <row r="4213" spans="1:3" x14ac:dyDescent="0.2">
      <c r="A4213" s="62" t="s">
        <v>1615</v>
      </c>
      <c r="B4213" s="48">
        <v>9</v>
      </c>
      <c r="C4213" s="62">
        <v>9</v>
      </c>
    </row>
    <row r="4214" spans="1:3" x14ac:dyDescent="0.2">
      <c r="A4214" s="62" t="s">
        <v>1614</v>
      </c>
      <c r="B4214" s="48">
        <v>205</v>
      </c>
      <c r="C4214" s="62">
        <v>205</v>
      </c>
    </row>
    <row r="4215" spans="1:3" x14ac:dyDescent="0.2">
      <c r="A4215" s="62" t="s">
        <v>1612</v>
      </c>
      <c r="B4215" s="48">
        <v>33</v>
      </c>
      <c r="C4215" s="62">
        <v>33</v>
      </c>
    </row>
    <row r="4216" spans="1:3" x14ac:dyDescent="0.2">
      <c r="A4216" s="62" t="s">
        <v>1611</v>
      </c>
      <c r="B4216" s="48">
        <v>33</v>
      </c>
      <c r="C4216" s="62">
        <v>33</v>
      </c>
    </row>
    <row r="4217" spans="1:3" x14ac:dyDescent="0.2">
      <c r="A4217" s="62" t="s">
        <v>1610</v>
      </c>
      <c r="B4217" s="48">
        <v>14</v>
      </c>
      <c r="C4217" s="62">
        <v>14</v>
      </c>
    </row>
    <row r="4218" spans="1:3" x14ac:dyDescent="0.2">
      <c r="A4218" s="62" t="s">
        <v>1609</v>
      </c>
      <c r="B4218" s="48">
        <v>43</v>
      </c>
      <c r="C4218" s="62">
        <v>43</v>
      </c>
    </row>
    <row r="4219" spans="1:3" x14ac:dyDescent="0.2">
      <c r="A4219" s="62" t="s">
        <v>1608</v>
      </c>
      <c r="B4219" s="48">
        <v>2</v>
      </c>
      <c r="C4219" s="62">
        <v>2</v>
      </c>
    </row>
    <row r="4220" spans="1:3" x14ac:dyDescent="0.2">
      <c r="A4220" s="62" t="s">
        <v>1607</v>
      </c>
      <c r="B4220" s="48">
        <v>14</v>
      </c>
      <c r="C4220" s="62">
        <v>14</v>
      </c>
    </row>
    <row r="4221" spans="1:3" x14ac:dyDescent="0.2">
      <c r="A4221" s="62" t="s">
        <v>1606</v>
      </c>
      <c r="B4221" s="48">
        <v>181</v>
      </c>
      <c r="C4221" s="62">
        <v>181</v>
      </c>
    </row>
    <row r="4222" spans="1:3" x14ac:dyDescent="0.2">
      <c r="A4222" s="62" t="s">
        <v>1605</v>
      </c>
      <c r="B4222" s="48">
        <v>15</v>
      </c>
      <c r="C4222" s="62">
        <v>15</v>
      </c>
    </row>
    <row r="4223" spans="1:3" x14ac:dyDescent="0.2">
      <c r="A4223" s="62" t="s">
        <v>1603</v>
      </c>
      <c r="B4223" s="48">
        <v>14</v>
      </c>
      <c r="C4223" s="62">
        <v>14</v>
      </c>
    </row>
    <row r="4224" spans="1:3" x14ac:dyDescent="0.2">
      <c r="A4224" s="62" t="s">
        <v>1602</v>
      </c>
      <c r="B4224" s="48">
        <v>14</v>
      </c>
      <c r="C4224" s="62">
        <v>14</v>
      </c>
    </row>
    <row r="4225" spans="1:3" x14ac:dyDescent="0.2">
      <c r="A4225" s="62" t="s">
        <v>1601</v>
      </c>
      <c r="B4225" s="48">
        <v>14</v>
      </c>
      <c r="C4225" s="62">
        <v>14</v>
      </c>
    </row>
    <row r="4226" spans="1:3" x14ac:dyDescent="0.2">
      <c r="A4226" s="62" t="s">
        <v>1600</v>
      </c>
      <c r="B4226" s="48">
        <v>14</v>
      </c>
      <c r="C4226" s="62">
        <v>14</v>
      </c>
    </row>
    <row r="4227" spans="1:3" x14ac:dyDescent="0.2">
      <c r="A4227" s="62" t="s">
        <v>1599</v>
      </c>
      <c r="B4227" s="48">
        <v>19</v>
      </c>
      <c r="C4227" s="62">
        <v>19</v>
      </c>
    </row>
    <row r="4228" spans="1:3" x14ac:dyDescent="0.2">
      <c r="A4228" s="62" t="s">
        <v>1598</v>
      </c>
      <c r="B4228" s="48">
        <v>1</v>
      </c>
      <c r="C4228" s="62">
        <v>1</v>
      </c>
    </row>
    <row r="4229" spans="1:3" x14ac:dyDescent="0.2">
      <c r="A4229" s="62" t="s">
        <v>1597</v>
      </c>
      <c r="B4229" s="48">
        <v>225</v>
      </c>
      <c r="C4229" s="62">
        <v>225</v>
      </c>
    </row>
    <row r="4230" spans="1:3" x14ac:dyDescent="0.2">
      <c r="A4230" s="62" t="s">
        <v>1596</v>
      </c>
      <c r="B4230" s="48">
        <v>15</v>
      </c>
      <c r="C4230" s="62">
        <v>15</v>
      </c>
    </row>
    <row r="4231" spans="1:3" x14ac:dyDescent="0.2">
      <c r="A4231" s="62" t="s">
        <v>1595</v>
      </c>
      <c r="B4231" s="48">
        <v>2</v>
      </c>
      <c r="C4231" s="62">
        <v>2</v>
      </c>
    </row>
    <row r="4232" spans="1:3" x14ac:dyDescent="0.2">
      <c r="A4232" s="62" t="s">
        <v>1594</v>
      </c>
      <c r="B4232" s="48">
        <v>225</v>
      </c>
      <c r="C4232" s="62">
        <v>225</v>
      </c>
    </row>
    <row r="4233" spans="1:3" x14ac:dyDescent="0.2">
      <c r="A4233" s="62" t="s">
        <v>1593</v>
      </c>
      <c r="B4233" s="48">
        <v>14</v>
      </c>
      <c r="C4233" s="62">
        <v>14</v>
      </c>
    </row>
    <row r="4234" spans="1:3" x14ac:dyDescent="0.2">
      <c r="A4234" s="62" t="s">
        <v>1592</v>
      </c>
      <c r="B4234" s="48">
        <v>7</v>
      </c>
      <c r="C4234" s="62">
        <v>7</v>
      </c>
    </row>
    <row r="4235" spans="1:3" x14ac:dyDescent="0.2">
      <c r="A4235" s="62" t="s">
        <v>1591</v>
      </c>
      <c r="B4235" s="48">
        <v>9</v>
      </c>
      <c r="C4235" s="62">
        <v>9</v>
      </c>
    </row>
    <row r="4236" spans="1:3" x14ac:dyDescent="0.2">
      <c r="A4236" s="62" t="s">
        <v>1590</v>
      </c>
      <c r="B4236" s="48">
        <v>221</v>
      </c>
      <c r="C4236" s="62">
        <v>221</v>
      </c>
    </row>
    <row r="4237" spans="1:3" x14ac:dyDescent="0.2">
      <c r="A4237" s="62" t="s">
        <v>1589</v>
      </c>
      <c r="B4237" s="48">
        <v>221</v>
      </c>
      <c r="C4237" s="62">
        <v>221</v>
      </c>
    </row>
    <row r="4238" spans="1:3" x14ac:dyDescent="0.2">
      <c r="A4238" s="62" t="s">
        <v>1588</v>
      </c>
      <c r="B4238" s="48">
        <v>138</v>
      </c>
      <c r="C4238" s="62">
        <v>138</v>
      </c>
    </row>
    <row r="4239" spans="1:3" x14ac:dyDescent="0.2">
      <c r="A4239" s="62" t="s">
        <v>1587</v>
      </c>
      <c r="B4239" s="48">
        <v>138</v>
      </c>
      <c r="C4239" s="62">
        <v>138</v>
      </c>
    </row>
    <row r="4240" spans="1:3" x14ac:dyDescent="0.2">
      <c r="A4240" s="62" t="s">
        <v>1585</v>
      </c>
      <c r="B4240" s="48">
        <v>19</v>
      </c>
      <c r="C4240" s="62">
        <v>19</v>
      </c>
    </row>
    <row r="4241" spans="1:3" x14ac:dyDescent="0.2">
      <c r="A4241" s="62" t="s">
        <v>1584</v>
      </c>
      <c r="B4241" s="48">
        <v>19</v>
      </c>
      <c r="C4241" s="62">
        <v>19</v>
      </c>
    </row>
    <row r="4242" spans="1:3" x14ac:dyDescent="0.2">
      <c r="A4242" s="62" t="s">
        <v>1583</v>
      </c>
      <c r="B4242" s="48">
        <v>59</v>
      </c>
      <c r="C4242" s="62">
        <v>59</v>
      </c>
    </row>
    <row r="4243" spans="1:3" x14ac:dyDescent="0.2">
      <c r="A4243" s="62" t="s">
        <v>1582</v>
      </c>
      <c r="B4243" s="48">
        <v>56</v>
      </c>
      <c r="C4243" s="62">
        <v>56</v>
      </c>
    </row>
    <row r="4244" spans="1:3" x14ac:dyDescent="0.2">
      <c r="A4244" s="62" t="s">
        <v>1581</v>
      </c>
      <c r="B4244" s="48">
        <v>9</v>
      </c>
      <c r="C4244" s="62">
        <v>9</v>
      </c>
    </row>
    <row r="4245" spans="1:3" x14ac:dyDescent="0.2">
      <c r="A4245" s="62" t="s">
        <v>1580</v>
      </c>
      <c r="B4245" s="48">
        <v>9</v>
      </c>
      <c r="C4245" s="62">
        <v>9</v>
      </c>
    </row>
    <row r="4246" spans="1:3" x14ac:dyDescent="0.2">
      <c r="A4246" s="62" t="s">
        <v>1579</v>
      </c>
      <c r="B4246" s="48">
        <v>9</v>
      </c>
      <c r="C4246" s="62">
        <v>9</v>
      </c>
    </row>
    <row r="4247" spans="1:3" x14ac:dyDescent="0.2">
      <c r="A4247" s="62" t="s">
        <v>1578</v>
      </c>
      <c r="B4247" s="48">
        <v>9</v>
      </c>
      <c r="C4247" s="62">
        <v>9</v>
      </c>
    </row>
    <row r="4248" spans="1:3" x14ac:dyDescent="0.2">
      <c r="A4248" s="62" t="s">
        <v>1577</v>
      </c>
      <c r="B4248" s="48">
        <v>60</v>
      </c>
      <c r="C4248" s="62">
        <v>60</v>
      </c>
    </row>
    <row r="4249" spans="1:3" x14ac:dyDescent="0.2">
      <c r="A4249" s="62" t="s">
        <v>1576</v>
      </c>
      <c r="B4249" s="48">
        <v>14</v>
      </c>
      <c r="C4249" s="62">
        <v>14</v>
      </c>
    </row>
    <row r="4250" spans="1:3" x14ac:dyDescent="0.2">
      <c r="A4250" s="62" t="s">
        <v>1575</v>
      </c>
      <c r="B4250" s="48">
        <v>229</v>
      </c>
      <c r="C4250" s="62">
        <v>229</v>
      </c>
    </row>
    <row r="4251" spans="1:3" x14ac:dyDescent="0.2">
      <c r="A4251" s="62" t="s">
        <v>1573</v>
      </c>
      <c r="B4251" s="48">
        <v>2</v>
      </c>
      <c r="C4251" s="62">
        <v>2</v>
      </c>
    </row>
    <row r="4252" spans="1:3" x14ac:dyDescent="0.2">
      <c r="A4252" s="62" t="s">
        <v>1571</v>
      </c>
      <c r="B4252" s="48">
        <v>12</v>
      </c>
      <c r="C4252" s="62">
        <v>12</v>
      </c>
    </row>
    <row r="4253" spans="1:3" x14ac:dyDescent="0.2">
      <c r="A4253" s="62" t="s">
        <v>1570</v>
      </c>
      <c r="B4253" s="48">
        <v>86</v>
      </c>
      <c r="C4253" s="62">
        <v>86</v>
      </c>
    </row>
    <row r="4254" spans="1:3" x14ac:dyDescent="0.2">
      <c r="A4254" s="62" t="s">
        <v>1569</v>
      </c>
      <c r="B4254" s="48">
        <v>220</v>
      </c>
      <c r="C4254" s="62">
        <v>220</v>
      </c>
    </row>
    <row r="4255" spans="1:3" x14ac:dyDescent="0.2">
      <c r="A4255" s="62" t="s">
        <v>1568</v>
      </c>
      <c r="B4255" s="48">
        <v>2</v>
      </c>
      <c r="C4255" s="62">
        <v>2</v>
      </c>
    </row>
    <row r="4256" spans="1:3" x14ac:dyDescent="0.2">
      <c r="A4256" s="62" t="s">
        <v>1567</v>
      </c>
      <c r="B4256" s="48">
        <v>15</v>
      </c>
      <c r="C4256" s="62">
        <v>15</v>
      </c>
    </row>
    <row r="4257" spans="1:3" x14ac:dyDescent="0.2">
      <c r="A4257" s="62" t="s">
        <v>1566</v>
      </c>
      <c r="B4257" s="48">
        <v>15</v>
      </c>
      <c r="C4257" s="62">
        <v>15</v>
      </c>
    </row>
    <row r="4258" spans="1:3" x14ac:dyDescent="0.2">
      <c r="A4258" s="62" t="s">
        <v>1565</v>
      </c>
      <c r="B4258" s="48">
        <v>205</v>
      </c>
      <c r="C4258" s="62">
        <v>205</v>
      </c>
    </row>
    <row r="4259" spans="1:3" x14ac:dyDescent="0.2">
      <c r="A4259" s="62" t="s">
        <v>1564</v>
      </c>
      <c r="B4259" s="48">
        <v>205</v>
      </c>
      <c r="C4259" s="62">
        <v>205</v>
      </c>
    </row>
    <row r="4260" spans="1:3" x14ac:dyDescent="0.2">
      <c r="A4260" s="62" t="s">
        <v>1563</v>
      </c>
      <c r="B4260" s="48">
        <v>205</v>
      </c>
      <c r="C4260" s="62">
        <v>205</v>
      </c>
    </row>
    <row r="4261" spans="1:3" x14ac:dyDescent="0.2">
      <c r="A4261" s="62" t="s">
        <v>1562</v>
      </c>
      <c r="B4261" s="48">
        <v>205</v>
      </c>
      <c r="C4261" s="62">
        <v>205</v>
      </c>
    </row>
    <row r="4262" spans="1:3" x14ac:dyDescent="0.2">
      <c r="A4262" s="62" t="s">
        <v>1561</v>
      </c>
      <c r="B4262" s="48">
        <v>205</v>
      </c>
      <c r="C4262" s="62">
        <v>205</v>
      </c>
    </row>
    <row r="4263" spans="1:3" x14ac:dyDescent="0.2">
      <c r="A4263" s="62" t="s">
        <v>1560</v>
      </c>
      <c r="B4263" s="48">
        <v>205</v>
      </c>
      <c r="C4263" s="62">
        <v>205</v>
      </c>
    </row>
    <row r="4264" spans="1:3" x14ac:dyDescent="0.2">
      <c r="A4264" s="62" t="s">
        <v>1559</v>
      </c>
      <c r="B4264" s="48">
        <v>14</v>
      </c>
      <c r="C4264" s="62">
        <v>14</v>
      </c>
    </row>
    <row r="4265" spans="1:3" x14ac:dyDescent="0.2">
      <c r="A4265" s="62" t="s">
        <v>1558</v>
      </c>
      <c r="B4265" s="48">
        <v>15</v>
      </c>
      <c r="C4265" s="62">
        <v>15</v>
      </c>
    </row>
    <row r="4266" spans="1:3" x14ac:dyDescent="0.2">
      <c r="A4266" s="62" t="s">
        <v>1557</v>
      </c>
      <c r="B4266" s="48">
        <v>14</v>
      </c>
      <c r="C4266" s="62">
        <v>14</v>
      </c>
    </row>
    <row r="4267" spans="1:3" x14ac:dyDescent="0.2">
      <c r="A4267" s="62" t="s">
        <v>1556</v>
      </c>
      <c r="B4267" s="48">
        <v>15</v>
      </c>
      <c r="C4267" s="62">
        <v>15</v>
      </c>
    </row>
    <row r="4268" spans="1:3" x14ac:dyDescent="0.2">
      <c r="A4268" s="62" t="s">
        <v>1555</v>
      </c>
      <c r="B4268" s="48">
        <v>15</v>
      </c>
      <c r="C4268" s="62">
        <v>15</v>
      </c>
    </row>
    <row r="4269" spans="1:3" x14ac:dyDescent="0.2">
      <c r="A4269" s="62" t="s">
        <v>1554</v>
      </c>
      <c r="B4269" s="48">
        <v>19</v>
      </c>
      <c r="C4269" s="62">
        <v>19</v>
      </c>
    </row>
    <row r="4270" spans="1:3" x14ac:dyDescent="0.2">
      <c r="A4270" s="62" t="s">
        <v>1553</v>
      </c>
      <c r="B4270" s="48">
        <v>61</v>
      </c>
      <c r="C4270" s="62">
        <v>61</v>
      </c>
    </row>
    <row r="4271" spans="1:3" x14ac:dyDescent="0.2">
      <c r="A4271" s="62" t="s">
        <v>1552</v>
      </c>
      <c r="B4271" s="48">
        <v>142</v>
      </c>
      <c r="C4271" s="62">
        <v>142</v>
      </c>
    </row>
    <row r="4272" spans="1:3" x14ac:dyDescent="0.2">
      <c r="A4272" s="62" t="s">
        <v>1551</v>
      </c>
      <c r="B4272" s="48">
        <v>142</v>
      </c>
      <c r="C4272" s="62">
        <v>142</v>
      </c>
    </row>
    <row r="4273" spans="1:3" x14ac:dyDescent="0.2">
      <c r="A4273" s="62" t="s">
        <v>1550</v>
      </c>
      <c r="B4273" s="48">
        <v>142</v>
      </c>
      <c r="C4273" s="62">
        <v>142</v>
      </c>
    </row>
    <row r="4274" spans="1:3" x14ac:dyDescent="0.2">
      <c r="A4274" s="62" t="s">
        <v>1549</v>
      </c>
      <c r="B4274" s="48">
        <v>112</v>
      </c>
      <c r="C4274" s="62">
        <v>112</v>
      </c>
    </row>
    <row r="4275" spans="1:3" x14ac:dyDescent="0.2">
      <c r="A4275" s="62" t="s">
        <v>1548</v>
      </c>
      <c r="B4275" s="48">
        <v>33</v>
      </c>
      <c r="C4275" s="62">
        <v>33</v>
      </c>
    </row>
    <row r="4276" spans="1:3" x14ac:dyDescent="0.2">
      <c r="A4276" s="62" t="s">
        <v>1547</v>
      </c>
      <c r="B4276" s="48">
        <v>167</v>
      </c>
      <c r="C4276" s="62">
        <v>167</v>
      </c>
    </row>
    <row r="4277" spans="1:3" x14ac:dyDescent="0.2">
      <c r="A4277" s="62" t="s">
        <v>1546</v>
      </c>
      <c r="B4277" s="48">
        <v>148</v>
      </c>
      <c r="C4277" s="62">
        <v>148</v>
      </c>
    </row>
    <row r="4278" spans="1:3" x14ac:dyDescent="0.2">
      <c r="A4278" s="62" t="s">
        <v>1545</v>
      </c>
      <c r="B4278" s="48">
        <v>148</v>
      </c>
      <c r="C4278" s="62">
        <v>148</v>
      </c>
    </row>
    <row r="4279" spans="1:3" x14ac:dyDescent="0.2">
      <c r="A4279" s="62" t="s">
        <v>1544</v>
      </c>
      <c r="B4279" s="48">
        <v>61</v>
      </c>
      <c r="C4279" s="62">
        <v>61</v>
      </c>
    </row>
    <row r="4280" spans="1:3" x14ac:dyDescent="0.2">
      <c r="A4280" s="62" t="s">
        <v>1543</v>
      </c>
      <c r="B4280" s="48">
        <v>167</v>
      </c>
      <c r="C4280" s="62">
        <v>167</v>
      </c>
    </row>
    <row r="4281" spans="1:3" x14ac:dyDescent="0.2">
      <c r="A4281" s="62" t="s">
        <v>1542</v>
      </c>
      <c r="B4281" s="48">
        <v>2</v>
      </c>
      <c r="C4281" s="62">
        <v>2</v>
      </c>
    </row>
    <row r="4282" spans="1:3" x14ac:dyDescent="0.2">
      <c r="A4282" s="62" t="s">
        <v>1541</v>
      </c>
      <c r="B4282" s="48">
        <v>14</v>
      </c>
      <c r="C4282" s="62">
        <v>14</v>
      </c>
    </row>
    <row r="4283" spans="1:3" x14ac:dyDescent="0.2">
      <c r="A4283" s="62" t="s">
        <v>1540</v>
      </c>
      <c r="B4283" s="48">
        <v>14</v>
      </c>
      <c r="C4283" s="62">
        <v>14</v>
      </c>
    </row>
    <row r="4284" spans="1:3" x14ac:dyDescent="0.2">
      <c r="A4284" s="62" t="s">
        <v>1538</v>
      </c>
      <c r="B4284" s="48">
        <v>14</v>
      </c>
      <c r="C4284" s="62">
        <v>14</v>
      </c>
    </row>
    <row r="4285" spans="1:3" x14ac:dyDescent="0.2">
      <c r="A4285" s="62" t="s">
        <v>1536</v>
      </c>
      <c r="B4285" s="48">
        <v>2</v>
      </c>
      <c r="C4285" s="62">
        <v>2</v>
      </c>
    </row>
    <row r="4286" spans="1:3" x14ac:dyDescent="0.2">
      <c r="A4286" s="62" t="s">
        <v>1535</v>
      </c>
      <c r="B4286" s="48">
        <v>14</v>
      </c>
      <c r="C4286" s="62">
        <v>14</v>
      </c>
    </row>
    <row r="4287" spans="1:3" x14ac:dyDescent="0.2">
      <c r="A4287" s="62" t="s">
        <v>1534</v>
      </c>
      <c r="B4287" s="48">
        <v>15</v>
      </c>
      <c r="C4287" s="62">
        <v>15</v>
      </c>
    </row>
    <row r="4288" spans="1:3" x14ac:dyDescent="0.2">
      <c r="A4288" s="62" t="s">
        <v>1533</v>
      </c>
      <c r="B4288" s="48">
        <v>15</v>
      </c>
      <c r="C4288" s="62">
        <v>15</v>
      </c>
    </row>
    <row r="4289" spans="1:3" x14ac:dyDescent="0.2">
      <c r="A4289" s="62" t="s">
        <v>1532</v>
      </c>
      <c r="B4289" s="48">
        <v>15</v>
      </c>
      <c r="C4289" s="62">
        <v>15</v>
      </c>
    </row>
    <row r="4290" spans="1:3" x14ac:dyDescent="0.2">
      <c r="A4290" s="62" t="s">
        <v>1530</v>
      </c>
      <c r="B4290" s="48">
        <v>180</v>
      </c>
      <c r="C4290" s="62">
        <v>180</v>
      </c>
    </row>
    <row r="4291" spans="1:3" x14ac:dyDescent="0.2">
      <c r="A4291" s="62" t="s">
        <v>1528</v>
      </c>
      <c r="B4291" s="48">
        <v>171</v>
      </c>
      <c r="C4291" s="62">
        <v>171</v>
      </c>
    </row>
    <row r="4292" spans="1:3" x14ac:dyDescent="0.2">
      <c r="A4292" s="62" t="s">
        <v>1527</v>
      </c>
      <c r="B4292" s="48">
        <v>13</v>
      </c>
      <c r="C4292" s="62">
        <v>13</v>
      </c>
    </row>
    <row r="4293" spans="1:3" x14ac:dyDescent="0.2">
      <c r="A4293" s="62" t="s">
        <v>1526</v>
      </c>
      <c r="B4293" s="48">
        <v>74</v>
      </c>
      <c r="C4293" s="62">
        <v>74</v>
      </c>
    </row>
    <row r="4294" spans="1:3" x14ac:dyDescent="0.2">
      <c r="A4294" s="62" t="s">
        <v>1525</v>
      </c>
      <c r="B4294" s="48">
        <v>74</v>
      </c>
      <c r="C4294" s="62">
        <v>74</v>
      </c>
    </row>
    <row r="4295" spans="1:3" x14ac:dyDescent="0.2">
      <c r="A4295" s="62" t="s">
        <v>1524</v>
      </c>
      <c r="B4295" s="48">
        <v>74</v>
      </c>
      <c r="C4295" s="62">
        <v>74</v>
      </c>
    </row>
    <row r="4296" spans="1:3" x14ac:dyDescent="0.2">
      <c r="A4296" s="62" t="s">
        <v>1523</v>
      </c>
      <c r="B4296" s="48">
        <v>74</v>
      </c>
      <c r="C4296" s="62">
        <v>74</v>
      </c>
    </row>
    <row r="4297" spans="1:3" x14ac:dyDescent="0.2">
      <c r="A4297" s="62" t="s">
        <v>1522</v>
      </c>
      <c r="B4297" s="48">
        <v>62</v>
      </c>
      <c r="C4297" s="62">
        <v>62</v>
      </c>
    </row>
    <row r="4298" spans="1:3" x14ac:dyDescent="0.2">
      <c r="A4298" s="62" t="s">
        <v>1521</v>
      </c>
      <c r="B4298" s="48">
        <v>15</v>
      </c>
      <c r="C4298" s="62">
        <v>15</v>
      </c>
    </row>
    <row r="4299" spans="1:3" x14ac:dyDescent="0.2">
      <c r="A4299" s="62" t="s">
        <v>1520</v>
      </c>
      <c r="B4299" s="48">
        <v>4</v>
      </c>
      <c r="C4299" s="62">
        <v>4</v>
      </c>
    </row>
    <row r="4300" spans="1:3" x14ac:dyDescent="0.2">
      <c r="A4300" s="62" t="s">
        <v>1519</v>
      </c>
      <c r="B4300" s="48">
        <v>82</v>
      </c>
      <c r="C4300" s="62">
        <v>82</v>
      </c>
    </row>
    <row r="4301" spans="1:3" x14ac:dyDescent="0.2">
      <c r="A4301" s="62" t="s">
        <v>1517</v>
      </c>
      <c r="B4301" s="48">
        <v>82</v>
      </c>
      <c r="C4301" s="62">
        <v>82</v>
      </c>
    </row>
    <row r="4302" spans="1:3" x14ac:dyDescent="0.2">
      <c r="A4302" s="62" t="s">
        <v>1515</v>
      </c>
      <c r="B4302" s="48">
        <v>14</v>
      </c>
      <c r="C4302" s="62">
        <v>14</v>
      </c>
    </row>
    <row r="4303" spans="1:3" x14ac:dyDescent="0.2">
      <c r="A4303" s="62" t="s">
        <v>1514</v>
      </c>
      <c r="B4303" s="48">
        <v>15</v>
      </c>
      <c r="C4303" s="62">
        <v>15</v>
      </c>
    </row>
    <row r="4304" spans="1:3" x14ac:dyDescent="0.2">
      <c r="A4304" s="62" t="s">
        <v>1513</v>
      </c>
      <c r="B4304" s="48">
        <v>14</v>
      </c>
      <c r="C4304" s="62">
        <v>14</v>
      </c>
    </row>
    <row r="4305" spans="1:3" x14ac:dyDescent="0.2">
      <c r="A4305" s="62" t="s">
        <v>1512</v>
      </c>
      <c r="B4305" s="48">
        <v>88</v>
      </c>
      <c r="C4305" s="62">
        <v>88</v>
      </c>
    </row>
    <row r="4306" spans="1:3" x14ac:dyDescent="0.2">
      <c r="A4306" s="62" t="s">
        <v>1511</v>
      </c>
      <c r="B4306" s="48">
        <v>15</v>
      </c>
      <c r="C4306" s="62">
        <v>15</v>
      </c>
    </row>
    <row r="4307" spans="1:3" x14ac:dyDescent="0.2">
      <c r="A4307" s="62" t="s">
        <v>1509</v>
      </c>
      <c r="B4307" s="48">
        <v>149</v>
      </c>
      <c r="C4307" s="62">
        <v>149</v>
      </c>
    </row>
    <row r="4308" spans="1:3" x14ac:dyDescent="0.2">
      <c r="A4308" s="62" t="s">
        <v>1508</v>
      </c>
      <c r="B4308" s="48">
        <v>14</v>
      </c>
      <c r="C4308" s="62">
        <v>14</v>
      </c>
    </row>
    <row r="4309" spans="1:3" x14ac:dyDescent="0.2">
      <c r="A4309" s="62" t="s">
        <v>1506</v>
      </c>
      <c r="B4309" s="48">
        <v>2</v>
      </c>
      <c r="C4309" s="62">
        <v>2</v>
      </c>
    </row>
    <row r="4310" spans="1:3" x14ac:dyDescent="0.2">
      <c r="A4310" s="62" t="s">
        <v>1504</v>
      </c>
      <c r="B4310" s="48">
        <v>33</v>
      </c>
      <c r="C4310" s="62">
        <v>33</v>
      </c>
    </row>
    <row r="4311" spans="1:3" x14ac:dyDescent="0.2">
      <c r="A4311" s="62" t="s">
        <v>1503</v>
      </c>
      <c r="B4311" s="48">
        <v>122</v>
      </c>
      <c r="C4311" s="62">
        <v>122</v>
      </c>
    </row>
    <row r="4312" spans="1:3" x14ac:dyDescent="0.2">
      <c r="A4312" s="62" t="s">
        <v>1502</v>
      </c>
      <c r="B4312" s="48">
        <v>114</v>
      </c>
      <c r="C4312" s="62">
        <v>114</v>
      </c>
    </row>
    <row r="4313" spans="1:3" x14ac:dyDescent="0.2">
      <c r="A4313" s="62" t="s">
        <v>1501</v>
      </c>
      <c r="B4313" s="48">
        <v>190</v>
      </c>
      <c r="C4313" s="62">
        <v>190</v>
      </c>
    </row>
    <row r="4314" spans="1:3" x14ac:dyDescent="0.2">
      <c r="A4314" s="62" t="s">
        <v>1499</v>
      </c>
      <c r="B4314" s="48">
        <v>190</v>
      </c>
      <c r="C4314" s="62">
        <v>190</v>
      </c>
    </row>
    <row r="4315" spans="1:3" x14ac:dyDescent="0.2">
      <c r="A4315" s="62" t="s">
        <v>1497</v>
      </c>
      <c r="B4315" s="48">
        <v>19</v>
      </c>
      <c r="C4315" s="62">
        <v>19</v>
      </c>
    </row>
    <row r="4316" spans="1:3" x14ac:dyDescent="0.2">
      <c r="A4316" s="62" t="s">
        <v>1496</v>
      </c>
      <c r="B4316" s="48">
        <v>19</v>
      </c>
      <c r="C4316" s="62">
        <v>19</v>
      </c>
    </row>
    <row r="4317" spans="1:3" x14ac:dyDescent="0.2">
      <c r="A4317" s="62" t="s">
        <v>1495</v>
      </c>
      <c r="B4317" s="48">
        <v>33</v>
      </c>
      <c r="C4317" s="62">
        <v>33</v>
      </c>
    </row>
    <row r="4318" spans="1:3" x14ac:dyDescent="0.2">
      <c r="A4318" s="62" t="s">
        <v>1493</v>
      </c>
      <c r="B4318" s="48">
        <v>194</v>
      </c>
      <c r="C4318" s="62">
        <v>194</v>
      </c>
    </row>
    <row r="4319" spans="1:3" x14ac:dyDescent="0.2">
      <c r="A4319" s="62" t="s">
        <v>1492</v>
      </c>
      <c r="B4319" s="48">
        <v>2</v>
      </c>
      <c r="C4319" s="62">
        <v>2</v>
      </c>
    </row>
    <row r="4320" spans="1:3" x14ac:dyDescent="0.2">
      <c r="A4320" s="62" t="s">
        <v>1491</v>
      </c>
      <c r="B4320" s="48">
        <v>2</v>
      </c>
      <c r="C4320" s="62">
        <v>2</v>
      </c>
    </row>
    <row r="4321" spans="1:3" x14ac:dyDescent="0.2">
      <c r="A4321" s="62" t="s">
        <v>1490</v>
      </c>
      <c r="B4321" s="48">
        <v>167</v>
      </c>
      <c r="C4321" s="62">
        <v>167</v>
      </c>
    </row>
    <row r="4322" spans="1:3" x14ac:dyDescent="0.2">
      <c r="A4322" s="62" t="s">
        <v>1489</v>
      </c>
      <c r="B4322" s="48">
        <v>62</v>
      </c>
      <c r="C4322" s="62">
        <v>62</v>
      </c>
    </row>
    <row r="4323" spans="1:3" x14ac:dyDescent="0.2">
      <c r="A4323" s="62" t="s">
        <v>1488</v>
      </c>
      <c r="B4323" s="48">
        <v>14</v>
      </c>
      <c r="C4323" s="62">
        <v>14</v>
      </c>
    </row>
    <row r="4324" spans="1:3" x14ac:dyDescent="0.2">
      <c r="A4324" s="62" t="s">
        <v>1487</v>
      </c>
      <c r="B4324" s="48">
        <v>14</v>
      </c>
      <c r="C4324" s="62">
        <v>14</v>
      </c>
    </row>
    <row r="4325" spans="1:3" x14ac:dyDescent="0.2">
      <c r="A4325" s="62" t="s">
        <v>1486</v>
      </c>
      <c r="B4325" s="48">
        <v>14</v>
      </c>
      <c r="C4325" s="62">
        <v>14</v>
      </c>
    </row>
    <row r="4326" spans="1:3" x14ac:dyDescent="0.2">
      <c r="A4326" s="62" t="s">
        <v>1485</v>
      </c>
      <c r="B4326" s="48">
        <v>14</v>
      </c>
      <c r="C4326" s="62">
        <v>14</v>
      </c>
    </row>
    <row r="4327" spans="1:3" x14ac:dyDescent="0.2">
      <c r="A4327" s="62" t="s">
        <v>1484</v>
      </c>
      <c r="B4327" s="48">
        <v>14</v>
      </c>
      <c r="C4327" s="62">
        <v>14</v>
      </c>
    </row>
    <row r="4328" spans="1:3" x14ac:dyDescent="0.2">
      <c r="A4328" s="62" t="s">
        <v>1483</v>
      </c>
      <c r="B4328" s="48">
        <v>15</v>
      </c>
      <c r="C4328" s="62">
        <v>15</v>
      </c>
    </row>
    <row r="4329" spans="1:3" x14ac:dyDescent="0.2">
      <c r="A4329" s="62" t="s">
        <v>1482</v>
      </c>
      <c r="B4329" s="48">
        <v>15</v>
      </c>
      <c r="C4329" s="62">
        <v>15</v>
      </c>
    </row>
    <row r="4330" spans="1:3" x14ac:dyDescent="0.2">
      <c r="A4330" s="62" t="s">
        <v>1481</v>
      </c>
      <c r="B4330" s="48">
        <v>15</v>
      </c>
      <c r="C4330" s="62">
        <v>15</v>
      </c>
    </row>
    <row r="4331" spans="1:3" x14ac:dyDescent="0.2">
      <c r="A4331" s="62" t="s">
        <v>1480</v>
      </c>
      <c r="B4331" s="48">
        <v>15</v>
      </c>
      <c r="C4331" s="62">
        <v>15</v>
      </c>
    </row>
    <row r="4332" spans="1:3" x14ac:dyDescent="0.2">
      <c r="A4332" s="62" t="s">
        <v>1479</v>
      </c>
      <c r="B4332" s="48">
        <v>15</v>
      </c>
      <c r="C4332" s="62">
        <v>15</v>
      </c>
    </row>
    <row r="4333" spans="1:3" x14ac:dyDescent="0.2">
      <c r="A4333" s="62" t="s">
        <v>1478</v>
      </c>
      <c r="B4333" s="48">
        <v>54</v>
      </c>
      <c r="C4333" s="62">
        <v>54</v>
      </c>
    </row>
    <row r="4334" spans="1:3" x14ac:dyDescent="0.2">
      <c r="A4334" s="62" t="s">
        <v>1477</v>
      </c>
      <c r="B4334" s="48">
        <v>225</v>
      </c>
      <c r="C4334" s="62">
        <v>225</v>
      </c>
    </row>
    <row r="4335" spans="1:3" x14ac:dyDescent="0.2">
      <c r="A4335" s="62" t="s">
        <v>1476</v>
      </c>
      <c r="B4335" s="48">
        <v>225</v>
      </c>
      <c r="C4335" s="62">
        <v>225</v>
      </c>
    </row>
    <row r="4336" spans="1:3" x14ac:dyDescent="0.2">
      <c r="A4336" s="62" t="s">
        <v>1475</v>
      </c>
      <c r="B4336" s="48">
        <v>41</v>
      </c>
      <c r="C4336" s="62">
        <v>41</v>
      </c>
    </row>
    <row r="4337" spans="1:3" x14ac:dyDescent="0.2">
      <c r="A4337" s="62" t="s">
        <v>1474</v>
      </c>
      <c r="B4337" s="48">
        <v>15</v>
      </c>
      <c r="C4337" s="62">
        <v>15</v>
      </c>
    </row>
    <row r="4338" spans="1:3" x14ac:dyDescent="0.2">
      <c r="A4338" s="62" t="s">
        <v>1472</v>
      </c>
      <c r="B4338" s="48">
        <v>19</v>
      </c>
      <c r="C4338" s="62">
        <v>19</v>
      </c>
    </row>
    <row r="4339" spans="1:3" x14ac:dyDescent="0.2">
      <c r="A4339" s="62" t="s">
        <v>1471</v>
      </c>
      <c r="B4339" s="48">
        <v>19</v>
      </c>
      <c r="C4339" s="62">
        <v>19</v>
      </c>
    </row>
    <row r="4340" spans="1:3" x14ac:dyDescent="0.2">
      <c r="A4340" s="62" t="s">
        <v>1470</v>
      </c>
      <c r="B4340" s="48">
        <v>19</v>
      </c>
      <c r="C4340" s="62">
        <v>19</v>
      </c>
    </row>
    <row r="4341" spans="1:3" x14ac:dyDescent="0.2">
      <c r="A4341" s="62" t="s">
        <v>1469</v>
      </c>
      <c r="B4341" s="48">
        <v>19</v>
      </c>
      <c r="C4341" s="62">
        <v>19</v>
      </c>
    </row>
    <row r="4342" spans="1:3" x14ac:dyDescent="0.2">
      <c r="A4342" s="62" t="s">
        <v>1468</v>
      </c>
      <c r="B4342" s="48">
        <v>19</v>
      </c>
      <c r="C4342" s="62">
        <v>19</v>
      </c>
    </row>
    <row r="4343" spans="1:3" x14ac:dyDescent="0.2">
      <c r="A4343" s="62" t="s">
        <v>1467</v>
      </c>
      <c r="B4343" s="48">
        <v>19</v>
      </c>
      <c r="C4343" s="62">
        <v>19</v>
      </c>
    </row>
    <row r="4344" spans="1:3" x14ac:dyDescent="0.2">
      <c r="A4344" s="62" t="s">
        <v>1466</v>
      </c>
      <c r="B4344" s="48">
        <v>19</v>
      </c>
      <c r="C4344" s="62">
        <v>19</v>
      </c>
    </row>
    <row r="4345" spans="1:3" x14ac:dyDescent="0.2">
      <c r="A4345" s="62" t="s">
        <v>1465</v>
      </c>
      <c r="B4345" s="48">
        <v>15</v>
      </c>
      <c r="C4345" s="62">
        <v>15</v>
      </c>
    </row>
    <row r="4346" spans="1:3" x14ac:dyDescent="0.2">
      <c r="A4346" s="62" t="s">
        <v>1462</v>
      </c>
      <c r="B4346" s="48">
        <v>2</v>
      </c>
      <c r="C4346" s="62">
        <v>2</v>
      </c>
    </row>
    <row r="4347" spans="1:3" x14ac:dyDescent="0.2">
      <c r="A4347" s="62" t="s">
        <v>1461</v>
      </c>
      <c r="B4347" s="48">
        <v>1</v>
      </c>
      <c r="C4347" s="62">
        <v>1</v>
      </c>
    </row>
    <row r="4348" spans="1:3" x14ac:dyDescent="0.2">
      <c r="A4348" s="62" t="s">
        <v>1460</v>
      </c>
      <c r="B4348" s="48">
        <v>148</v>
      </c>
      <c r="C4348" s="62">
        <v>148</v>
      </c>
    </row>
    <row r="4349" spans="1:3" x14ac:dyDescent="0.2">
      <c r="A4349" s="62" t="s">
        <v>1459</v>
      </c>
      <c r="B4349" s="48">
        <v>225</v>
      </c>
      <c r="C4349" s="62">
        <v>225</v>
      </c>
    </row>
    <row r="4350" spans="1:3" x14ac:dyDescent="0.2">
      <c r="A4350" s="62" t="s">
        <v>1458</v>
      </c>
      <c r="B4350" s="48">
        <v>225</v>
      </c>
      <c r="C4350" s="62">
        <v>225</v>
      </c>
    </row>
    <row r="4351" spans="1:3" x14ac:dyDescent="0.2">
      <c r="A4351" s="62" t="s">
        <v>1457</v>
      </c>
      <c r="B4351" s="48">
        <v>15</v>
      </c>
      <c r="C4351" s="62">
        <v>15</v>
      </c>
    </row>
    <row r="4352" spans="1:3" x14ac:dyDescent="0.2">
      <c r="A4352" s="62" t="s">
        <v>1456</v>
      </c>
      <c r="B4352" s="48">
        <v>15</v>
      </c>
      <c r="C4352" s="62">
        <v>15</v>
      </c>
    </row>
    <row r="4353" spans="1:3" x14ac:dyDescent="0.2">
      <c r="A4353" s="62" t="s">
        <v>1455</v>
      </c>
      <c r="B4353" s="48">
        <v>15</v>
      </c>
      <c r="C4353" s="62">
        <v>15</v>
      </c>
    </row>
    <row r="4354" spans="1:3" x14ac:dyDescent="0.2">
      <c r="A4354" s="62" t="s">
        <v>1454</v>
      </c>
      <c r="B4354" s="48">
        <v>15</v>
      </c>
      <c r="C4354" s="62">
        <v>15</v>
      </c>
    </row>
    <row r="4355" spans="1:3" x14ac:dyDescent="0.2">
      <c r="A4355" s="62" t="s">
        <v>1453</v>
      </c>
      <c r="B4355" s="48">
        <v>15</v>
      </c>
      <c r="C4355" s="62">
        <v>15</v>
      </c>
    </row>
    <row r="4356" spans="1:3" x14ac:dyDescent="0.2">
      <c r="A4356" s="62" t="s">
        <v>1452</v>
      </c>
      <c r="B4356" s="48">
        <v>15</v>
      </c>
      <c r="C4356" s="62">
        <v>15</v>
      </c>
    </row>
    <row r="4357" spans="1:3" x14ac:dyDescent="0.2">
      <c r="A4357" s="62" t="s">
        <v>1451</v>
      </c>
      <c r="B4357" s="48">
        <v>15</v>
      </c>
      <c r="C4357" s="62">
        <v>15</v>
      </c>
    </row>
    <row r="4358" spans="1:3" x14ac:dyDescent="0.2">
      <c r="A4358" s="62" t="s">
        <v>1450</v>
      </c>
      <c r="B4358" s="48">
        <v>14</v>
      </c>
      <c r="C4358" s="62">
        <v>14</v>
      </c>
    </row>
    <row r="4359" spans="1:3" x14ac:dyDescent="0.2">
      <c r="A4359" s="62" t="s">
        <v>1449</v>
      </c>
      <c r="B4359" s="48">
        <v>14</v>
      </c>
      <c r="C4359" s="62">
        <v>14</v>
      </c>
    </row>
    <row r="4360" spans="1:3" x14ac:dyDescent="0.2">
      <c r="A4360" s="62" t="s">
        <v>1448</v>
      </c>
      <c r="B4360" s="48">
        <v>14</v>
      </c>
      <c r="C4360" s="62">
        <v>14</v>
      </c>
    </row>
    <row r="4361" spans="1:3" x14ac:dyDescent="0.2">
      <c r="A4361" s="62" t="s">
        <v>1447</v>
      </c>
      <c r="B4361" s="48">
        <v>14</v>
      </c>
      <c r="C4361" s="62">
        <v>14</v>
      </c>
    </row>
    <row r="4362" spans="1:3" x14ac:dyDescent="0.2">
      <c r="A4362" s="62" t="s">
        <v>1446</v>
      </c>
      <c r="B4362" s="48">
        <v>221</v>
      </c>
      <c r="C4362" s="62">
        <v>221</v>
      </c>
    </row>
    <row r="4363" spans="1:3" x14ac:dyDescent="0.2">
      <c r="A4363" s="62" t="s">
        <v>1445</v>
      </c>
      <c r="B4363" s="48">
        <v>221</v>
      </c>
      <c r="C4363" s="62">
        <v>221</v>
      </c>
    </row>
    <row r="4364" spans="1:3" x14ac:dyDescent="0.2">
      <c r="A4364" s="62" t="s">
        <v>1444</v>
      </c>
      <c r="B4364" s="48">
        <v>14</v>
      </c>
      <c r="C4364" s="62">
        <v>14</v>
      </c>
    </row>
    <row r="4365" spans="1:3" x14ac:dyDescent="0.2">
      <c r="A4365" s="62" t="s">
        <v>1443</v>
      </c>
      <c r="B4365" s="48">
        <v>167</v>
      </c>
      <c r="C4365" s="62">
        <v>167</v>
      </c>
    </row>
    <row r="4366" spans="1:3" x14ac:dyDescent="0.2">
      <c r="A4366" s="62" t="s">
        <v>1442</v>
      </c>
      <c r="B4366" s="48">
        <v>197</v>
      </c>
      <c r="C4366" s="62">
        <v>197</v>
      </c>
    </row>
    <row r="4367" spans="1:3" x14ac:dyDescent="0.2">
      <c r="A4367" s="62" t="s">
        <v>1441</v>
      </c>
      <c r="B4367" s="48">
        <v>62</v>
      </c>
      <c r="C4367" s="62">
        <v>62</v>
      </c>
    </row>
    <row r="4368" spans="1:3" x14ac:dyDescent="0.2">
      <c r="A4368" s="62" t="s">
        <v>1440</v>
      </c>
      <c r="B4368" s="48">
        <v>109</v>
      </c>
      <c r="C4368" s="62">
        <v>109</v>
      </c>
    </row>
    <row r="4369" spans="1:3" x14ac:dyDescent="0.2">
      <c r="A4369" s="62" t="s">
        <v>1439</v>
      </c>
      <c r="B4369" s="48">
        <v>176</v>
      </c>
      <c r="C4369" s="62">
        <v>176</v>
      </c>
    </row>
    <row r="4370" spans="1:3" x14ac:dyDescent="0.2">
      <c r="A4370" s="62" t="s">
        <v>1437</v>
      </c>
      <c r="B4370" s="48">
        <v>14</v>
      </c>
      <c r="C4370" s="62">
        <v>14</v>
      </c>
    </row>
    <row r="4371" spans="1:3" x14ac:dyDescent="0.2">
      <c r="A4371" s="62" t="s">
        <v>1436</v>
      </c>
      <c r="B4371" s="48">
        <v>2</v>
      </c>
      <c r="C4371" s="62">
        <v>2</v>
      </c>
    </row>
    <row r="4372" spans="1:3" x14ac:dyDescent="0.2">
      <c r="A4372" s="62" t="s">
        <v>1435</v>
      </c>
      <c r="B4372" s="48">
        <v>15</v>
      </c>
      <c r="C4372" s="62">
        <v>15</v>
      </c>
    </row>
    <row r="4373" spans="1:3" x14ac:dyDescent="0.2">
      <c r="A4373" s="62" t="s">
        <v>1434</v>
      </c>
      <c r="B4373" s="48">
        <v>86</v>
      </c>
      <c r="C4373" s="62">
        <v>86</v>
      </c>
    </row>
    <row r="4374" spans="1:3" x14ac:dyDescent="0.2">
      <c r="A4374" s="62" t="s">
        <v>1432</v>
      </c>
      <c r="B4374" s="48">
        <v>206</v>
      </c>
      <c r="C4374" s="62">
        <v>206</v>
      </c>
    </row>
    <row r="4375" spans="1:3" x14ac:dyDescent="0.2">
      <c r="A4375" s="62" t="s">
        <v>1431</v>
      </c>
      <c r="B4375" s="48">
        <v>61</v>
      </c>
      <c r="C4375" s="62">
        <v>61</v>
      </c>
    </row>
    <row r="4376" spans="1:3" x14ac:dyDescent="0.2">
      <c r="A4376" s="62" t="s">
        <v>1430</v>
      </c>
      <c r="B4376" s="48">
        <v>61</v>
      </c>
      <c r="C4376" s="62">
        <v>61</v>
      </c>
    </row>
    <row r="4377" spans="1:3" x14ac:dyDescent="0.2">
      <c r="A4377" s="62" t="s">
        <v>1429</v>
      </c>
      <c r="B4377" s="48">
        <v>61</v>
      </c>
      <c r="C4377" s="62">
        <v>61</v>
      </c>
    </row>
    <row r="4378" spans="1:3" x14ac:dyDescent="0.2">
      <c r="A4378" s="62" t="s">
        <v>1428</v>
      </c>
      <c r="B4378" s="48">
        <v>61</v>
      </c>
      <c r="C4378" s="62">
        <v>61</v>
      </c>
    </row>
    <row r="4379" spans="1:3" x14ac:dyDescent="0.2">
      <c r="A4379" s="62" t="s">
        <v>1427</v>
      </c>
      <c r="B4379" s="48">
        <v>2</v>
      </c>
      <c r="C4379" s="62">
        <v>2</v>
      </c>
    </row>
    <row r="4380" spans="1:3" x14ac:dyDescent="0.2">
      <c r="A4380" s="62" t="s">
        <v>1426</v>
      </c>
      <c r="B4380" s="48">
        <v>2</v>
      </c>
      <c r="C4380" s="62">
        <v>2</v>
      </c>
    </row>
    <row r="4381" spans="1:3" x14ac:dyDescent="0.2">
      <c r="A4381" s="62" t="s">
        <v>1425</v>
      </c>
      <c r="B4381" s="48">
        <v>148</v>
      </c>
      <c r="C4381" s="62">
        <v>148</v>
      </c>
    </row>
    <row r="4382" spans="1:3" x14ac:dyDescent="0.2">
      <c r="A4382" s="62" t="s">
        <v>1424</v>
      </c>
      <c r="B4382" s="48">
        <v>61</v>
      </c>
      <c r="C4382" s="62">
        <v>61</v>
      </c>
    </row>
    <row r="4383" spans="1:3" x14ac:dyDescent="0.2">
      <c r="A4383" s="62" t="s">
        <v>1423</v>
      </c>
      <c r="B4383" s="48">
        <v>12</v>
      </c>
      <c r="C4383" s="62">
        <v>12</v>
      </c>
    </row>
    <row r="4384" spans="1:3" x14ac:dyDescent="0.2">
      <c r="A4384" s="62" t="s">
        <v>1421</v>
      </c>
      <c r="B4384" s="48">
        <v>14</v>
      </c>
      <c r="C4384" s="62">
        <v>14</v>
      </c>
    </row>
    <row r="4385" spans="1:3" x14ac:dyDescent="0.2">
      <c r="A4385" s="62" t="s">
        <v>1419</v>
      </c>
      <c r="B4385" s="48">
        <v>14</v>
      </c>
      <c r="C4385" s="62">
        <v>14</v>
      </c>
    </row>
    <row r="4386" spans="1:3" x14ac:dyDescent="0.2">
      <c r="A4386" s="62" t="s">
        <v>1417</v>
      </c>
      <c r="B4386" s="48">
        <v>14</v>
      </c>
      <c r="C4386" s="62">
        <v>14</v>
      </c>
    </row>
    <row r="4387" spans="1:3" x14ac:dyDescent="0.2">
      <c r="A4387" s="62" t="s">
        <v>1415</v>
      </c>
      <c r="B4387" s="48">
        <v>14</v>
      </c>
      <c r="C4387" s="62">
        <v>14</v>
      </c>
    </row>
    <row r="4388" spans="1:3" x14ac:dyDescent="0.2">
      <c r="A4388" s="62" t="s">
        <v>1413</v>
      </c>
      <c r="B4388" s="48">
        <v>182</v>
      </c>
      <c r="C4388" s="62">
        <v>182</v>
      </c>
    </row>
    <row r="4389" spans="1:3" x14ac:dyDescent="0.2">
      <c r="A4389" s="62" t="s">
        <v>1412</v>
      </c>
      <c r="B4389" s="48">
        <v>226</v>
      </c>
      <c r="C4389" s="62">
        <v>226</v>
      </c>
    </row>
    <row r="4390" spans="1:3" x14ac:dyDescent="0.2">
      <c r="A4390" s="62" t="s">
        <v>1411</v>
      </c>
      <c r="B4390" s="48">
        <v>226</v>
      </c>
      <c r="C4390" s="62">
        <v>226</v>
      </c>
    </row>
    <row r="4391" spans="1:3" x14ac:dyDescent="0.2">
      <c r="A4391" s="62" t="s">
        <v>1410</v>
      </c>
      <c r="B4391" s="48">
        <v>226</v>
      </c>
      <c r="C4391" s="62">
        <v>226</v>
      </c>
    </row>
    <row r="4392" spans="1:3" x14ac:dyDescent="0.2">
      <c r="A4392" s="62" t="s">
        <v>1409</v>
      </c>
      <c r="B4392" s="48">
        <v>226</v>
      </c>
      <c r="C4392" s="62">
        <v>226</v>
      </c>
    </row>
    <row r="4393" spans="1:3" x14ac:dyDescent="0.2">
      <c r="A4393" s="62" t="s">
        <v>1408</v>
      </c>
      <c r="B4393" s="48">
        <v>2</v>
      </c>
      <c r="C4393" s="62">
        <v>2</v>
      </c>
    </row>
    <row r="4394" spans="1:3" x14ac:dyDescent="0.2">
      <c r="A4394" s="62" t="s">
        <v>1407</v>
      </c>
      <c r="B4394" s="48">
        <v>15</v>
      </c>
      <c r="C4394" s="62">
        <v>15</v>
      </c>
    </row>
    <row r="4395" spans="1:3" x14ac:dyDescent="0.2">
      <c r="A4395" s="62" t="s">
        <v>1406</v>
      </c>
      <c r="B4395" s="48">
        <v>2</v>
      </c>
      <c r="C4395" s="62">
        <v>2</v>
      </c>
    </row>
    <row r="4396" spans="1:3" x14ac:dyDescent="0.2">
      <c r="A4396" s="62" t="s">
        <v>1404</v>
      </c>
      <c r="B4396" s="48">
        <v>230</v>
      </c>
      <c r="C4396" s="62">
        <v>230</v>
      </c>
    </row>
    <row r="4397" spans="1:3" x14ac:dyDescent="0.2">
      <c r="A4397" s="62" t="s">
        <v>1403</v>
      </c>
      <c r="B4397" s="48">
        <v>4</v>
      </c>
      <c r="C4397" s="62">
        <v>4</v>
      </c>
    </row>
    <row r="4398" spans="1:3" x14ac:dyDescent="0.2">
      <c r="A4398" s="62" t="s">
        <v>1402</v>
      </c>
      <c r="B4398" s="48">
        <v>4</v>
      </c>
      <c r="C4398" s="62">
        <v>4</v>
      </c>
    </row>
    <row r="4399" spans="1:3" x14ac:dyDescent="0.2">
      <c r="A4399" s="62" t="s">
        <v>1401</v>
      </c>
      <c r="B4399" s="48">
        <v>68</v>
      </c>
      <c r="C4399" s="62">
        <v>68</v>
      </c>
    </row>
    <row r="4400" spans="1:3" x14ac:dyDescent="0.2">
      <c r="A4400" s="62" t="s">
        <v>1400</v>
      </c>
      <c r="B4400" s="48">
        <v>167</v>
      </c>
      <c r="C4400" s="62">
        <v>167</v>
      </c>
    </row>
    <row r="4401" spans="1:3" x14ac:dyDescent="0.2">
      <c r="A4401" s="62" t="s">
        <v>1399</v>
      </c>
      <c r="B4401" s="48">
        <v>167</v>
      </c>
      <c r="C4401" s="62">
        <v>167</v>
      </c>
    </row>
    <row r="4402" spans="1:3" x14ac:dyDescent="0.2">
      <c r="A4402" s="62" t="s">
        <v>1398</v>
      </c>
      <c r="B4402" s="48">
        <v>221</v>
      </c>
      <c r="C4402" s="62">
        <v>221</v>
      </c>
    </row>
    <row r="4403" spans="1:3" x14ac:dyDescent="0.2">
      <c r="A4403" s="62" t="s">
        <v>1397</v>
      </c>
      <c r="B4403" s="48">
        <v>87</v>
      </c>
      <c r="C4403" s="62">
        <v>87</v>
      </c>
    </row>
    <row r="4404" spans="1:3" x14ac:dyDescent="0.2">
      <c r="A4404" s="62" t="s">
        <v>1396</v>
      </c>
      <c r="B4404" s="48">
        <v>64</v>
      </c>
      <c r="C4404" s="62">
        <v>64</v>
      </c>
    </row>
    <row r="4405" spans="1:3" x14ac:dyDescent="0.2">
      <c r="A4405" s="62" t="s">
        <v>1395</v>
      </c>
      <c r="B4405" s="48">
        <v>169</v>
      </c>
      <c r="C4405" s="62">
        <v>169</v>
      </c>
    </row>
    <row r="4406" spans="1:3" x14ac:dyDescent="0.2">
      <c r="A4406" s="62" t="s">
        <v>1394</v>
      </c>
      <c r="B4406" s="48">
        <v>170</v>
      </c>
      <c r="C4406" s="62">
        <v>170</v>
      </c>
    </row>
    <row r="4407" spans="1:3" x14ac:dyDescent="0.2">
      <c r="A4407" s="62" t="s">
        <v>1392</v>
      </c>
      <c r="B4407" s="48">
        <v>70</v>
      </c>
      <c r="C4407" s="62">
        <v>70</v>
      </c>
    </row>
    <row r="4408" spans="1:3" x14ac:dyDescent="0.2">
      <c r="A4408" s="62" t="s">
        <v>1391</v>
      </c>
      <c r="B4408" s="48">
        <v>4</v>
      </c>
      <c r="C4408" s="62">
        <v>4</v>
      </c>
    </row>
    <row r="4409" spans="1:3" x14ac:dyDescent="0.2">
      <c r="A4409" s="62" t="s">
        <v>1390</v>
      </c>
      <c r="B4409" s="48">
        <v>14</v>
      </c>
      <c r="C4409" s="62">
        <v>14</v>
      </c>
    </row>
    <row r="4410" spans="1:3" x14ac:dyDescent="0.2">
      <c r="A4410" s="62" t="s">
        <v>1389</v>
      </c>
      <c r="B4410" s="48">
        <v>2</v>
      </c>
      <c r="C4410" s="62">
        <v>2</v>
      </c>
    </row>
    <row r="4411" spans="1:3" x14ac:dyDescent="0.2">
      <c r="A4411" s="62" t="s">
        <v>1388</v>
      </c>
      <c r="B4411" s="48">
        <v>2</v>
      </c>
      <c r="C4411" s="62">
        <v>2</v>
      </c>
    </row>
    <row r="4412" spans="1:3" x14ac:dyDescent="0.2">
      <c r="A4412" s="62" t="s">
        <v>1387</v>
      </c>
      <c r="B4412" s="48">
        <v>11</v>
      </c>
      <c r="C4412" s="62">
        <v>11</v>
      </c>
    </row>
    <row r="4413" spans="1:3" x14ac:dyDescent="0.2">
      <c r="A4413" s="62" t="s">
        <v>1385</v>
      </c>
      <c r="B4413" s="48">
        <v>2</v>
      </c>
      <c r="C4413" s="62">
        <v>2</v>
      </c>
    </row>
    <row r="4414" spans="1:3" x14ac:dyDescent="0.2">
      <c r="A4414" s="62" t="s">
        <v>1383</v>
      </c>
      <c r="B4414" s="48">
        <v>15</v>
      </c>
      <c r="C4414" s="62">
        <v>15</v>
      </c>
    </row>
    <row r="4415" spans="1:3" x14ac:dyDescent="0.2">
      <c r="A4415" s="62" t="s">
        <v>1382</v>
      </c>
      <c r="B4415" s="48">
        <v>33</v>
      </c>
      <c r="C4415" s="62">
        <v>33</v>
      </c>
    </row>
    <row r="4416" spans="1:3" x14ac:dyDescent="0.2">
      <c r="A4416" s="62" t="s">
        <v>1381</v>
      </c>
      <c r="B4416" s="48">
        <v>5</v>
      </c>
      <c r="C4416" s="62">
        <v>5</v>
      </c>
    </row>
    <row r="4417" spans="1:3" x14ac:dyDescent="0.2">
      <c r="A4417" s="62" t="s">
        <v>1379</v>
      </c>
      <c r="B4417" s="48">
        <v>14</v>
      </c>
      <c r="C4417" s="62">
        <v>14</v>
      </c>
    </row>
    <row r="4418" spans="1:3" x14ac:dyDescent="0.2">
      <c r="A4418" s="62" t="s">
        <v>1378</v>
      </c>
      <c r="B4418" s="48">
        <v>14</v>
      </c>
      <c r="C4418" s="62">
        <v>14</v>
      </c>
    </row>
    <row r="4419" spans="1:3" x14ac:dyDescent="0.2">
      <c r="A4419" s="62" t="s">
        <v>1377</v>
      </c>
      <c r="B4419" s="48">
        <v>14</v>
      </c>
      <c r="C4419" s="62">
        <v>14</v>
      </c>
    </row>
    <row r="4420" spans="1:3" x14ac:dyDescent="0.2">
      <c r="A4420" s="62" t="s">
        <v>1376</v>
      </c>
      <c r="B4420" s="48">
        <v>228</v>
      </c>
      <c r="C4420" s="62">
        <v>228</v>
      </c>
    </row>
    <row r="4421" spans="1:3" x14ac:dyDescent="0.2">
      <c r="A4421" s="62" t="s">
        <v>1375</v>
      </c>
      <c r="B4421" s="48">
        <v>33</v>
      </c>
      <c r="C4421" s="62">
        <v>33</v>
      </c>
    </row>
    <row r="4422" spans="1:3" x14ac:dyDescent="0.2">
      <c r="A4422" s="62" t="s">
        <v>1373</v>
      </c>
      <c r="B4422" s="48">
        <v>14</v>
      </c>
      <c r="C4422" s="62">
        <v>14</v>
      </c>
    </row>
    <row r="4423" spans="1:3" x14ac:dyDescent="0.2">
      <c r="A4423" s="62" t="s">
        <v>1372</v>
      </c>
      <c r="B4423" s="48">
        <v>63</v>
      </c>
      <c r="C4423" s="62">
        <v>63</v>
      </c>
    </row>
    <row r="4424" spans="1:3" x14ac:dyDescent="0.2">
      <c r="A4424" s="62" t="s">
        <v>1371</v>
      </c>
      <c r="B4424" s="48">
        <v>88</v>
      </c>
      <c r="C4424" s="62">
        <v>88</v>
      </c>
    </row>
    <row r="4425" spans="1:3" x14ac:dyDescent="0.2">
      <c r="A4425" s="62" t="s">
        <v>1370</v>
      </c>
      <c r="B4425" s="48">
        <v>14</v>
      </c>
      <c r="C4425" s="62">
        <v>14</v>
      </c>
    </row>
    <row r="4426" spans="1:3" x14ac:dyDescent="0.2">
      <c r="A4426" s="62" t="s">
        <v>1369</v>
      </c>
      <c r="B4426" s="48">
        <v>60</v>
      </c>
      <c r="C4426" s="62">
        <v>60</v>
      </c>
    </row>
    <row r="4427" spans="1:3" x14ac:dyDescent="0.2">
      <c r="A4427" s="62" t="s">
        <v>1368</v>
      </c>
      <c r="B4427" s="48">
        <v>2</v>
      </c>
      <c r="C4427" s="62">
        <v>2</v>
      </c>
    </row>
    <row r="4428" spans="1:3" x14ac:dyDescent="0.2">
      <c r="A4428" s="62" t="s">
        <v>1367</v>
      </c>
      <c r="B4428" s="48">
        <v>130</v>
      </c>
      <c r="C4428" s="62">
        <v>130</v>
      </c>
    </row>
    <row r="4429" spans="1:3" x14ac:dyDescent="0.2">
      <c r="A4429" s="62" t="s">
        <v>1366</v>
      </c>
      <c r="B4429" s="48">
        <v>189</v>
      </c>
      <c r="C4429" s="62">
        <v>189</v>
      </c>
    </row>
    <row r="4430" spans="1:3" x14ac:dyDescent="0.2">
      <c r="A4430" s="62" t="s">
        <v>1365</v>
      </c>
      <c r="B4430" s="48">
        <v>61</v>
      </c>
      <c r="C4430" s="62">
        <v>61</v>
      </c>
    </row>
    <row r="4431" spans="1:3" x14ac:dyDescent="0.2">
      <c r="A4431" s="62" t="s">
        <v>1364</v>
      </c>
      <c r="B4431" s="48">
        <v>2</v>
      </c>
      <c r="C4431" s="62">
        <v>2</v>
      </c>
    </row>
    <row r="4432" spans="1:3" x14ac:dyDescent="0.2">
      <c r="A4432" s="62" t="s">
        <v>1363</v>
      </c>
      <c r="B4432" s="48">
        <v>60</v>
      </c>
      <c r="C4432" s="62">
        <v>60</v>
      </c>
    </row>
    <row r="4433" spans="1:3" x14ac:dyDescent="0.2">
      <c r="A4433" s="62" t="s">
        <v>1361</v>
      </c>
      <c r="B4433" s="48">
        <v>15</v>
      </c>
      <c r="C4433" s="62">
        <v>15</v>
      </c>
    </row>
    <row r="4434" spans="1:3" x14ac:dyDescent="0.2">
      <c r="A4434" s="62" t="s">
        <v>1360</v>
      </c>
      <c r="B4434" s="48">
        <v>14</v>
      </c>
      <c r="C4434" s="62">
        <v>14</v>
      </c>
    </row>
    <row r="4435" spans="1:3" x14ac:dyDescent="0.2">
      <c r="A4435" s="62" t="s">
        <v>1359</v>
      </c>
      <c r="B4435" s="48">
        <v>15</v>
      </c>
      <c r="C4435" s="62">
        <v>15</v>
      </c>
    </row>
    <row r="4436" spans="1:3" x14ac:dyDescent="0.2">
      <c r="A4436" s="62" t="s">
        <v>1358</v>
      </c>
      <c r="B4436" s="48">
        <v>70</v>
      </c>
      <c r="C4436" s="62">
        <v>70</v>
      </c>
    </row>
    <row r="4437" spans="1:3" x14ac:dyDescent="0.2">
      <c r="A4437" s="62" t="s">
        <v>1357</v>
      </c>
      <c r="B4437" s="48">
        <v>15</v>
      </c>
      <c r="C4437" s="62">
        <v>15</v>
      </c>
    </row>
    <row r="4438" spans="1:3" x14ac:dyDescent="0.2">
      <c r="A4438" s="62" t="s">
        <v>1354</v>
      </c>
      <c r="B4438" s="48">
        <v>2</v>
      </c>
      <c r="C4438" s="62">
        <v>2</v>
      </c>
    </row>
    <row r="4439" spans="1:3" x14ac:dyDescent="0.2">
      <c r="A4439" s="62" t="s">
        <v>1353</v>
      </c>
      <c r="B4439" s="48">
        <v>179</v>
      </c>
      <c r="C4439" s="62">
        <v>179</v>
      </c>
    </row>
    <row r="4440" spans="1:3" x14ac:dyDescent="0.2">
      <c r="A4440" s="62" t="s">
        <v>1352</v>
      </c>
      <c r="B4440" s="48">
        <v>225</v>
      </c>
      <c r="C4440" s="62">
        <v>225</v>
      </c>
    </row>
    <row r="4441" spans="1:3" x14ac:dyDescent="0.2">
      <c r="A4441" s="62" t="s">
        <v>1351</v>
      </c>
      <c r="B4441" s="48">
        <v>225</v>
      </c>
      <c r="C4441" s="62">
        <v>225</v>
      </c>
    </row>
    <row r="4442" spans="1:3" x14ac:dyDescent="0.2">
      <c r="A4442" s="62" t="s">
        <v>1350</v>
      </c>
      <c r="B4442" s="48">
        <v>86</v>
      </c>
      <c r="C4442" s="62">
        <v>86</v>
      </c>
    </row>
    <row r="4443" spans="1:3" x14ac:dyDescent="0.2">
      <c r="A4443" s="62" t="s">
        <v>1349</v>
      </c>
      <c r="B4443" s="48">
        <v>15</v>
      </c>
      <c r="C4443" s="62">
        <v>15</v>
      </c>
    </row>
    <row r="4444" spans="1:3" x14ac:dyDescent="0.2">
      <c r="A4444" s="62" t="s">
        <v>1348</v>
      </c>
      <c r="B4444" s="48">
        <v>61</v>
      </c>
      <c r="C4444" s="62">
        <v>61</v>
      </c>
    </row>
    <row r="4445" spans="1:3" x14ac:dyDescent="0.2">
      <c r="A4445" s="62" t="s">
        <v>1347</v>
      </c>
      <c r="B4445" s="48">
        <v>14</v>
      </c>
      <c r="C4445" s="62">
        <v>14</v>
      </c>
    </row>
    <row r="4446" spans="1:3" x14ac:dyDescent="0.2">
      <c r="A4446" s="62" t="s">
        <v>1346</v>
      </c>
      <c r="B4446" s="48">
        <v>205</v>
      </c>
      <c r="C4446" s="62">
        <v>205</v>
      </c>
    </row>
    <row r="4447" spans="1:3" x14ac:dyDescent="0.2">
      <c r="A4447" s="62" t="s">
        <v>1345</v>
      </c>
      <c r="B4447" s="48">
        <v>2</v>
      </c>
      <c r="C4447" s="62">
        <v>2</v>
      </c>
    </row>
    <row r="4448" spans="1:3" x14ac:dyDescent="0.2">
      <c r="A4448" s="62" t="s">
        <v>1344</v>
      </c>
      <c r="B4448" s="48">
        <v>2</v>
      </c>
      <c r="C4448" s="62">
        <v>2</v>
      </c>
    </row>
    <row r="4449" spans="1:3" x14ac:dyDescent="0.2">
      <c r="A4449" s="62" t="s">
        <v>1343</v>
      </c>
      <c r="B4449" s="48">
        <v>14</v>
      </c>
      <c r="C4449" s="62">
        <v>14</v>
      </c>
    </row>
    <row r="4450" spans="1:3" x14ac:dyDescent="0.2">
      <c r="A4450" s="62" t="s">
        <v>1342</v>
      </c>
      <c r="B4450" s="48">
        <v>14</v>
      </c>
      <c r="C4450" s="62">
        <v>14</v>
      </c>
    </row>
    <row r="4451" spans="1:3" x14ac:dyDescent="0.2">
      <c r="A4451" s="62" t="s">
        <v>1341</v>
      </c>
      <c r="B4451" s="48">
        <v>2</v>
      </c>
      <c r="C4451" s="62">
        <v>2</v>
      </c>
    </row>
    <row r="4452" spans="1:3" x14ac:dyDescent="0.2">
      <c r="A4452" s="62" t="s">
        <v>1340</v>
      </c>
      <c r="B4452" s="48">
        <v>14</v>
      </c>
      <c r="C4452" s="62">
        <v>14</v>
      </c>
    </row>
    <row r="4453" spans="1:3" x14ac:dyDescent="0.2">
      <c r="A4453" s="62" t="s">
        <v>1339</v>
      </c>
      <c r="B4453" s="48">
        <v>15</v>
      </c>
      <c r="C4453" s="62">
        <v>15</v>
      </c>
    </row>
    <row r="4454" spans="1:3" x14ac:dyDescent="0.2">
      <c r="A4454" s="62" t="s">
        <v>1338</v>
      </c>
      <c r="B4454" s="48">
        <v>205</v>
      </c>
      <c r="C4454" s="62">
        <v>205</v>
      </c>
    </row>
    <row r="4455" spans="1:3" x14ac:dyDescent="0.2">
      <c r="A4455" s="62" t="s">
        <v>1337</v>
      </c>
      <c r="B4455" s="48">
        <v>14</v>
      </c>
      <c r="C4455" s="62">
        <v>14</v>
      </c>
    </row>
    <row r="4456" spans="1:3" x14ac:dyDescent="0.2">
      <c r="A4456" s="62" t="s">
        <v>1336</v>
      </c>
      <c r="B4456" s="48">
        <v>14</v>
      </c>
      <c r="C4456" s="62">
        <v>14</v>
      </c>
    </row>
    <row r="4457" spans="1:3" x14ac:dyDescent="0.2">
      <c r="A4457" s="62" t="s">
        <v>1335</v>
      </c>
      <c r="B4457" s="48">
        <v>12</v>
      </c>
      <c r="C4457" s="62">
        <v>12</v>
      </c>
    </row>
    <row r="4458" spans="1:3" x14ac:dyDescent="0.2">
      <c r="A4458" s="62" t="s">
        <v>1334</v>
      </c>
      <c r="B4458" s="48">
        <v>12</v>
      </c>
      <c r="C4458" s="62">
        <v>12</v>
      </c>
    </row>
    <row r="4459" spans="1:3" x14ac:dyDescent="0.2">
      <c r="A4459" s="62" t="s">
        <v>1333</v>
      </c>
      <c r="B4459" s="48">
        <v>12</v>
      </c>
      <c r="C4459" s="62">
        <v>12</v>
      </c>
    </row>
    <row r="4460" spans="1:3" x14ac:dyDescent="0.2">
      <c r="A4460" s="62" t="s">
        <v>1332</v>
      </c>
      <c r="B4460" s="48">
        <v>56</v>
      </c>
      <c r="C4460" s="62">
        <v>56</v>
      </c>
    </row>
    <row r="4461" spans="1:3" x14ac:dyDescent="0.2">
      <c r="A4461" s="62" t="s">
        <v>1330</v>
      </c>
      <c r="B4461" s="48">
        <v>15</v>
      </c>
      <c r="C4461" s="62">
        <v>15</v>
      </c>
    </row>
    <row r="4462" spans="1:3" x14ac:dyDescent="0.2">
      <c r="A4462" s="62" t="s">
        <v>1329</v>
      </c>
      <c r="B4462" s="48">
        <v>140</v>
      </c>
      <c r="C4462" s="62">
        <v>140</v>
      </c>
    </row>
    <row r="4463" spans="1:3" x14ac:dyDescent="0.2">
      <c r="A4463" s="62" t="s">
        <v>1328</v>
      </c>
      <c r="B4463" s="48">
        <v>167</v>
      </c>
      <c r="C4463" s="62">
        <v>167</v>
      </c>
    </row>
    <row r="4464" spans="1:3" x14ac:dyDescent="0.2">
      <c r="A4464" s="62" t="s">
        <v>1327</v>
      </c>
      <c r="B4464" s="48">
        <v>14</v>
      </c>
      <c r="C4464" s="62">
        <v>14</v>
      </c>
    </row>
    <row r="4465" spans="1:3" x14ac:dyDescent="0.2">
      <c r="A4465" s="62" t="s">
        <v>1326</v>
      </c>
      <c r="B4465" s="48">
        <v>147</v>
      </c>
      <c r="C4465" s="62">
        <v>147</v>
      </c>
    </row>
    <row r="4466" spans="1:3" x14ac:dyDescent="0.2">
      <c r="A4466" s="62" t="s">
        <v>1324</v>
      </c>
      <c r="B4466" s="48">
        <v>2</v>
      </c>
      <c r="C4466" s="62">
        <v>2</v>
      </c>
    </row>
    <row r="4467" spans="1:3" x14ac:dyDescent="0.2">
      <c r="A4467" s="62" t="s">
        <v>1323</v>
      </c>
      <c r="B4467" s="48">
        <v>148</v>
      </c>
      <c r="C4467" s="62">
        <v>148</v>
      </c>
    </row>
    <row r="4468" spans="1:3" x14ac:dyDescent="0.2">
      <c r="A4468" s="62" t="s">
        <v>1322</v>
      </c>
      <c r="B4468" s="48">
        <v>13</v>
      </c>
      <c r="C4468" s="62">
        <v>13</v>
      </c>
    </row>
    <row r="4469" spans="1:3" x14ac:dyDescent="0.2">
      <c r="A4469" s="62" t="s">
        <v>1312</v>
      </c>
      <c r="B4469" s="48">
        <v>154</v>
      </c>
      <c r="C4469" s="62">
        <v>154</v>
      </c>
    </row>
    <row r="4470" spans="1:3" x14ac:dyDescent="0.2">
      <c r="A4470" s="62" t="s">
        <v>1311</v>
      </c>
      <c r="B4470" s="48">
        <v>61</v>
      </c>
      <c r="C4470" s="62">
        <v>61</v>
      </c>
    </row>
    <row r="4471" spans="1:3" x14ac:dyDescent="0.2">
      <c r="A4471" s="62" t="s">
        <v>1310</v>
      </c>
      <c r="B4471" s="48">
        <v>61</v>
      </c>
      <c r="C4471" s="62">
        <v>61</v>
      </c>
    </row>
    <row r="4472" spans="1:3" x14ac:dyDescent="0.2">
      <c r="A4472" s="62" t="s">
        <v>1309</v>
      </c>
      <c r="B4472" s="48">
        <v>61</v>
      </c>
      <c r="C4472" s="62">
        <v>61</v>
      </c>
    </row>
    <row r="4473" spans="1:3" x14ac:dyDescent="0.2">
      <c r="A4473" s="62" t="s">
        <v>1308</v>
      </c>
      <c r="B4473" s="48">
        <v>61</v>
      </c>
      <c r="C4473" s="62">
        <v>61</v>
      </c>
    </row>
    <row r="4474" spans="1:3" x14ac:dyDescent="0.2">
      <c r="A4474" s="62" t="s">
        <v>1307</v>
      </c>
      <c r="B4474" s="48">
        <v>61</v>
      </c>
      <c r="C4474" s="62">
        <v>61</v>
      </c>
    </row>
    <row r="4475" spans="1:3" x14ac:dyDescent="0.2">
      <c r="A4475" s="62" t="s">
        <v>1306</v>
      </c>
      <c r="B4475" s="48">
        <v>139</v>
      </c>
      <c r="C4475" s="62">
        <v>139</v>
      </c>
    </row>
    <row r="4476" spans="1:3" x14ac:dyDescent="0.2">
      <c r="A4476" s="62" t="s">
        <v>1305</v>
      </c>
      <c r="B4476" s="48">
        <v>58</v>
      </c>
      <c r="C4476" s="62">
        <v>58</v>
      </c>
    </row>
    <row r="4477" spans="1:3" x14ac:dyDescent="0.2">
      <c r="A4477" s="62" t="s">
        <v>1304</v>
      </c>
      <c r="B4477" s="48">
        <v>61</v>
      </c>
      <c r="C4477" s="62">
        <v>61</v>
      </c>
    </row>
    <row r="4478" spans="1:3" x14ac:dyDescent="0.2">
      <c r="A4478" s="62" t="s">
        <v>1303</v>
      </c>
      <c r="B4478" s="48">
        <v>14</v>
      </c>
      <c r="C4478" s="62">
        <v>14</v>
      </c>
    </row>
    <row r="4479" spans="1:3" x14ac:dyDescent="0.2">
      <c r="A4479" s="62" t="s">
        <v>1302</v>
      </c>
      <c r="B4479" s="48">
        <v>19</v>
      </c>
      <c r="C4479" s="62">
        <v>19</v>
      </c>
    </row>
    <row r="4480" spans="1:3" x14ac:dyDescent="0.2">
      <c r="A4480" s="62" t="s">
        <v>1301</v>
      </c>
      <c r="B4480" s="48">
        <v>167</v>
      </c>
      <c r="C4480" s="62">
        <v>167</v>
      </c>
    </row>
    <row r="4481" spans="1:3" x14ac:dyDescent="0.2">
      <c r="A4481" s="62" t="s">
        <v>1299</v>
      </c>
      <c r="B4481" s="48">
        <v>152</v>
      </c>
      <c r="C4481" s="62">
        <v>152</v>
      </c>
    </row>
    <row r="4482" spans="1:3" x14ac:dyDescent="0.2">
      <c r="A4482" s="62" t="s">
        <v>1298</v>
      </c>
      <c r="B4482" s="48">
        <v>15</v>
      </c>
      <c r="C4482" s="62">
        <v>15</v>
      </c>
    </row>
    <row r="4483" spans="1:3" x14ac:dyDescent="0.2">
      <c r="A4483" s="62" t="s">
        <v>1297</v>
      </c>
      <c r="B4483" s="48">
        <v>13</v>
      </c>
      <c r="C4483" s="62">
        <v>13</v>
      </c>
    </row>
    <row r="4484" spans="1:3" x14ac:dyDescent="0.2">
      <c r="A4484" s="62" t="s">
        <v>1296</v>
      </c>
      <c r="B4484" s="48">
        <v>2</v>
      </c>
      <c r="C4484" s="62">
        <v>2</v>
      </c>
    </row>
    <row r="4485" spans="1:3" x14ac:dyDescent="0.2">
      <c r="A4485" s="62" t="s">
        <v>1295</v>
      </c>
      <c r="B4485" s="48">
        <v>18</v>
      </c>
      <c r="C4485" s="62">
        <v>18</v>
      </c>
    </row>
    <row r="4486" spans="1:3" x14ac:dyDescent="0.2">
      <c r="A4486" s="62" t="s">
        <v>1294</v>
      </c>
      <c r="B4486" s="48">
        <v>2</v>
      </c>
      <c r="C4486" s="62">
        <v>2</v>
      </c>
    </row>
    <row r="4487" spans="1:3" x14ac:dyDescent="0.2">
      <c r="A4487" s="62" t="s">
        <v>1290</v>
      </c>
      <c r="B4487" s="48">
        <v>217</v>
      </c>
      <c r="C4487" s="62">
        <v>217</v>
      </c>
    </row>
    <row r="4488" spans="1:3" x14ac:dyDescent="0.2">
      <c r="A4488" s="62" t="s">
        <v>1289</v>
      </c>
      <c r="B4488" s="48">
        <v>148</v>
      </c>
      <c r="C4488" s="62">
        <v>148</v>
      </c>
    </row>
    <row r="4489" spans="1:3" x14ac:dyDescent="0.2">
      <c r="A4489" s="62" t="s">
        <v>1287</v>
      </c>
      <c r="B4489" s="48">
        <v>167</v>
      </c>
      <c r="C4489" s="62">
        <v>167</v>
      </c>
    </row>
    <row r="4490" spans="1:3" x14ac:dyDescent="0.2">
      <c r="A4490" s="62" t="s">
        <v>1285</v>
      </c>
      <c r="B4490" s="48">
        <v>56</v>
      </c>
      <c r="C4490" s="62">
        <v>56</v>
      </c>
    </row>
    <row r="4491" spans="1:3" x14ac:dyDescent="0.2">
      <c r="A4491" s="62" t="s">
        <v>1283</v>
      </c>
      <c r="B4491" s="48">
        <v>15</v>
      </c>
      <c r="C4491" s="62">
        <v>15</v>
      </c>
    </row>
    <row r="4492" spans="1:3" x14ac:dyDescent="0.2">
      <c r="A4492" s="62" t="s">
        <v>1282</v>
      </c>
      <c r="B4492" s="48">
        <v>5</v>
      </c>
      <c r="C4492" s="62">
        <v>5</v>
      </c>
    </row>
    <row r="4493" spans="1:3" x14ac:dyDescent="0.2">
      <c r="A4493" s="62" t="s">
        <v>1281</v>
      </c>
      <c r="B4493" s="48">
        <v>44</v>
      </c>
      <c r="C4493" s="62">
        <v>44</v>
      </c>
    </row>
    <row r="4494" spans="1:3" x14ac:dyDescent="0.2">
      <c r="A4494" s="62" t="s">
        <v>1277</v>
      </c>
      <c r="B4494" s="48">
        <v>2</v>
      </c>
      <c r="C4494" s="62">
        <v>2</v>
      </c>
    </row>
    <row r="4495" spans="1:3" x14ac:dyDescent="0.2">
      <c r="A4495" s="62" t="s">
        <v>1275</v>
      </c>
      <c r="B4495" s="48">
        <v>14</v>
      </c>
      <c r="C4495" s="62">
        <v>14</v>
      </c>
    </row>
    <row r="4496" spans="1:3" x14ac:dyDescent="0.2">
      <c r="A4496" s="62" t="s">
        <v>1273</v>
      </c>
      <c r="B4496" s="48">
        <v>14</v>
      </c>
      <c r="C4496" s="62">
        <v>14</v>
      </c>
    </row>
    <row r="4497" spans="1:3" x14ac:dyDescent="0.2">
      <c r="A4497" s="62" t="s">
        <v>1271</v>
      </c>
      <c r="B4497" s="48">
        <v>14</v>
      </c>
      <c r="C4497" s="62">
        <v>14</v>
      </c>
    </row>
    <row r="4498" spans="1:3" x14ac:dyDescent="0.2">
      <c r="A4498" s="62" t="s">
        <v>1270</v>
      </c>
      <c r="B4498" s="48">
        <v>82</v>
      </c>
      <c r="C4498" s="62">
        <v>82</v>
      </c>
    </row>
    <row r="4499" spans="1:3" x14ac:dyDescent="0.2">
      <c r="A4499" s="62" t="s">
        <v>1268</v>
      </c>
      <c r="B4499" s="48">
        <v>2</v>
      </c>
      <c r="C4499" s="62">
        <v>2</v>
      </c>
    </row>
    <row r="4500" spans="1:3" x14ac:dyDescent="0.2">
      <c r="A4500" s="62" t="s">
        <v>1267</v>
      </c>
      <c r="B4500" s="48">
        <v>82</v>
      </c>
      <c r="C4500" s="62">
        <v>82</v>
      </c>
    </row>
    <row r="4501" spans="1:3" x14ac:dyDescent="0.2">
      <c r="A4501" s="62" t="s">
        <v>1265</v>
      </c>
      <c r="B4501" s="48">
        <v>14</v>
      </c>
      <c r="C4501" s="62">
        <v>14</v>
      </c>
    </row>
    <row r="4502" spans="1:3" x14ac:dyDescent="0.2">
      <c r="A4502" s="62" t="s">
        <v>1264</v>
      </c>
      <c r="B4502" s="48">
        <v>14</v>
      </c>
      <c r="C4502" s="62">
        <v>14</v>
      </c>
    </row>
    <row r="4503" spans="1:3" x14ac:dyDescent="0.2">
      <c r="A4503" s="62" t="s">
        <v>1263</v>
      </c>
      <c r="B4503" s="48">
        <v>122</v>
      </c>
      <c r="C4503" s="62">
        <v>122</v>
      </c>
    </row>
    <row r="4504" spans="1:3" x14ac:dyDescent="0.2">
      <c r="A4504" s="62" t="s">
        <v>1262</v>
      </c>
      <c r="B4504" s="48">
        <v>14</v>
      </c>
      <c r="C4504" s="62">
        <v>14</v>
      </c>
    </row>
    <row r="4505" spans="1:3" x14ac:dyDescent="0.2">
      <c r="A4505" s="62" t="s">
        <v>1261</v>
      </c>
      <c r="B4505" s="48">
        <v>14</v>
      </c>
      <c r="C4505" s="62">
        <v>14</v>
      </c>
    </row>
    <row r="4506" spans="1:3" x14ac:dyDescent="0.2">
      <c r="A4506" s="62" t="s">
        <v>1260</v>
      </c>
      <c r="B4506" s="48">
        <v>15</v>
      </c>
      <c r="C4506" s="62">
        <v>15</v>
      </c>
    </row>
    <row r="4507" spans="1:3" x14ac:dyDescent="0.2">
      <c r="A4507" s="62" t="s">
        <v>1259</v>
      </c>
      <c r="B4507" s="48">
        <v>15</v>
      </c>
      <c r="C4507" s="62">
        <v>15</v>
      </c>
    </row>
    <row r="4508" spans="1:3" x14ac:dyDescent="0.2">
      <c r="A4508" s="62" t="s">
        <v>1258</v>
      </c>
      <c r="B4508" s="48">
        <v>2</v>
      </c>
      <c r="C4508" s="62">
        <v>2</v>
      </c>
    </row>
    <row r="4509" spans="1:3" x14ac:dyDescent="0.2">
      <c r="A4509" s="62" t="s">
        <v>1257</v>
      </c>
      <c r="B4509" s="48">
        <v>2</v>
      </c>
      <c r="C4509" s="62">
        <v>2</v>
      </c>
    </row>
    <row r="4510" spans="1:3" x14ac:dyDescent="0.2">
      <c r="A4510" s="62" t="s">
        <v>1256</v>
      </c>
      <c r="B4510" s="48">
        <v>15</v>
      </c>
      <c r="C4510" s="62">
        <v>15</v>
      </c>
    </row>
    <row r="4511" spans="1:3" x14ac:dyDescent="0.2">
      <c r="A4511" s="62" t="s">
        <v>1255</v>
      </c>
      <c r="B4511" s="48">
        <v>2</v>
      </c>
      <c r="C4511" s="62">
        <v>2</v>
      </c>
    </row>
    <row r="4512" spans="1:3" x14ac:dyDescent="0.2">
      <c r="A4512" s="62" t="s">
        <v>1254</v>
      </c>
      <c r="B4512" s="48">
        <v>2</v>
      </c>
      <c r="C4512" s="62">
        <v>2</v>
      </c>
    </row>
    <row r="4513" spans="1:3" x14ac:dyDescent="0.2">
      <c r="A4513" s="62" t="s">
        <v>1253</v>
      </c>
      <c r="B4513" s="48">
        <v>2</v>
      </c>
      <c r="C4513" s="62">
        <v>2</v>
      </c>
    </row>
    <row r="4514" spans="1:3" x14ac:dyDescent="0.2">
      <c r="A4514" s="62" t="s">
        <v>1251</v>
      </c>
      <c r="B4514" s="48">
        <v>66</v>
      </c>
      <c r="C4514" s="62">
        <v>66</v>
      </c>
    </row>
    <row r="4515" spans="1:3" x14ac:dyDescent="0.2">
      <c r="A4515" s="62" t="s">
        <v>1250</v>
      </c>
      <c r="B4515" s="48">
        <v>14</v>
      </c>
      <c r="C4515" s="62">
        <v>14</v>
      </c>
    </row>
    <row r="4516" spans="1:3" x14ac:dyDescent="0.2">
      <c r="A4516" s="62" t="s">
        <v>1249</v>
      </c>
      <c r="B4516" s="48">
        <v>14</v>
      </c>
      <c r="C4516" s="62">
        <v>14</v>
      </c>
    </row>
    <row r="4517" spans="1:3" x14ac:dyDescent="0.2">
      <c r="A4517" s="62" t="s">
        <v>1248</v>
      </c>
      <c r="B4517" s="48">
        <v>70</v>
      </c>
      <c r="C4517" s="62">
        <v>70</v>
      </c>
    </row>
    <row r="4518" spans="1:3" x14ac:dyDescent="0.2">
      <c r="A4518" s="62" t="s">
        <v>1247</v>
      </c>
      <c r="B4518" s="48">
        <v>2</v>
      </c>
      <c r="C4518" s="62">
        <v>2</v>
      </c>
    </row>
    <row r="4519" spans="1:3" x14ac:dyDescent="0.2">
      <c r="A4519" s="62" t="s">
        <v>1246</v>
      </c>
      <c r="B4519" s="48">
        <v>14</v>
      </c>
      <c r="C4519" s="62">
        <v>14</v>
      </c>
    </row>
    <row r="4520" spans="1:3" x14ac:dyDescent="0.2">
      <c r="A4520" s="62" t="s">
        <v>1245</v>
      </c>
      <c r="B4520" s="48">
        <v>14</v>
      </c>
      <c r="C4520" s="62">
        <v>14</v>
      </c>
    </row>
    <row r="4521" spans="1:3" x14ac:dyDescent="0.2">
      <c r="A4521" s="62" t="s">
        <v>1244</v>
      </c>
      <c r="B4521" s="48">
        <v>57</v>
      </c>
      <c r="C4521" s="62">
        <v>57</v>
      </c>
    </row>
    <row r="4522" spans="1:3" x14ac:dyDescent="0.2">
      <c r="A4522" s="62" t="s">
        <v>1243</v>
      </c>
      <c r="B4522" s="48">
        <v>57</v>
      </c>
      <c r="C4522" s="62">
        <v>57</v>
      </c>
    </row>
    <row r="4523" spans="1:3" x14ac:dyDescent="0.2">
      <c r="A4523" s="62" t="s">
        <v>1242</v>
      </c>
      <c r="B4523" s="48">
        <v>57</v>
      </c>
      <c r="C4523" s="62">
        <v>57</v>
      </c>
    </row>
    <row r="4524" spans="1:3" x14ac:dyDescent="0.2">
      <c r="A4524" s="62" t="s">
        <v>1241</v>
      </c>
      <c r="B4524" s="48">
        <v>57</v>
      </c>
      <c r="C4524" s="62">
        <v>57</v>
      </c>
    </row>
    <row r="4525" spans="1:3" x14ac:dyDescent="0.2">
      <c r="A4525" s="62" t="s">
        <v>1240</v>
      </c>
      <c r="B4525" s="48">
        <v>130</v>
      </c>
      <c r="C4525" s="62">
        <v>130</v>
      </c>
    </row>
    <row r="4526" spans="1:3" x14ac:dyDescent="0.2">
      <c r="A4526" s="62" t="s">
        <v>1238</v>
      </c>
      <c r="B4526" s="48">
        <v>33</v>
      </c>
      <c r="C4526" s="62">
        <v>33</v>
      </c>
    </row>
    <row r="4527" spans="1:3" x14ac:dyDescent="0.2">
      <c r="A4527" s="62" t="s">
        <v>1237</v>
      </c>
      <c r="B4527" s="48">
        <v>19</v>
      </c>
      <c r="C4527" s="62">
        <v>19</v>
      </c>
    </row>
    <row r="4528" spans="1:3" x14ac:dyDescent="0.2">
      <c r="A4528" s="62" t="s">
        <v>1236</v>
      </c>
      <c r="B4528" s="48">
        <v>15</v>
      </c>
      <c r="C4528" s="62">
        <v>15</v>
      </c>
    </row>
    <row r="4529" spans="1:3" x14ac:dyDescent="0.2">
      <c r="A4529" s="62" t="s">
        <v>1235</v>
      </c>
      <c r="B4529" s="48">
        <v>15</v>
      </c>
      <c r="C4529" s="62">
        <v>15</v>
      </c>
    </row>
    <row r="4530" spans="1:3" x14ac:dyDescent="0.2">
      <c r="A4530" s="62" t="s">
        <v>1234</v>
      </c>
      <c r="B4530" s="48">
        <v>15</v>
      </c>
      <c r="C4530" s="62">
        <v>15</v>
      </c>
    </row>
    <row r="4531" spans="1:3" x14ac:dyDescent="0.2">
      <c r="A4531" s="62" t="s">
        <v>1233</v>
      </c>
      <c r="B4531" s="48">
        <v>70</v>
      </c>
      <c r="C4531" s="62">
        <v>70</v>
      </c>
    </row>
    <row r="4532" spans="1:3" x14ac:dyDescent="0.2">
      <c r="A4532" s="62" t="s">
        <v>1232</v>
      </c>
      <c r="B4532" s="48">
        <v>43</v>
      </c>
      <c r="C4532" s="62">
        <v>43</v>
      </c>
    </row>
    <row r="4533" spans="1:3" x14ac:dyDescent="0.2">
      <c r="A4533" s="62" t="s">
        <v>1231</v>
      </c>
      <c r="B4533" s="48">
        <v>15</v>
      </c>
      <c r="C4533" s="62">
        <v>15</v>
      </c>
    </row>
    <row r="4534" spans="1:3" x14ac:dyDescent="0.2">
      <c r="A4534" s="62" t="s">
        <v>1230</v>
      </c>
      <c r="B4534" s="48">
        <v>88</v>
      </c>
      <c r="C4534" s="62">
        <v>88</v>
      </c>
    </row>
    <row r="4535" spans="1:3" x14ac:dyDescent="0.2">
      <c r="A4535" s="62" t="s">
        <v>1229</v>
      </c>
      <c r="B4535" s="48">
        <v>9</v>
      </c>
      <c r="C4535" s="62">
        <v>9</v>
      </c>
    </row>
    <row r="4536" spans="1:3" x14ac:dyDescent="0.2">
      <c r="A4536" s="62" t="s">
        <v>1228</v>
      </c>
      <c r="B4536" s="48">
        <v>14</v>
      </c>
      <c r="C4536" s="62">
        <v>14</v>
      </c>
    </row>
    <row r="4537" spans="1:3" x14ac:dyDescent="0.2">
      <c r="A4537" s="62" t="s">
        <v>1227</v>
      </c>
      <c r="B4537" s="48">
        <v>14</v>
      </c>
      <c r="C4537" s="62">
        <v>14</v>
      </c>
    </row>
    <row r="4538" spans="1:3" x14ac:dyDescent="0.2">
      <c r="A4538" s="62" t="s">
        <v>1225</v>
      </c>
      <c r="B4538" s="48">
        <v>88</v>
      </c>
      <c r="C4538" s="62">
        <v>88</v>
      </c>
    </row>
    <row r="4539" spans="1:3" x14ac:dyDescent="0.2">
      <c r="A4539" s="62" t="s">
        <v>1224</v>
      </c>
      <c r="B4539" s="48">
        <v>88</v>
      </c>
      <c r="C4539" s="62">
        <v>88</v>
      </c>
    </row>
    <row r="4540" spans="1:3" x14ac:dyDescent="0.2">
      <c r="A4540" s="62" t="s">
        <v>1223</v>
      </c>
      <c r="B4540" s="48">
        <v>88</v>
      </c>
      <c r="C4540" s="62">
        <v>88</v>
      </c>
    </row>
    <row r="4541" spans="1:3" x14ac:dyDescent="0.2">
      <c r="A4541" s="62" t="s">
        <v>1222</v>
      </c>
      <c r="B4541" s="48">
        <v>88</v>
      </c>
      <c r="C4541" s="62">
        <v>88</v>
      </c>
    </row>
    <row r="4542" spans="1:3" x14ac:dyDescent="0.2">
      <c r="A4542" s="62" t="s">
        <v>1221</v>
      </c>
      <c r="B4542" s="48">
        <v>88</v>
      </c>
      <c r="C4542" s="62">
        <v>88</v>
      </c>
    </row>
    <row r="4543" spans="1:3" x14ac:dyDescent="0.2">
      <c r="A4543" s="62" t="s">
        <v>1220</v>
      </c>
      <c r="B4543" s="48">
        <v>14</v>
      </c>
      <c r="C4543" s="62">
        <v>14</v>
      </c>
    </row>
    <row r="4544" spans="1:3" x14ac:dyDescent="0.2">
      <c r="A4544" s="62" t="s">
        <v>1219</v>
      </c>
      <c r="B4544" s="48">
        <v>14</v>
      </c>
      <c r="C4544" s="62">
        <v>14</v>
      </c>
    </row>
    <row r="4545" spans="1:3" x14ac:dyDescent="0.2">
      <c r="A4545" s="62" t="s">
        <v>1218</v>
      </c>
      <c r="B4545" s="48">
        <v>14</v>
      </c>
      <c r="C4545" s="62">
        <v>14</v>
      </c>
    </row>
    <row r="4546" spans="1:3" x14ac:dyDescent="0.2">
      <c r="A4546" s="62" t="s">
        <v>1217</v>
      </c>
      <c r="B4546" s="48">
        <v>14</v>
      </c>
      <c r="C4546" s="62">
        <v>14</v>
      </c>
    </row>
    <row r="4547" spans="1:3" x14ac:dyDescent="0.2">
      <c r="A4547" s="62" t="s">
        <v>1216</v>
      </c>
      <c r="B4547" s="48">
        <v>14</v>
      </c>
      <c r="C4547" s="62">
        <v>14</v>
      </c>
    </row>
    <row r="4548" spans="1:3" x14ac:dyDescent="0.2">
      <c r="A4548" s="62" t="s">
        <v>1215</v>
      </c>
      <c r="B4548" s="48">
        <v>14</v>
      </c>
      <c r="C4548" s="62">
        <v>14</v>
      </c>
    </row>
    <row r="4549" spans="1:3" x14ac:dyDescent="0.2">
      <c r="A4549" s="62" t="s">
        <v>1214</v>
      </c>
      <c r="B4549" s="48">
        <v>14</v>
      </c>
      <c r="C4549" s="62">
        <v>14</v>
      </c>
    </row>
    <row r="4550" spans="1:3" x14ac:dyDescent="0.2">
      <c r="A4550" s="62" t="s">
        <v>1213</v>
      </c>
      <c r="B4550" s="48">
        <v>88</v>
      </c>
      <c r="C4550" s="62">
        <v>88</v>
      </c>
    </row>
    <row r="4551" spans="1:3" x14ac:dyDescent="0.2">
      <c r="A4551" s="62" t="s">
        <v>1212</v>
      </c>
      <c r="B4551" s="48">
        <v>66</v>
      </c>
      <c r="C4551" s="62">
        <v>66</v>
      </c>
    </row>
    <row r="4552" spans="1:3" x14ac:dyDescent="0.2">
      <c r="A4552" s="62" t="s">
        <v>1210</v>
      </c>
      <c r="B4552" s="48">
        <v>15</v>
      </c>
      <c r="C4552" s="62">
        <v>15</v>
      </c>
    </row>
    <row r="4553" spans="1:3" x14ac:dyDescent="0.2">
      <c r="A4553" s="62" t="s">
        <v>1209</v>
      </c>
      <c r="B4553" s="48">
        <v>62</v>
      </c>
      <c r="C4553" s="62">
        <v>62</v>
      </c>
    </row>
    <row r="4554" spans="1:3" x14ac:dyDescent="0.2">
      <c r="A4554" s="62" t="s">
        <v>1208</v>
      </c>
      <c r="B4554" s="48">
        <v>2</v>
      </c>
      <c r="C4554" s="62">
        <v>2</v>
      </c>
    </row>
    <row r="4555" spans="1:3" x14ac:dyDescent="0.2">
      <c r="A4555" s="62" t="s">
        <v>1207</v>
      </c>
      <c r="B4555" s="48">
        <v>165</v>
      </c>
      <c r="C4555" s="62">
        <v>165</v>
      </c>
    </row>
    <row r="4556" spans="1:3" x14ac:dyDescent="0.2">
      <c r="A4556" s="62" t="s">
        <v>1206</v>
      </c>
      <c r="B4556" s="48">
        <v>5</v>
      </c>
      <c r="C4556" s="62">
        <v>5</v>
      </c>
    </row>
    <row r="4557" spans="1:3" x14ac:dyDescent="0.2">
      <c r="A4557" s="62" t="s">
        <v>1205</v>
      </c>
      <c r="B4557" s="48">
        <v>2</v>
      </c>
      <c r="C4557" s="62">
        <v>2</v>
      </c>
    </row>
    <row r="4558" spans="1:3" x14ac:dyDescent="0.2">
      <c r="A4558" s="62" t="s">
        <v>1204</v>
      </c>
      <c r="B4558" s="48">
        <v>2</v>
      </c>
      <c r="C4558" s="62">
        <v>2</v>
      </c>
    </row>
    <row r="4559" spans="1:3" x14ac:dyDescent="0.2">
      <c r="A4559" s="62" t="s">
        <v>1203</v>
      </c>
      <c r="B4559" s="48">
        <v>2</v>
      </c>
      <c r="C4559" s="62">
        <v>2</v>
      </c>
    </row>
    <row r="4560" spans="1:3" x14ac:dyDescent="0.2">
      <c r="A4560" s="62" t="s">
        <v>1202</v>
      </c>
      <c r="B4560" s="48">
        <v>2</v>
      </c>
      <c r="C4560" s="62">
        <v>2</v>
      </c>
    </row>
    <row r="4561" spans="1:3" x14ac:dyDescent="0.2">
      <c r="A4561" s="62" t="s">
        <v>1201</v>
      </c>
      <c r="B4561" s="48">
        <v>2</v>
      </c>
      <c r="C4561" s="62">
        <v>2</v>
      </c>
    </row>
    <row r="4562" spans="1:3" x14ac:dyDescent="0.2">
      <c r="A4562" s="62" t="s">
        <v>1200</v>
      </c>
      <c r="B4562" s="48">
        <v>82</v>
      </c>
      <c r="C4562" s="62">
        <v>82</v>
      </c>
    </row>
    <row r="4563" spans="1:3" x14ac:dyDescent="0.2">
      <c r="A4563" s="62" t="s">
        <v>1198</v>
      </c>
      <c r="B4563" s="48">
        <v>19</v>
      </c>
      <c r="C4563" s="62">
        <v>19</v>
      </c>
    </row>
    <row r="4564" spans="1:3" x14ac:dyDescent="0.2">
      <c r="A4564" s="62" t="s">
        <v>1197</v>
      </c>
      <c r="B4564" s="48">
        <v>192</v>
      </c>
      <c r="C4564" s="62">
        <v>192</v>
      </c>
    </row>
    <row r="4565" spans="1:3" x14ac:dyDescent="0.2">
      <c r="A4565" s="62" t="s">
        <v>1195</v>
      </c>
      <c r="B4565" s="48">
        <v>192</v>
      </c>
      <c r="C4565" s="62">
        <v>192</v>
      </c>
    </row>
    <row r="4566" spans="1:3" x14ac:dyDescent="0.2">
      <c r="A4566" s="62" t="s">
        <v>1194</v>
      </c>
      <c r="B4566" s="48">
        <v>192</v>
      </c>
      <c r="C4566" s="62">
        <v>192</v>
      </c>
    </row>
    <row r="4567" spans="1:3" x14ac:dyDescent="0.2">
      <c r="A4567" s="62" t="s">
        <v>1193</v>
      </c>
      <c r="B4567" s="48">
        <v>192</v>
      </c>
      <c r="C4567" s="62">
        <v>192</v>
      </c>
    </row>
    <row r="4568" spans="1:3" x14ac:dyDescent="0.2">
      <c r="A4568" s="62" t="s">
        <v>1191</v>
      </c>
      <c r="B4568" s="48">
        <v>2</v>
      </c>
      <c r="C4568" s="62">
        <v>2</v>
      </c>
    </row>
    <row r="4569" spans="1:3" x14ac:dyDescent="0.2">
      <c r="A4569" s="62" t="s">
        <v>1190</v>
      </c>
      <c r="B4569" s="48">
        <v>2</v>
      </c>
      <c r="C4569" s="62">
        <v>2</v>
      </c>
    </row>
    <row r="4570" spans="1:3" x14ac:dyDescent="0.2">
      <c r="A4570" s="62" t="s">
        <v>1189</v>
      </c>
      <c r="B4570" s="48">
        <v>19</v>
      </c>
      <c r="C4570" s="62">
        <v>19</v>
      </c>
    </row>
    <row r="4571" spans="1:3" x14ac:dyDescent="0.2">
      <c r="A4571" s="62" t="s">
        <v>1188</v>
      </c>
      <c r="B4571" s="48">
        <v>2</v>
      </c>
      <c r="C4571" s="62">
        <v>2</v>
      </c>
    </row>
    <row r="4572" spans="1:3" x14ac:dyDescent="0.2">
      <c r="A4572" s="62" t="s">
        <v>1186</v>
      </c>
      <c r="B4572" s="48">
        <v>87</v>
      </c>
      <c r="C4572" s="62">
        <v>87</v>
      </c>
    </row>
    <row r="4573" spans="1:3" x14ac:dyDescent="0.2">
      <c r="A4573" s="62" t="s">
        <v>1185</v>
      </c>
      <c r="B4573" s="48">
        <v>192</v>
      </c>
      <c r="C4573" s="62">
        <v>192</v>
      </c>
    </row>
    <row r="4574" spans="1:3" x14ac:dyDescent="0.2">
      <c r="A4574" s="62" t="s">
        <v>1183</v>
      </c>
      <c r="B4574" s="48">
        <v>220</v>
      </c>
      <c r="C4574" s="62">
        <v>220</v>
      </c>
    </row>
    <row r="4575" spans="1:3" x14ac:dyDescent="0.2">
      <c r="A4575" s="62" t="s">
        <v>1181</v>
      </c>
      <c r="B4575" s="48">
        <v>4</v>
      </c>
      <c r="C4575" s="62">
        <v>4</v>
      </c>
    </row>
    <row r="4576" spans="1:3" x14ac:dyDescent="0.2">
      <c r="A4576" s="62" t="s">
        <v>1180</v>
      </c>
      <c r="B4576" s="48">
        <v>61</v>
      </c>
      <c r="C4576" s="62">
        <v>61</v>
      </c>
    </row>
    <row r="4577" spans="1:3" x14ac:dyDescent="0.2">
      <c r="A4577" s="62" t="s">
        <v>1179</v>
      </c>
      <c r="B4577" s="48">
        <v>14</v>
      </c>
      <c r="C4577" s="62">
        <v>14</v>
      </c>
    </row>
    <row r="4578" spans="1:3" x14ac:dyDescent="0.2">
      <c r="A4578" s="62" t="s">
        <v>1178</v>
      </c>
      <c r="B4578" s="48">
        <v>15</v>
      </c>
      <c r="C4578" s="62">
        <v>15</v>
      </c>
    </row>
    <row r="4579" spans="1:3" x14ac:dyDescent="0.2">
      <c r="A4579" s="62" t="s">
        <v>1177</v>
      </c>
      <c r="B4579" s="48">
        <v>15</v>
      </c>
      <c r="C4579" s="62">
        <v>15</v>
      </c>
    </row>
    <row r="4580" spans="1:3" x14ac:dyDescent="0.2">
      <c r="A4580" s="62" t="s">
        <v>1176</v>
      </c>
      <c r="B4580" s="48">
        <v>82</v>
      </c>
      <c r="C4580" s="62">
        <v>82</v>
      </c>
    </row>
    <row r="4581" spans="1:3" x14ac:dyDescent="0.2">
      <c r="A4581" s="62" t="s">
        <v>1175</v>
      </c>
      <c r="B4581" s="48">
        <v>7</v>
      </c>
      <c r="C4581" s="62">
        <v>7</v>
      </c>
    </row>
    <row r="4582" spans="1:3" x14ac:dyDescent="0.2">
      <c r="A4582" s="62" t="s">
        <v>1173</v>
      </c>
      <c r="B4582" s="48">
        <v>4</v>
      </c>
      <c r="C4582" s="62">
        <v>4</v>
      </c>
    </row>
    <row r="4583" spans="1:3" x14ac:dyDescent="0.2">
      <c r="A4583" s="62" t="s">
        <v>1172</v>
      </c>
      <c r="B4583" s="48">
        <v>14</v>
      </c>
      <c r="C4583" s="62">
        <v>14</v>
      </c>
    </row>
    <row r="4584" spans="1:3" x14ac:dyDescent="0.2">
      <c r="A4584" s="62" t="s">
        <v>1171</v>
      </c>
      <c r="B4584" s="48">
        <v>14</v>
      </c>
      <c r="C4584" s="62">
        <v>14</v>
      </c>
    </row>
    <row r="4585" spans="1:3" x14ac:dyDescent="0.2">
      <c r="A4585" s="62" t="s">
        <v>1170</v>
      </c>
      <c r="B4585" s="48">
        <v>33</v>
      </c>
      <c r="C4585" s="62">
        <v>33</v>
      </c>
    </row>
    <row r="4586" spans="1:3" x14ac:dyDescent="0.2">
      <c r="A4586" s="62" t="s">
        <v>1169</v>
      </c>
      <c r="B4586" s="48">
        <v>19</v>
      </c>
      <c r="C4586" s="62">
        <v>19</v>
      </c>
    </row>
    <row r="4587" spans="1:3" x14ac:dyDescent="0.2">
      <c r="A4587" s="62" t="s">
        <v>1168</v>
      </c>
      <c r="B4587" s="48">
        <v>19</v>
      </c>
      <c r="C4587" s="62">
        <v>19</v>
      </c>
    </row>
    <row r="4588" spans="1:3" x14ac:dyDescent="0.2">
      <c r="A4588" s="62" t="s">
        <v>1166</v>
      </c>
      <c r="B4588" s="48">
        <v>70</v>
      </c>
      <c r="C4588" s="62">
        <v>70</v>
      </c>
    </row>
    <row r="4589" spans="1:3" x14ac:dyDescent="0.2">
      <c r="A4589" s="62" t="s">
        <v>1165</v>
      </c>
      <c r="B4589" s="48">
        <v>4</v>
      </c>
      <c r="C4589" s="62">
        <v>4</v>
      </c>
    </row>
    <row r="4590" spans="1:3" x14ac:dyDescent="0.2">
      <c r="A4590" s="62" t="s">
        <v>1164</v>
      </c>
      <c r="B4590" s="48">
        <v>132</v>
      </c>
      <c r="C4590" s="62">
        <v>132</v>
      </c>
    </row>
    <row r="4591" spans="1:3" x14ac:dyDescent="0.2">
      <c r="A4591" s="62" t="s">
        <v>1163</v>
      </c>
      <c r="B4591" s="48">
        <v>14</v>
      </c>
      <c r="C4591" s="62">
        <v>14</v>
      </c>
    </row>
    <row r="4592" spans="1:3" x14ac:dyDescent="0.2">
      <c r="A4592" s="62" t="s">
        <v>1162</v>
      </c>
      <c r="B4592" s="48">
        <v>14</v>
      </c>
      <c r="C4592" s="62">
        <v>14</v>
      </c>
    </row>
    <row r="4593" spans="1:3" x14ac:dyDescent="0.2">
      <c r="A4593" s="62" t="s">
        <v>1161</v>
      </c>
      <c r="B4593" s="48">
        <v>148</v>
      </c>
      <c r="C4593" s="62">
        <v>148</v>
      </c>
    </row>
    <row r="4594" spans="1:3" x14ac:dyDescent="0.2">
      <c r="A4594" s="62" t="s">
        <v>1160</v>
      </c>
      <c r="B4594" s="48">
        <v>148</v>
      </c>
      <c r="C4594" s="62">
        <v>148</v>
      </c>
    </row>
    <row r="4595" spans="1:3" x14ac:dyDescent="0.2">
      <c r="A4595" s="62" t="s">
        <v>1159</v>
      </c>
      <c r="B4595" s="48">
        <v>148</v>
      </c>
      <c r="C4595" s="62">
        <v>148</v>
      </c>
    </row>
    <row r="4596" spans="1:3" x14ac:dyDescent="0.2">
      <c r="A4596" s="62" t="s">
        <v>1158</v>
      </c>
      <c r="B4596" s="48">
        <v>148</v>
      </c>
      <c r="C4596" s="62">
        <v>148</v>
      </c>
    </row>
    <row r="4597" spans="1:3" x14ac:dyDescent="0.2">
      <c r="A4597" s="62" t="s">
        <v>1157</v>
      </c>
      <c r="B4597" s="48">
        <v>148</v>
      </c>
      <c r="C4597" s="62">
        <v>148</v>
      </c>
    </row>
    <row r="4598" spans="1:3" x14ac:dyDescent="0.2">
      <c r="A4598" s="62" t="s">
        <v>1156</v>
      </c>
      <c r="B4598" s="48">
        <v>148</v>
      </c>
      <c r="C4598" s="62">
        <v>148</v>
      </c>
    </row>
    <row r="4599" spans="1:3" x14ac:dyDescent="0.2">
      <c r="A4599" s="62" t="s">
        <v>1155</v>
      </c>
      <c r="B4599" s="48">
        <v>148</v>
      </c>
      <c r="C4599" s="62">
        <v>148</v>
      </c>
    </row>
    <row r="4600" spans="1:3" x14ac:dyDescent="0.2">
      <c r="A4600" s="62" t="s">
        <v>1154</v>
      </c>
      <c r="B4600" s="48">
        <v>148</v>
      </c>
      <c r="C4600" s="62">
        <v>148</v>
      </c>
    </row>
    <row r="4601" spans="1:3" x14ac:dyDescent="0.2">
      <c r="A4601" s="62" t="s">
        <v>1153</v>
      </c>
      <c r="B4601" s="48">
        <v>4</v>
      </c>
      <c r="C4601" s="62">
        <v>4</v>
      </c>
    </row>
    <row r="4602" spans="1:3" x14ac:dyDescent="0.2">
      <c r="A4602" s="62" t="s">
        <v>1151</v>
      </c>
      <c r="B4602" s="48">
        <v>5</v>
      </c>
      <c r="C4602" s="62">
        <v>5</v>
      </c>
    </row>
    <row r="4603" spans="1:3" x14ac:dyDescent="0.2">
      <c r="A4603" s="62" t="s">
        <v>1150</v>
      </c>
      <c r="B4603" s="48">
        <v>5</v>
      </c>
      <c r="C4603" s="62">
        <v>5</v>
      </c>
    </row>
    <row r="4604" spans="1:3" x14ac:dyDescent="0.2">
      <c r="A4604" s="62" t="s">
        <v>1149</v>
      </c>
      <c r="B4604" s="48">
        <v>15</v>
      </c>
      <c r="C4604" s="62">
        <v>15</v>
      </c>
    </row>
    <row r="4605" spans="1:3" x14ac:dyDescent="0.2">
      <c r="A4605" s="62" t="s">
        <v>1148</v>
      </c>
      <c r="B4605" s="48">
        <v>18</v>
      </c>
      <c r="C4605" s="62">
        <v>18</v>
      </c>
    </row>
    <row r="4606" spans="1:3" x14ac:dyDescent="0.2">
      <c r="A4606" s="62" t="s">
        <v>1147</v>
      </c>
      <c r="B4606" s="48">
        <v>1</v>
      </c>
      <c r="C4606" s="62">
        <v>1</v>
      </c>
    </row>
    <row r="4607" spans="1:3" x14ac:dyDescent="0.2">
      <c r="A4607" s="62" t="s">
        <v>1146</v>
      </c>
      <c r="B4607" s="48">
        <v>14</v>
      </c>
      <c r="C4607" s="62">
        <v>14</v>
      </c>
    </row>
    <row r="4608" spans="1:3" x14ac:dyDescent="0.2">
      <c r="A4608" s="62" t="s">
        <v>1145</v>
      </c>
      <c r="B4608" s="48">
        <v>5</v>
      </c>
      <c r="C4608" s="62">
        <v>5</v>
      </c>
    </row>
    <row r="4609" spans="1:3" x14ac:dyDescent="0.2">
      <c r="A4609" s="62" t="s">
        <v>1144</v>
      </c>
      <c r="B4609" s="48">
        <v>15</v>
      </c>
      <c r="C4609" s="62">
        <v>15</v>
      </c>
    </row>
    <row r="4610" spans="1:3" x14ac:dyDescent="0.2">
      <c r="A4610" s="62" t="s">
        <v>1143</v>
      </c>
      <c r="B4610" s="48">
        <v>19</v>
      </c>
      <c r="C4610" s="62">
        <v>19</v>
      </c>
    </row>
    <row r="4611" spans="1:3" x14ac:dyDescent="0.2">
      <c r="A4611" s="62" t="s">
        <v>1142</v>
      </c>
      <c r="B4611" s="48">
        <v>19</v>
      </c>
      <c r="C4611" s="62">
        <v>19</v>
      </c>
    </row>
    <row r="4612" spans="1:3" x14ac:dyDescent="0.2">
      <c r="A4612" s="62" t="s">
        <v>1140</v>
      </c>
      <c r="B4612" s="48">
        <v>19</v>
      </c>
      <c r="C4612" s="62">
        <v>19</v>
      </c>
    </row>
    <row r="4613" spans="1:3" x14ac:dyDescent="0.2">
      <c r="A4613" s="62" t="s">
        <v>1138</v>
      </c>
      <c r="B4613" s="48">
        <v>15</v>
      </c>
      <c r="C4613" s="62">
        <v>15</v>
      </c>
    </row>
    <row r="4614" spans="1:3" x14ac:dyDescent="0.2">
      <c r="A4614" s="62" t="s">
        <v>1137</v>
      </c>
      <c r="B4614" s="48">
        <v>15</v>
      </c>
      <c r="C4614" s="62">
        <v>15</v>
      </c>
    </row>
    <row r="4615" spans="1:3" x14ac:dyDescent="0.2">
      <c r="A4615" s="62" t="s">
        <v>1136</v>
      </c>
      <c r="B4615" s="48">
        <v>129</v>
      </c>
      <c r="C4615" s="62">
        <v>129</v>
      </c>
    </row>
    <row r="4616" spans="1:3" x14ac:dyDescent="0.2">
      <c r="A4616" s="62" t="s">
        <v>1135</v>
      </c>
      <c r="B4616" s="48">
        <v>14</v>
      </c>
      <c r="C4616" s="62">
        <v>14</v>
      </c>
    </row>
    <row r="4617" spans="1:3" x14ac:dyDescent="0.2">
      <c r="A4617" s="62" t="s">
        <v>1134</v>
      </c>
      <c r="B4617" s="48">
        <v>230</v>
      </c>
      <c r="C4617" s="62">
        <v>230</v>
      </c>
    </row>
    <row r="4618" spans="1:3" x14ac:dyDescent="0.2">
      <c r="A4618" s="62" t="s">
        <v>1133</v>
      </c>
      <c r="B4618" s="48">
        <v>139</v>
      </c>
      <c r="C4618" s="62">
        <v>139</v>
      </c>
    </row>
    <row r="4619" spans="1:3" x14ac:dyDescent="0.2">
      <c r="A4619" s="62" t="s">
        <v>1132</v>
      </c>
      <c r="B4619" s="48">
        <v>169</v>
      </c>
      <c r="C4619" s="62">
        <v>169</v>
      </c>
    </row>
    <row r="4620" spans="1:3" x14ac:dyDescent="0.2">
      <c r="A4620" s="62" t="s">
        <v>1131</v>
      </c>
      <c r="B4620" s="48">
        <v>14</v>
      </c>
      <c r="C4620" s="62">
        <v>14</v>
      </c>
    </row>
    <row r="4621" spans="1:3" x14ac:dyDescent="0.2">
      <c r="A4621" s="62" t="s">
        <v>1130</v>
      </c>
      <c r="B4621" s="48">
        <v>140</v>
      </c>
      <c r="C4621" s="62">
        <v>140</v>
      </c>
    </row>
    <row r="4622" spans="1:3" x14ac:dyDescent="0.2">
      <c r="A4622" s="62" t="s">
        <v>1129</v>
      </c>
      <c r="B4622" s="48">
        <v>140</v>
      </c>
      <c r="C4622" s="62">
        <v>140</v>
      </c>
    </row>
    <row r="4623" spans="1:3" x14ac:dyDescent="0.2">
      <c r="A4623" s="62" t="s">
        <v>1128</v>
      </c>
      <c r="B4623" s="48">
        <v>15</v>
      </c>
      <c r="C4623" s="62">
        <v>15</v>
      </c>
    </row>
    <row r="4624" spans="1:3" x14ac:dyDescent="0.2">
      <c r="A4624" s="62" t="s">
        <v>1127</v>
      </c>
      <c r="B4624" s="48">
        <v>14</v>
      </c>
      <c r="C4624" s="62">
        <v>14</v>
      </c>
    </row>
    <row r="4625" spans="1:3" x14ac:dyDescent="0.2">
      <c r="A4625" s="62" t="s">
        <v>1125</v>
      </c>
      <c r="B4625" s="48">
        <v>19</v>
      </c>
      <c r="C4625" s="62">
        <v>19</v>
      </c>
    </row>
    <row r="4626" spans="1:3" x14ac:dyDescent="0.2">
      <c r="A4626" s="62" t="s">
        <v>1124</v>
      </c>
      <c r="B4626" s="48">
        <v>11</v>
      </c>
      <c r="C4626" s="62">
        <v>11</v>
      </c>
    </row>
    <row r="4627" spans="1:3" x14ac:dyDescent="0.2">
      <c r="A4627" s="62" t="s">
        <v>1123</v>
      </c>
      <c r="B4627" s="48">
        <v>79</v>
      </c>
      <c r="C4627" s="62">
        <v>79</v>
      </c>
    </row>
    <row r="4628" spans="1:3" x14ac:dyDescent="0.2">
      <c r="A4628" s="62" t="s">
        <v>1122</v>
      </c>
      <c r="B4628" s="48">
        <v>79</v>
      </c>
      <c r="C4628" s="62">
        <v>79</v>
      </c>
    </row>
    <row r="4629" spans="1:3" x14ac:dyDescent="0.2">
      <c r="A4629" s="62" t="s">
        <v>1121</v>
      </c>
      <c r="B4629" s="48">
        <v>9</v>
      </c>
      <c r="C4629" s="62">
        <v>9</v>
      </c>
    </row>
    <row r="4630" spans="1:3" x14ac:dyDescent="0.2">
      <c r="A4630" s="62" t="s">
        <v>1119</v>
      </c>
      <c r="B4630" s="48">
        <v>86</v>
      </c>
      <c r="C4630" s="62">
        <v>86</v>
      </c>
    </row>
    <row r="4631" spans="1:3" x14ac:dyDescent="0.2">
      <c r="A4631" s="62" t="s">
        <v>1118</v>
      </c>
      <c r="B4631" s="48">
        <v>5</v>
      </c>
      <c r="C4631" s="62">
        <v>5</v>
      </c>
    </row>
    <row r="4632" spans="1:3" x14ac:dyDescent="0.2">
      <c r="A4632" s="62" t="s">
        <v>1117</v>
      </c>
      <c r="B4632" s="48">
        <v>2</v>
      </c>
      <c r="C4632" s="62">
        <v>2</v>
      </c>
    </row>
    <row r="4633" spans="1:3" x14ac:dyDescent="0.2">
      <c r="A4633" s="62" t="s">
        <v>1116</v>
      </c>
      <c r="B4633" s="48">
        <v>148</v>
      </c>
      <c r="C4633" s="62">
        <v>148</v>
      </c>
    </row>
    <row r="4634" spans="1:3" x14ac:dyDescent="0.2">
      <c r="A4634" s="62" t="s">
        <v>1106</v>
      </c>
      <c r="B4634" s="48">
        <v>15</v>
      </c>
      <c r="C4634" s="62">
        <v>15</v>
      </c>
    </row>
    <row r="4635" spans="1:3" x14ac:dyDescent="0.2">
      <c r="A4635" s="62" t="s">
        <v>1104</v>
      </c>
      <c r="B4635" s="48">
        <v>230</v>
      </c>
      <c r="C4635" s="62">
        <v>230</v>
      </c>
    </row>
    <row r="4636" spans="1:3" x14ac:dyDescent="0.2">
      <c r="A4636" s="62" t="s">
        <v>1102</v>
      </c>
      <c r="B4636" s="48">
        <v>165</v>
      </c>
      <c r="C4636" s="62">
        <v>165</v>
      </c>
    </row>
    <row r="4637" spans="1:3" x14ac:dyDescent="0.2">
      <c r="A4637" s="62" t="s">
        <v>1101</v>
      </c>
      <c r="B4637" s="48">
        <v>165</v>
      </c>
      <c r="C4637" s="62">
        <v>165</v>
      </c>
    </row>
    <row r="4638" spans="1:3" x14ac:dyDescent="0.2">
      <c r="A4638" s="62" t="s">
        <v>1099</v>
      </c>
      <c r="B4638" s="48">
        <v>165</v>
      </c>
      <c r="C4638" s="62">
        <v>165</v>
      </c>
    </row>
    <row r="4639" spans="1:3" x14ac:dyDescent="0.2">
      <c r="A4639" s="62" t="s">
        <v>1098</v>
      </c>
      <c r="B4639" s="48">
        <v>165</v>
      </c>
      <c r="C4639" s="62">
        <v>165</v>
      </c>
    </row>
    <row r="4640" spans="1:3" x14ac:dyDescent="0.2">
      <c r="A4640" s="62" t="s">
        <v>1097</v>
      </c>
      <c r="B4640" s="48">
        <v>165</v>
      </c>
      <c r="C4640" s="62">
        <v>165</v>
      </c>
    </row>
    <row r="4641" spans="1:3" x14ac:dyDescent="0.2">
      <c r="A4641" s="62" t="s">
        <v>1095</v>
      </c>
      <c r="B4641" s="48">
        <v>2</v>
      </c>
      <c r="C4641" s="62">
        <v>2</v>
      </c>
    </row>
    <row r="4642" spans="1:3" x14ac:dyDescent="0.2">
      <c r="A4642" s="62" t="s">
        <v>1094</v>
      </c>
      <c r="B4642" s="48">
        <v>230</v>
      </c>
      <c r="C4642" s="62">
        <v>230</v>
      </c>
    </row>
    <row r="4643" spans="1:3" x14ac:dyDescent="0.2">
      <c r="A4643" s="62" t="s">
        <v>1093</v>
      </c>
      <c r="B4643" s="48">
        <v>230</v>
      </c>
      <c r="C4643" s="62">
        <v>230</v>
      </c>
    </row>
    <row r="4644" spans="1:3" x14ac:dyDescent="0.2">
      <c r="A4644" s="62" t="s">
        <v>1092</v>
      </c>
      <c r="B4644" s="48">
        <v>14</v>
      </c>
      <c r="C4644" s="62">
        <v>14</v>
      </c>
    </row>
    <row r="4645" spans="1:3" x14ac:dyDescent="0.2">
      <c r="A4645" s="62" t="s">
        <v>1091</v>
      </c>
      <c r="B4645" s="48">
        <v>173</v>
      </c>
      <c r="C4645" s="62">
        <v>173</v>
      </c>
    </row>
    <row r="4646" spans="1:3" x14ac:dyDescent="0.2">
      <c r="A4646" s="62" t="s">
        <v>1090</v>
      </c>
      <c r="B4646" s="48">
        <v>194</v>
      </c>
      <c r="C4646" s="62">
        <v>194</v>
      </c>
    </row>
    <row r="4647" spans="1:3" x14ac:dyDescent="0.2">
      <c r="A4647" s="62" t="s">
        <v>1089</v>
      </c>
      <c r="B4647" s="48">
        <v>72</v>
      </c>
      <c r="C4647" s="62">
        <v>72</v>
      </c>
    </row>
    <row r="4648" spans="1:3" x14ac:dyDescent="0.2">
      <c r="A4648" s="62" t="s">
        <v>1088</v>
      </c>
      <c r="B4648" s="48">
        <v>148</v>
      </c>
      <c r="C4648" s="62">
        <v>148</v>
      </c>
    </row>
    <row r="4649" spans="1:3" x14ac:dyDescent="0.2">
      <c r="A4649" s="62" t="s">
        <v>1087</v>
      </c>
      <c r="B4649" s="48">
        <v>63</v>
      </c>
      <c r="C4649" s="62">
        <v>63</v>
      </c>
    </row>
    <row r="4650" spans="1:3" x14ac:dyDescent="0.2">
      <c r="A4650" s="62" t="s">
        <v>1085</v>
      </c>
      <c r="B4650" s="48">
        <v>2</v>
      </c>
      <c r="C4650" s="62">
        <v>2</v>
      </c>
    </row>
    <row r="4651" spans="1:3" x14ac:dyDescent="0.2">
      <c r="A4651" s="62" t="s">
        <v>1084</v>
      </c>
      <c r="B4651" s="48">
        <v>225</v>
      </c>
      <c r="C4651" s="62">
        <v>225</v>
      </c>
    </row>
    <row r="4652" spans="1:3" x14ac:dyDescent="0.2">
      <c r="A4652" s="62" t="s">
        <v>1083</v>
      </c>
      <c r="B4652" s="48">
        <v>225</v>
      </c>
      <c r="C4652" s="62">
        <v>225</v>
      </c>
    </row>
    <row r="4653" spans="1:3" x14ac:dyDescent="0.2">
      <c r="A4653" s="62" t="s">
        <v>1081</v>
      </c>
      <c r="B4653" s="48">
        <v>18</v>
      </c>
      <c r="C4653" s="62">
        <v>18</v>
      </c>
    </row>
    <row r="4654" spans="1:3" x14ac:dyDescent="0.2">
      <c r="A4654" s="62" t="s">
        <v>1080</v>
      </c>
      <c r="B4654" s="48">
        <v>88</v>
      </c>
      <c r="C4654" s="62">
        <v>88</v>
      </c>
    </row>
    <row r="4655" spans="1:3" x14ac:dyDescent="0.2">
      <c r="A4655" s="62" t="s">
        <v>1079</v>
      </c>
      <c r="B4655" s="48">
        <v>15</v>
      </c>
      <c r="C4655" s="62">
        <v>15</v>
      </c>
    </row>
    <row r="4656" spans="1:3" x14ac:dyDescent="0.2">
      <c r="A4656" s="62" t="s">
        <v>1078</v>
      </c>
      <c r="B4656" s="48">
        <v>15</v>
      </c>
      <c r="C4656" s="62">
        <v>15</v>
      </c>
    </row>
    <row r="4657" spans="1:3" x14ac:dyDescent="0.2">
      <c r="A4657" s="62" t="s">
        <v>1077</v>
      </c>
      <c r="B4657" s="48">
        <v>4</v>
      </c>
      <c r="C4657" s="62">
        <v>4</v>
      </c>
    </row>
    <row r="4658" spans="1:3" x14ac:dyDescent="0.2">
      <c r="A4658" s="62" t="s">
        <v>1076</v>
      </c>
      <c r="B4658" s="48">
        <v>74</v>
      </c>
      <c r="C4658" s="62">
        <v>74</v>
      </c>
    </row>
    <row r="4659" spans="1:3" x14ac:dyDescent="0.2">
      <c r="A4659" s="62" t="s">
        <v>1075</v>
      </c>
      <c r="B4659" s="48">
        <v>66</v>
      </c>
      <c r="C4659" s="62">
        <v>66</v>
      </c>
    </row>
    <row r="4660" spans="1:3" x14ac:dyDescent="0.2">
      <c r="A4660" s="62" t="s">
        <v>1074</v>
      </c>
      <c r="B4660" s="48">
        <v>74</v>
      </c>
      <c r="C4660" s="62">
        <v>74</v>
      </c>
    </row>
    <row r="4661" spans="1:3" x14ac:dyDescent="0.2">
      <c r="A4661" s="62" t="s">
        <v>1073</v>
      </c>
      <c r="B4661" s="48">
        <v>74</v>
      </c>
      <c r="C4661" s="62">
        <v>74</v>
      </c>
    </row>
    <row r="4662" spans="1:3" x14ac:dyDescent="0.2">
      <c r="A4662" s="62" t="s">
        <v>1072</v>
      </c>
      <c r="B4662" s="48">
        <v>128</v>
      </c>
      <c r="C4662" s="62">
        <v>128</v>
      </c>
    </row>
    <row r="4663" spans="1:3" x14ac:dyDescent="0.2">
      <c r="A4663" s="62" t="s">
        <v>1071</v>
      </c>
      <c r="B4663" s="48">
        <v>14</v>
      </c>
      <c r="C4663" s="62">
        <v>14</v>
      </c>
    </row>
    <row r="4664" spans="1:3" x14ac:dyDescent="0.2">
      <c r="A4664" s="62" t="s">
        <v>1070</v>
      </c>
      <c r="B4664" s="48">
        <v>14</v>
      </c>
      <c r="C4664" s="62">
        <v>14</v>
      </c>
    </row>
    <row r="4665" spans="1:3" x14ac:dyDescent="0.2">
      <c r="A4665" s="62" t="s">
        <v>1069</v>
      </c>
      <c r="B4665" s="48">
        <v>2</v>
      </c>
      <c r="C4665" s="62">
        <v>2</v>
      </c>
    </row>
    <row r="4666" spans="1:3" x14ac:dyDescent="0.2">
      <c r="A4666" s="62" t="s">
        <v>1068</v>
      </c>
      <c r="B4666" s="48">
        <v>205</v>
      </c>
      <c r="C4666" s="62">
        <v>205</v>
      </c>
    </row>
    <row r="4667" spans="1:3" x14ac:dyDescent="0.2">
      <c r="A4667" s="62" t="s">
        <v>1067</v>
      </c>
      <c r="B4667" s="48">
        <v>205</v>
      </c>
      <c r="C4667" s="62">
        <v>205</v>
      </c>
    </row>
    <row r="4668" spans="1:3" x14ac:dyDescent="0.2">
      <c r="A4668" s="62" t="s">
        <v>1066</v>
      </c>
      <c r="B4668" s="48">
        <v>205</v>
      </c>
      <c r="C4668" s="62">
        <v>205</v>
      </c>
    </row>
    <row r="4669" spans="1:3" x14ac:dyDescent="0.2">
      <c r="A4669" s="62" t="s">
        <v>1065</v>
      </c>
      <c r="B4669" s="48">
        <v>205</v>
      </c>
      <c r="C4669" s="62">
        <v>205</v>
      </c>
    </row>
    <row r="4670" spans="1:3" x14ac:dyDescent="0.2">
      <c r="A4670" s="62" t="s">
        <v>1064</v>
      </c>
      <c r="B4670" s="48">
        <v>205</v>
      </c>
      <c r="C4670" s="62">
        <v>205</v>
      </c>
    </row>
    <row r="4671" spans="1:3" x14ac:dyDescent="0.2">
      <c r="A4671" s="62" t="s">
        <v>1063</v>
      </c>
      <c r="B4671" s="48">
        <v>205</v>
      </c>
      <c r="C4671" s="62">
        <v>205</v>
      </c>
    </row>
    <row r="4672" spans="1:3" x14ac:dyDescent="0.2">
      <c r="A4672" s="62" t="s">
        <v>1062</v>
      </c>
      <c r="B4672" s="48">
        <v>205</v>
      </c>
      <c r="C4672" s="62">
        <v>205</v>
      </c>
    </row>
    <row r="4673" spans="1:3" x14ac:dyDescent="0.2">
      <c r="A4673" s="62" t="s">
        <v>1061</v>
      </c>
      <c r="B4673" s="48">
        <v>98</v>
      </c>
      <c r="C4673" s="62">
        <v>98</v>
      </c>
    </row>
    <row r="4674" spans="1:3" x14ac:dyDescent="0.2">
      <c r="A4674" s="62" t="s">
        <v>1060</v>
      </c>
      <c r="B4674" s="48">
        <v>98</v>
      </c>
      <c r="C4674" s="62">
        <v>98</v>
      </c>
    </row>
    <row r="4675" spans="1:3" x14ac:dyDescent="0.2">
      <c r="A4675" s="62" t="s">
        <v>1059</v>
      </c>
      <c r="B4675" s="48">
        <v>98</v>
      </c>
      <c r="C4675" s="62">
        <v>98</v>
      </c>
    </row>
    <row r="4676" spans="1:3" x14ac:dyDescent="0.2">
      <c r="A4676" s="62" t="s">
        <v>1058</v>
      </c>
      <c r="B4676" s="48">
        <v>98</v>
      </c>
      <c r="C4676" s="62">
        <v>98</v>
      </c>
    </row>
    <row r="4677" spans="1:3" x14ac:dyDescent="0.2">
      <c r="A4677" s="62" t="s">
        <v>1057</v>
      </c>
      <c r="B4677" s="48">
        <v>98</v>
      </c>
      <c r="C4677" s="62">
        <v>98</v>
      </c>
    </row>
    <row r="4678" spans="1:3" x14ac:dyDescent="0.2">
      <c r="A4678" s="62" t="s">
        <v>1056</v>
      </c>
      <c r="B4678" s="48">
        <v>98</v>
      </c>
      <c r="C4678" s="62">
        <v>98</v>
      </c>
    </row>
    <row r="4679" spans="1:3" x14ac:dyDescent="0.2">
      <c r="A4679" s="62" t="s">
        <v>1055</v>
      </c>
      <c r="B4679" s="48">
        <v>13</v>
      </c>
      <c r="C4679" s="62">
        <v>13</v>
      </c>
    </row>
    <row r="4680" spans="1:3" x14ac:dyDescent="0.2">
      <c r="A4680" s="62" t="s">
        <v>1054</v>
      </c>
      <c r="B4680" s="48">
        <v>178</v>
      </c>
      <c r="C4680" s="62">
        <v>178</v>
      </c>
    </row>
    <row r="4681" spans="1:3" x14ac:dyDescent="0.2">
      <c r="A4681" s="62" t="s">
        <v>1053</v>
      </c>
      <c r="B4681" s="48">
        <v>2</v>
      </c>
      <c r="C4681" s="62">
        <v>2</v>
      </c>
    </row>
    <row r="4682" spans="1:3" x14ac:dyDescent="0.2">
      <c r="A4682" s="62" t="s">
        <v>1052</v>
      </c>
      <c r="B4682" s="48">
        <v>178</v>
      </c>
      <c r="C4682" s="62">
        <v>178</v>
      </c>
    </row>
    <row r="4683" spans="1:3" x14ac:dyDescent="0.2">
      <c r="A4683" s="62" t="s">
        <v>1051</v>
      </c>
      <c r="B4683" s="48">
        <v>61</v>
      </c>
      <c r="C4683" s="62">
        <v>61</v>
      </c>
    </row>
    <row r="4684" spans="1:3" x14ac:dyDescent="0.2">
      <c r="A4684" s="62" t="s">
        <v>1050</v>
      </c>
      <c r="B4684" s="48">
        <v>88</v>
      </c>
      <c r="C4684" s="62">
        <v>88</v>
      </c>
    </row>
    <row r="4685" spans="1:3" x14ac:dyDescent="0.2">
      <c r="A4685" s="62" t="s">
        <v>1049</v>
      </c>
      <c r="B4685" s="48">
        <v>88</v>
      </c>
      <c r="C4685" s="62">
        <v>88</v>
      </c>
    </row>
    <row r="4686" spans="1:3" x14ac:dyDescent="0.2">
      <c r="A4686" s="62" t="s">
        <v>1048</v>
      </c>
      <c r="B4686" s="48">
        <v>88</v>
      </c>
      <c r="C4686" s="62">
        <v>88</v>
      </c>
    </row>
    <row r="4687" spans="1:3" x14ac:dyDescent="0.2">
      <c r="A4687" s="62" t="s">
        <v>1047</v>
      </c>
      <c r="B4687" s="48">
        <v>88</v>
      </c>
      <c r="C4687" s="62">
        <v>88</v>
      </c>
    </row>
    <row r="4688" spans="1:3" x14ac:dyDescent="0.2">
      <c r="A4688" s="62" t="s">
        <v>1046</v>
      </c>
      <c r="B4688" s="48">
        <v>88</v>
      </c>
      <c r="C4688" s="62">
        <v>88</v>
      </c>
    </row>
    <row r="4689" spans="1:3" x14ac:dyDescent="0.2">
      <c r="A4689" s="62" t="s">
        <v>1045</v>
      </c>
      <c r="B4689" s="48">
        <v>88</v>
      </c>
      <c r="C4689" s="62">
        <v>88</v>
      </c>
    </row>
    <row r="4690" spans="1:3" x14ac:dyDescent="0.2">
      <c r="A4690" s="62" t="s">
        <v>1044</v>
      </c>
      <c r="B4690" s="48">
        <v>88</v>
      </c>
      <c r="C4690" s="62">
        <v>88</v>
      </c>
    </row>
    <row r="4691" spans="1:3" x14ac:dyDescent="0.2">
      <c r="A4691" s="62" t="s">
        <v>1043</v>
      </c>
      <c r="B4691" s="48">
        <v>88</v>
      </c>
      <c r="C4691" s="62">
        <v>88</v>
      </c>
    </row>
    <row r="4692" spans="1:3" x14ac:dyDescent="0.2">
      <c r="A4692" s="62" t="s">
        <v>1042</v>
      </c>
      <c r="B4692" s="48">
        <v>88</v>
      </c>
      <c r="C4692" s="62">
        <v>88</v>
      </c>
    </row>
    <row r="4693" spans="1:3" x14ac:dyDescent="0.2">
      <c r="A4693" s="62" t="s">
        <v>1041</v>
      </c>
      <c r="B4693" s="48">
        <v>88</v>
      </c>
      <c r="C4693" s="62">
        <v>88</v>
      </c>
    </row>
    <row r="4694" spans="1:3" x14ac:dyDescent="0.2">
      <c r="A4694" s="62" t="s">
        <v>1040</v>
      </c>
      <c r="B4694" s="48">
        <v>88</v>
      </c>
      <c r="C4694" s="62">
        <v>88</v>
      </c>
    </row>
    <row r="4695" spans="1:3" x14ac:dyDescent="0.2">
      <c r="A4695" s="62" t="s">
        <v>1039</v>
      </c>
      <c r="B4695" s="48">
        <v>88</v>
      </c>
      <c r="C4695" s="62">
        <v>88</v>
      </c>
    </row>
    <row r="4696" spans="1:3" x14ac:dyDescent="0.2">
      <c r="A4696" s="62" t="s">
        <v>1038</v>
      </c>
      <c r="B4696" s="48">
        <v>88</v>
      </c>
      <c r="C4696" s="62">
        <v>88</v>
      </c>
    </row>
    <row r="4697" spans="1:3" x14ac:dyDescent="0.2">
      <c r="A4697" s="62" t="s">
        <v>1037</v>
      </c>
      <c r="B4697" s="48">
        <v>169</v>
      </c>
      <c r="C4697" s="62">
        <v>169</v>
      </c>
    </row>
    <row r="4698" spans="1:3" x14ac:dyDescent="0.2">
      <c r="A4698" s="62" t="s">
        <v>1036</v>
      </c>
      <c r="B4698" s="48">
        <v>110</v>
      </c>
      <c r="C4698" s="62">
        <v>110</v>
      </c>
    </row>
    <row r="4699" spans="1:3" x14ac:dyDescent="0.2">
      <c r="A4699" s="62" t="s">
        <v>1035</v>
      </c>
      <c r="B4699" s="48">
        <v>70</v>
      </c>
      <c r="C4699" s="62">
        <v>70</v>
      </c>
    </row>
    <row r="4700" spans="1:3" x14ac:dyDescent="0.2">
      <c r="A4700" s="62" t="s">
        <v>1034</v>
      </c>
      <c r="B4700" s="48">
        <v>13</v>
      </c>
      <c r="C4700" s="62">
        <v>13</v>
      </c>
    </row>
    <row r="4701" spans="1:3" x14ac:dyDescent="0.2">
      <c r="A4701" s="62" t="s">
        <v>1032</v>
      </c>
      <c r="B4701" s="48">
        <v>225</v>
      </c>
      <c r="C4701" s="62">
        <v>225</v>
      </c>
    </row>
    <row r="4702" spans="1:3" x14ac:dyDescent="0.2">
      <c r="A4702" s="62" t="s">
        <v>1030</v>
      </c>
      <c r="B4702" s="48">
        <v>225</v>
      </c>
      <c r="C4702" s="62">
        <v>225</v>
      </c>
    </row>
    <row r="4703" spans="1:3" x14ac:dyDescent="0.2">
      <c r="A4703" s="62" t="s">
        <v>1029</v>
      </c>
      <c r="B4703" s="48">
        <v>87</v>
      </c>
      <c r="C4703" s="62">
        <v>87</v>
      </c>
    </row>
    <row r="4704" spans="1:3" x14ac:dyDescent="0.2">
      <c r="A4704" s="62" t="s">
        <v>1028</v>
      </c>
      <c r="B4704" s="48">
        <v>87</v>
      </c>
      <c r="C4704" s="62">
        <v>87</v>
      </c>
    </row>
    <row r="4705" spans="1:3" x14ac:dyDescent="0.2">
      <c r="A4705" s="62" t="s">
        <v>1027</v>
      </c>
      <c r="B4705" s="48">
        <v>225</v>
      </c>
      <c r="C4705" s="62">
        <v>225</v>
      </c>
    </row>
    <row r="4706" spans="1:3" x14ac:dyDescent="0.2">
      <c r="A4706" s="62" t="s">
        <v>1026</v>
      </c>
      <c r="B4706" s="48">
        <v>225</v>
      </c>
      <c r="C4706" s="62">
        <v>225</v>
      </c>
    </row>
    <row r="4707" spans="1:3" x14ac:dyDescent="0.2">
      <c r="A4707" s="62" t="s">
        <v>1025</v>
      </c>
      <c r="B4707" s="48">
        <v>225</v>
      </c>
      <c r="C4707" s="62">
        <v>225</v>
      </c>
    </row>
    <row r="4708" spans="1:3" x14ac:dyDescent="0.2">
      <c r="A4708" s="62" t="s">
        <v>1024</v>
      </c>
      <c r="B4708" s="48">
        <v>225</v>
      </c>
      <c r="C4708" s="62">
        <v>225</v>
      </c>
    </row>
    <row r="4709" spans="1:3" x14ac:dyDescent="0.2">
      <c r="A4709" s="62" t="s">
        <v>1023</v>
      </c>
      <c r="B4709" s="48">
        <v>225</v>
      </c>
      <c r="C4709" s="62">
        <v>225</v>
      </c>
    </row>
    <row r="4710" spans="1:3" x14ac:dyDescent="0.2">
      <c r="A4710" s="62" t="s">
        <v>1022</v>
      </c>
      <c r="B4710" s="48">
        <v>225</v>
      </c>
      <c r="C4710" s="62">
        <v>225</v>
      </c>
    </row>
    <row r="4711" spans="1:3" x14ac:dyDescent="0.2">
      <c r="A4711" s="62" t="s">
        <v>1021</v>
      </c>
      <c r="B4711" s="48">
        <v>225</v>
      </c>
      <c r="C4711" s="62">
        <v>225</v>
      </c>
    </row>
    <row r="4712" spans="1:3" x14ac:dyDescent="0.2">
      <c r="A4712" s="62" t="s">
        <v>1020</v>
      </c>
      <c r="B4712" s="48">
        <v>225</v>
      </c>
      <c r="C4712" s="62">
        <v>225</v>
      </c>
    </row>
    <row r="4713" spans="1:3" x14ac:dyDescent="0.2">
      <c r="A4713" s="62" t="s">
        <v>1017</v>
      </c>
      <c r="B4713" s="48">
        <v>60</v>
      </c>
      <c r="C4713" s="62">
        <v>60</v>
      </c>
    </row>
    <row r="4714" spans="1:3" x14ac:dyDescent="0.2">
      <c r="A4714" s="62" t="s">
        <v>1015</v>
      </c>
      <c r="B4714" s="48">
        <v>62</v>
      </c>
      <c r="C4714" s="62">
        <v>62</v>
      </c>
    </row>
    <row r="4715" spans="1:3" x14ac:dyDescent="0.2">
      <c r="A4715" s="62" t="s">
        <v>1014</v>
      </c>
      <c r="B4715" s="48">
        <v>12</v>
      </c>
      <c r="C4715" s="62">
        <v>12</v>
      </c>
    </row>
    <row r="4716" spans="1:3" x14ac:dyDescent="0.2">
      <c r="A4716" s="62" t="s">
        <v>1013</v>
      </c>
      <c r="B4716" s="48">
        <v>61</v>
      </c>
      <c r="C4716" s="62">
        <v>61</v>
      </c>
    </row>
    <row r="4717" spans="1:3" x14ac:dyDescent="0.2">
      <c r="A4717" s="62" t="s">
        <v>1012</v>
      </c>
      <c r="B4717" s="48">
        <v>15</v>
      </c>
      <c r="C4717" s="62">
        <v>15</v>
      </c>
    </row>
    <row r="4718" spans="1:3" x14ac:dyDescent="0.2">
      <c r="A4718" s="62" t="s">
        <v>1011</v>
      </c>
      <c r="B4718" s="48">
        <v>15</v>
      </c>
      <c r="C4718" s="62">
        <v>15</v>
      </c>
    </row>
    <row r="4719" spans="1:3" x14ac:dyDescent="0.2">
      <c r="A4719" s="62" t="s">
        <v>1010</v>
      </c>
      <c r="B4719" s="48">
        <v>29</v>
      </c>
      <c r="C4719" s="62">
        <v>29</v>
      </c>
    </row>
    <row r="4720" spans="1:3" x14ac:dyDescent="0.2">
      <c r="A4720" s="62" t="s">
        <v>1009</v>
      </c>
      <c r="B4720" s="48">
        <v>5</v>
      </c>
      <c r="C4720" s="62">
        <v>5</v>
      </c>
    </row>
    <row r="4721" spans="1:3" x14ac:dyDescent="0.2">
      <c r="A4721" s="62" t="s">
        <v>1008</v>
      </c>
      <c r="B4721" s="48">
        <v>15</v>
      </c>
      <c r="C4721" s="62">
        <v>15</v>
      </c>
    </row>
    <row r="4722" spans="1:3" x14ac:dyDescent="0.2">
      <c r="A4722" s="62" t="s">
        <v>1007</v>
      </c>
      <c r="B4722" s="48">
        <v>33</v>
      </c>
      <c r="C4722" s="62">
        <v>33</v>
      </c>
    </row>
    <row r="4723" spans="1:3" x14ac:dyDescent="0.2">
      <c r="A4723" s="62" t="s">
        <v>1005</v>
      </c>
      <c r="B4723" s="48">
        <v>14</v>
      </c>
      <c r="C4723" s="62">
        <v>14</v>
      </c>
    </row>
    <row r="4724" spans="1:3" x14ac:dyDescent="0.2">
      <c r="A4724" s="62" t="s">
        <v>1004</v>
      </c>
      <c r="B4724" s="48">
        <v>14</v>
      </c>
      <c r="C4724" s="62">
        <v>14</v>
      </c>
    </row>
    <row r="4725" spans="1:3" x14ac:dyDescent="0.2">
      <c r="A4725" s="62" t="s">
        <v>1003</v>
      </c>
      <c r="B4725" s="48">
        <v>66</v>
      </c>
      <c r="C4725" s="62">
        <v>66</v>
      </c>
    </row>
    <row r="4726" spans="1:3" x14ac:dyDescent="0.2">
      <c r="A4726" s="62" t="s">
        <v>1002</v>
      </c>
      <c r="B4726" s="48">
        <v>33</v>
      </c>
      <c r="C4726" s="62">
        <v>33</v>
      </c>
    </row>
    <row r="4727" spans="1:3" x14ac:dyDescent="0.2">
      <c r="A4727" s="62" t="s">
        <v>1001</v>
      </c>
      <c r="B4727" s="48">
        <v>2</v>
      </c>
      <c r="C4727" s="62">
        <v>2</v>
      </c>
    </row>
    <row r="4728" spans="1:3" x14ac:dyDescent="0.2">
      <c r="A4728" s="62" t="s">
        <v>999</v>
      </c>
      <c r="B4728" s="48">
        <v>14</v>
      </c>
      <c r="C4728" s="62">
        <v>14</v>
      </c>
    </row>
    <row r="4729" spans="1:3" x14ac:dyDescent="0.2">
      <c r="A4729" s="62" t="s">
        <v>998</v>
      </c>
      <c r="B4729" s="48">
        <v>62</v>
      </c>
      <c r="C4729" s="62">
        <v>62</v>
      </c>
    </row>
    <row r="4730" spans="1:3" x14ac:dyDescent="0.2">
      <c r="A4730" s="62" t="s">
        <v>997</v>
      </c>
      <c r="B4730" s="48">
        <v>4</v>
      </c>
      <c r="C4730" s="62">
        <v>4</v>
      </c>
    </row>
    <row r="4731" spans="1:3" x14ac:dyDescent="0.2">
      <c r="A4731" s="62" t="s">
        <v>996</v>
      </c>
      <c r="B4731" s="48">
        <v>74</v>
      </c>
      <c r="C4731" s="62">
        <v>74</v>
      </c>
    </row>
    <row r="4732" spans="1:3" x14ac:dyDescent="0.2">
      <c r="A4732" s="62" t="s">
        <v>995</v>
      </c>
      <c r="B4732" s="48">
        <v>2</v>
      </c>
      <c r="C4732" s="62">
        <v>2</v>
      </c>
    </row>
    <row r="4733" spans="1:3" x14ac:dyDescent="0.2">
      <c r="A4733" s="62" t="s">
        <v>994</v>
      </c>
      <c r="B4733" s="48">
        <v>2</v>
      </c>
      <c r="C4733" s="62">
        <v>2</v>
      </c>
    </row>
    <row r="4734" spans="1:3" x14ac:dyDescent="0.2">
      <c r="A4734" s="62" t="s">
        <v>992</v>
      </c>
      <c r="B4734" s="48">
        <v>14</v>
      </c>
      <c r="C4734" s="62">
        <v>14</v>
      </c>
    </row>
    <row r="4735" spans="1:3" x14ac:dyDescent="0.2">
      <c r="A4735" s="62" t="s">
        <v>991</v>
      </c>
      <c r="B4735" s="48">
        <v>4</v>
      </c>
      <c r="C4735" s="62">
        <v>4</v>
      </c>
    </row>
    <row r="4736" spans="1:3" x14ac:dyDescent="0.2">
      <c r="A4736" s="62" t="s">
        <v>990</v>
      </c>
      <c r="B4736" s="48">
        <v>14</v>
      </c>
      <c r="C4736" s="62">
        <v>14</v>
      </c>
    </row>
    <row r="4737" spans="1:3" x14ac:dyDescent="0.2">
      <c r="A4737" s="62" t="s">
        <v>988</v>
      </c>
      <c r="B4737" s="48">
        <v>194</v>
      </c>
      <c r="C4737" s="62">
        <v>194</v>
      </c>
    </row>
    <row r="4738" spans="1:3" x14ac:dyDescent="0.2">
      <c r="A4738" s="62" t="s">
        <v>987</v>
      </c>
      <c r="B4738" s="48">
        <v>14</v>
      </c>
      <c r="C4738" s="62">
        <v>14</v>
      </c>
    </row>
    <row r="4739" spans="1:3" x14ac:dyDescent="0.2">
      <c r="A4739" s="62" t="s">
        <v>986</v>
      </c>
      <c r="B4739" s="48">
        <v>82</v>
      </c>
      <c r="C4739" s="62">
        <v>82</v>
      </c>
    </row>
    <row r="4740" spans="1:3" x14ac:dyDescent="0.2">
      <c r="A4740" s="62" t="s">
        <v>985</v>
      </c>
      <c r="B4740" s="48">
        <v>14</v>
      </c>
      <c r="C4740" s="62">
        <v>14</v>
      </c>
    </row>
    <row r="4741" spans="1:3" x14ac:dyDescent="0.2">
      <c r="A4741" s="62" t="s">
        <v>984</v>
      </c>
      <c r="B4741" s="48">
        <v>15</v>
      </c>
      <c r="C4741" s="62">
        <v>15</v>
      </c>
    </row>
    <row r="4742" spans="1:3" x14ac:dyDescent="0.2">
      <c r="A4742" s="62" t="s">
        <v>983</v>
      </c>
      <c r="B4742" s="48">
        <v>14</v>
      </c>
      <c r="C4742" s="62">
        <v>14</v>
      </c>
    </row>
    <row r="4743" spans="1:3" x14ac:dyDescent="0.2">
      <c r="A4743" s="62" t="s">
        <v>982</v>
      </c>
      <c r="B4743" s="48">
        <v>14</v>
      </c>
      <c r="C4743" s="62">
        <v>14</v>
      </c>
    </row>
    <row r="4744" spans="1:3" x14ac:dyDescent="0.2">
      <c r="A4744" s="62" t="s">
        <v>981</v>
      </c>
      <c r="B4744" s="48">
        <v>15</v>
      </c>
      <c r="C4744" s="62">
        <v>15</v>
      </c>
    </row>
    <row r="4745" spans="1:3" x14ac:dyDescent="0.2">
      <c r="A4745" s="62" t="s">
        <v>980</v>
      </c>
      <c r="B4745" s="48">
        <v>2</v>
      </c>
      <c r="C4745" s="62">
        <v>2</v>
      </c>
    </row>
    <row r="4746" spans="1:3" x14ac:dyDescent="0.2">
      <c r="A4746" s="62" t="s">
        <v>979</v>
      </c>
      <c r="B4746" s="48">
        <v>15</v>
      </c>
      <c r="C4746" s="62">
        <v>15</v>
      </c>
    </row>
    <row r="4747" spans="1:3" x14ac:dyDescent="0.2">
      <c r="A4747" s="62" t="s">
        <v>978</v>
      </c>
      <c r="B4747" s="48">
        <v>15</v>
      </c>
      <c r="C4747" s="62">
        <v>15</v>
      </c>
    </row>
    <row r="4748" spans="1:3" x14ac:dyDescent="0.2">
      <c r="A4748" s="62" t="s">
        <v>977</v>
      </c>
      <c r="B4748" s="48">
        <v>20</v>
      </c>
      <c r="C4748" s="62">
        <v>20</v>
      </c>
    </row>
    <row r="4749" spans="1:3" x14ac:dyDescent="0.2">
      <c r="A4749" s="62" t="s">
        <v>976</v>
      </c>
      <c r="B4749" s="48">
        <v>20</v>
      </c>
      <c r="C4749" s="62">
        <v>20</v>
      </c>
    </row>
    <row r="4750" spans="1:3" x14ac:dyDescent="0.2">
      <c r="A4750" s="62" t="s">
        <v>975</v>
      </c>
      <c r="B4750" s="48">
        <v>20</v>
      </c>
      <c r="C4750" s="62">
        <v>20</v>
      </c>
    </row>
    <row r="4751" spans="1:3" x14ac:dyDescent="0.2">
      <c r="A4751" s="62" t="s">
        <v>974</v>
      </c>
      <c r="B4751" s="48">
        <v>14</v>
      </c>
      <c r="C4751" s="62">
        <v>14</v>
      </c>
    </row>
    <row r="4752" spans="1:3" x14ac:dyDescent="0.2">
      <c r="A4752" s="62" t="s">
        <v>973</v>
      </c>
      <c r="B4752" s="48">
        <v>14</v>
      </c>
      <c r="C4752" s="62">
        <v>14</v>
      </c>
    </row>
    <row r="4753" spans="1:3" x14ac:dyDescent="0.2">
      <c r="A4753" s="62" t="s">
        <v>972</v>
      </c>
      <c r="B4753" s="48">
        <v>14</v>
      </c>
      <c r="C4753" s="62">
        <v>14</v>
      </c>
    </row>
    <row r="4754" spans="1:3" x14ac:dyDescent="0.2">
      <c r="A4754" s="62" t="s">
        <v>971</v>
      </c>
      <c r="B4754" s="48">
        <v>14</v>
      </c>
      <c r="C4754" s="62">
        <v>14</v>
      </c>
    </row>
    <row r="4755" spans="1:3" x14ac:dyDescent="0.2">
      <c r="A4755" s="62" t="s">
        <v>970</v>
      </c>
      <c r="B4755" s="48">
        <v>14</v>
      </c>
      <c r="C4755" s="62">
        <v>14</v>
      </c>
    </row>
    <row r="4756" spans="1:3" x14ac:dyDescent="0.2">
      <c r="A4756" s="62" t="s">
        <v>969</v>
      </c>
      <c r="B4756" s="48">
        <v>2</v>
      </c>
      <c r="C4756" s="62">
        <v>2</v>
      </c>
    </row>
    <row r="4757" spans="1:3" x14ac:dyDescent="0.2">
      <c r="A4757" s="62" t="s">
        <v>968</v>
      </c>
      <c r="B4757" s="48">
        <v>2</v>
      </c>
      <c r="C4757" s="62">
        <v>2</v>
      </c>
    </row>
    <row r="4758" spans="1:3" x14ac:dyDescent="0.2">
      <c r="A4758" s="62" t="s">
        <v>967</v>
      </c>
      <c r="B4758" s="48">
        <v>2</v>
      </c>
      <c r="C4758" s="62">
        <v>2</v>
      </c>
    </row>
    <row r="4759" spans="1:3" x14ac:dyDescent="0.2">
      <c r="A4759" s="62" t="s">
        <v>966</v>
      </c>
      <c r="B4759" s="48">
        <v>14</v>
      </c>
      <c r="C4759" s="62">
        <v>14</v>
      </c>
    </row>
    <row r="4760" spans="1:3" x14ac:dyDescent="0.2">
      <c r="A4760" s="62" t="s">
        <v>964</v>
      </c>
      <c r="B4760" s="48">
        <v>161</v>
      </c>
      <c r="C4760" s="62">
        <v>161</v>
      </c>
    </row>
    <row r="4761" spans="1:3" x14ac:dyDescent="0.2">
      <c r="A4761" s="62" t="s">
        <v>963</v>
      </c>
      <c r="B4761" s="48">
        <v>18</v>
      </c>
      <c r="C4761" s="62">
        <v>18</v>
      </c>
    </row>
    <row r="4762" spans="1:3" x14ac:dyDescent="0.2">
      <c r="A4762" s="62" t="s">
        <v>962</v>
      </c>
      <c r="B4762" s="48">
        <v>18</v>
      </c>
      <c r="C4762" s="62">
        <v>18</v>
      </c>
    </row>
    <row r="4763" spans="1:3" x14ac:dyDescent="0.2">
      <c r="A4763" s="62" t="s">
        <v>961</v>
      </c>
      <c r="B4763" s="48">
        <v>18</v>
      </c>
      <c r="C4763" s="62">
        <v>18</v>
      </c>
    </row>
    <row r="4764" spans="1:3" x14ac:dyDescent="0.2">
      <c r="A4764" s="62" t="s">
        <v>960</v>
      </c>
      <c r="B4764" s="48">
        <v>14</v>
      </c>
      <c r="C4764" s="62">
        <v>14</v>
      </c>
    </row>
    <row r="4765" spans="1:3" x14ac:dyDescent="0.2">
      <c r="A4765" s="62" t="s">
        <v>959</v>
      </c>
      <c r="B4765" s="48">
        <v>43</v>
      </c>
      <c r="C4765" s="62">
        <v>43</v>
      </c>
    </row>
    <row r="4766" spans="1:3" x14ac:dyDescent="0.2">
      <c r="A4766" s="62" t="s">
        <v>957</v>
      </c>
      <c r="B4766" s="48">
        <v>146</v>
      </c>
      <c r="C4766" s="62">
        <v>146</v>
      </c>
    </row>
    <row r="4767" spans="1:3" x14ac:dyDescent="0.2">
      <c r="A4767" s="62" t="s">
        <v>956</v>
      </c>
      <c r="B4767" s="48">
        <v>14</v>
      </c>
      <c r="C4767" s="62">
        <v>14</v>
      </c>
    </row>
    <row r="4768" spans="1:3" x14ac:dyDescent="0.2">
      <c r="A4768" s="62" t="s">
        <v>955</v>
      </c>
      <c r="B4768" s="48">
        <v>88</v>
      </c>
      <c r="C4768" s="62">
        <v>88</v>
      </c>
    </row>
    <row r="4769" spans="1:3" x14ac:dyDescent="0.2">
      <c r="A4769" s="62" t="s">
        <v>954</v>
      </c>
      <c r="B4769" s="48">
        <v>2</v>
      </c>
      <c r="C4769" s="62">
        <v>2</v>
      </c>
    </row>
    <row r="4770" spans="1:3" x14ac:dyDescent="0.2">
      <c r="A4770" s="62" t="s">
        <v>953</v>
      </c>
      <c r="B4770" s="48">
        <v>2</v>
      </c>
      <c r="C4770" s="62">
        <v>2</v>
      </c>
    </row>
    <row r="4771" spans="1:3" x14ac:dyDescent="0.2">
      <c r="A4771" s="62" t="s">
        <v>952</v>
      </c>
      <c r="B4771" s="48">
        <v>148</v>
      </c>
      <c r="C4771" s="62">
        <v>148</v>
      </c>
    </row>
    <row r="4772" spans="1:3" x14ac:dyDescent="0.2">
      <c r="A4772" s="62" t="s">
        <v>950</v>
      </c>
      <c r="B4772" s="48">
        <v>14</v>
      </c>
      <c r="C4772" s="62">
        <v>14</v>
      </c>
    </row>
    <row r="4773" spans="1:3" x14ac:dyDescent="0.2">
      <c r="A4773" s="62" t="s">
        <v>949</v>
      </c>
      <c r="B4773" s="48">
        <v>4</v>
      </c>
      <c r="C4773" s="62">
        <v>4</v>
      </c>
    </row>
    <row r="4774" spans="1:3" x14ac:dyDescent="0.2">
      <c r="A4774" s="62" t="s">
        <v>948</v>
      </c>
      <c r="B4774" s="48">
        <v>15</v>
      </c>
      <c r="C4774" s="62">
        <v>15</v>
      </c>
    </row>
    <row r="4775" spans="1:3" x14ac:dyDescent="0.2">
      <c r="A4775" s="62" t="s">
        <v>947</v>
      </c>
      <c r="B4775" s="48">
        <v>148</v>
      </c>
      <c r="C4775" s="62">
        <v>148</v>
      </c>
    </row>
    <row r="4776" spans="1:3" x14ac:dyDescent="0.2">
      <c r="A4776" s="62" t="s">
        <v>944</v>
      </c>
      <c r="B4776" s="48">
        <v>148</v>
      </c>
      <c r="C4776" s="62">
        <v>148</v>
      </c>
    </row>
    <row r="4777" spans="1:3" x14ac:dyDescent="0.2">
      <c r="A4777" s="62" t="s">
        <v>943</v>
      </c>
      <c r="B4777" s="48">
        <v>148</v>
      </c>
      <c r="C4777" s="62">
        <v>148</v>
      </c>
    </row>
    <row r="4778" spans="1:3" x14ac:dyDescent="0.2">
      <c r="A4778" s="62" t="s">
        <v>942</v>
      </c>
      <c r="B4778" s="48">
        <v>148</v>
      </c>
      <c r="C4778" s="62">
        <v>148</v>
      </c>
    </row>
    <row r="4779" spans="1:3" x14ac:dyDescent="0.2">
      <c r="A4779" s="62" t="s">
        <v>941</v>
      </c>
      <c r="B4779" s="48">
        <v>2</v>
      </c>
      <c r="C4779" s="62">
        <v>2</v>
      </c>
    </row>
    <row r="4780" spans="1:3" x14ac:dyDescent="0.2">
      <c r="A4780" s="62" t="s">
        <v>939</v>
      </c>
      <c r="B4780" s="48">
        <v>2</v>
      </c>
      <c r="C4780" s="62">
        <v>2</v>
      </c>
    </row>
    <row r="4781" spans="1:3" x14ac:dyDescent="0.2">
      <c r="A4781" s="62" t="s">
        <v>937</v>
      </c>
      <c r="B4781" s="48">
        <v>88</v>
      </c>
      <c r="C4781" s="62">
        <v>88</v>
      </c>
    </row>
    <row r="4782" spans="1:3" x14ac:dyDescent="0.2">
      <c r="A4782" s="62" t="s">
        <v>936</v>
      </c>
      <c r="B4782" s="48">
        <v>14</v>
      </c>
      <c r="C4782" s="62">
        <v>14</v>
      </c>
    </row>
    <row r="4783" spans="1:3" x14ac:dyDescent="0.2">
      <c r="A4783" s="62" t="s">
        <v>935</v>
      </c>
      <c r="B4783" s="48">
        <v>14</v>
      </c>
      <c r="C4783" s="62">
        <v>14</v>
      </c>
    </row>
    <row r="4784" spans="1:3" x14ac:dyDescent="0.2">
      <c r="A4784" s="62" t="s">
        <v>934</v>
      </c>
      <c r="B4784" s="48">
        <v>14</v>
      </c>
      <c r="C4784" s="62">
        <v>14</v>
      </c>
    </row>
    <row r="4785" spans="1:3" x14ac:dyDescent="0.2">
      <c r="A4785" s="62" t="s">
        <v>933</v>
      </c>
      <c r="B4785" s="48">
        <v>14</v>
      </c>
      <c r="C4785" s="62">
        <v>14</v>
      </c>
    </row>
    <row r="4786" spans="1:3" x14ac:dyDescent="0.2">
      <c r="A4786" s="62" t="s">
        <v>932</v>
      </c>
      <c r="B4786" s="48">
        <v>14</v>
      </c>
      <c r="C4786" s="62">
        <v>14</v>
      </c>
    </row>
    <row r="4787" spans="1:3" x14ac:dyDescent="0.2">
      <c r="A4787" s="62" t="s">
        <v>931</v>
      </c>
      <c r="B4787" s="48">
        <v>13</v>
      </c>
      <c r="C4787" s="62">
        <v>13</v>
      </c>
    </row>
    <row r="4788" spans="1:3" x14ac:dyDescent="0.2">
      <c r="A4788" s="62" t="s">
        <v>930</v>
      </c>
      <c r="B4788" s="48">
        <v>14</v>
      </c>
      <c r="C4788" s="62">
        <v>14</v>
      </c>
    </row>
    <row r="4789" spans="1:3" x14ac:dyDescent="0.2">
      <c r="A4789" s="62" t="s">
        <v>928</v>
      </c>
      <c r="B4789" s="48">
        <v>14</v>
      </c>
      <c r="C4789" s="62">
        <v>14</v>
      </c>
    </row>
    <row r="4790" spans="1:3" x14ac:dyDescent="0.2">
      <c r="A4790" s="62" t="s">
        <v>927</v>
      </c>
      <c r="B4790" s="48">
        <v>19</v>
      </c>
      <c r="C4790" s="62">
        <v>19</v>
      </c>
    </row>
    <row r="4791" spans="1:3" x14ac:dyDescent="0.2">
      <c r="A4791" s="62" t="s">
        <v>926</v>
      </c>
      <c r="B4791" s="48">
        <v>61</v>
      </c>
      <c r="C4791" s="62">
        <v>61</v>
      </c>
    </row>
    <row r="4792" spans="1:3" x14ac:dyDescent="0.2">
      <c r="A4792" s="62" t="s">
        <v>925</v>
      </c>
      <c r="B4792" s="48">
        <v>225</v>
      </c>
      <c r="C4792" s="62">
        <v>225</v>
      </c>
    </row>
    <row r="4793" spans="1:3" x14ac:dyDescent="0.2">
      <c r="A4793" s="62" t="s">
        <v>924</v>
      </c>
      <c r="B4793" s="48">
        <v>225</v>
      </c>
      <c r="C4793" s="62">
        <v>225</v>
      </c>
    </row>
    <row r="4794" spans="1:3" x14ac:dyDescent="0.2">
      <c r="A4794" s="62" t="s">
        <v>923</v>
      </c>
      <c r="B4794" s="48">
        <v>225</v>
      </c>
      <c r="C4794" s="62">
        <v>225</v>
      </c>
    </row>
    <row r="4795" spans="1:3" x14ac:dyDescent="0.2">
      <c r="A4795" s="62" t="s">
        <v>922</v>
      </c>
      <c r="B4795" s="48">
        <v>2</v>
      </c>
      <c r="C4795" s="62">
        <v>2</v>
      </c>
    </row>
    <row r="4796" spans="1:3" x14ac:dyDescent="0.2">
      <c r="A4796" s="62" t="s">
        <v>921</v>
      </c>
      <c r="B4796" s="48">
        <v>19</v>
      </c>
      <c r="C4796" s="62">
        <v>19</v>
      </c>
    </row>
    <row r="4797" spans="1:3" x14ac:dyDescent="0.2">
      <c r="A4797" s="62" t="s">
        <v>920</v>
      </c>
      <c r="B4797" s="48">
        <v>19</v>
      </c>
      <c r="C4797" s="62">
        <v>19</v>
      </c>
    </row>
    <row r="4798" spans="1:3" x14ac:dyDescent="0.2">
      <c r="A4798" s="62" t="s">
        <v>919</v>
      </c>
      <c r="B4798" s="48">
        <v>225</v>
      </c>
      <c r="C4798" s="62">
        <v>225</v>
      </c>
    </row>
    <row r="4799" spans="1:3" x14ac:dyDescent="0.2">
      <c r="A4799" s="62" t="s">
        <v>917</v>
      </c>
      <c r="B4799" s="48">
        <v>12</v>
      </c>
      <c r="C4799" s="62">
        <v>12</v>
      </c>
    </row>
    <row r="4800" spans="1:3" x14ac:dyDescent="0.2">
      <c r="A4800" s="62" t="s">
        <v>916</v>
      </c>
      <c r="B4800" s="48">
        <v>62</v>
      </c>
      <c r="C4800" s="62">
        <v>62</v>
      </c>
    </row>
    <row r="4801" spans="1:3" x14ac:dyDescent="0.2">
      <c r="A4801" s="62" t="s">
        <v>915</v>
      </c>
      <c r="B4801" s="48">
        <v>60</v>
      </c>
      <c r="C4801" s="62">
        <v>60</v>
      </c>
    </row>
    <row r="4802" spans="1:3" x14ac:dyDescent="0.2">
      <c r="A4802" s="62" t="s">
        <v>913</v>
      </c>
      <c r="B4802" s="48">
        <v>15</v>
      </c>
      <c r="C4802" s="62">
        <v>15</v>
      </c>
    </row>
    <row r="4803" spans="1:3" x14ac:dyDescent="0.2">
      <c r="A4803" s="62" t="s">
        <v>912</v>
      </c>
      <c r="B4803" s="48">
        <v>15</v>
      </c>
      <c r="C4803" s="62">
        <v>15</v>
      </c>
    </row>
    <row r="4804" spans="1:3" x14ac:dyDescent="0.2">
      <c r="A4804" s="62" t="s">
        <v>911</v>
      </c>
      <c r="B4804" s="48">
        <v>167</v>
      </c>
      <c r="C4804" s="62">
        <v>167</v>
      </c>
    </row>
    <row r="4805" spans="1:3" x14ac:dyDescent="0.2">
      <c r="A4805" s="62" t="s">
        <v>909</v>
      </c>
      <c r="B4805" s="48">
        <v>2</v>
      </c>
      <c r="C4805" s="62">
        <v>2</v>
      </c>
    </row>
    <row r="4806" spans="1:3" x14ac:dyDescent="0.2">
      <c r="A4806" s="62" t="s">
        <v>908</v>
      </c>
      <c r="B4806" s="48">
        <v>15</v>
      </c>
      <c r="C4806" s="62">
        <v>15</v>
      </c>
    </row>
    <row r="4807" spans="1:3" x14ac:dyDescent="0.2">
      <c r="A4807" s="62" t="s">
        <v>907</v>
      </c>
      <c r="B4807" s="48">
        <v>15</v>
      </c>
      <c r="C4807" s="62">
        <v>15</v>
      </c>
    </row>
    <row r="4808" spans="1:3" x14ac:dyDescent="0.2">
      <c r="A4808" s="62" t="s">
        <v>906</v>
      </c>
      <c r="B4808" s="48">
        <v>15</v>
      </c>
      <c r="C4808" s="62">
        <v>15</v>
      </c>
    </row>
    <row r="4809" spans="1:3" x14ac:dyDescent="0.2">
      <c r="A4809" s="62" t="s">
        <v>905</v>
      </c>
      <c r="B4809" s="48">
        <v>14</v>
      </c>
      <c r="C4809" s="62">
        <v>14</v>
      </c>
    </row>
    <row r="4810" spans="1:3" x14ac:dyDescent="0.2">
      <c r="A4810" s="62" t="s">
        <v>904</v>
      </c>
      <c r="B4810" s="48">
        <v>14</v>
      </c>
      <c r="C4810" s="62">
        <v>14</v>
      </c>
    </row>
    <row r="4811" spans="1:3" x14ac:dyDescent="0.2">
      <c r="A4811" s="62" t="s">
        <v>903</v>
      </c>
      <c r="B4811" s="48">
        <v>180</v>
      </c>
      <c r="C4811" s="62">
        <v>180</v>
      </c>
    </row>
    <row r="4812" spans="1:3" x14ac:dyDescent="0.2">
      <c r="A4812" s="62" t="s">
        <v>902</v>
      </c>
      <c r="B4812" s="48">
        <v>15</v>
      </c>
      <c r="C4812" s="62">
        <v>15</v>
      </c>
    </row>
    <row r="4813" spans="1:3" x14ac:dyDescent="0.2">
      <c r="A4813" s="62" t="s">
        <v>901</v>
      </c>
      <c r="B4813" s="48">
        <v>12</v>
      </c>
      <c r="C4813" s="62">
        <v>12</v>
      </c>
    </row>
    <row r="4814" spans="1:3" x14ac:dyDescent="0.2">
      <c r="A4814" s="62" t="s">
        <v>900</v>
      </c>
      <c r="B4814" s="48">
        <v>2</v>
      </c>
      <c r="C4814" s="62">
        <v>2</v>
      </c>
    </row>
    <row r="4815" spans="1:3" x14ac:dyDescent="0.2">
      <c r="A4815" s="62" t="s">
        <v>898</v>
      </c>
      <c r="B4815" s="48">
        <v>19</v>
      </c>
      <c r="C4815" s="62">
        <v>19</v>
      </c>
    </row>
    <row r="4816" spans="1:3" x14ac:dyDescent="0.2">
      <c r="A4816" s="62" t="s">
        <v>897</v>
      </c>
      <c r="B4816" s="48">
        <v>19</v>
      </c>
      <c r="C4816" s="62">
        <v>19</v>
      </c>
    </row>
    <row r="4817" spans="1:3" x14ac:dyDescent="0.2">
      <c r="A4817" s="62" t="s">
        <v>896</v>
      </c>
      <c r="B4817" s="48">
        <v>15</v>
      </c>
      <c r="C4817" s="62">
        <v>15</v>
      </c>
    </row>
    <row r="4818" spans="1:3" x14ac:dyDescent="0.2">
      <c r="A4818" s="62" t="s">
        <v>895</v>
      </c>
      <c r="B4818" s="48">
        <v>14</v>
      </c>
      <c r="C4818" s="62">
        <v>14</v>
      </c>
    </row>
    <row r="4819" spans="1:3" x14ac:dyDescent="0.2">
      <c r="A4819" s="62" t="s">
        <v>894</v>
      </c>
      <c r="B4819" s="48">
        <v>88</v>
      </c>
      <c r="C4819" s="62">
        <v>88</v>
      </c>
    </row>
    <row r="4820" spans="1:3" x14ac:dyDescent="0.2">
      <c r="A4820" s="62" t="s">
        <v>893</v>
      </c>
      <c r="B4820" s="48">
        <v>88</v>
      </c>
      <c r="C4820" s="62">
        <v>88</v>
      </c>
    </row>
    <row r="4821" spans="1:3" x14ac:dyDescent="0.2">
      <c r="A4821" s="62" t="s">
        <v>892</v>
      </c>
      <c r="B4821" s="48">
        <v>192</v>
      </c>
      <c r="C4821" s="62">
        <v>192</v>
      </c>
    </row>
    <row r="4822" spans="1:3" x14ac:dyDescent="0.2">
      <c r="A4822" s="62" t="s">
        <v>891</v>
      </c>
      <c r="B4822" s="48">
        <v>192</v>
      </c>
      <c r="C4822" s="62">
        <v>192</v>
      </c>
    </row>
    <row r="4823" spans="1:3" x14ac:dyDescent="0.2">
      <c r="A4823" s="62" t="s">
        <v>889</v>
      </c>
      <c r="B4823" s="48">
        <v>14</v>
      </c>
      <c r="C4823" s="62">
        <v>14</v>
      </c>
    </row>
    <row r="4824" spans="1:3" x14ac:dyDescent="0.2">
      <c r="A4824" s="62" t="s">
        <v>888</v>
      </c>
      <c r="B4824" s="48">
        <v>14</v>
      </c>
      <c r="C4824" s="62">
        <v>14</v>
      </c>
    </row>
    <row r="4825" spans="1:3" x14ac:dyDescent="0.2">
      <c r="A4825" s="62" t="s">
        <v>887</v>
      </c>
      <c r="B4825" s="48">
        <v>14</v>
      </c>
      <c r="C4825" s="62">
        <v>14</v>
      </c>
    </row>
    <row r="4826" spans="1:3" x14ac:dyDescent="0.2">
      <c r="A4826" s="62" t="s">
        <v>886</v>
      </c>
      <c r="B4826" s="48">
        <v>230</v>
      </c>
      <c r="C4826" s="62">
        <v>230</v>
      </c>
    </row>
    <row r="4827" spans="1:3" x14ac:dyDescent="0.2">
      <c r="A4827" s="62" t="s">
        <v>884</v>
      </c>
      <c r="B4827" s="48">
        <v>61</v>
      </c>
      <c r="C4827" s="62">
        <v>61</v>
      </c>
    </row>
    <row r="4828" spans="1:3" x14ac:dyDescent="0.2">
      <c r="A4828" s="62" t="s">
        <v>883</v>
      </c>
      <c r="B4828" s="48">
        <v>167</v>
      </c>
      <c r="C4828" s="62">
        <v>167</v>
      </c>
    </row>
    <row r="4829" spans="1:3" x14ac:dyDescent="0.2">
      <c r="A4829" s="62" t="s">
        <v>882</v>
      </c>
      <c r="B4829" s="48">
        <v>14</v>
      </c>
      <c r="C4829" s="62">
        <v>14</v>
      </c>
    </row>
    <row r="4830" spans="1:3" x14ac:dyDescent="0.2">
      <c r="A4830" s="62" t="s">
        <v>881</v>
      </c>
      <c r="B4830" s="48">
        <v>11</v>
      </c>
      <c r="C4830" s="62">
        <v>11</v>
      </c>
    </row>
    <row r="4831" spans="1:3" x14ac:dyDescent="0.2">
      <c r="A4831" s="62" t="s">
        <v>879</v>
      </c>
      <c r="B4831" s="48">
        <v>11</v>
      </c>
      <c r="C4831" s="62">
        <v>11</v>
      </c>
    </row>
    <row r="4832" spans="1:3" x14ac:dyDescent="0.2">
      <c r="A4832" s="62" t="s">
        <v>877</v>
      </c>
      <c r="B4832" s="48">
        <v>14</v>
      </c>
      <c r="C4832" s="62">
        <v>14</v>
      </c>
    </row>
    <row r="4833" spans="1:3" x14ac:dyDescent="0.2">
      <c r="A4833" s="62" t="s">
        <v>876</v>
      </c>
      <c r="B4833" s="48">
        <v>14</v>
      </c>
      <c r="C4833" s="62">
        <v>14</v>
      </c>
    </row>
    <row r="4834" spans="1:3" x14ac:dyDescent="0.2">
      <c r="A4834" s="62" t="s">
        <v>874</v>
      </c>
      <c r="B4834" s="48">
        <v>20</v>
      </c>
      <c r="C4834" s="62">
        <v>20</v>
      </c>
    </row>
    <row r="4835" spans="1:3" x14ac:dyDescent="0.2">
      <c r="A4835" s="62" t="s">
        <v>873</v>
      </c>
      <c r="B4835" s="48">
        <v>20</v>
      </c>
      <c r="C4835" s="62">
        <v>20</v>
      </c>
    </row>
    <row r="4836" spans="1:3" x14ac:dyDescent="0.2">
      <c r="A4836" s="62" t="s">
        <v>870</v>
      </c>
      <c r="B4836" s="48">
        <v>169</v>
      </c>
      <c r="C4836" s="62">
        <v>169</v>
      </c>
    </row>
    <row r="4837" spans="1:3" x14ac:dyDescent="0.2">
      <c r="A4837" s="62" t="s">
        <v>869</v>
      </c>
      <c r="B4837" s="48">
        <v>46</v>
      </c>
      <c r="C4837" s="62">
        <v>46</v>
      </c>
    </row>
    <row r="4838" spans="1:3" x14ac:dyDescent="0.2">
      <c r="A4838" s="62" t="s">
        <v>868</v>
      </c>
      <c r="B4838" s="48">
        <v>2</v>
      </c>
      <c r="C4838" s="62">
        <v>2</v>
      </c>
    </row>
    <row r="4839" spans="1:3" x14ac:dyDescent="0.2">
      <c r="A4839" s="62" t="s">
        <v>867</v>
      </c>
      <c r="B4839" s="48">
        <v>4</v>
      </c>
      <c r="C4839" s="62">
        <v>4</v>
      </c>
    </row>
    <row r="4840" spans="1:3" x14ac:dyDescent="0.2">
      <c r="A4840" s="62" t="s">
        <v>866</v>
      </c>
      <c r="B4840" s="48">
        <v>61</v>
      </c>
      <c r="C4840" s="62">
        <v>61</v>
      </c>
    </row>
    <row r="4841" spans="1:3" x14ac:dyDescent="0.2">
      <c r="A4841" s="62" t="s">
        <v>865</v>
      </c>
      <c r="B4841" s="48">
        <v>33</v>
      </c>
      <c r="C4841" s="62">
        <v>33</v>
      </c>
    </row>
    <row r="4842" spans="1:3" x14ac:dyDescent="0.2">
      <c r="A4842" s="62" t="s">
        <v>863</v>
      </c>
      <c r="B4842" s="48">
        <v>14</v>
      </c>
      <c r="C4842" s="62">
        <v>14</v>
      </c>
    </row>
    <row r="4843" spans="1:3" x14ac:dyDescent="0.2">
      <c r="A4843" s="62" t="s">
        <v>862</v>
      </c>
      <c r="B4843" s="48">
        <v>8</v>
      </c>
      <c r="C4843" s="62">
        <v>8</v>
      </c>
    </row>
    <row r="4844" spans="1:3" x14ac:dyDescent="0.2">
      <c r="A4844" s="62" t="s">
        <v>861</v>
      </c>
      <c r="B4844" s="48">
        <v>20</v>
      </c>
      <c r="C4844" s="62">
        <v>20</v>
      </c>
    </row>
    <row r="4845" spans="1:3" x14ac:dyDescent="0.2">
      <c r="A4845" s="62" t="s">
        <v>860</v>
      </c>
      <c r="B4845" s="48">
        <v>20</v>
      </c>
      <c r="C4845" s="62">
        <v>20</v>
      </c>
    </row>
    <row r="4846" spans="1:3" x14ac:dyDescent="0.2">
      <c r="A4846" s="62" t="s">
        <v>858</v>
      </c>
      <c r="B4846" s="48">
        <v>15</v>
      </c>
      <c r="C4846" s="62">
        <v>15</v>
      </c>
    </row>
    <row r="4847" spans="1:3" x14ac:dyDescent="0.2">
      <c r="A4847" s="62" t="s">
        <v>856</v>
      </c>
      <c r="B4847" s="48">
        <v>15</v>
      </c>
      <c r="C4847" s="62">
        <v>15</v>
      </c>
    </row>
    <row r="4848" spans="1:3" x14ac:dyDescent="0.2">
      <c r="A4848" s="62" t="s">
        <v>855</v>
      </c>
      <c r="B4848" s="48">
        <v>2</v>
      </c>
      <c r="C4848" s="62">
        <v>2</v>
      </c>
    </row>
    <row r="4849" spans="1:3" x14ac:dyDescent="0.2">
      <c r="A4849" s="62" t="s">
        <v>854</v>
      </c>
      <c r="B4849" s="48">
        <v>13</v>
      </c>
      <c r="C4849" s="62">
        <v>13</v>
      </c>
    </row>
    <row r="4850" spans="1:3" x14ac:dyDescent="0.2">
      <c r="A4850" s="62" t="s">
        <v>853</v>
      </c>
      <c r="B4850" s="48">
        <v>15</v>
      </c>
      <c r="C4850" s="62">
        <v>15</v>
      </c>
    </row>
    <row r="4851" spans="1:3" x14ac:dyDescent="0.2">
      <c r="A4851" s="62" t="s">
        <v>852</v>
      </c>
      <c r="B4851" s="48">
        <v>15</v>
      </c>
      <c r="C4851" s="62">
        <v>15</v>
      </c>
    </row>
    <row r="4852" spans="1:3" x14ac:dyDescent="0.2">
      <c r="A4852" s="62" t="s">
        <v>851</v>
      </c>
      <c r="B4852" s="48">
        <v>34</v>
      </c>
      <c r="C4852" s="62">
        <v>34</v>
      </c>
    </row>
    <row r="4853" spans="1:3" x14ac:dyDescent="0.2">
      <c r="A4853" s="62" t="s">
        <v>850</v>
      </c>
      <c r="B4853" s="48">
        <v>14</v>
      </c>
      <c r="C4853" s="62">
        <v>14</v>
      </c>
    </row>
    <row r="4854" spans="1:3" x14ac:dyDescent="0.2">
      <c r="A4854" s="62" t="s">
        <v>848</v>
      </c>
      <c r="B4854" s="48">
        <v>14</v>
      </c>
      <c r="C4854" s="62">
        <v>14</v>
      </c>
    </row>
    <row r="4855" spans="1:3" x14ac:dyDescent="0.2">
      <c r="A4855" s="62" t="s">
        <v>846</v>
      </c>
      <c r="B4855" s="48">
        <v>2</v>
      </c>
      <c r="C4855" s="62">
        <v>2</v>
      </c>
    </row>
    <row r="4856" spans="1:3" x14ac:dyDescent="0.2">
      <c r="A4856" s="62" t="s">
        <v>845</v>
      </c>
      <c r="B4856" s="48">
        <v>2</v>
      </c>
      <c r="C4856" s="62">
        <v>2</v>
      </c>
    </row>
    <row r="4857" spans="1:3" x14ac:dyDescent="0.2">
      <c r="A4857" s="62" t="s">
        <v>844</v>
      </c>
      <c r="B4857" s="48">
        <v>29</v>
      </c>
      <c r="C4857" s="62">
        <v>29</v>
      </c>
    </row>
    <row r="4858" spans="1:3" x14ac:dyDescent="0.2">
      <c r="A4858" s="62" t="s">
        <v>843</v>
      </c>
      <c r="B4858" s="48">
        <v>14</v>
      </c>
      <c r="C4858" s="62">
        <v>14</v>
      </c>
    </row>
    <row r="4859" spans="1:3" x14ac:dyDescent="0.2">
      <c r="A4859" s="62" t="s">
        <v>841</v>
      </c>
      <c r="B4859" s="48">
        <v>2</v>
      </c>
      <c r="C4859" s="62">
        <v>2</v>
      </c>
    </row>
    <row r="4860" spans="1:3" x14ac:dyDescent="0.2">
      <c r="A4860" s="62" t="s">
        <v>840</v>
      </c>
      <c r="B4860" s="48">
        <v>2</v>
      </c>
      <c r="C4860" s="62">
        <v>2</v>
      </c>
    </row>
    <row r="4861" spans="1:3" x14ac:dyDescent="0.2">
      <c r="A4861" s="62" t="s">
        <v>839</v>
      </c>
      <c r="B4861" s="48">
        <v>15</v>
      </c>
      <c r="C4861" s="62">
        <v>15</v>
      </c>
    </row>
    <row r="4862" spans="1:3" x14ac:dyDescent="0.2">
      <c r="A4862" s="62" t="s">
        <v>838</v>
      </c>
      <c r="B4862" s="48">
        <v>2</v>
      </c>
      <c r="C4862" s="62">
        <v>2</v>
      </c>
    </row>
    <row r="4863" spans="1:3" x14ac:dyDescent="0.2">
      <c r="A4863" s="62" t="s">
        <v>837</v>
      </c>
      <c r="B4863" s="48">
        <v>2</v>
      </c>
      <c r="C4863" s="62">
        <v>2</v>
      </c>
    </row>
    <row r="4864" spans="1:3" x14ac:dyDescent="0.2">
      <c r="A4864" s="62" t="s">
        <v>836</v>
      </c>
      <c r="B4864" s="48">
        <v>2</v>
      </c>
      <c r="C4864" s="62">
        <v>2</v>
      </c>
    </row>
    <row r="4865" spans="1:3" x14ac:dyDescent="0.2">
      <c r="A4865" s="62" t="s">
        <v>835</v>
      </c>
      <c r="B4865" s="48">
        <v>19</v>
      </c>
      <c r="C4865" s="62">
        <v>19</v>
      </c>
    </row>
    <row r="4866" spans="1:3" x14ac:dyDescent="0.2">
      <c r="A4866" s="62" t="s">
        <v>834</v>
      </c>
      <c r="B4866" s="48">
        <v>14</v>
      </c>
      <c r="C4866" s="62">
        <v>14</v>
      </c>
    </row>
    <row r="4867" spans="1:3" x14ac:dyDescent="0.2">
      <c r="A4867" s="62" t="s">
        <v>833</v>
      </c>
      <c r="B4867" s="48">
        <v>9</v>
      </c>
      <c r="C4867" s="62">
        <v>9</v>
      </c>
    </row>
    <row r="4868" spans="1:3" x14ac:dyDescent="0.2">
      <c r="A4868" s="62" t="s">
        <v>832</v>
      </c>
      <c r="B4868" s="48">
        <v>15</v>
      </c>
      <c r="C4868" s="62">
        <v>15</v>
      </c>
    </row>
    <row r="4869" spans="1:3" x14ac:dyDescent="0.2">
      <c r="A4869" s="62" t="s">
        <v>831</v>
      </c>
      <c r="B4869" s="48">
        <v>15</v>
      </c>
      <c r="C4869" s="62">
        <v>15</v>
      </c>
    </row>
    <row r="4870" spans="1:3" x14ac:dyDescent="0.2">
      <c r="A4870" s="62" t="s">
        <v>830</v>
      </c>
      <c r="B4870" s="48">
        <v>15</v>
      </c>
      <c r="C4870" s="62">
        <v>15</v>
      </c>
    </row>
    <row r="4871" spans="1:3" x14ac:dyDescent="0.2">
      <c r="A4871" s="62" t="s">
        <v>829</v>
      </c>
      <c r="B4871" s="48">
        <v>15</v>
      </c>
      <c r="C4871" s="62">
        <v>15</v>
      </c>
    </row>
    <row r="4872" spans="1:3" x14ac:dyDescent="0.2">
      <c r="A4872" s="62" t="s">
        <v>827</v>
      </c>
      <c r="B4872" s="48">
        <v>2</v>
      </c>
      <c r="C4872" s="62">
        <v>2</v>
      </c>
    </row>
    <row r="4873" spans="1:3" x14ac:dyDescent="0.2">
      <c r="A4873" s="62" t="s">
        <v>826</v>
      </c>
      <c r="B4873" s="48">
        <v>60</v>
      </c>
      <c r="C4873" s="62">
        <v>60</v>
      </c>
    </row>
    <row r="4874" spans="1:3" x14ac:dyDescent="0.2">
      <c r="A4874" s="62" t="s">
        <v>825</v>
      </c>
      <c r="B4874" s="48">
        <v>15</v>
      </c>
      <c r="C4874" s="62">
        <v>15</v>
      </c>
    </row>
    <row r="4875" spans="1:3" x14ac:dyDescent="0.2">
      <c r="A4875" s="62" t="s">
        <v>822</v>
      </c>
      <c r="B4875" s="48">
        <v>55</v>
      </c>
      <c r="C4875" s="62">
        <v>55</v>
      </c>
    </row>
    <row r="4876" spans="1:3" x14ac:dyDescent="0.2">
      <c r="A4876" s="62" t="s">
        <v>820</v>
      </c>
      <c r="B4876" s="48">
        <v>2</v>
      </c>
      <c r="C4876" s="62">
        <v>2</v>
      </c>
    </row>
    <row r="4877" spans="1:3" x14ac:dyDescent="0.2">
      <c r="A4877" s="62" t="s">
        <v>819</v>
      </c>
      <c r="B4877" s="48">
        <v>15</v>
      </c>
      <c r="C4877" s="62">
        <v>15</v>
      </c>
    </row>
    <row r="4878" spans="1:3" x14ac:dyDescent="0.2">
      <c r="A4878" s="62" t="s">
        <v>818</v>
      </c>
      <c r="B4878" s="48">
        <v>15</v>
      </c>
      <c r="C4878" s="62">
        <v>15</v>
      </c>
    </row>
    <row r="4879" spans="1:3" x14ac:dyDescent="0.2">
      <c r="A4879" s="62" t="s">
        <v>817</v>
      </c>
      <c r="B4879" s="48">
        <v>15</v>
      </c>
      <c r="C4879" s="62">
        <v>15</v>
      </c>
    </row>
    <row r="4880" spans="1:3" x14ac:dyDescent="0.2">
      <c r="A4880" s="62" t="s">
        <v>816</v>
      </c>
      <c r="B4880" s="48">
        <v>2</v>
      </c>
      <c r="C4880" s="62">
        <v>2</v>
      </c>
    </row>
    <row r="4881" spans="1:3" x14ac:dyDescent="0.2">
      <c r="A4881" s="62" t="s">
        <v>815</v>
      </c>
      <c r="B4881" s="48">
        <v>14</v>
      </c>
      <c r="C4881" s="62">
        <v>14</v>
      </c>
    </row>
    <row r="4882" spans="1:3" x14ac:dyDescent="0.2">
      <c r="A4882" s="62" t="s">
        <v>814</v>
      </c>
      <c r="B4882" s="48">
        <v>4</v>
      </c>
      <c r="C4882" s="62">
        <v>4</v>
      </c>
    </row>
    <row r="4883" spans="1:3" x14ac:dyDescent="0.2">
      <c r="A4883" s="62" t="s">
        <v>813</v>
      </c>
      <c r="B4883" s="48">
        <v>148</v>
      </c>
      <c r="C4883" s="62">
        <v>148</v>
      </c>
    </row>
    <row r="4884" spans="1:3" x14ac:dyDescent="0.2">
      <c r="A4884" s="62" t="s">
        <v>812</v>
      </c>
      <c r="B4884" s="48">
        <v>154</v>
      </c>
      <c r="C4884" s="62">
        <v>154</v>
      </c>
    </row>
    <row r="4885" spans="1:3" x14ac:dyDescent="0.2">
      <c r="A4885" s="62" t="s">
        <v>811</v>
      </c>
      <c r="B4885" s="48">
        <v>152</v>
      </c>
      <c r="C4885" s="62">
        <v>152</v>
      </c>
    </row>
    <row r="4886" spans="1:3" x14ac:dyDescent="0.2">
      <c r="A4886" s="62" t="s">
        <v>810</v>
      </c>
      <c r="B4886" s="48">
        <v>4</v>
      </c>
      <c r="C4886" s="62">
        <v>4</v>
      </c>
    </row>
    <row r="4887" spans="1:3" x14ac:dyDescent="0.2">
      <c r="A4887" s="62" t="s">
        <v>809</v>
      </c>
      <c r="B4887" s="48">
        <v>143</v>
      </c>
      <c r="C4887" s="62">
        <v>143</v>
      </c>
    </row>
    <row r="4888" spans="1:3" x14ac:dyDescent="0.2">
      <c r="A4888" s="62" t="s">
        <v>807</v>
      </c>
      <c r="B4888" s="48">
        <v>36</v>
      </c>
      <c r="C4888" s="62">
        <v>36</v>
      </c>
    </row>
    <row r="4889" spans="1:3" x14ac:dyDescent="0.2">
      <c r="A4889" s="62" t="s">
        <v>805</v>
      </c>
      <c r="B4889" s="48">
        <v>60</v>
      </c>
      <c r="C4889" s="62">
        <v>60</v>
      </c>
    </row>
    <row r="4890" spans="1:3" x14ac:dyDescent="0.2">
      <c r="A4890" s="62" t="s">
        <v>804</v>
      </c>
      <c r="B4890" s="48">
        <v>11</v>
      </c>
      <c r="C4890" s="62">
        <v>11</v>
      </c>
    </row>
    <row r="4891" spans="1:3" x14ac:dyDescent="0.2">
      <c r="A4891" s="62" t="s">
        <v>803</v>
      </c>
      <c r="B4891" s="48">
        <v>4</v>
      </c>
      <c r="C4891" s="62">
        <v>4</v>
      </c>
    </row>
    <row r="4892" spans="1:3" x14ac:dyDescent="0.2">
      <c r="A4892" s="62" t="s">
        <v>802</v>
      </c>
      <c r="B4892" s="48">
        <v>2</v>
      </c>
      <c r="C4892" s="62">
        <v>2</v>
      </c>
    </row>
    <row r="4893" spans="1:3" x14ac:dyDescent="0.2">
      <c r="A4893" s="62" t="s">
        <v>801</v>
      </c>
      <c r="B4893" s="48">
        <v>14</v>
      </c>
      <c r="C4893" s="62">
        <v>14</v>
      </c>
    </row>
    <row r="4894" spans="1:3" x14ac:dyDescent="0.2">
      <c r="A4894" s="62" t="s">
        <v>800</v>
      </c>
      <c r="B4894" s="48">
        <v>61</v>
      </c>
      <c r="C4894" s="62">
        <v>61</v>
      </c>
    </row>
    <row r="4895" spans="1:3" x14ac:dyDescent="0.2">
      <c r="A4895" s="62" t="s">
        <v>799</v>
      </c>
      <c r="B4895" s="48">
        <v>14</v>
      </c>
      <c r="C4895" s="62">
        <v>14</v>
      </c>
    </row>
    <row r="4896" spans="1:3" x14ac:dyDescent="0.2">
      <c r="A4896" s="62" t="s">
        <v>797</v>
      </c>
      <c r="B4896" s="48">
        <v>2</v>
      </c>
      <c r="C4896" s="62">
        <v>2</v>
      </c>
    </row>
    <row r="4897" spans="1:3" x14ac:dyDescent="0.2">
      <c r="A4897" s="62" t="s">
        <v>795</v>
      </c>
      <c r="B4897" s="48">
        <v>2</v>
      </c>
      <c r="C4897" s="62">
        <v>2</v>
      </c>
    </row>
    <row r="4898" spans="1:3" x14ac:dyDescent="0.2">
      <c r="A4898" s="62" t="s">
        <v>793</v>
      </c>
      <c r="B4898" s="48">
        <v>2</v>
      </c>
      <c r="C4898" s="62">
        <v>2</v>
      </c>
    </row>
    <row r="4899" spans="1:3" x14ac:dyDescent="0.2">
      <c r="A4899" s="62" t="s">
        <v>791</v>
      </c>
      <c r="B4899" s="48">
        <v>2</v>
      </c>
      <c r="C4899" s="62">
        <v>2</v>
      </c>
    </row>
    <row r="4900" spans="1:3" x14ac:dyDescent="0.2">
      <c r="A4900" s="62" t="s">
        <v>789</v>
      </c>
      <c r="B4900" s="48">
        <v>2</v>
      </c>
      <c r="C4900" s="62">
        <v>2</v>
      </c>
    </row>
    <row r="4901" spans="1:3" x14ac:dyDescent="0.2">
      <c r="A4901" s="62" t="s">
        <v>787</v>
      </c>
      <c r="B4901" s="48">
        <v>88</v>
      </c>
      <c r="C4901" s="62">
        <v>88</v>
      </c>
    </row>
    <row r="4902" spans="1:3" x14ac:dyDescent="0.2">
      <c r="A4902" s="62" t="s">
        <v>785</v>
      </c>
      <c r="B4902" s="48">
        <v>14</v>
      </c>
      <c r="C4902" s="62">
        <v>14</v>
      </c>
    </row>
    <row r="4903" spans="1:3" x14ac:dyDescent="0.2">
      <c r="A4903" s="62" t="s">
        <v>784</v>
      </c>
      <c r="B4903" s="48">
        <v>14</v>
      </c>
      <c r="C4903" s="62">
        <v>14</v>
      </c>
    </row>
    <row r="4904" spans="1:3" x14ac:dyDescent="0.2">
      <c r="A4904" s="62" t="s">
        <v>783</v>
      </c>
      <c r="B4904" s="48">
        <v>14</v>
      </c>
      <c r="C4904" s="62">
        <v>14</v>
      </c>
    </row>
    <row r="4905" spans="1:3" x14ac:dyDescent="0.2">
      <c r="A4905" s="62" t="s">
        <v>782</v>
      </c>
      <c r="B4905" s="48">
        <v>14</v>
      </c>
      <c r="C4905" s="62">
        <v>14</v>
      </c>
    </row>
    <row r="4906" spans="1:3" x14ac:dyDescent="0.2">
      <c r="A4906" s="62" t="s">
        <v>781</v>
      </c>
      <c r="B4906" s="48">
        <v>230</v>
      </c>
      <c r="C4906" s="62">
        <v>230</v>
      </c>
    </row>
    <row r="4907" spans="1:3" x14ac:dyDescent="0.2">
      <c r="A4907" s="62" t="s">
        <v>780</v>
      </c>
      <c r="B4907" s="48">
        <v>230</v>
      </c>
      <c r="C4907" s="62">
        <v>230</v>
      </c>
    </row>
    <row r="4908" spans="1:3" x14ac:dyDescent="0.2">
      <c r="A4908" s="62" t="s">
        <v>779</v>
      </c>
      <c r="B4908" s="48">
        <v>230</v>
      </c>
      <c r="C4908" s="62">
        <v>230</v>
      </c>
    </row>
    <row r="4909" spans="1:3" x14ac:dyDescent="0.2">
      <c r="A4909" s="62" t="s">
        <v>778</v>
      </c>
      <c r="B4909" s="48">
        <v>230</v>
      </c>
      <c r="C4909" s="62">
        <v>230</v>
      </c>
    </row>
    <row r="4910" spans="1:3" x14ac:dyDescent="0.2">
      <c r="A4910" s="62" t="s">
        <v>777</v>
      </c>
      <c r="B4910" s="48">
        <v>79</v>
      </c>
      <c r="C4910" s="62">
        <v>79</v>
      </c>
    </row>
    <row r="4911" spans="1:3" x14ac:dyDescent="0.2">
      <c r="A4911" s="62" t="s">
        <v>775</v>
      </c>
      <c r="B4911" s="48">
        <v>145</v>
      </c>
      <c r="C4911" s="62">
        <v>145</v>
      </c>
    </row>
    <row r="4912" spans="1:3" x14ac:dyDescent="0.2">
      <c r="A4912" s="62" t="s">
        <v>774</v>
      </c>
      <c r="B4912" s="48">
        <v>2</v>
      </c>
      <c r="C4912" s="62">
        <v>2</v>
      </c>
    </row>
    <row r="4913" spans="1:3" x14ac:dyDescent="0.2">
      <c r="A4913" s="62" t="s">
        <v>773</v>
      </c>
      <c r="B4913" s="48">
        <v>142</v>
      </c>
      <c r="C4913" s="62">
        <v>142</v>
      </c>
    </row>
    <row r="4914" spans="1:3" x14ac:dyDescent="0.2">
      <c r="A4914" s="62" t="s">
        <v>770</v>
      </c>
      <c r="B4914" s="48">
        <v>60</v>
      </c>
      <c r="C4914" s="62">
        <v>60</v>
      </c>
    </row>
    <row r="4915" spans="1:3" x14ac:dyDescent="0.2">
      <c r="A4915" s="62" t="s">
        <v>769</v>
      </c>
      <c r="B4915" s="48">
        <v>45</v>
      </c>
      <c r="C4915" s="62">
        <v>45</v>
      </c>
    </row>
    <row r="4916" spans="1:3" x14ac:dyDescent="0.2">
      <c r="A4916" s="62" t="s">
        <v>768</v>
      </c>
      <c r="B4916" s="48">
        <v>15</v>
      </c>
      <c r="C4916" s="62">
        <v>15</v>
      </c>
    </row>
    <row r="4917" spans="1:3" x14ac:dyDescent="0.2">
      <c r="A4917" s="62" t="s">
        <v>767</v>
      </c>
      <c r="B4917" s="48">
        <v>15</v>
      </c>
      <c r="C4917" s="62">
        <v>15</v>
      </c>
    </row>
    <row r="4918" spans="1:3" x14ac:dyDescent="0.2">
      <c r="A4918" s="62" t="s">
        <v>766</v>
      </c>
      <c r="B4918" s="48">
        <v>33</v>
      </c>
      <c r="C4918" s="62">
        <v>33</v>
      </c>
    </row>
    <row r="4919" spans="1:3" x14ac:dyDescent="0.2">
      <c r="A4919" s="62" t="s">
        <v>765</v>
      </c>
      <c r="B4919" s="48">
        <v>163</v>
      </c>
      <c r="C4919" s="62">
        <v>163</v>
      </c>
    </row>
    <row r="4920" spans="1:3" x14ac:dyDescent="0.2">
      <c r="A4920" s="62" t="s">
        <v>764</v>
      </c>
      <c r="B4920" s="48">
        <v>14</v>
      </c>
      <c r="C4920" s="62">
        <v>14</v>
      </c>
    </row>
    <row r="4921" spans="1:3" x14ac:dyDescent="0.2">
      <c r="A4921" s="62" t="s">
        <v>763</v>
      </c>
      <c r="B4921" s="48">
        <v>2</v>
      </c>
      <c r="C4921" s="62">
        <v>2</v>
      </c>
    </row>
    <row r="4922" spans="1:3" x14ac:dyDescent="0.2">
      <c r="A4922" s="62" t="s">
        <v>762</v>
      </c>
      <c r="B4922" s="48">
        <v>15</v>
      </c>
      <c r="C4922" s="62">
        <v>15</v>
      </c>
    </row>
    <row r="4923" spans="1:3" x14ac:dyDescent="0.2">
      <c r="A4923" s="62" t="s">
        <v>761</v>
      </c>
      <c r="B4923" s="48">
        <v>19</v>
      </c>
      <c r="C4923" s="62">
        <v>19</v>
      </c>
    </row>
    <row r="4924" spans="1:3" x14ac:dyDescent="0.2">
      <c r="A4924" s="62" t="s">
        <v>760</v>
      </c>
      <c r="B4924" s="48">
        <v>15</v>
      </c>
      <c r="C4924" s="62">
        <v>15</v>
      </c>
    </row>
    <row r="4925" spans="1:3" x14ac:dyDescent="0.2">
      <c r="A4925" s="62" t="s">
        <v>759</v>
      </c>
      <c r="B4925" s="48">
        <v>15</v>
      </c>
      <c r="C4925" s="62">
        <v>15</v>
      </c>
    </row>
    <row r="4926" spans="1:3" x14ac:dyDescent="0.2">
      <c r="A4926" s="62" t="s">
        <v>758</v>
      </c>
      <c r="B4926" s="48">
        <v>9</v>
      </c>
      <c r="C4926" s="62">
        <v>9</v>
      </c>
    </row>
    <row r="4927" spans="1:3" x14ac:dyDescent="0.2">
      <c r="A4927" s="62" t="s">
        <v>757</v>
      </c>
      <c r="B4927" s="48">
        <v>33</v>
      </c>
      <c r="C4927" s="62">
        <v>33</v>
      </c>
    </row>
    <row r="4928" spans="1:3" x14ac:dyDescent="0.2">
      <c r="A4928" s="62" t="s">
        <v>755</v>
      </c>
      <c r="B4928" s="48">
        <v>15</v>
      </c>
      <c r="C4928" s="62">
        <v>15</v>
      </c>
    </row>
    <row r="4929" spans="1:3" x14ac:dyDescent="0.2">
      <c r="A4929" s="62" t="s">
        <v>754</v>
      </c>
      <c r="B4929" s="48">
        <v>14</v>
      </c>
      <c r="C4929" s="62">
        <v>14</v>
      </c>
    </row>
    <row r="4930" spans="1:3" x14ac:dyDescent="0.2">
      <c r="A4930" s="62" t="s">
        <v>753</v>
      </c>
      <c r="B4930" s="48">
        <v>14</v>
      </c>
      <c r="C4930" s="62">
        <v>14</v>
      </c>
    </row>
    <row r="4931" spans="1:3" x14ac:dyDescent="0.2">
      <c r="A4931" s="62" t="s">
        <v>752</v>
      </c>
      <c r="B4931" s="48">
        <v>2</v>
      </c>
      <c r="C4931" s="62">
        <v>2</v>
      </c>
    </row>
    <row r="4932" spans="1:3" x14ac:dyDescent="0.2">
      <c r="A4932" s="62" t="s">
        <v>751</v>
      </c>
      <c r="B4932" s="48">
        <v>62</v>
      </c>
      <c r="C4932" s="62">
        <v>62</v>
      </c>
    </row>
    <row r="4933" spans="1:3" x14ac:dyDescent="0.2">
      <c r="A4933" s="62" t="s">
        <v>750</v>
      </c>
      <c r="B4933" s="48">
        <v>15</v>
      </c>
      <c r="C4933" s="62">
        <v>15</v>
      </c>
    </row>
    <row r="4934" spans="1:3" x14ac:dyDescent="0.2">
      <c r="A4934" s="62" t="s">
        <v>749</v>
      </c>
      <c r="B4934" s="48">
        <v>15</v>
      </c>
      <c r="C4934" s="62">
        <v>15</v>
      </c>
    </row>
    <row r="4935" spans="1:3" x14ac:dyDescent="0.2">
      <c r="A4935" s="62" t="s">
        <v>748</v>
      </c>
      <c r="B4935" s="48">
        <v>14</v>
      </c>
      <c r="C4935" s="62">
        <v>14</v>
      </c>
    </row>
    <row r="4936" spans="1:3" x14ac:dyDescent="0.2">
      <c r="A4936" s="62" t="s">
        <v>746</v>
      </c>
      <c r="B4936" s="48">
        <v>14</v>
      </c>
      <c r="C4936" s="62">
        <v>14</v>
      </c>
    </row>
    <row r="4937" spans="1:3" x14ac:dyDescent="0.2">
      <c r="A4937" s="62" t="s">
        <v>744</v>
      </c>
      <c r="B4937" s="48">
        <v>98</v>
      </c>
      <c r="C4937" s="62">
        <v>98</v>
      </c>
    </row>
    <row r="4938" spans="1:3" x14ac:dyDescent="0.2">
      <c r="A4938" s="62" t="s">
        <v>743</v>
      </c>
      <c r="B4938" s="48">
        <v>171</v>
      </c>
      <c r="C4938" s="62">
        <v>171</v>
      </c>
    </row>
    <row r="4939" spans="1:3" x14ac:dyDescent="0.2">
      <c r="A4939" s="62" t="s">
        <v>742</v>
      </c>
      <c r="B4939" s="48">
        <v>15</v>
      </c>
      <c r="C4939" s="62">
        <v>15</v>
      </c>
    </row>
    <row r="4940" spans="1:3" x14ac:dyDescent="0.2">
      <c r="A4940" s="62" t="s">
        <v>741</v>
      </c>
      <c r="B4940" s="48">
        <v>15</v>
      </c>
      <c r="C4940" s="62">
        <v>15</v>
      </c>
    </row>
    <row r="4941" spans="1:3" x14ac:dyDescent="0.2">
      <c r="A4941" s="62" t="s">
        <v>740</v>
      </c>
      <c r="B4941" s="48">
        <v>2</v>
      </c>
      <c r="C4941" s="62">
        <v>2</v>
      </c>
    </row>
    <row r="4942" spans="1:3" x14ac:dyDescent="0.2">
      <c r="A4942" s="62" t="s">
        <v>739</v>
      </c>
      <c r="B4942" s="48">
        <v>2</v>
      </c>
      <c r="C4942" s="62">
        <v>2</v>
      </c>
    </row>
    <row r="4943" spans="1:3" x14ac:dyDescent="0.2">
      <c r="A4943" s="62" t="s">
        <v>738</v>
      </c>
      <c r="B4943" s="48">
        <v>70</v>
      </c>
      <c r="C4943" s="62">
        <v>70</v>
      </c>
    </row>
    <row r="4944" spans="1:3" x14ac:dyDescent="0.2">
      <c r="A4944" s="62" t="s">
        <v>737</v>
      </c>
      <c r="B4944" s="48">
        <v>106</v>
      </c>
      <c r="C4944" s="62">
        <v>106</v>
      </c>
    </row>
    <row r="4945" spans="1:3" x14ac:dyDescent="0.2">
      <c r="A4945" s="62" t="s">
        <v>736</v>
      </c>
      <c r="B4945" s="48">
        <v>224</v>
      </c>
      <c r="C4945" s="62">
        <v>224</v>
      </c>
    </row>
    <row r="4946" spans="1:3" x14ac:dyDescent="0.2">
      <c r="A4946" s="62" t="s">
        <v>734</v>
      </c>
      <c r="B4946" s="48">
        <v>40</v>
      </c>
      <c r="C4946" s="62">
        <v>40</v>
      </c>
    </row>
    <row r="4947" spans="1:3" x14ac:dyDescent="0.2">
      <c r="A4947" s="62" t="s">
        <v>729</v>
      </c>
      <c r="B4947" s="48">
        <v>2</v>
      </c>
      <c r="C4947" s="62">
        <v>2</v>
      </c>
    </row>
    <row r="4948" spans="1:3" x14ac:dyDescent="0.2">
      <c r="A4948" s="62" t="s">
        <v>728</v>
      </c>
      <c r="B4948" s="48">
        <v>14</v>
      </c>
      <c r="C4948" s="62">
        <v>14</v>
      </c>
    </row>
    <row r="4949" spans="1:3" x14ac:dyDescent="0.2">
      <c r="A4949" s="62" t="s">
        <v>727</v>
      </c>
      <c r="B4949" s="48">
        <v>2</v>
      </c>
      <c r="C4949" s="62">
        <v>2</v>
      </c>
    </row>
    <row r="4950" spans="1:3" x14ac:dyDescent="0.2">
      <c r="A4950" s="62" t="s">
        <v>726</v>
      </c>
      <c r="B4950" s="48">
        <v>19</v>
      </c>
      <c r="C4950" s="62">
        <v>19</v>
      </c>
    </row>
    <row r="4951" spans="1:3" x14ac:dyDescent="0.2">
      <c r="A4951" s="62" t="s">
        <v>725</v>
      </c>
      <c r="B4951" s="48">
        <v>197</v>
      </c>
      <c r="C4951" s="62">
        <v>197</v>
      </c>
    </row>
    <row r="4952" spans="1:3" x14ac:dyDescent="0.2">
      <c r="A4952" s="62" t="s">
        <v>724</v>
      </c>
      <c r="B4952" s="48">
        <v>14</v>
      </c>
      <c r="C4952" s="62">
        <v>14</v>
      </c>
    </row>
    <row r="4953" spans="1:3" x14ac:dyDescent="0.2">
      <c r="A4953" s="62" t="s">
        <v>722</v>
      </c>
      <c r="B4953" s="48">
        <v>14</v>
      </c>
      <c r="C4953" s="62">
        <v>14</v>
      </c>
    </row>
    <row r="4954" spans="1:3" x14ac:dyDescent="0.2">
      <c r="A4954" s="62" t="s">
        <v>721</v>
      </c>
      <c r="B4954" s="48">
        <v>70</v>
      </c>
      <c r="C4954" s="62">
        <v>70</v>
      </c>
    </row>
    <row r="4955" spans="1:3" x14ac:dyDescent="0.2">
      <c r="A4955" s="62" t="s">
        <v>720</v>
      </c>
      <c r="B4955" s="48">
        <v>62</v>
      </c>
      <c r="C4955" s="62">
        <v>62</v>
      </c>
    </row>
    <row r="4956" spans="1:3" x14ac:dyDescent="0.2">
      <c r="A4956" s="62" t="s">
        <v>718</v>
      </c>
      <c r="B4956" s="48">
        <v>2</v>
      </c>
      <c r="C4956" s="62">
        <v>2</v>
      </c>
    </row>
    <row r="4957" spans="1:3" x14ac:dyDescent="0.2">
      <c r="A4957" s="62" t="s">
        <v>717</v>
      </c>
      <c r="B4957" s="48">
        <v>165</v>
      </c>
      <c r="C4957" s="62">
        <v>165</v>
      </c>
    </row>
    <row r="4958" spans="1:3" x14ac:dyDescent="0.2">
      <c r="A4958" s="62" t="s">
        <v>716</v>
      </c>
      <c r="B4958" s="48">
        <v>148</v>
      </c>
      <c r="C4958" s="62">
        <v>148</v>
      </c>
    </row>
    <row r="4959" spans="1:3" x14ac:dyDescent="0.2">
      <c r="A4959" s="62" t="s">
        <v>715</v>
      </c>
      <c r="B4959" s="48">
        <v>123</v>
      </c>
      <c r="C4959" s="62">
        <v>123</v>
      </c>
    </row>
    <row r="4960" spans="1:3" x14ac:dyDescent="0.2">
      <c r="A4960" s="62" t="s">
        <v>713</v>
      </c>
      <c r="B4960" s="48">
        <v>2</v>
      </c>
      <c r="C4960" s="62">
        <v>2</v>
      </c>
    </row>
    <row r="4961" spans="1:3" x14ac:dyDescent="0.2">
      <c r="A4961" s="62" t="s">
        <v>711</v>
      </c>
      <c r="B4961" s="48">
        <v>2</v>
      </c>
      <c r="C4961" s="62">
        <v>2</v>
      </c>
    </row>
    <row r="4962" spans="1:3" x14ac:dyDescent="0.2">
      <c r="A4962" s="62" t="s">
        <v>709</v>
      </c>
      <c r="B4962" s="48">
        <v>2</v>
      </c>
      <c r="C4962" s="62">
        <v>2</v>
      </c>
    </row>
    <row r="4963" spans="1:3" x14ac:dyDescent="0.2">
      <c r="A4963" s="62" t="s">
        <v>707</v>
      </c>
      <c r="B4963" s="48">
        <v>220</v>
      </c>
      <c r="C4963" s="62">
        <v>220</v>
      </c>
    </row>
    <row r="4964" spans="1:3" x14ac:dyDescent="0.2">
      <c r="A4964" s="62" t="s">
        <v>706</v>
      </c>
      <c r="B4964" s="48">
        <v>88</v>
      </c>
      <c r="C4964" s="62">
        <v>88</v>
      </c>
    </row>
    <row r="4965" spans="1:3" x14ac:dyDescent="0.2">
      <c r="A4965" s="62" t="s">
        <v>705</v>
      </c>
      <c r="B4965" s="48">
        <v>4</v>
      </c>
      <c r="C4965" s="62">
        <v>4</v>
      </c>
    </row>
    <row r="4966" spans="1:3" x14ac:dyDescent="0.2">
      <c r="A4966" s="62" t="s">
        <v>704</v>
      </c>
      <c r="B4966" s="48">
        <v>15</v>
      </c>
      <c r="C4966" s="62">
        <v>15</v>
      </c>
    </row>
    <row r="4967" spans="1:3" x14ac:dyDescent="0.2">
      <c r="A4967" s="62" t="s">
        <v>703</v>
      </c>
      <c r="B4967" s="48">
        <v>225</v>
      </c>
      <c r="C4967" s="62">
        <v>225</v>
      </c>
    </row>
    <row r="4968" spans="1:3" x14ac:dyDescent="0.2">
      <c r="A4968" s="62" t="s">
        <v>701</v>
      </c>
      <c r="B4968" s="48">
        <v>114</v>
      </c>
      <c r="C4968" s="62">
        <v>114</v>
      </c>
    </row>
    <row r="4969" spans="1:3" x14ac:dyDescent="0.2">
      <c r="A4969" s="62" t="s">
        <v>700</v>
      </c>
      <c r="B4969" s="48">
        <v>220</v>
      </c>
      <c r="C4969" s="62">
        <v>220</v>
      </c>
    </row>
    <row r="4970" spans="1:3" x14ac:dyDescent="0.2">
      <c r="A4970" s="62" t="s">
        <v>699</v>
      </c>
      <c r="B4970" s="48">
        <v>88</v>
      </c>
      <c r="C4970" s="62">
        <v>88</v>
      </c>
    </row>
    <row r="4971" spans="1:3" x14ac:dyDescent="0.2">
      <c r="A4971" s="62" t="s">
        <v>697</v>
      </c>
      <c r="B4971" s="48">
        <v>169</v>
      </c>
      <c r="C4971" s="62">
        <v>169</v>
      </c>
    </row>
    <row r="4972" spans="1:3" x14ac:dyDescent="0.2">
      <c r="A4972" s="62" t="s">
        <v>696</v>
      </c>
      <c r="B4972" s="48">
        <v>148</v>
      </c>
      <c r="C4972" s="62">
        <v>148</v>
      </c>
    </row>
    <row r="4973" spans="1:3" x14ac:dyDescent="0.2">
      <c r="A4973" s="62" t="s">
        <v>695</v>
      </c>
      <c r="B4973" s="48">
        <v>155</v>
      </c>
      <c r="C4973" s="62">
        <v>155</v>
      </c>
    </row>
    <row r="4974" spans="1:3" x14ac:dyDescent="0.2">
      <c r="A4974" s="62" t="s">
        <v>693</v>
      </c>
      <c r="B4974" s="48">
        <v>155</v>
      </c>
      <c r="C4974" s="62">
        <v>155</v>
      </c>
    </row>
    <row r="4975" spans="1:3" x14ac:dyDescent="0.2">
      <c r="A4975" s="62" t="s">
        <v>691</v>
      </c>
      <c r="B4975" s="48">
        <v>155</v>
      </c>
      <c r="C4975" s="62">
        <v>155</v>
      </c>
    </row>
    <row r="4976" spans="1:3" x14ac:dyDescent="0.2">
      <c r="A4976" s="62" t="s">
        <v>689</v>
      </c>
      <c r="B4976" s="48">
        <v>14</v>
      </c>
      <c r="C4976" s="62">
        <v>14</v>
      </c>
    </row>
    <row r="4977" spans="1:3" x14ac:dyDescent="0.2">
      <c r="A4977" s="62" t="s">
        <v>688</v>
      </c>
      <c r="B4977" s="48">
        <v>14</v>
      </c>
      <c r="C4977" s="62">
        <v>14</v>
      </c>
    </row>
    <row r="4978" spans="1:3" x14ac:dyDescent="0.2">
      <c r="A4978" s="62" t="s">
        <v>686</v>
      </c>
      <c r="B4978" s="48">
        <v>14</v>
      </c>
      <c r="C4978" s="62">
        <v>14</v>
      </c>
    </row>
    <row r="4979" spans="1:3" x14ac:dyDescent="0.2">
      <c r="A4979" s="62" t="s">
        <v>685</v>
      </c>
      <c r="B4979" s="48">
        <v>11</v>
      </c>
      <c r="C4979" s="62">
        <v>11</v>
      </c>
    </row>
    <row r="4980" spans="1:3" x14ac:dyDescent="0.2">
      <c r="A4980" s="62" t="s">
        <v>683</v>
      </c>
      <c r="B4980" s="48">
        <v>228</v>
      </c>
      <c r="C4980" s="62">
        <v>228</v>
      </c>
    </row>
    <row r="4981" spans="1:3" x14ac:dyDescent="0.2">
      <c r="A4981" s="62" t="s">
        <v>682</v>
      </c>
      <c r="B4981" s="48">
        <v>228</v>
      </c>
      <c r="C4981" s="62">
        <v>228</v>
      </c>
    </row>
    <row r="4982" spans="1:3" x14ac:dyDescent="0.2">
      <c r="A4982" s="62" t="s">
        <v>681</v>
      </c>
      <c r="B4982" s="48">
        <v>56</v>
      </c>
      <c r="C4982" s="62">
        <v>56</v>
      </c>
    </row>
    <row r="4983" spans="1:3" x14ac:dyDescent="0.2">
      <c r="A4983" s="62" t="s">
        <v>680</v>
      </c>
      <c r="B4983" s="48">
        <v>132</v>
      </c>
      <c r="C4983" s="62">
        <v>132</v>
      </c>
    </row>
    <row r="4984" spans="1:3" x14ac:dyDescent="0.2">
      <c r="A4984" s="62" t="s">
        <v>679</v>
      </c>
      <c r="B4984" s="48">
        <v>2</v>
      </c>
      <c r="C4984" s="62">
        <v>2</v>
      </c>
    </row>
    <row r="4985" spans="1:3" x14ac:dyDescent="0.2">
      <c r="A4985" s="62" t="s">
        <v>677</v>
      </c>
      <c r="B4985" s="48">
        <v>166</v>
      </c>
      <c r="C4985" s="62">
        <v>166</v>
      </c>
    </row>
    <row r="4986" spans="1:3" x14ac:dyDescent="0.2">
      <c r="A4986" s="62" t="s">
        <v>676</v>
      </c>
      <c r="B4986" s="48">
        <v>166</v>
      </c>
      <c r="C4986" s="62">
        <v>166</v>
      </c>
    </row>
    <row r="4987" spans="1:3" x14ac:dyDescent="0.2">
      <c r="A4987" s="62" t="s">
        <v>675</v>
      </c>
      <c r="B4987" s="48">
        <v>31</v>
      </c>
      <c r="C4987" s="62">
        <v>31</v>
      </c>
    </row>
    <row r="4988" spans="1:3" x14ac:dyDescent="0.2">
      <c r="A4988" s="62" t="s">
        <v>674</v>
      </c>
      <c r="B4988" s="48">
        <v>62</v>
      </c>
      <c r="C4988" s="62">
        <v>62</v>
      </c>
    </row>
    <row r="4989" spans="1:3" x14ac:dyDescent="0.2">
      <c r="A4989" s="62" t="s">
        <v>673</v>
      </c>
      <c r="B4989" s="48">
        <v>194</v>
      </c>
      <c r="C4989" s="62">
        <v>194</v>
      </c>
    </row>
    <row r="4990" spans="1:3" x14ac:dyDescent="0.2">
      <c r="A4990" s="62" t="s">
        <v>672</v>
      </c>
      <c r="B4990" s="48">
        <v>33</v>
      </c>
      <c r="C4990" s="62">
        <v>33</v>
      </c>
    </row>
    <row r="4991" spans="1:3" x14ac:dyDescent="0.2">
      <c r="A4991" s="62" t="s">
        <v>671</v>
      </c>
      <c r="B4991" s="48">
        <v>15</v>
      </c>
      <c r="C4991" s="62">
        <v>15</v>
      </c>
    </row>
    <row r="4992" spans="1:3" x14ac:dyDescent="0.2">
      <c r="A4992" s="62" t="s">
        <v>670</v>
      </c>
      <c r="B4992" s="48">
        <v>15</v>
      </c>
      <c r="C4992" s="62">
        <v>15</v>
      </c>
    </row>
    <row r="4993" spans="1:3" x14ac:dyDescent="0.2">
      <c r="A4993" s="62" t="s">
        <v>668</v>
      </c>
      <c r="B4993" s="48">
        <v>29</v>
      </c>
      <c r="C4993" s="62">
        <v>29</v>
      </c>
    </row>
    <row r="4994" spans="1:3" x14ac:dyDescent="0.2">
      <c r="A4994" s="62" t="s">
        <v>667</v>
      </c>
      <c r="B4994" s="48">
        <v>15</v>
      </c>
      <c r="C4994" s="62">
        <v>15</v>
      </c>
    </row>
    <row r="4995" spans="1:3" x14ac:dyDescent="0.2">
      <c r="A4995" s="62" t="s">
        <v>666</v>
      </c>
      <c r="B4995" s="48">
        <v>15</v>
      </c>
      <c r="C4995" s="62">
        <v>15</v>
      </c>
    </row>
    <row r="4996" spans="1:3" x14ac:dyDescent="0.2">
      <c r="A4996" s="62" t="s">
        <v>665</v>
      </c>
      <c r="B4996" s="48">
        <v>60</v>
      </c>
      <c r="C4996" s="62">
        <v>60</v>
      </c>
    </row>
    <row r="4997" spans="1:3" x14ac:dyDescent="0.2">
      <c r="A4997" s="62" t="s">
        <v>664</v>
      </c>
      <c r="B4997" s="48">
        <v>194</v>
      </c>
      <c r="C4997" s="62">
        <v>194</v>
      </c>
    </row>
    <row r="4998" spans="1:3" x14ac:dyDescent="0.2">
      <c r="A4998" s="62" t="s">
        <v>663</v>
      </c>
      <c r="B4998" s="48">
        <v>194</v>
      </c>
      <c r="C4998" s="62">
        <v>194</v>
      </c>
    </row>
    <row r="4999" spans="1:3" x14ac:dyDescent="0.2">
      <c r="A4999" s="62" t="s">
        <v>660</v>
      </c>
      <c r="B4999" s="48">
        <v>148</v>
      </c>
      <c r="C4999" s="62">
        <v>148</v>
      </c>
    </row>
    <row r="5000" spans="1:3" x14ac:dyDescent="0.2">
      <c r="A5000" s="62" t="s">
        <v>659</v>
      </c>
      <c r="B5000" s="48">
        <v>148</v>
      </c>
      <c r="C5000" s="62">
        <v>148</v>
      </c>
    </row>
    <row r="5001" spans="1:3" x14ac:dyDescent="0.2">
      <c r="A5001" s="62" t="s">
        <v>658</v>
      </c>
      <c r="B5001" s="48">
        <v>167</v>
      </c>
      <c r="C5001" s="62">
        <v>167</v>
      </c>
    </row>
    <row r="5002" spans="1:3" x14ac:dyDescent="0.2">
      <c r="A5002" s="62" t="s">
        <v>657</v>
      </c>
      <c r="B5002" s="48">
        <v>15</v>
      </c>
      <c r="C5002" s="62">
        <v>15</v>
      </c>
    </row>
    <row r="5003" spans="1:3" x14ac:dyDescent="0.2">
      <c r="A5003" s="62" t="s">
        <v>656</v>
      </c>
      <c r="B5003" s="48">
        <v>9</v>
      </c>
      <c r="C5003" s="62">
        <v>9</v>
      </c>
    </row>
    <row r="5004" spans="1:3" x14ac:dyDescent="0.2">
      <c r="A5004" s="62" t="s">
        <v>655</v>
      </c>
      <c r="B5004" s="48">
        <v>166</v>
      </c>
      <c r="C5004" s="62">
        <v>166</v>
      </c>
    </row>
    <row r="5005" spans="1:3" x14ac:dyDescent="0.2">
      <c r="A5005" s="62" t="s">
        <v>654</v>
      </c>
      <c r="B5005" s="48">
        <v>131</v>
      </c>
      <c r="C5005" s="62">
        <v>131</v>
      </c>
    </row>
    <row r="5006" spans="1:3" x14ac:dyDescent="0.2">
      <c r="A5006" s="62" t="s">
        <v>653</v>
      </c>
      <c r="B5006" s="48">
        <v>70</v>
      </c>
      <c r="C5006" s="62">
        <v>70</v>
      </c>
    </row>
    <row r="5007" spans="1:3" x14ac:dyDescent="0.2">
      <c r="A5007" s="62" t="s">
        <v>652</v>
      </c>
      <c r="B5007" s="48">
        <v>14</v>
      </c>
      <c r="C5007" s="62">
        <v>14</v>
      </c>
    </row>
    <row r="5008" spans="1:3" x14ac:dyDescent="0.2">
      <c r="A5008" s="62" t="s">
        <v>651</v>
      </c>
      <c r="B5008" s="48">
        <v>85</v>
      </c>
      <c r="C5008" s="62">
        <v>85</v>
      </c>
    </row>
    <row r="5009" spans="1:3" x14ac:dyDescent="0.2">
      <c r="A5009" s="62" t="s">
        <v>650</v>
      </c>
      <c r="B5009" s="48">
        <v>161</v>
      </c>
      <c r="C5009" s="62">
        <v>161</v>
      </c>
    </row>
    <row r="5010" spans="1:3" x14ac:dyDescent="0.2">
      <c r="A5010" s="62" t="s">
        <v>649</v>
      </c>
      <c r="B5010" s="48">
        <v>159</v>
      </c>
      <c r="C5010" s="62">
        <v>159</v>
      </c>
    </row>
    <row r="5011" spans="1:3" x14ac:dyDescent="0.2">
      <c r="A5011" s="62" t="s">
        <v>648</v>
      </c>
      <c r="B5011" s="48">
        <v>12</v>
      </c>
      <c r="C5011" s="62">
        <v>12</v>
      </c>
    </row>
    <row r="5012" spans="1:3" x14ac:dyDescent="0.2">
      <c r="A5012" s="62" t="s">
        <v>647</v>
      </c>
      <c r="B5012" s="48">
        <v>15</v>
      </c>
      <c r="C5012" s="62">
        <v>15</v>
      </c>
    </row>
    <row r="5013" spans="1:3" x14ac:dyDescent="0.2">
      <c r="A5013" s="62" t="s">
        <v>646</v>
      </c>
      <c r="B5013" s="48">
        <v>14</v>
      </c>
      <c r="C5013" s="62">
        <v>14</v>
      </c>
    </row>
    <row r="5014" spans="1:3" x14ac:dyDescent="0.2">
      <c r="A5014" s="62" t="s">
        <v>645</v>
      </c>
      <c r="B5014" s="48">
        <v>62</v>
      </c>
      <c r="C5014" s="62">
        <v>62</v>
      </c>
    </row>
    <row r="5015" spans="1:3" x14ac:dyDescent="0.2">
      <c r="A5015" s="62" t="s">
        <v>644</v>
      </c>
      <c r="B5015" s="48">
        <v>148</v>
      </c>
      <c r="C5015" s="62">
        <v>148</v>
      </c>
    </row>
    <row r="5016" spans="1:3" x14ac:dyDescent="0.2">
      <c r="A5016" s="62" t="s">
        <v>643</v>
      </c>
      <c r="B5016" s="48">
        <v>2</v>
      </c>
      <c r="C5016" s="62">
        <v>2</v>
      </c>
    </row>
    <row r="5017" spans="1:3" x14ac:dyDescent="0.2">
      <c r="A5017" s="62" t="s">
        <v>642</v>
      </c>
      <c r="B5017" s="48">
        <v>14</v>
      </c>
      <c r="C5017" s="62">
        <v>14</v>
      </c>
    </row>
    <row r="5018" spans="1:3" x14ac:dyDescent="0.2">
      <c r="A5018" s="62" t="s">
        <v>640</v>
      </c>
      <c r="B5018" s="48">
        <v>15</v>
      </c>
      <c r="C5018" s="62">
        <v>15</v>
      </c>
    </row>
    <row r="5019" spans="1:3" x14ac:dyDescent="0.2">
      <c r="A5019" s="62" t="s">
        <v>639</v>
      </c>
      <c r="B5019" s="48">
        <v>2</v>
      </c>
      <c r="C5019" s="62">
        <v>2</v>
      </c>
    </row>
    <row r="5020" spans="1:3" x14ac:dyDescent="0.2">
      <c r="A5020" s="62" t="s">
        <v>638</v>
      </c>
      <c r="B5020" s="48">
        <v>2</v>
      </c>
      <c r="C5020" s="62">
        <v>2</v>
      </c>
    </row>
    <row r="5021" spans="1:3" x14ac:dyDescent="0.2">
      <c r="A5021" s="62" t="s">
        <v>637</v>
      </c>
      <c r="B5021" s="48">
        <v>229</v>
      </c>
      <c r="C5021" s="62">
        <v>229</v>
      </c>
    </row>
    <row r="5022" spans="1:3" x14ac:dyDescent="0.2">
      <c r="A5022" s="62" t="s">
        <v>635</v>
      </c>
      <c r="B5022" s="48">
        <v>229</v>
      </c>
      <c r="C5022" s="62">
        <v>229</v>
      </c>
    </row>
    <row r="5023" spans="1:3" x14ac:dyDescent="0.2">
      <c r="A5023" s="62" t="s">
        <v>634</v>
      </c>
      <c r="B5023" s="48">
        <v>88</v>
      </c>
      <c r="C5023" s="62">
        <v>88</v>
      </c>
    </row>
    <row r="5024" spans="1:3" x14ac:dyDescent="0.2">
      <c r="A5024" s="62" t="s">
        <v>633</v>
      </c>
      <c r="B5024" s="48">
        <v>15</v>
      </c>
      <c r="C5024" s="62">
        <v>15</v>
      </c>
    </row>
    <row r="5025" spans="1:3" x14ac:dyDescent="0.2">
      <c r="A5025" s="62" t="s">
        <v>631</v>
      </c>
      <c r="B5025" s="48">
        <v>14</v>
      </c>
      <c r="C5025" s="62">
        <v>14</v>
      </c>
    </row>
    <row r="5026" spans="1:3" x14ac:dyDescent="0.2">
      <c r="A5026" s="62" t="s">
        <v>630</v>
      </c>
      <c r="B5026" s="48">
        <v>14</v>
      </c>
      <c r="C5026" s="62">
        <v>14</v>
      </c>
    </row>
    <row r="5027" spans="1:3" x14ac:dyDescent="0.2">
      <c r="A5027" s="62" t="s">
        <v>629</v>
      </c>
      <c r="B5027" s="48">
        <v>175</v>
      </c>
      <c r="C5027" s="62">
        <v>175</v>
      </c>
    </row>
    <row r="5028" spans="1:3" x14ac:dyDescent="0.2">
      <c r="A5028" s="62" t="s">
        <v>628</v>
      </c>
      <c r="B5028" s="48">
        <v>55</v>
      </c>
      <c r="C5028" s="62">
        <v>55</v>
      </c>
    </row>
    <row r="5029" spans="1:3" x14ac:dyDescent="0.2">
      <c r="A5029" s="62" t="s">
        <v>627</v>
      </c>
      <c r="B5029" s="48">
        <v>15</v>
      </c>
      <c r="C5029" s="62">
        <v>15</v>
      </c>
    </row>
    <row r="5030" spans="1:3" x14ac:dyDescent="0.2">
      <c r="A5030" s="62" t="s">
        <v>626</v>
      </c>
      <c r="B5030" s="48">
        <v>34</v>
      </c>
      <c r="C5030" s="62">
        <v>34</v>
      </c>
    </row>
    <row r="5031" spans="1:3" x14ac:dyDescent="0.2">
      <c r="A5031" s="62" t="s">
        <v>623</v>
      </c>
      <c r="B5031" s="48">
        <v>2</v>
      </c>
      <c r="C5031" s="62">
        <v>2</v>
      </c>
    </row>
    <row r="5032" spans="1:3" x14ac:dyDescent="0.2">
      <c r="A5032" s="62" t="s">
        <v>620</v>
      </c>
      <c r="B5032" s="48">
        <v>15</v>
      </c>
      <c r="C5032" s="62">
        <v>15</v>
      </c>
    </row>
    <row r="5033" spans="1:3" x14ac:dyDescent="0.2">
      <c r="A5033" s="62" t="s">
        <v>619</v>
      </c>
      <c r="B5033" s="48">
        <v>87</v>
      </c>
      <c r="C5033" s="62">
        <v>87</v>
      </c>
    </row>
    <row r="5034" spans="1:3" x14ac:dyDescent="0.2">
      <c r="A5034" s="62" t="s">
        <v>618</v>
      </c>
      <c r="B5034" s="48">
        <v>87</v>
      </c>
      <c r="C5034" s="62">
        <v>87</v>
      </c>
    </row>
    <row r="5035" spans="1:3" x14ac:dyDescent="0.2">
      <c r="A5035" s="62" t="s">
        <v>617</v>
      </c>
      <c r="B5035" s="48">
        <v>152</v>
      </c>
      <c r="C5035" s="62">
        <v>152</v>
      </c>
    </row>
    <row r="5036" spans="1:3" x14ac:dyDescent="0.2">
      <c r="A5036" s="62" t="s">
        <v>615</v>
      </c>
      <c r="B5036" s="48">
        <v>18</v>
      </c>
      <c r="C5036" s="62">
        <v>18</v>
      </c>
    </row>
    <row r="5037" spans="1:3" x14ac:dyDescent="0.2">
      <c r="A5037" s="62" t="s">
        <v>613</v>
      </c>
      <c r="B5037" s="48">
        <v>148</v>
      </c>
      <c r="C5037" s="62">
        <v>148</v>
      </c>
    </row>
    <row r="5038" spans="1:3" x14ac:dyDescent="0.2">
      <c r="A5038" s="62" t="s">
        <v>611</v>
      </c>
      <c r="B5038" s="48">
        <v>14</v>
      </c>
      <c r="C5038" s="62">
        <v>14</v>
      </c>
    </row>
    <row r="5039" spans="1:3" x14ac:dyDescent="0.2">
      <c r="A5039" s="62" t="s">
        <v>610</v>
      </c>
      <c r="B5039" s="48">
        <v>9</v>
      </c>
      <c r="C5039" s="62">
        <v>9</v>
      </c>
    </row>
    <row r="5040" spans="1:3" x14ac:dyDescent="0.2">
      <c r="A5040" s="62" t="s">
        <v>609</v>
      </c>
      <c r="B5040" s="48">
        <v>15</v>
      </c>
      <c r="C5040" s="62">
        <v>15</v>
      </c>
    </row>
    <row r="5041" spans="1:3" x14ac:dyDescent="0.2">
      <c r="A5041" s="62" t="s">
        <v>608</v>
      </c>
      <c r="B5041" s="48">
        <v>33</v>
      </c>
      <c r="C5041" s="62">
        <v>33</v>
      </c>
    </row>
    <row r="5042" spans="1:3" x14ac:dyDescent="0.2">
      <c r="A5042" s="62" t="s">
        <v>606</v>
      </c>
      <c r="B5042" s="48">
        <v>14</v>
      </c>
      <c r="C5042" s="62">
        <v>14</v>
      </c>
    </row>
    <row r="5043" spans="1:3" x14ac:dyDescent="0.2">
      <c r="A5043" s="62" t="s">
        <v>604</v>
      </c>
      <c r="B5043" s="48">
        <v>15</v>
      </c>
      <c r="C5043" s="62">
        <v>15</v>
      </c>
    </row>
    <row r="5044" spans="1:3" x14ac:dyDescent="0.2">
      <c r="A5044" s="62" t="s">
        <v>603</v>
      </c>
      <c r="B5044" s="48">
        <v>138</v>
      </c>
      <c r="C5044" s="62">
        <v>138</v>
      </c>
    </row>
    <row r="5045" spans="1:3" x14ac:dyDescent="0.2">
      <c r="A5045" s="62" t="s">
        <v>602</v>
      </c>
      <c r="B5045" s="48">
        <v>14</v>
      </c>
      <c r="C5045" s="62">
        <v>14</v>
      </c>
    </row>
    <row r="5046" spans="1:3" x14ac:dyDescent="0.2">
      <c r="A5046" s="62" t="s">
        <v>600</v>
      </c>
      <c r="B5046" s="48">
        <v>14</v>
      </c>
      <c r="C5046" s="62">
        <v>14</v>
      </c>
    </row>
    <row r="5047" spans="1:3" x14ac:dyDescent="0.2">
      <c r="A5047" s="62" t="s">
        <v>598</v>
      </c>
      <c r="B5047" s="48">
        <v>14</v>
      </c>
      <c r="C5047" s="62">
        <v>14</v>
      </c>
    </row>
    <row r="5048" spans="1:3" x14ac:dyDescent="0.2">
      <c r="A5048" s="62" t="s">
        <v>596</v>
      </c>
      <c r="B5048" s="48">
        <v>2</v>
      </c>
      <c r="C5048" s="62">
        <v>2</v>
      </c>
    </row>
    <row r="5049" spans="1:3" x14ac:dyDescent="0.2">
      <c r="A5049" s="62" t="s">
        <v>595</v>
      </c>
      <c r="B5049" s="48">
        <v>15</v>
      </c>
      <c r="C5049" s="62">
        <v>15</v>
      </c>
    </row>
    <row r="5050" spans="1:3" x14ac:dyDescent="0.2">
      <c r="A5050" s="62" t="s">
        <v>593</v>
      </c>
      <c r="B5050" s="48">
        <v>109</v>
      </c>
      <c r="C5050" s="62">
        <v>109</v>
      </c>
    </row>
    <row r="5051" spans="1:3" x14ac:dyDescent="0.2">
      <c r="A5051" s="62" t="s">
        <v>592</v>
      </c>
      <c r="B5051" s="48">
        <v>109</v>
      </c>
      <c r="C5051" s="62">
        <v>109</v>
      </c>
    </row>
    <row r="5052" spans="1:3" x14ac:dyDescent="0.2">
      <c r="A5052" s="62" t="s">
        <v>591</v>
      </c>
      <c r="B5052" s="48">
        <v>34</v>
      </c>
      <c r="C5052" s="62">
        <v>34</v>
      </c>
    </row>
    <row r="5053" spans="1:3" x14ac:dyDescent="0.2">
      <c r="A5053" s="62" t="s">
        <v>590</v>
      </c>
      <c r="B5053" s="48">
        <v>60</v>
      </c>
      <c r="C5053" s="62">
        <v>60</v>
      </c>
    </row>
    <row r="5054" spans="1:3" x14ac:dyDescent="0.2">
      <c r="A5054" s="62" t="s">
        <v>589</v>
      </c>
      <c r="B5054" s="48">
        <v>61</v>
      </c>
      <c r="C5054" s="62">
        <v>61</v>
      </c>
    </row>
    <row r="5055" spans="1:3" x14ac:dyDescent="0.2">
      <c r="A5055" s="62" t="s">
        <v>588</v>
      </c>
      <c r="B5055" s="48">
        <v>11</v>
      </c>
      <c r="C5055" s="62">
        <v>11</v>
      </c>
    </row>
    <row r="5056" spans="1:3" x14ac:dyDescent="0.2">
      <c r="A5056" s="62" t="s">
        <v>586</v>
      </c>
      <c r="B5056" s="48">
        <v>14</v>
      </c>
      <c r="C5056" s="62">
        <v>14</v>
      </c>
    </row>
    <row r="5057" spans="1:3" x14ac:dyDescent="0.2">
      <c r="A5057" s="62" t="s">
        <v>585</v>
      </c>
      <c r="B5057" s="48">
        <v>14</v>
      </c>
      <c r="C5057" s="62">
        <v>14</v>
      </c>
    </row>
    <row r="5058" spans="1:3" x14ac:dyDescent="0.2">
      <c r="A5058" s="62" t="s">
        <v>584</v>
      </c>
      <c r="B5058" s="48">
        <v>2</v>
      </c>
      <c r="C5058" s="62">
        <v>2</v>
      </c>
    </row>
    <row r="5059" spans="1:3" x14ac:dyDescent="0.2">
      <c r="A5059" s="62" t="s">
        <v>583</v>
      </c>
      <c r="B5059" s="48">
        <v>14</v>
      </c>
      <c r="C5059" s="62">
        <v>14</v>
      </c>
    </row>
    <row r="5060" spans="1:3" x14ac:dyDescent="0.2">
      <c r="A5060" s="62" t="s">
        <v>581</v>
      </c>
      <c r="B5060" s="48">
        <v>14</v>
      </c>
      <c r="C5060" s="62">
        <v>14</v>
      </c>
    </row>
    <row r="5061" spans="1:3" x14ac:dyDescent="0.2">
      <c r="A5061" s="62" t="s">
        <v>580</v>
      </c>
      <c r="B5061" s="48">
        <v>178</v>
      </c>
      <c r="C5061" s="62">
        <v>178</v>
      </c>
    </row>
    <row r="5062" spans="1:3" x14ac:dyDescent="0.2">
      <c r="A5062" s="62" t="s">
        <v>578</v>
      </c>
      <c r="B5062" s="48">
        <v>14</v>
      </c>
      <c r="C5062" s="62">
        <v>14</v>
      </c>
    </row>
    <row r="5063" spans="1:3" x14ac:dyDescent="0.2">
      <c r="A5063" s="62" t="s">
        <v>576</v>
      </c>
      <c r="B5063" s="48">
        <v>14</v>
      </c>
      <c r="C5063" s="62">
        <v>14</v>
      </c>
    </row>
    <row r="5064" spans="1:3" x14ac:dyDescent="0.2">
      <c r="A5064" s="62" t="s">
        <v>574</v>
      </c>
      <c r="B5064" s="48">
        <v>14</v>
      </c>
      <c r="C5064" s="62">
        <v>14</v>
      </c>
    </row>
    <row r="5065" spans="1:3" x14ac:dyDescent="0.2">
      <c r="A5065" s="62" t="s">
        <v>572</v>
      </c>
      <c r="B5065" s="48">
        <v>141</v>
      </c>
      <c r="C5065" s="62">
        <v>141</v>
      </c>
    </row>
    <row r="5066" spans="1:3" x14ac:dyDescent="0.2">
      <c r="A5066" s="62" t="s">
        <v>571</v>
      </c>
      <c r="B5066" s="48">
        <v>3</v>
      </c>
      <c r="C5066" s="62">
        <v>3</v>
      </c>
    </row>
    <row r="5067" spans="1:3" x14ac:dyDescent="0.2">
      <c r="A5067" s="62" t="s">
        <v>570</v>
      </c>
      <c r="B5067" s="48">
        <v>2</v>
      </c>
      <c r="C5067" s="62">
        <v>2</v>
      </c>
    </row>
    <row r="5068" spans="1:3" x14ac:dyDescent="0.2">
      <c r="A5068" s="62" t="s">
        <v>568</v>
      </c>
      <c r="B5068" s="48">
        <v>86</v>
      </c>
      <c r="C5068" s="62">
        <v>86</v>
      </c>
    </row>
    <row r="5069" spans="1:3" x14ac:dyDescent="0.2">
      <c r="A5069" s="62" t="s">
        <v>566</v>
      </c>
      <c r="B5069" s="48">
        <v>56</v>
      </c>
      <c r="C5069" s="62">
        <v>56</v>
      </c>
    </row>
    <row r="5070" spans="1:3" x14ac:dyDescent="0.2">
      <c r="A5070" s="62" t="s">
        <v>562</v>
      </c>
      <c r="B5070" s="48">
        <v>2</v>
      </c>
      <c r="C5070" s="62">
        <v>2</v>
      </c>
    </row>
    <row r="5071" spans="1:3" x14ac:dyDescent="0.2">
      <c r="A5071" s="62" t="s">
        <v>560</v>
      </c>
      <c r="B5071" s="48">
        <v>2</v>
      </c>
      <c r="C5071" s="62">
        <v>2</v>
      </c>
    </row>
    <row r="5072" spans="1:3" x14ac:dyDescent="0.2">
      <c r="A5072" s="62" t="s">
        <v>559</v>
      </c>
      <c r="B5072" s="48">
        <v>2</v>
      </c>
      <c r="C5072" s="62">
        <v>2</v>
      </c>
    </row>
    <row r="5073" spans="1:3" x14ac:dyDescent="0.2">
      <c r="A5073" s="62" t="s">
        <v>557</v>
      </c>
      <c r="B5073" s="48">
        <v>2</v>
      </c>
      <c r="C5073" s="62">
        <v>2</v>
      </c>
    </row>
    <row r="5074" spans="1:3" x14ac:dyDescent="0.2">
      <c r="A5074" s="62" t="s">
        <v>556</v>
      </c>
      <c r="B5074" s="48">
        <v>14</v>
      </c>
      <c r="C5074" s="62">
        <v>14</v>
      </c>
    </row>
    <row r="5075" spans="1:3" x14ac:dyDescent="0.2">
      <c r="A5075" s="62" t="s">
        <v>554</v>
      </c>
      <c r="B5075" s="48">
        <v>123</v>
      </c>
      <c r="C5075" s="62">
        <v>123</v>
      </c>
    </row>
    <row r="5076" spans="1:3" x14ac:dyDescent="0.2">
      <c r="A5076" s="62" t="s">
        <v>552</v>
      </c>
      <c r="B5076" s="48">
        <v>9</v>
      </c>
      <c r="C5076" s="62">
        <v>9</v>
      </c>
    </row>
    <row r="5077" spans="1:3" x14ac:dyDescent="0.2">
      <c r="A5077" s="62" t="s">
        <v>551</v>
      </c>
      <c r="B5077" s="48">
        <v>9</v>
      </c>
      <c r="C5077" s="62">
        <v>9</v>
      </c>
    </row>
    <row r="5078" spans="1:3" x14ac:dyDescent="0.2">
      <c r="A5078" s="62" t="s">
        <v>549</v>
      </c>
      <c r="B5078" s="48">
        <v>88</v>
      </c>
      <c r="C5078" s="62">
        <v>88</v>
      </c>
    </row>
    <row r="5079" spans="1:3" x14ac:dyDescent="0.2">
      <c r="A5079" s="62" t="s">
        <v>547</v>
      </c>
      <c r="B5079" s="48">
        <v>14</v>
      </c>
      <c r="C5079" s="62">
        <v>14</v>
      </c>
    </row>
    <row r="5080" spans="1:3" x14ac:dyDescent="0.2">
      <c r="A5080" s="62" t="s">
        <v>545</v>
      </c>
      <c r="B5080" s="48">
        <v>88</v>
      </c>
      <c r="C5080" s="62">
        <v>88</v>
      </c>
    </row>
    <row r="5081" spans="1:3" x14ac:dyDescent="0.2">
      <c r="A5081" s="62" t="s">
        <v>544</v>
      </c>
      <c r="B5081" s="48">
        <v>88</v>
      </c>
      <c r="C5081" s="62">
        <v>88</v>
      </c>
    </row>
    <row r="5082" spans="1:3" x14ac:dyDescent="0.2">
      <c r="A5082" s="62" t="s">
        <v>543</v>
      </c>
      <c r="B5082" s="48">
        <v>88</v>
      </c>
      <c r="C5082" s="62">
        <v>88</v>
      </c>
    </row>
    <row r="5083" spans="1:3" x14ac:dyDescent="0.2">
      <c r="A5083" s="62" t="s">
        <v>542</v>
      </c>
      <c r="B5083" s="48">
        <v>88</v>
      </c>
      <c r="C5083" s="62">
        <v>88</v>
      </c>
    </row>
    <row r="5084" spans="1:3" x14ac:dyDescent="0.2">
      <c r="A5084" s="62" t="s">
        <v>540</v>
      </c>
      <c r="B5084" s="48">
        <v>13</v>
      </c>
      <c r="C5084" s="62">
        <v>13</v>
      </c>
    </row>
    <row r="5085" spans="1:3" x14ac:dyDescent="0.2">
      <c r="A5085" s="62" t="s">
        <v>539</v>
      </c>
      <c r="B5085" s="48">
        <v>2</v>
      </c>
      <c r="C5085" s="62">
        <v>2</v>
      </c>
    </row>
    <row r="5086" spans="1:3" x14ac:dyDescent="0.2">
      <c r="A5086" s="62" t="s">
        <v>538</v>
      </c>
      <c r="B5086" s="48">
        <v>2</v>
      </c>
      <c r="C5086" s="62">
        <v>2</v>
      </c>
    </row>
    <row r="5087" spans="1:3" x14ac:dyDescent="0.2">
      <c r="A5087" s="62" t="s">
        <v>536</v>
      </c>
      <c r="B5087" s="48">
        <v>2</v>
      </c>
      <c r="C5087" s="62">
        <v>2</v>
      </c>
    </row>
    <row r="5088" spans="1:3" x14ac:dyDescent="0.2">
      <c r="A5088" s="62" t="s">
        <v>534</v>
      </c>
      <c r="B5088" s="48">
        <v>2</v>
      </c>
      <c r="C5088" s="62">
        <v>2</v>
      </c>
    </row>
    <row r="5089" spans="1:3" x14ac:dyDescent="0.2">
      <c r="A5089" s="62" t="s">
        <v>532</v>
      </c>
      <c r="B5089" s="48">
        <v>2</v>
      </c>
      <c r="C5089" s="62">
        <v>2</v>
      </c>
    </row>
    <row r="5090" spans="1:3" x14ac:dyDescent="0.2">
      <c r="A5090" s="62" t="s">
        <v>530</v>
      </c>
      <c r="B5090" s="48">
        <v>88</v>
      </c>
      <c r="C5090" s="62">
        <v>88</v>
      </c>
    </row>
    <row r="5091" spans="1:3" x14ac:dyDescent="0.2">
      <c r="A5091" s="62" t="s">
        <v>528</v>
      </c>
      <c r="B5091" s="48">
        <v>56</v>
      </c>
      <c r="C5091" s="62">
        <v>56</v>
      </c>
    </row>
    <row r="5092" spans="1:3" x14ac:dyDescent="0.2">
      <c r="A5092" s="62" t="s">
        <v>527</v>
      </c>
      <c r="B5092" s="48">
        <v>9</v>
      </c>
      <c r="C5092" s="62">
        <v>9</v>
      </c>
    </row>
    <row r="5093" spans="1:3" x14ac:dyDescent="0.2">
      <c r="A5093" s="62" t="s">
        <v>525</v>
      </c>
      <c r="B5093" s="48">
        <v>14</v>
      </c>
      <c r="C5093" s="62">
        <v>14</v>
      </c>
    </row>
    <row r="5094" spans="1:3" x14ac:dyDescent="0.2">
      <c r="A5094" s="62" t="s">
        <v>524</v>
      </c>
      <c r="B5094" s="48">
        <v>225</v>
      </c>
      <c r="C5094" s="62">
        <v>225</v>
      </c>
    </row>
    <row r="5095" spans="1:3" x14ac:dyDescent="0.2">
      <c r="A5095" s="62" t="s">
        <v>522</v>
      </c>
      <c r="B5095" s="48">
        <v>14</v>
      </c>
      <c r="C5095" s="62">
        <v>14</v>
      </c>
    </row>
    <row r="5096" spans="1:3" x14ac:dyDescent="0.2">
      <c r="A5096" s="62" t="s">
        <v>521</v>
      </c>
      <c r="B5096" s="48">
        <v>2</v>
      </c>
      <c r="C5096" s="62">
        <v>2</v>
      </c>
    </row>
    <row r="5097" spans="1:3" x14ac:dyDescent="0.2">
      <c r="A5097" s="62" t="s">
        <v>519</v>
      </c>
      <c r="B5097" s="48">
        <v>15</v>
      </c>
      <c r="C5097" s="62">
        <v>15</v>
      </c>
    </row>
    <row r="5098" spans="1:3" x14ac:dyDescent="0.2">
      <c r="A5098" s="62" t="s">
        <v>515</v>
      </c>
      <c r="B5098" s="48">
        <v>15</v>
      </c>
      <c r="C5098" s="62">
        <v>15</v>
      </c>
    </row>
    <row r="5099" spans="1:3" x14ac:dyDescent="0.2">
      <c r="A5099" s="62" t="s">
        <v>514</v>
      </c>
      <c r="B5099" s="48">
        <v>2</v>
      </c>
      <c r="C5099" s="62">
        <v>2</v>
      </c>
    </row>
    <row r="5100" spans="1:3" x14ac:dyDescent="0.2">
      <c r="A5100" s="62" t="s">
        <v>513</v>
      </c>
      <c r="B5100" s="48">
        <v>145</v>
      </c>
      <c r="C5100" s="62">
        <v>145</v>
      </c>
    </row>
    <row r="5101" spans="1:3" x14ac:dyDescent="0.2">
      <c r="A5101" s="62" t="s">
        <v>512</v>
      </c>
      <c r="B5101" s="48">
        <v>7</v>
      </c>
      <c r="C5101" s="62">
        <v>7</v>
      </c>
    </row>
    <row r="5102" spans="1:3" x14ac:dyDescent="0.2">
      <c r="A5102" s="62" t="s">
        <v>511</v>
      </c>
      <c r="B5102" s="48">
        <v>90</v>
      </c>
      <c r="C5102" s="62">
        <v>90</v>
      </c>
    </row>
    <row r="5103" spans="1:3" x14ac:dyDescent="0.2">
      <c r="A5103" s="62" t="s">
        <v>508</v>
      </c>
      <c r="B5103" s="48">
        <v>2</v>
      </c>
      <c r="C5103" s="62">
        <v>2</v>
      </c>
    </row>
    <row r="5104" spans="1:3" x14ac:dyDescent="0.2">
      <c r="A5104" s="62" t="s">
        <v>506</v>
      </c>
      <c r="B5104" s="48">
        <v>136</v>
      </c>
      <c r="C5104" s="62">
        <v>136</v>
      </c>
    </row>
    <row r="5105" spans="1:3" x14ac:dyDescent="0.2">
      <c r="A5105" s="62" t="s">
        <v>504</v>
      </c>
      <c r="B5105" s="48">
        <v>87</v>
      </c>
      <c r="C5105" s="62">
        <v>87</v>
      </c>
    </row>
    <row r="5106" spans="1:3" x14ac:dyDescent="0.2">
      <c r="A5106" s="62" t="s">
        <v>503</v>
      </c>
      <c r="B5106" s="48">
        <v>122</v>
      </c>
      <c r="C5106" s="62">
        <v>122</v>
      </c>
    </row>
    <row r="5107" spans="1:3" x14ac:dyDescent="0.2">
      <c r="A5107" s="62" t="s">
        <v>501</v>
      </c>
      <c r="B5107" s="48">
        <v>19</v>
      </c>
      <c r="C5107" s="62">
        <v>19</v>
      </c>
    </row>
    <row r="5108" spans="1:3" x14ac:dyDescent="0.2">
      <c r="A5108" s="62" t="s">
        <v>500</v>
      </c>
      <c r="B5108" s="48">
        <v>19</v>
      </c>
      <c r="C5108" s="62">
        <v>19</v>
      </c>
    </row>
    <row r="5109" spans="1:3" x14ac:dyDescent="0.2">
      <c r="A5109" s="62" t="s">
        <v>498</v>
      </c>
      <c r="B5109" s="48">
        <v>198</v>
      </c>
      <c r="C5109" s="62">
        <v>198</v>
      </c>
    </row>
    <row r="5110" spans="1:3" x14ac:dyDescent="0.2">
      <c r="A5110" s="62" t="s">
        <v>494</v>
      </c>
      <c r="B5110" s="48">
        <v>198</v>
      </c>
      <c r="C5110" s="62">
        <v>198</v>
      </c>
    </row>
    <row r="5111" spans="1:3" x14ac:dyDescent="0.2">
      <c r="A5111" s="62" t="s">
        <v>491</v>
      </c>
      <c r="B5111" s="48">
        <v>2</v>
      </c>
      <c r="C5111" s="62">
        <v>2</v>
      </c>
    </row>
    <row r="5112" spans="1:3" x14ac:dyDescent="0.2">
      <c r="A5112" s="116" t="s">
        <v>490</v>
      </c>
      <c r="B5112" s="55">
        <v>15</v>
      </c>
      <c r="C5112" s="115">
        <v>15</v>
      </c>
    </row>
  </sheetData>
  <autoFilter ref="A3:C3" xr:uid="{00000000-0009-0000-0000-00000A000000}"/>
  <mergeCells count="1">
    <mergeCell ref="A1:D1"/>
  </mergeCells>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1442-51DA-8746-9E4C-787135C7B2EA}">
  <sheetPr filterMode="1"/>
  <dimension ref="A1:E324"/>
  <sheetViews>
    <sheetView zoomScale="150" workbookViewId="0">
      <selection activeCell="A77" sqref="A77"/>
    </sheetView>
  </sheetViews>
  <sheetFormatPr baseColWidth="10" defaultRowHeight="16" x14ac:dyDescent="0.2"/>
  <cols>
    <col min="1" max="1" width="16.33203125" style="43" bestFit="1" customWidth="1"/>
    <col min="2" max="2" width="43.33203125" style="43" bestFit="1" customWidth="1"/>
    <col min="3" max="16384" width="10.83203125" style="43"/>
  </cols>
  <sheetData>
    <row r="1" spans="1:5" x14ac:dyDescent="0.2">
      <c r="A1" s="139" t="s">
        <v>6872</v>
      </c>
      <c r="B1" s="139"/>
      <c r="C1" s="139"/>
      <c r="D1" s="139"/>
      <c r="E1" s="139"/>
    </row>
    <row r="3" spans="1:5" x14ac:dyDescent="0.2">
      <c r="A3" s="88" t="s">
        <v>6053</v>
      </c>
      <c r="B3" s="88" t="s">
        <v>18</v>
      </c>
    </row>
    <row r="4" spans="1:5" hidden="1" x14ac:dyDescent="0.2">
      <c r="A4" s="118" t="s">
        <v>6023</v>
      </c>
      <c r="B4" s="118" t="s">
        <v>6871</v>
      </c>
    </row>
    <row r="5" spans="1:5" hidden="1" x14ac:dyDescent="0.2">
      <c r="A5" s="118" t="s">
        <v>6022</v>
      </c>
      <c r="B5" s="118" t="s">
        <v>6870</v>
      </c>
    </row>
    <row r="6" spans="1:5" hidden="1" x14ac:dyDescent="0.2">
      <c r="A6" s="118" t="s">
        <v>6011</v>
      </c>
      <c r="B6" s="118" t="s">
        <v>6869</v>
      </c>
    </row>
    <row r="7" spans="1:5" hidden="1" x14ac:dyDescent="0.2">
      <c r="A7" s="118" t="s">
        <v>5981</v>
      </c>
      <c r="B7" s="118" t="s">
        <v>6868</v>
      </c>
    </row>
    <row r="8" spans="1:5" hidden="1" x14ac:dyDescent="0.2">
      <c r="A8" s="118" t="s">
        <v>5980</v>
      </c>
      <c r="B8" s="118" t="s">
        <v>6867</v>
      </c>
    </row>
    <row r="9" spans="1:5" hidden="1" x14ac:dyDescent="0.2">
      <c r="A9" s="118" t="s">
        <v>5941</v>
      </c>
      <c r="B9" s="118" t="s">
        <v>6866</v>
      </c>
    </row>
    <row r="10" spans="1:5" hidden="1" x14ac:dyDescent="0.2">
      <c r="A10" s="118" t="s">
        <v>5932</v>
      </c>
      <c r="B10" s="118" t="s">
        <v>6865</v>
      </c>
    </row>
    <row r="11" spans="1:5" hidden="1" x14ac:dyDescent="0.2">
      <c r="A11" s="118" t="s">
        <v>5931</v>
      </c>
      <c r="B11" s="118" t="s">
        <v>6864</v>
      </c>
    </row>
    <row r="12" spans="1:5" hidden="1" x14ac:dyDescent="0.2">
      <c r="A12" s="118" t="s">
        <v>5929</v>
      </c>
      <c r="B12" s="118" t="s">
        <v>6863</v>
      </c>
    </row>
    <row r="13" spans="1:5" hidden="1" x14ac:dyDescent="0.2">
      <c r="A13" s="118" t="s">
        <v>5893</v>
      </c>
      <c r="B13" s="118" t="s">
        <v>6862</v>
      </c>
    </row>
    <row r="14" spans="1:5" hidden="1" x14ac:dyDescent="0.2">
      <c r="A14" s="118" t="s">
        <v>5883</v>
      </c>
      <c r="B14" s="118" t="s">
        <v>6263</v>
      </c>
    </row>
    <row r="15" spans="1:5" hidden="1" x14ac:dyDescent="0.2">
      <c r="A15" s="118" t="s">
        <v>5882</v>
      </c>
      <c r="B15" s="118" t="s">
        <v>6234</v>
      </c>
    </row>
    <row r="16" spans="1:5" hidden="1" x14ac:dyDescent="0.2">
      <c r="A16" s="118" t="s">
        <v>5881</v>
      </c>
      <c r="B16" s="118" t="s">
        <v>6232</v>
      </c>
    </row>
    <row r="17" spans="1:2" hidden="1" x14ac:dyDescent="0.2">
      <c r="A17" s="118" t="s">
        <v>5880</v>
      </c>
      <c r="B17" s="118" t="s">
        <v>6229</v>
      </c>
    </row>
    <row r="18" spans="1:2" hidden="1" x14ac:dyDescent="0.2">
      <c r="A18" s="118" t="s">
        <v>5822</v>
      </c>
      <c r="B18" s="118" t="s">
        <v>6861</v>
      </c>
    </row>
    <row r="19" spans="1:2" hidden="1" x14ac:dyDescent="0.2">
      <c r="A19" s="118" t="s">
        <v>5725</v>
      </c>
      <c r="B19" s="118" t="s">
        <v>6860</v>
      </c>
    </row>
    <row r="20" spans="1:2" hidden="1" x14ac:dyDescent="0.2">
      <c r="A20" s="118" t="s">
        <v>5724</v>
      </c>
      <c r="B20" s="118" t="s">
        <v>6859</v>
      </c>
    </row>
    <row r="21" spans="1:2" hidden="1" x14ac:dyDescent="0.2">
      <c r="A21" s="118" t="s">
        <v>5723</v>
      </c>
      <c r="B21" s="118" t="s">
        <v>6858</v>
      </c>
    </row>
    <row r="22" spans="1:2" hidden="1" x14ac:dyDescent="0.2">
      <c r="A22" s="118" t="s">
        <v>5722</v>
      </c>
      <c r="B22" s="118" t="s">
        <v>6857</v>
      </c>
    </row>
    <row r="23" spans="1:2" hidden="1" x14ac:dyDescent="0.2">
      <c r="A23" s="118" t="s">
        <v>5721</v>
      </c>
      <c r="B23" s="118" t="s">
        <v>6856</v>
      </c>
    </row>
    <row r="24" spans="1:2" hidden="1" x14ac:dyDescent="0.2">
      <c r="A24" s="118" t="s">
        <v>5720</v>
      </c>
      <c r="B24" s="118" t="s">
        <v>6855</v>
      </c>
    </row>
    <row r="25" spans="1:2" hidden="1" x14ac:dyDescent="0.2">
      <c r="A25" s="118" t="s">
        <v>5719</v>
      </c>
      <c r="B25" s="118" t="s">
        <v>6854</v>
      </c>
    </row>
    <row r="26" spans="1:2" hidden="1" x14ac:dyDescent="0.2">
      <c r="A26" s="118" t="s">
        <v>5718</v>
      </c>
      <c r="B26" s="118" t="s">
        <v>6853</v>
      </c>
    </row>
    <row r="27" spans="1:2" hidden="1" x14ac:dyDescent="0.2">
      <c r="A27" s="118" t="s">
        <v>5703</v>
      </c>
      <c r="B27" s="118" t="s">
        <v>6852</v>
      </c>
    </row>
    <row r="28" spans="1:2" hidden="1" x14ac:dyDescent="0.2">
      <c r="A28" s="118" t="s">
        <v>5698</v>
      </c>
      <c r="B28" s="118" t="s">
        <v>6851</v>
      </c>
    </row>
    <row r="29" spans="1:2" hidden="1" x14ac:dyDescent="0.2">
      <c r="A29" s="118" t="s">
        <v>5697</v>
      </c>
      <c r="B29" s="118" t="s">
        <v>6850</v>
      </c>
    </row>
    <row r="30" spans="1:2" hidden="1" x14ac:dyDescent="0.2">
      <c r="A30" s="118" t="s">
        <v>5644</v>
      </c>
      <c r="B30" s="118" t="s">
        <v>6849</v>
      </c>
    </row>
    <row r="31" spans="1:2" hidden="1" x14ac:dyDescent="0.2">
      <c r="A31" s="118" t="s">
        <v>5628</v>
      </c>
      <c r="B31" s="118" t="s">
        <v>6848</v>
      </c>
    </row>
    <row r="32" spans="1:2" hidden="1" x14ac:dyDescent="0.2">
      <c r="A32" s="118" t="s">
        <v>5609</v>
      </c>
      <c r="B32" s="118" t="s">
        <v>6847</v>
      </c>
    </row>
    <row r="33" spans="1:2" hidden="1" x14ac:dyDescent="0.2">
      <c r="A33" s="118" t="s">
        <v>5607</v>
      </c>
      <c r="B33" s="118" t="s">
        <v>6846</v>
      </c>
    </row>
    <row r="34" spans="1:2" hidden="1" x14ac:dyDescent="0.2">
      <c r="A34" s="118" t="s">
        <v>5605</v>
      </c>
      <c r="B34" s="118" t="s">
        <v>6845</v>
      </c>
    </row>
    <row r="35" spans="1:2" hidden="1" x14ac:dyDescent="0.2">
      <c r="A35" s="118" t="s">
        <v>5586</v>
      </c>
      <c r="B35" s="118" t="s">
        <v>6844</v>
      </c>
    </row>
    <row r="36" spans="1:2" hidden="1" x14ac:dyDescent="0.2">
      <c r="A36" s="118" t="s">
        <v>5582</v>
      </c>
      <c r="B36" s="118" t="s">
        <v>6211</v>
      </c>
    </row>
    <row r="37" spans="1:2" hidden="1" x14ac:dyDescent="0.2">
      <c r="A37" s="118" t="s">
        <v>5581</v>
      </c>
      <c r="B37" s="118" t="s">
        <v>6843</v>
      </c>
    </row>
    <row r="38" spans="1:2" hidden="1" x14ac:dyDescent="0.2">
      <c r="A38" s="118" t="s">
        <v>5512</v>
      </c>
      <c r="B38" s="118" t="s">
        <v>6842</v>
      </c>
    </row>
    <row r="39" spans="1:2" hidden="1" x14ac:dyDescent="0.2">
      <c r="A39" s="118" t="s">
        <v>5484</v>
      </c>
      <c r="B39" s="118" t="s">
        <v>6841</v>
      </c>
    </row>
    <row r="40" spans="1:2" hidden="1" x14ac:dyDescent="0.2">
      <c r="A40" s="118" t="s">
        <v>5458</v>
      </c>
      <c r="B40" s="118" t="s">
        <v>6840</v>
      </c>
    </row>
    <row r="41" spans="1:2" hidden="1" x14ac:dyDescent="0.2">
      <c r="A41" s="118" t="s">
        <v>5398</v>
      </c>
      <c r="B41" s="118" t="s">
        <v>6839</v>
      </c>
    </row>
    <row r="42" spans="1:2" hidden="1" x14ac:dyDescent="0.2">
      <c r="A42" s="118" t="s">
        <v>5342</v>
      </c>
      <c r="B42" s="118" t="s">
        <v>6838</v>
      </c>
    </row>
    <row r="43" spans="1:2" hidden="1" x14ac:dyDescent="0.2">
      <c r="A43" s="118" t="s">
        <v>5318</v>
      </c>
      <c r="B43" s="118" t="s">
        <v>6837</v>
      </c>
    </row>
    <row r="44" spans="1:2" hidden="1" x14ac:dyDescent="0.2">
      <c r="A44" s="118" t="s">
        <v>5317</v>
      </c>
      <c r="B44" s="118" t="s">
        <v>6836</v>
      </c>
    </row>
    <row r="45" spans="1:2" x14ac:dyDescent="0.2">
      <c r="A45" s="118" t="s">
        <v>5197</v>
      </c>
      <c r="B45" s="118" t="s">
        <v>321</v>
      </c>
    </row>
    <row r="46" spans="1:2" hidden="1" x14ac:dyDescent="0.2">
      <c r="A46" s="118" t="s">
        <v>5082</v>
      </c>
      <c r="B46" s="118" t="s">
        <v>6835</v>
      </c>
    </row>
    <row r="47" spans="1:2" hidden="1" x14ac:dyDescent="0.2">
      <c r="A47" s="118" t="s">
        <v>5080</v>
      </c>
      <c r="B47" s="118" t="s">
        <v>6834</v>
      </c>
    </row>
    <row r="48" spans="1:2" hidden="1" x14ac:dyDescent="0.2">
      <c r="A48" s="118" t="s">
        <v>5079</v>
      </c>
      <c r="B48" s="118" t="s">
        <v>6833</v>
      </c>
    </row>
    <row r="49" spans="1:2" hidden="1" x14ac:dyDescent="0.2">
      <c r="A49" s="118" t="s">
        <v>5078</v>
      </c>
      <c r="B49" s="118" t="s">
        <v>6832</v>
      </c>
    </row>
    <row r="50" spans="1:2" hidden="1" x14ac:dyDescent="0.2">
      <c r="A50" s="118" t="s">
        <v>5075</v>
      </c>
      <c r="B50" s="118" t="s">
        <v>6831</v>
      </c>
    </row>
    <row r="51" spans="1:2" hidden="1" x14ac:dyDescent="0.2">
      <c r="A51" s="118" t="s">
        <v>5054</v>
      </c>
      <c r="B51" s="118" t="s">
        <v>6830</v>
      </c>
    </row>
    <row r="52" spans="1:2" hidden="1" x14ac:dyDescent="0.2">
      <c r="A52" s="118" t="s">
        <v>5024</v>
      </c>
      <c r="B52" s="118" t="s">
        <v>6829</v>
      </c>
    </row>
    <row r="53" spans="1:2" hidden="1" x14ac:dyDescent="0.2">
      <c r="A53" s="118" t="s">
        <v>4995</v>
      </c>
      <c r="B53" s="118" t="s">
        <v>6828</v>
      </c>
    </row>
    <row r="54" spans="1:2" hidden="1" x14ac:dyDescent="0.2">
      <c r="A54" s="118" t="s">
        <v>4943</v>
      </c>
      <c r="B54" s="118" t="s">
        <v>6827</v>
      </c>
    </row>
    <row r="55" spans="1:2" hidden="1" x14ac:dyDescent="0.2">
      <c r="A55" s="118" t="s">
        <v>4935</v>
      </c>
      <c r="B55" s="118" t="s">
        <v>6826</v>
      </c>
    </row>
    <row r="56" spans="1:2" hidden="1" x14ac:dyDescent="0.2">
      <c r="A56" s="118" t="s">
        <v>4933</v>
      </c>
      <c r="B56" s="118" t="s">
        <v>6825</v>
      </c>
    </row>
    <row r="57" spans="1:2" hidden="1" x14ac:dyDescent="0.2">
      <c r="A57" s="118" t="s">
        <v>4870</v>
      </c>
      <c r="B57" s="118" t="s">
        <v>6824</v>
      </c>
    </row>
    <row r="58" spans="1:2" hidden="1" x14ac:dyDescent="0.2">
      <c r="A58" s="118" t="s">
        <v>4869</v>
      </c>
      <c r="B58" s="118" t="s">
        <v>6823</v>
      </c>
    </row>
    <row r="59" spans="1:2" hidden="1" x14ac:dyDescent="0.2">
      <c r="A59" s="118" t="s">
        <v>4842</v>
      </c>
      <c r="B59" s="118" t="s">
        <v>90</v>
      </c>
    </row>
    <row r="60" spans="1:2" hidden="1" x14ac:dyDescent="0.2">
      <c r="A60" s="118" t="s">
        <v>4841</v>
      </c>
      <c r="B60" s="118" t="s">
        <v>90</v>
      </c>
    </row>
    <row r="61" spans="1:2" hidden="1" x14ac:dyDescent="0.2">
      <c r="A61" s="118" t="s">
        <v>4840</v>
      </c>
      <c r="B61" s="118" t="s">
        <v>90</v>
      </c>
    </row>
    <row r="62" spans="1:2" hidden="1" x14ac:dyDescent="0.2">
      <c r="A62" s="118" t="s">
        <v>4839</v>
      </c>
      <c r="B62" s="118" t="s">
        <v>90</v>
      </c>
    </row>
    <row r="63" spans="1:2" hidden="1" x14ac:dyDescent="0.2">
      <c r="A63" s="118" t="s">
        <v>4837</v>
      </c>
      <c r="B63" s="118" t="s">
        <v>6822</v>
      </c>
    </row>
    <row r="64" spans="1:2" hidden="1" x14ac:dyDescent="0.2">
      <c r="A64" s="118" t="s">
        <v>4836</v>
      </c>
      <c r="B64" s="118" t="s">
        <v>6821</v>
      </c>
    </row>
    <row r="65" spans="1:2" hidden="1" x14ac:dyDescent="0.2">
      <c r="A65" s="118" t="s">
        <v>4835</v>
      </c>
      <c r="B65" s="118" t="s">
        <v>6820</v>
      </c>
    </row>
    <row r="66" spans="1:2" hidden="1" x14ac:dyDescent="0.2">
      <c r="A66" s="118" t="s">
        <v>4834</v>
      </c>
      <c r="B66" s="118" t="s">
        <v>6819</v>
      </c>
    </row>
    <row r="67" spans="1:2" hidden="1" x14ac:dyDescent="0.2">
      <c r="A67" s="118" t="s">
        <v>4833</v>
      </c>
      <c r="B67" s="118" t="s">
        <v>6818</v>
      </c>
    </row>
    <row r="68" spans="1:2" hidden="1" x14ac:dyDescent="0.2">
      <c r="A68" s="118" t="s">
        <v>4832</v>
      </c>
      <c r="B68" s="118" t="s">
        <v>6817</v>
      </c>
    </row>
    <row r="69" spans="1:2" hidden="1" x14ac:dyDescent="0.2">
      <c r="A69" s="118" t="s">
        <v>4831</v>
      </c>
      <c r="B69" s="118" t="s">
        <v>6816</v>
      </c>
    </row>
    <row r="70" spans="1:2" hidden="1" x14ac:dyDescent="0.2">
      <c r="A70" s="118" t="s">
        <v>4830</v>
      </c>
      <c r="B70" s="118" t="s">
        <v>6815</v>
      </c>
    </row>
    <row r="71" spans="1:2" hidden="1" x14ac:dyDescent="0.2">
      <c r="A71" s="118" t="s">
        <v>4829</v>
      </c>
      <c r="B71" s="118" t="s">
        <v>6814</v>
      </c>
    </row>
    <row r="72" spans="1:2" hidden="1" x14ac:dyDescent="0.2">
      <c r="A72" s="118" t="s">
        <v>4828</v>
      </c>
      <c r="B72" s="118" t="s">
        <v>6813</v>
      </c>
    </row>
    <row r="73" spans="1:2" hidden="1" x14ac:dyDescent="0.2">
      <c r="A73" s="118" t="s">
        <v>4827</v>
      </c>
      <c r="B73" s="118" t="s">
        <v>6812</v>
      </c>
    </row>
    <row r="74" spans="1:2" hidden="1" x14ac:dyDescent="0.2">
      <c r="A74" s="118" t="s">
        <v>4821</v>
      </c>
      <c r="B74" s="118" t="s">
        <v>6811</v>
      </c>
    </row>
    <row r="75" spans="1:2" hidden="1" x14ac:dyDescent="0.2">
      <c r="A75" s="118" t="s">
        <v>4820</v>
      </c>
      <c r="B75" s="118" t="s">
        <v>6810</v>
      </c>
    </row>
    <row r="76" spans="1:2" hidden="1" x14ac:dyDescent="0.2">
      <c r="A76" s="118" t="s">
        <v>4756</v>
      </c>
      <c r="B76" s="118" t="s">
        <v>6809</v>
      </c>
    </row>
    <row r="77" spans="1:2" x14ac:dyDescent="0.2">
      <c r="A77" s="118" t="s">
        <v>4698</v>
      </c>
      <c r="B77" s="118" t="s">
        <v>321</v>
      </c>
    </row>
    <row r="78" spans="1:2" hidden="1" x14ac:dyDescent="0.2">
      <c r="A78" s="118" t="s">
        <v>4624</v>
      </c>
      <c r="B78" s="118" t="s">
        <v>6808</v>
      </c>
    </row>
    <row r="79" spans="1:2" hidden="1" x14ac:dyDescent="0.2">
      <c r="A79" s="118" t="s">
        <v>4617</v>
      </c>
      <c r="B79" s="118" t="s">
        <v>6807</v>
      </c>
    </row>
    <row r="80" spans="1:2" hidden="1" x14ac:dyDescent="0.2">
      <c r="A80" s="118" t="s">
        <v>4548</v>
      </c>
      <c r="B80" s="118" t="s">
        <v>6806</v>
      </c>
    </row>
    <row r="81" spans="1:2" hidden="1" x14ac:dyDescent="0.2">
      <c r="A81" s="118" t="s">
        <v>4527</v>
      </c>
      <c r="B81" s="118" t="s">
        <v>6805</v>
      </c>
    </row>
    <row r="82" spans="1:2" hidden="1" x14ac:dyDescent="0.2">
      <c r="A82" s="118" t="s">
        <v>4500</v>
      </c>
      <c r="B82" s="118" t="s">
        <v>6804</v>
      </c>
    </row>
    <row r="83" spans="1:2" hidden="1" x14ac:dyDescent="0.2">
      <c r="A83" s="118" t="s">
        <v>4482</v>
      </c>
      <c r="B83" s="118" t="s">
        <v>6803</v>
      </c>
    </row>
    <row r="84" spans="1:2" hidden="1" x14ac:dyDescent="0.2">
      <c r="A84" s="118" t="s">
        <v>4478</v>
      </c>
      <c r="B84" s="118" t="s">
        <v>6802</v>
      </c>
    </row>
    <row r="85" spans="1:2" hidden="1" x14ac:dyDescent="0.2">
      <c r="A85" s="118" t="s">
        <v>4477</v>
      </c>
      <c r="B85" s="118" t="s">
        <v>6801</v>
      </c>
    </row>
    <row r="86" spans="1:2" hidden="1" x14ac:dyDescent="0.2">
      <c r="A86" s="118" t="s">
        <v>4476</v>
      </c>
      <c r="B86" s="118" t="s">
        <v>6801</v>
      </c>
    </row>
    <row r="87" spans="1:2" hidden="1" x14ac:dyDescent="0.2">
      <c r="A87" s="118" t="s">
        <v>4475</v>
      </c>
      <c r="B87" s="118" t="s">
        <v>6800</v>
      </c>
    </row>
    <row r="88" spans="1:2" hidden="1" x14ac:dyDescent="0.2">
      <c r="A88" s="118" t="s">
        <v>4474</v>
      </c>
      <c r="B88" s="118" t="s">
        <v>6799</v>
      </c>
    </row>
    <row r="89" spans="1:2" hidden="1" x14ac:dyDescent="0.2">
      <c r="A89" s="118" t="s">
        <v>4473</v>
      </c>
      <c r="B89" s="118" t="s">
        <v>6799</v>
      </c>
    </row>
    <row r="90" spans="1:2" hidden="1" x14ac:dyDescent="0.2">
      <c r="A90" s="118" t="s">
        <v>4472</v>
      </c>
      <c r="B90" s="118" t="s">
        <v>6798</v>
      </c>
    </row>
    <row r="91" spans="1:2" hidden="1" x14ac:dyDescent="0.2">
      <c r="A91" s="118" t="s">
        <v>4471</v>
      </c>
      <c r="B91" s="118" t="s">
        <v>6798</v>
      </c>
    </row>
    <row r="92" spans="1:2" hidden="1" x14ac:dyDescent="0.2">
      <c r="A92" s="118" t="s">
        <v>4470</v>
      </c>
      <c r="B92" s="118" t="s">
        <v>6797</v>
      </c>
    </row>
    <row r="93" spans="1:2" hidden="1" x14ac:dyDescent="0.2">
      <c r="A93" s="118" t="s">
        <v>4457</v>
      </c>
      <c r="B93" s="118" t="s">
        <v>6796</v>
      </c>
    </row>
    <row r="94" spans="1:2" hidden="1" x14ac:dyDescent="0.2">
      <c r="A94" s="118" t="s">
        <v>4456</v>
      </c>
      <c r="B94" s="118" t="s">
        <v>6795</v>
      </c>
    </row>
    <row r="95" spans="1:2" hidden="1" x14ac:dyDescent="0.2">
      <c r="A95" s="118" t="s">
        <v>4449</v>
      </c>
      <c r="B95" s="118" t="s">
        <v>6794</v>
      </c>
    </row>
    <row r="96" spans="1:2" hidden="1" x14ac:dyDescent="0.2">
      <c r="A96" s="118" t="s">
        <v>4414</v>
      </c>
      <c r="B96" s="118" t="s">
        <v>6793</v>
      </c>
    </row>
    <row r="97" spans="1:2" hidden="1" x14ac:dyDescent="0.2">
      <c r="A97" s="118" t="s">
        <v>4393</v>
      </c>
      <c r="B97" s="118" t="s">
        <v>6792</v>
      </c>
    </row>
    <row r="98" spans="1:2" hidden="1" x14ac:dyDescent="0.2">
      <c r="A98" s="118" t="s">
        <v>4391</v>
      </c>
      <c r="B98" s="118" t="s">
        <v>6791</v>
      </c>
    </row>
    <row r="99" spans="1:2" hidden="1" x14ac:dyDescent="0.2">
      <c r="A99" s="118" t="s">
        <v>4384</v>
      </c>
      <c r="B99" s="118" t="s">
        <v>6790</v>
      </c>
    </row>
    <row r="100" spans="1:2" hidden="1" x14ac:dyDescent="0.2">
      <c r="A100" s="118" t="s">
        <v>4382</v>
      </c>
      <c r="B100" s="118" t="s">
        <v>6789</v>
      </c>
    </row>
    <row r="101" spans="1:2" hidden="1" x14ac:dyDescent="0.2">
      <c r="A101" s="118" t="s">
        <v>4377</v>
      </c>
      <c r="B101" s="118" t="s">
        <v>6788</v>
      </c>
    </row>
    <row r="102" spans="1:2" hidden="1" x14ac:dyDescent="0.2">
      <c r="A102" s="118" t="s">
        <v>4376</v>
      </c>
      <c r="B102" s="118" t="s">
        <v>61</v>
      </c>
    </row>
    <row r="103" spans="1:2" hidden="1" x14ac:dyDescent="0.2">
      <c r="A103" s="118" t="s">
        <v>4346</v>
      </c>
      <c r="B103" s="118" t="s">
        <v>6787</v>
      </c>
    </row>
    <row r="104" spans="1:2" hidden="1" x14ac:dyDescent="0.2">
      <c r="A104" s="118" t="s">
        <v>4263</v>
      </c>
      <c r="B104" s="118" t="s">
        <v>6786</v>
      </c>
    </row>
    <row r="105" spans="1:2" hidden="1" x14ac:dyDescent="0.2">
      <c r="A105" s="118" t="s">
        <v>4239</v>
      </c>
      <c r="B105" s="118" t="s">
        <v>6785</v>
      </c>
    </row>
    <row r="106" spans="1:2" hidden="1" x14ac:dyDescent="0.2">
      <c r="A106" s="118" t="s">
        <v>4226</v>
      </c>
      <c r="B106" s="118" t="s">
        <v>6173</v>
      </c>
    </row>
    <row r="107" spans="1:2" hidden="1" x14ac:dyDescent="0.2">
      <c r="A107" s="118" t="s">
        <v>4225</v>
      </c>
      <c r="B107" s="118" t="s">
        <v>6784</v>
      </c>
    </row>
    <row r="108" spans="1:2" hidden="1" x14ac:dyDescent="0.2">
      <c r="A108" s="118" t="s">
        <v>4218</v>
      </c>
      <c r="B108" s="118" t="s">
        <v>6171</v>
      </c>
    </row>
    <row r="109" spans="1:2" hidden="1" x14ac:dyDescent="0.2">
      <c r="A109" s="118" t="s">
        <v>4213</v>
      </c>
      <c r="B109" s="118" t="s">
        <v>6783</v>
      </c>
    </row>
    <row r="110" spans="1:2" hidden="1" x14ac:dyDescent="0.2">
      <c r="A110" s="118" t="s">
        <v>4212</v>
      </c>
      <c r="B110" s="118" t="s">
        <v>6782</v>
      </c>
    </row>
    <row r="111" spans="1:2" hidden="1" x14ac:dyDescent="0.2">
      <c r="A111" s="118" t="s">
        <v>4211</v>
      </c>
      <c r="B111" s="118" t="s">
        <v>6781</v>
      </c>
    </row>
    <row r="112" spans="1:2" hidden="1" x14ac:dyDescent="0.2">
      <c r="A112" s="118" t="s">
        <v>4210</v>
      </c>
      <c r="B112" s="118" t="s">
        <v>6780</v>
      </c>
    </row>
    <row r="113" spans="1:2" hidden="1" x14ac:dyDescent="0.2">
      <c r="A113" s="118" t="s">
        <v>4209</v>
      </c>
      <c r="B113" s="118" t="s">
        <v>6779</v>
      </c>
    </row>
    <row r="114" spans="1:2" hidden="1" x14ac:dyDescent="0.2">
      <c r="A114" s="118" t="s">
        <v>4115</v>
      </c>
      <c r="B114" s="118" t="s">
        <v>6778</v>
      </c>
    </row>
    <row r="115" spans="1:2" hidden="1" x14ac:dyDescent="0.2">
      <c r="A115" s="118" t="s">
        <v>4114</v>
      </c>
      <c r="B115" s="118" t="s">
        <v>6777</v>
      </c>
    </row>
    <row r="116" spans="1:2" hidden="1" x14ac:dyDescent="0.2">
      <c r="A116" s="118" t="s">
        <v>4087</v>
      </c>
      <c r="B116" s="118" t="s">
        <v>6776</v>
      </c>
    </row>
    <row r="117" spans="1:2" hidden="1" x14ac:dyDescent="0.2">
      <c r="A117" s="118" t="s">
        <v>4024</v>
      </c>
      <c r="B117" s="118" t="s">
        <v>6775</v>
      </c>
    </row>
    <row r="118" spans="1:2" hidden="1" x14ac:dyDescent="0.2">
      <c r="A118" s="118" t="s">
        <v>4019</v>
      </c>
      <c r="B118" s="118" t="s">
        <v>406</v>
      </c>
    </row>
    <row r="119" spans="1:2" hidden="1" x14ac:dyDescent="0.2">
      <c r="A119" s="118" t="s">
        <v>4018</v>
      </c>
      <c r="B119" s="118" t="s">
        <v>6774</v>
      </c>
    </row>
    <row r="120" spans="1:2" hidden="1" x14ac:dyDescent="0.2">
      <c r="A120" s="118" t="s">
        <v>3934</v>
      </c>
      <c r="B120" s="118" t="s">
        <v>6773</v>
      </c>
    </row>
    <row r="121" spans="1:2" hidden="1" x14ac:dyDescent="0.2">
      <c r="A121" s="118" t="s">
        <v>3933</v>
      </c>
      <c r="B121" s="118" t="s">
        <v>6772</v>
      </c>
    </row>
    <row r="122" spans="1:2" hidden="1" x14ac:dyDescent="0.2">
      <c r="A122" s="118" t="s">
        <v>3912</v>
      </c>
      <c r="B122" s="118" t="s">
        <v>6771</v>
      </c>
    </row>
    <row r="123" spans="1:2" hidden="1" x14ac:dyDescent="0.2">
      <c r="A123" s="118" t="s">
        <v>3859</v>
      </c>
      <c r="B123" s="118" t="s">
        <v>6770</v>
      </c>
    </row>
    <row r="124" spans="1:2" hidden="1" x14ac:dyDescent="0.2">
      <c r="A124" s="118" t="s">
        <v>3851</v>
      </c>
      <c r="B124" s="118" t="s">
        <v>6769</v>
      </c>
    </row>
    <row r="125" spans="1:2" hidden="1" x14ac:dyDescent="0.2">
      <c r="A125" s="118" t="s">
        <v>3843</v>
      </c>
      <c r="B125" s="118" t="s">
        <v>6768</v>
      </c>
    </row>
    <row r="126" spans="1:2" hidden="1" x14ac:dyDescent="0.2">
      <c r="A126" s="118" t="s">
        <v>3842</v>
      </c>
      <c r="B126" s="118" t="s">
        <v>6767</v>
      </c>
    </row>
    <row r="127" spans="1:2" hidden="1" x14ac:dyDescent="0.2">
      <c r="A127" s="118" t="s">
        <v>3841</v>
      </c>
      <c r="B127" s="118" t="s">
        <v>6159</v>
      </c>
    </row>
    <row r="128" spans="1:2" hidden="1" x14ac:dyDescent="0.2">
      <c r="A128" s="118" t="s">
        <v>3840</v>
      </c>
      <c r="B128" s="118" t="s">
        <v>6157</v>
      </c>
    </row>
    <row r="129" spans="1:2" hidden="1" x14ac:dyDescent="0.2">
      <c r="A129" s="118" t="s">
        <v>3839</v>
      </c>
      <c r="B129" s="118" t="s">
        <v>6766</v>
      </c>
    </row>
    <row r="130" spans="1:2" hidden="1" x14ac:dyDescent="0.2">
      <c r="A130" s="118" t="s">
        <v>3802</v>
      </c>
      <c r="B130" s="118" t="s">
        <v>6765</v>
      </c>
    </row>
    <row r="131" spans="1:2" hidden="1" x14ac:dyDescent="0.2">
      <c r="A131" s="118" t="s">
        <v>3761</v>
      </c>
      <c r="B131" s="118" t="s">
        <v>6764</v>
      </c>
    </row>
    <row r="132" spans="1:2" hidden="1" x14ac:dyDescent="0.2">
      <c r="A132" s="118" t="s">
        <v>3712</v>
      </c>
      <c r="B132" s="118" t="s">
        <v>6763</v>
      </c>
    </row>
    <row r="133" spans="1:2" hidden="1" x14ac:dyDescent="0.2">
      <c r="A133" s="118" t="s">
        <v>3711</v>
      </c>
      <c r="B133" s="118" t="s">
        <v>6762</v>
      </c>
    </row>
    <row r="134" spans="1:2" hidden="1" x14ac:dyDescent="0.2">
      <c r="A134" s="118" t="s">
        <v>3710</v>
      </c>
      <c r="B134" s="118" t="s">
        <v>6761</v>
      </c>
    </row>
    <row r="135" spans="1:2" hidden="1" x14ac:dyDescent="0.2">
      <c r="A135" s="118" t="s">
        <v>3708</v>
      </c>
      <c r="B135" s="118" t="s">
        <v>6760</v>
      </c>
    </row>
    <row r="136" spans="1:2" hidden="1" x14ac:dyDescent="0.2">
      <c r="A136" s="118" t="s">
        <v>3701</v>
      </c>
      <c r="B136" s="118" t="s">
        <v>6759</v>
      </c>
    </row>
    <row r="137" spans="1:2" hidden="1" x14ac:dyDescent="0.2">
      <c r="A137" s="118" t="s">
        <v>3690</v>
      </c>
      <c r="B137" s="118" t="s">
        <v>6758</v>
      </c>
    </row>
    <row r="138" spans="1:2" hidden="1" x14ac:dyDescent="0.2">
      <c r="A138" s="118" t="s">
        <v>3606</v>
      </c>
      <c r="B138" s="118" t="s">
        <v>6757</v>
      </c>
    </row>
    <row r="139" spans="1:2" hidden="1" x14ac:dyDescent="0.2">
      <c r="A139" s="118" t="s">
        <v>3566</v>
      </c>
      <c r="B139" s="118" t="s">
        <v>6269</v>
      </c>
    </row>
    <row r="140" spans="1:2" hidden="1" x14ac:dyDescent="0.2">
      <c r="A140" s="118" t="s">
        <v>3547</v>
      </c>
      <c r="B140" s="118" t="s">
        <v>6756</v>
      </c>
    </row>
    <row r="141" spans="1:2" hidden="1" x14ac:dyDescent="0.2">
      <c r="A141" s="118" t="s">
        <v>3546</v>
      </c>
      <c r="B141" s="118" t="s">
        <v>6756</v>
      </c>
    </row>
    <row r="142" spans="1:2" hidden="1" x14ac:dyDescent="0.2">
      <c r="A142" s="118" t="s">
        <v>3545</v>
      </c>
      <c r="B142" s="118" t="s">
        <v>6755</v>
      </c>
    </row>
    <row r="143" spans="1:2" hidden="1" x14ac:dyDescent="0.2">
      <c r="A143" s="118" t="s">
        <v>3544</v>
      </c>
      <c r="B143" s="118" t="s">
        <v>6754</v>
      </c>
    </row>
    <row r="144" spans="1:2" hidden="1" x14ac:dyDescent="0.2">
      <c r="A144" s="118" t="s">
        <v>3543</v>
      </c>
      <c r="B144" s="118" t="s">
        <v>6754</v>
      </c>
    </row>
    <row r="145" spans="1:2" hidden="1" x14ac:dyDescent="0.2">
      <c r="A145" s="118" t="s">
        <v>3542</v>
      </c>
      <c r="B145" s="118" t="s">
        <v>6753</v>
      </c>
    </row>
    <row r="146" spans="1:2" hidden="1" x14ac:dyDescent="0.2">
      <c r="A146" s="118" t="s">
        <v>3541</v>
      </c>
      <c r="B146" s="118" t="s">
        <v>6752</v>
      </c>
    </row>
    <row r="147" spans="1:2" hidden="1" x14ac:dyDescent="0.2">
      <c r="A147" s="118" t="s">
        <v>3486</v>
      </c>
      <c r="B147" s="118" t="s">
        <v>6751</v>
      </c>
    </row>
    <row r="148" spans="1:2" hidden="1" x14ac:dyDescent="0.2">
      <c r="A148" s="118" t="s">
        <v>3484</v>
      </c>
      <c r="B148" s="118" t="s">
        <v>6750</v>
      </c>
    </row>
    <row r="149" spans="1:2" hidden="1" x14ac:dyDescent="0.2">
      <c r="A149" s="118" t="s">
        <v>3441</v>
      </c>
      <c r="B149" s="118" t="s">
        <v>6749</v>
      </c>
    </row>
    <row r="150" spans="1:2" hidden="1" x14ac:dyDescent="0.2">
      <c r="A150" s="118" t="s">
        <v>3440</v>
      </c>
      <c r="B150" s="118" t="s">
        <v>6304</v>
      </c>
    </row>
    <row r="151" spans="1:2" hidden="1" x14ac:dyDescent="0.2">
      <c r="A151" s="118" t="s">
        <v>3414</v>
      </c>
      <c r="B151" s="118" t="s">
        <v>6748</v>
      </c>
    </row>
    <row r="152" spans="1:2" hidden="1" x14ac:dyDescent="0.2">
      <c r="A152" s="118" t="s">
        <v>3357</v>
      </c>
      <c r="B152" s="118" t="s">
        <v>6747</v>
      </c>
    </row>
    <row r="153" spans="1:2" hidden="1" x14ac:dyDescent="0.2">
      <c r="A153" s="118" t="s">
        <v>3354</v>
      </c>
      <c r="B153" s="118" t="s">
        <v>6746</v>
      </c>
    </row>
    <row r="154" spans="1:2" hidden="1" x14ac:dyDescent="0.2">
      <c r="A154" s="118" t="s">
        <v>3353</v>
      </c>
      <c r="B154" s="118" t="s">
        <v>6745</v>
      </c>
    </row>
    <row r="155" spans="1:2" hidden="1" x14ac:dyDescent="0.2">
      <c r="A155" s="118" t="s">
        <v>3352</v>
      </c>
      <c r="B155" s="118" t="s">
        <v>6744</v>
      </c>
    </row>
    <row r="156" spans="1:2" hidden="1" x14ac:dyDescent="0.2">
      <c r="A156" s="118" t="s">
        <v>3348</v>
      </c>
      <c r="B156" s="118" t="s">
        <v>325</v>
      </c>
    </row>
    <row r="157" spans="1:2" hidden="1" x14ac:dyDescent="0.2">
      <c r="A157" s="118" t="s">
        <v>3334</v>
      </c>
      <c r="B157" s="118" t="s">
        <v>6743</v>
      </c>
    </row>
    <row r="158" spans="1:2" hidden="1" x14ac:dyDescent="0.2">
      <c r="A158" s="118" t="s">
        <v>3333</v>
      </c>
      <c r="B158" s="118" t="s">
        <v>6668</v>
      </c>
    </row>
    <row r="159" spans="1:2" hidden="1" x14ac:dyDescent="0.2">
      <c r="A159" s="118" t="s">
        <v>3332</v>
      </c>
      <c r="B159" s="118" t="s">
        <v>6668</v>
      </c>
    </row>
    <row r="160" spans="1:2" hidden="1" x14ac:dyDescent="0.2">
      <c r="A160" s="118" t="s">
        <v>3331</v>
      </c>
      <c r="B160" s="118" t="s">
        <v>6668</v>
      </c>
    </row>
    <row r="161" spans="1:2" hidden="1" x14ac:dyDescent="0.2">
      <c r="A161" s="118" t="s">
        <v>3330</v>
      </c>
      <c r="B161" s="118" t="s">
        <v>6668</v>
      </c>
    </row>
    <row r="162" spans="1:2" hidden="1" x14ac:dyDescent="0.2">
      <c r="A162" s="118" t="s">
        <v>3329</v>
      </c>
      <c r="B162" s="118" t="s">
        <v>6668</v>
      </c>
    </row>
    <row r="163" spans="1:2" hidden="1" x14ac:dyDescent="0.2">
      <c r="A163" s="118" t="s">
        <v>3328</v>
      </c>
      <c r="B163" s="118" t="s">
        <v>6668</v>
      </c>
    </row>
    <row r="164" spans="1:2" hidden="1" x14ac:dyDescent="0.2">
      <c r="A164" s="118" t="s">
        <v>3327</v>
      </c>
      <c r="B164" s="118" t="s">
        <v>6668</v>
      </c>
    </row>
    <row r="165" spans="1:2" hidden="1" x14ac:dyDescent="0.2">
      <c r="A165" s="118" t="s">
        <v>3326</v>
      </c>
      <c r="B165" s="118" t="s">
        <v>6668</v>
      </c>
    </row>
    <row r="166" spans="1:2" hidden="1" x14ac:dyDescent="0.2">
      <c r="A166" s="118" t="s">
        <v>3325</v>
      </c>
      <c r="B166" s="118" t="s">
        <v>6668</v>
      </c>
    </row>
    <row r="167" spans="1:2" hidden="1" x14ac:dyDescent="0.2">
      <c r="A167" s="118" t="s">
        <v>3324</v>
      </c>
      <c r="B167" s="118" t="s">
        <v>6668</v>
      </c>
    </row>
    <row r="168" spans="1:2" hidden="1" x14ac:dyDescent="0.2">
      <c r="A168" s="118" t="s">
        <v>3323</v>
      </c>
      <c r="B168" s="118" t="s">
        <v>6668</v>
      </c>
    </row>
    <row r="169" spans="1:2" hidden="1" x14ac:dyDescent="0.2">
      <c r="A169" s="118" t="s">
        <v>3322</v>
      </c>
      <c r="B169" s="118" t="s">
        <v>6668</v>
      </c>
    </row>
    <row r="170" spans="1:2" hidden="1" x14ac:dyDescent="0.2">
      <c r="A170" s="118" t="s">
        <v>3321</v>
      </c>
      <c r="B170" s="118" t="s">
        <v>6668</v>
      </c>
    </row>
    <row r="171" spans="1:2" hidden="1" x14ac:dyDescent="0.2">
      <c r="A171" s="118" t="s">
        <v>3320</v>
      </c>
      <c r="B171" s="118" t="s">
        <v>6668</v>
      </c>
    </row>
    <row r="172" spans="1:2" hidden="1" x14ac:dyDescent="0.2">
      <c r="A172" s="118" t="s">
        <v>3319</v>
      </c>
      <c r="B172" s="118" t="s">
        <v>6668</v>
      </c>
    </row>
    <row r="173" spans="1:2" hidden="1" x14ac:dyDescent="0.2">
      <c r="A173" s="118" t="s">
        <v>3318</v>
      </c>
      <c r="B173" s="118" t="s">
        <v>6668</v>
      </c>
    </row>
    <row r="174" spans="1:2" hidden="1" x14ac:dyDescent="0.2">
      <c r="A174" s="118" t="s">
        <v>3317</v>
      </c>
      <c r="B174" s="118" t="s">
        <v>6668</v>
      </c>
    </row>
    <row r="175" spans="1:2" hidden="1" x14ac:dyDescent="0.2">
      <c r="A175" s="118" t="s">
        <v>3316</v>
      </c>
      <c r="B175" s="118" t="s">
        <v>6668</v>
      </c>
    </row>
    <row r="176" spans="1:2" hidden="1" x14ac:dyDescent="0.2">
      <c r="A176" s="118" t="s">
        <v>3286</v>
      </c>
      <c r="B176" s="118" t="s">
        <v>6742</v>
      </c>
    </row>
    <row r="177" spans="1:2" hidden="1" x14ac:dyDescent="0.2">
      <c r="A177" s="118" t="s">
        <v>3285</v>
      </c>
      <c r="B177" s="118" t="s">
        <v>6741</v>
      </c>
    </row>
    <row r="178" spans="1:2" hidden="1" x14ac:dyDescent="0.2">
      <c r="A178" s="118" t="s">
        <v>3283</v>
      </c>
      <c r="B178" s="118" t="s">
        <v>6740</v>
      </c>
    </row>
    <row r="179" spans="1:2" hidden="1" x14ac:dyDescent="0.2">
      <c r="A179" s="118" t="s">
        <v>3267</v>
      </c>
      <c r="B179" s="118" t="s">
        <v>6739</v>
      </c>
    </row>
    <row r="180" spans="1:2" hidden="1" x14ac:dyDescent="0.2">
      <c r="A180" s="118" t="s">
        <v>3266</v>
      </c>
      <c r="B180" s="118" t="s">
        <v>6739</v>
      </c>
    </row>
    <row r="181" spans="1:2" hidden="1" x14ac:dyDescent="0.2">
      <c r="A181" s="118" t="s">
        <v>3209</v>
      </c>
      <c r="B181" s="118" t="s">
        <v>6738</v>
      </c>
    </row>
    <row r="182" spans="1:2" hidden="1" x14ac:dyDescent="0.2">
      <c r="A182" s="118" t="s">
        <v>3198</v>
      </c>
      <c r="B182" s="118" t="s">
        <v>6737</v>
      </c>
    </row>
    <row r="183" spans="1:2" hidden="1" x14ac:dyDescent="0.2">
      <c r="A183" s="118" t="s">
        <v>3194</v>
      </c>
      <c r="B183" s="118" t="s">
        <v>6736</v>
      </c>
    </row>
    <row r="184" spans="1:2" hidden="1" x14ac:dyDescent="0.2">
      <c r="A184" s="118" t="s">
        <v>3193</v>
      </c>
      <c r="B184" s="118" t="s">
        <v>6735</v>
      </c>
    </row>
    <row r="185" spans="1:2" hidden="1" x14ac:dyDescent="0.2">
      <c r="A185" s="118" t="s">
        <v>3159</v>
      </c>
      <c r="B185" s="118" t="s">
        <v>6734</v>
      </c>
    </row>
    <row r="186" spans="1:2" hidden="1" x14ac:dyDescent="0.2">
      <c r="A186" s="118" t="s">
        <v>3107</v>
      </c>
      <c r="B186" s="118" t="s">
        <v>6733</v>
      </c>
    </row>
    <row r="187" spans="1:2" hidden="1" x14ac:dyDescent="0.2">
      <c r="A187" s="118" t="s">
        <v>3106</v>
      </c>
      <c r="B187" s="118" t="s">
        <v>6732</v>
      </c>
    </row>
    <row r="188" spans="1:2" hidden="1" x14ac:dyDescent="0.2">
      <c r="A188" s="118" t="s">
        <v>2965</v>
      </c>
      <c r="B188" s="118" t="s">
        <v>6731</v>
      </c>
    </row>
    <row r="189" spans="1:2" hidden="1" x14ac:dyDescent="0.2">
      <c r="A189" s="118" t="s">
        <v>2900</v>
      </c>
      <c r="B189" s="118" t="s">
        <v>6730</v>
      </c>
    </row>
    <row r="190" spans="1:2" hidden="1" x14ac:dyDescent="0.2">
      <c r="A190" s="118" t="s">
        <v>2892</v>
      </c>
      <c r="B190" s="118" t="s">
        <v>6729</v>
      </c>
    </row>
    <row r="191" spans="1:2" hidden="1" x14ac:dyDescent="0.2">
      <c r="A191" s="118" t="s">
        <v>2891</v>
      </c>
      <c r="B191" s="118" t="s">
        <v>6728</v>
      </c>
    </row>
    <row r="192" spans="1:2" hidden="1" x14ac:dyDescent="0.2">
      <c r="A192" s="118" t="s">
        <v>2890</v>
      </c>
      <c r="B192" s="118" t="s">
        <v>6727</v>
      </c>
    </row>
    <row r="193" spans="1:2" hidden="1" x14ac:dyDescent="0.2">
      <c r="A193" s="118" t="s">
        <v>2889</v>
      </c>
      <c r="B193" s="118" t="s">
        <v>6726</v>
      </c>
    </row>
    <row r="194" spans="1:2" hidden="1" x14ac:dyDescent="0.2">
      <c r="A194" s="118" t="s">
        <v>2888</v>
      </c>
      <c r="B194" s="118" t="s">
        <v>6725</v>
      </c>
    </row>
    <row r="195" spans="1:2" hidden="1" x14ac:dyDescent="0.2">
      <c r="A195" s="118" t="s">
        <v>2886</v>
      </c>
      <c r="B195" s="118" t="s">
        <v>6724</v>
      </c>
    </row>
    <row r="196" spans="1:2" hidden="1" x14ac:dyDescent="0.2">
      <c r="A196" s="118" t="s">
        <v>2881</v>
      </c>
      <c r="B196" s="118" t="s">
        <v>6723</v>
      </c>
    </row>
    <row r="197" spans="1:2" hidden="1" x14ac:dyDescent="0.2">
      <c r="A197" s="118" t="s">
        <v>2880</v>
      </c>
      <c r="B197" s="118" t="s">
        <v>6723</v>
      </c>
    </row>
    <row r="198" spans="1:2" hidden="1" x14ac:dyDescent="0.2">
      <c r="A198" s="118" t="s">
        <v>2876</v>
      </c>
      <c r="B198" s="118" t="s">
        <v>90</v>
      </c>
    </row>
    <row r="199" spans="1:2" hidden="1" x14ac:dyDescent="0.2">
      <c r="A199" s="118" t="s">
        <v>2875</v>
      </c>
      <c r="B199" s="118" t="s">
        <v>6722</v>
      </c>
    </row>
    <row r="200" spans="1:2" hidden="1" x14ac:dyDescent="0.2">
      <c r="A200" s="118" t="s">
        <v>2874</v>
      </c>
      <c r="B200" s="118" t="s">
        <v>90</v>
      </c>
    </row>
    <row r="201" spans="1:2" hidden="1" x14ac:dyDescent="0.2">
      <c r="A201" s="118" t="s">
        <v>2873</v>
      </c>
      <c r="B201" s="118" t="s">
        <v>6721</v>
      </c>
    </row>
    <row r="202" spans="1:2" hidden="1" x14ac:dyDescent="0.2">
      <c r="A202" s="118" t="s">
        <v>2866</v>
      </c>
      <c r="B202" s="118" t="s">
        <v>6720</v>
      </c>
    </row>
    <row r="203" spans="1:2" hidden="1" x14ac:dyDescent="0.2">
      <c r="A203" s="118" t="s">
        <v>2865</v>
      </c>
      <c r="B203" s="118" t="s">
        <v>6719</v>
      </c>
    </row>
    <row r="204" spans="1:2" hidden="1" x14ac:dyDescent="0.2">
      <c r="A204" s="118" t="s">
        <v>2864</v>
      </c>
      <c r="B204" s="118" t="s">
        <v>6718</v>
      </c>
    </row>
    <row r="205" spans="1:2" hidden="1" x14ac:dyDescent="0.2">
      <c r="A205" s="118" t="s">
        <v>2826</v>
      </c>
      <c r="B205" s="118" t="s">
        <v>6717</v>
      </c>
    </row>
    <row r="206" spans="1:2" hidden="1" x14ac:dyDescent="0.2">
      <c r="A206" s="118" t="s">
        <v>2825</v>
      </c>
      <c r="B206" s="118" t="s">
        <v>6716</v>
      </c>
    </row>
    <row r="207" spans="1:2" hidden="1" x14ac:dyDescent="0.2">
      <c r="A207" s="118" t="s">
        <v>2792</v>
      </c>
      <c r="B207" s="118" t="s">
        <v>6715</v>
      </c>
    </row>
    <row r="208" spans="1:2" hidden="1" x14ac:dyDescent="0.2">
      <c r="A208" s="118" t="s">
        <v>2782</v>
      </c>
      <c r="B208" s="118" t="s">
        <v>6714</v>
      </c>
    </row>
    <row r="209" spans="1:2" hidden="1" x14ac:dyDescent="0.2">
      <c r="A209" s="118" t="s">
        <v>2702</v>
      </c>
      <c r="B209" s="118" t="s">
        <v>6713</v>
      </c>
    </row>
    <row r="210" spans="1:2" hidden="1" x14ac:dyDescent="0.2">
      <c r="A210" s="118" t="s">
        <v>2701</v>
      </c>
      <c r="B210" s="118" t="s">
        <v>6712</v>
      </c>
    </row>
    <row r="211" spans="1:2" hidden="1" x14ac:dyDescent="0.2">
      <c r="A211" s="118" t="s">
        <v>2666</v>
      </c>
      <c r="B211" s="118" t="s">
        <v>6711</v>
      </c>
    </row>
    <row r="212" spans="1:2" hidden="1" x14ac:dyDescent="0.2">
      <c r="A212" s="118" t="s">
        <v>2663</v>
      </c>
      <c r="B212" s="118" t="s">
        <v>6710</v>
      </c>
    </row>
    <row r="213" spans="1:2" hidden="1" x14ac:dyDescent="0.2">
      <c r="A213" s="118" t="s">
        <v>2662</v>
      </c>
      <c r="B213" s="118" t="s">
        <v>6709</v>
      </c>
    </row>
    <row r="214" spans="1:2" hidden="1" x14ac:dyDescent="0.2">
      <c r="A214" s="118" t="s">
        <v>2657</v>
      </c>
      <c r="B214" s="118" t="s">
        <v>6708</v>
      </c>
    </row>
    <row r="215" spans="1:2" hidden="1" x14ac:dyDescent="0.2">
      <c r="A215" s="118" t="s">
        <v>2592</v>
      </c>
      <c r="B215" s="118" t="s">
        <v>6707</v>
      </c>
    </row>
    <row r="216" spans="1:2" hidden="1" x14ac:dyDescent="0.2">
      <c r="A216" s="118" t="s">
        <v>2591</v>
      </c>
      <c r="B216" s="118" t="s">
        <v>6706</v>
      </c>
    </row>
    <row r="217" spans="1:2" hidden="1" x14ac:dyDescent="0.2">
      <c r="A217" s="118" t="s">
        <v>2564</v>
      </c>
      <c r="B217" s="118" t="s">
        <v>6705</v>
      </c>
    </row>
    <row r="218" spans="1:2" hidden="1" x14ac:dyDescent="0.2">
      <c r="A218" s="118" t="s">
        <v>2563</v>
      </c>
      <c r="B218" s="118" t="s">
        <v>6704</v>
      </c>
    </row>
    <row r="219" spans="1:2" hidden="1" x14ac:dyDescent="0.2">
      <c r="A219" s="118" t="s">
        <v>2562</v>
      </c>
      <c r="B219" s="118" t="s">
        <v>6703</v>
      </c>
    </row>
    <row r="220" spans="1:2" hidden="1" x14ac:dyDescent="0.2">
      <c r="A220" s="118" t="s">
        <v>2561</v>
      </c>
      <c r="B220" s="118" t="s">
        <v>6702</v>
      </c>
    </row>
    <row r="221" spans="1:2" hidden="1" x14ac:dyDescent="0.2">
      <c r="A221" s="118" t="s">
        <v>2560</v>
      </c>
      <c r="B221" s="118" t="s">
        <v>6701</v>
      </c>
    </row>
    <row r="222" spans="1:2" hidden="1" x14ac:dyDescent="0.2">
      <c r="A222" s="118" t="s">
        <v>2553</v>
      </c>
      <c r="B222" s="118" t="s">
        <v>6700</v>
      </c>
    </row>
    <row r="223" spans="1:2" hidden="1" x14ac:dyDescent="0.2">
      <c r="A223" s="118" t="s">
        <v>2548</v>
      </c>
      <c r="B223" s="118" t="s">
        <v>6699</v>
      </c>
    </row>
    <row r="224" spans="1:2" hidden="1" x14ac:dyDescent="0.2">
      <c r="A224" s="118" t="s">
        <v>2547</v>
      </c>
      <c r="B224" s="118" t="s">
        <v>6698</v>
      </c>
    </row>
    <row r="225" spans="1:2" hidden="1" x14ac:dyDescent="0.2">
      <c r="A225" s="118" t="s">
        <v>2545</v>
      </c>
      <c r="B225" s="118" t="s">
        <v>6140</v>
      </c>
    </row>
    <row r="226" spans="1:2" hidden="1" x14ac:dyDescent="0.2">
      <c r="A226" s="118" t="s">
        <v>2513</v>
      </c>
      <c r="B226" s="118" t="s">
        <v>6697</v>
      </c>
    </row>
    <row r="227" spans="1:2" hidden="1" x14ac:dyDescent="0.2">
      <c r="A227" s="118" t="s">
        <v>2512</v>
      </c>
      <c r="B227" s="118" t="s">
        <v>6696</v>
      </c>
    </row>
    <row r="228" spans="1:2" hidden="1" x14ac:dyDescent="0.2">
      <c r="A228" s="118" t="s">
        <v>2447</v>
      </c>
      <c r="B228" s="118" t="s">
        <v>6695</v>
      </c>
    </row>
    <row r="229" spans="1:2" hidden="1" x14ac:dyDescent="0.2">
      <c r="A229" s="118" t="s">
        <v>2370</v>
      </c>
      <c r="B229" s="118" t="s">
        <v>6694</v>
      </c>
    </row>
    <row r="230" spans="1:2" hidden="1" x14ac:dyDescent="0.2">
      <c r="A230" s="118" t="s">
        <v>2348</v>
      </c>
      <c r="B230" s="118" t="s">
        <v>6693</v>
      </c>
    </row>
    <row r="231" spans="1:2" hidden="1" x14ac:dyDescent="0.2">
      <c r="A231" s="118" t="s">
        <v>2347</v>
      </c>
      <c r="B231" s="118" t="s">
        <v>6692</v>
      </c>
    </row>
    <row r="232" spans="1:2" hidden="1" x14ac:dyDescent="0.2">
      <c r="A232" s="118" t="s">
        <v>2336</v>
      </c>
      <c r="B232" s="118" t="s">
        <v>6691</v>
      </c>
    </row>
    <row r="233" spans="1:2" hidden="1" x14ac:dyDescent="0.2">
      <c r="A233" s="118" t="s">
        <v>2315</v>
      </c>
      <c r="B233" s="118" t="s">
        <v>6690</v>
      </c>
    </row>
    <row r="234" spans="1:2" hidden="1" x14ac:dyDescent="0.2">
      <c r="A234" s="118" t="s">
        <v>2295</v>
      </c>
      <c r="B234" s="118" t="s">
        <v>6689</v>
      </c>
    </row>
    <row r="235" spans="1:2" hidden="1" x14ac:dyDescent="0.2">
      <c r="A235" s="118" t="s">
        <v>2294</v>
      </c>
      <c r="B235" s="118" t="s">
        <v>6688</v>
      </c>
    </row>
    <row r="236" spans="1:2" hidden="1" x14ac:dyDescent="0.2">
      <c r="A236" s="118" t="s">
        <v>2286</v>
      </c>
      <c r="B236" s="118" t="s">
        <v>6687</v>
      </c>
    </row>
    <row r="237" spans="1:2" hidden="1" x14ac:dyDescent="0.2">
      <c r="A237" s="118" t="s">
        <v>2263</v>
      </c>
      <c r="B237" s="118" t="s">
        <v>6686</v>
      </c>
    </row>
    <row r="238" spans="1:2" hidden="1" x14ac:dyDescent="0.2">
      <c r="A238" s="118" t="s">
        <v>2262</v>
      </c>
      <c r="B238" s="118" t="s">
        <v>6685</v>
      </c>
    </row>
    <row r="239" spans="1:2" hidden="1" x14ac:dyDescent="0.2">
      <c r="A239" s="118" t="s">
        <v>2261</v>
      </c>
      <c r="B239" s="118" t="s">
        <v>6684</v>
      </c>
    </row>
    <row r="240" spans="1:2" hidden="1" x14ac:dyDescent="0.2">
      <c r="A240" s="118" t="s">
        <v>2260</v>
      </c>
      <c r="B240" s="118" t="s">
        <v>6683</v>
      </c>
    </row>
    <row r="241" spans="1:2" hidden="1" x14ac:dyDescent="0.2">
      <c r="A241" s="118" t="s">
        <v>2259</v>
      </c>
      <c r="B241" s="118" t="s">
        <v>6682</v>
      </c>
    </row>
    <row r="242" spans="1:2" hidden="1" x14ac:dyDescent="0.2">
      <c r="A242" s="118" t="s">
        <v>2258</v>
      </c>
      <c r="B242" s="118" t="s">
        <v>6681</v>
      </c>
    </row>
    <row r="243" spans="1:2" hidden="1" x14ac:dyDescent="0.2">
      <c r="A243" s="118" t="s">
        <v>2257</v>
      </c>
      <c r="B243" s="118" t="s">
        <v>6680</v>
      </c>
    </row>
    <row r="244" spans="1:2" hidden="1" x14ac:dyDescent="0.2">
      <c r="A244" s="118" t="s">
        <v>2256</v>
      </c>
      <c r="B244" s="118" t="s">
        <v>6679</v>
      </c>
    </row>
    <row r="245" spans="1:2" hidden="1" x14ac:dyDescent="0.2">
      <c r="A245" s="118" t="s">
        <v>2255</v>
      </c>
      <c r="B245" s="118" t="s">
        <v>6678</v>
      </c>
    </row>
    <row r="246" spans="1:2" hidden="1" x14ac:dyDescent="0.2">
      <c r="A246" s="118" t="s">
        <v>2254</v>
      </c>
      <c r="B246" s="118" t="s">
        <v>6677</v>
      </c>
    </row>
    <row r="247" spans="1:2" hidden="1" x14ac:dyDescent="0.2">
      <c r="A247" s="118" t="s">
        <v>2228</v>
      </c>
      <c r="B247" s="118" t="s">
        <v>6676</v>
      </c>
    </row>
    <row r="248" spans="1:2" hidden="1" x14ac:dyDescent="0.2">
      <c r="A248" s="118" t="s">
        <v>2191</v>
      </c>
      <c r="B248" s="118" t="s">
        <v>6675</v>
      </c>
    </row>
    <row r="249" spans="1:2" hidden="1" x14ac:dyDescent="0.2">
      <c r="A249" s="118" t="s">
        <v>2170</v>
      </c>
      <c r="B249" s="118" t="s">
        <v>6674</v>
      </c>
    </row>
    <row r="250" spans="1:2" hidden="1" x14ac:dyDescent="0.2">
      <c r="A250" s="118" t="s">
        <v>2169</v>
      </c>
      <c r="B250" s="118" t="s">
        <v>6673</v>
      </c>
    </row>
    <row r="251" spans="1:2" hidden="1" x14ac:dyDescent="0.2">
      <c r="A251" s="118" t="s">
        <v>2119</v>
      </c>
      <c r="B251" s="118" t="s">
        <v>6672</v>
      </c>
    </row>
    <row r="252" spans="1:2" hidden="1" x14ac:dyDescent="0.2">
      <c r="A252" s="118" t="s">
        <v>2118</v>
      </c>
      <c r="B252" s="118" t="s">
        <v>6671</v>
      </c>
    </row>
    <row r="253" spans="1:2" hidden="1" x14ac:dyDescent="0.2">
      <c r="A253" s="118" t="s">
        <v>2107</v>
      </c>
      <c r="B253" s="118" t="s">
        <v>6670</v>
      </c>
    </row>
    <row r="254" spans="1:2" hidden="1" x14ac:dyDescent="0.2">
      <c r="A254" s="118" t="s">
        <v>2105</v>
      </c>
      <c r="B254" s="118" t="s">
        <v>6669</v>
      </c>
    </row>
    <row r="255" spans="1:2" hidden="1" x14ac:dyDescent="0.2">
      <c r="A255" s="118" t="s">
        <v>2076</v>
      </c>
      <c r="B255" s="118" t="s">
        <v>6668</v>
      </c>
    </row>
    <row r="256" spans="1:2" hidden="1" x14ac:dyDescent="0.2">
      <c r="A256" s="118" t="s">
        <v>2058</v>
      </c>
      <c r="B256" s="118" t="s">
        <v>6667</v>
      </c>
    </row>
    <row r="257" spans="1:2" hidden="1" x14ac:dyDescent="0.2">
      <c r="A257" s="118" t="s">
        <v>2057</v>
      </c>
      <c r="B257" s="118" t="s">
        <v>6666</v>
      </c>
    </row>
    <row r="258" spans="1:2" hidden="1" x14ac:dyDescent="0.2">
      <c r="A258" s="118" t="s">
        <v>2055</v>
      </c>
      <c r="B258" s="118" t="s">
        <v>6665</v>
      </c>
    </row>
    <row r="259" spans="1:2" hidden="1" x14ac:dyDescent="0.2">
      <c r="A259" s="118" t="s">
        <v>2015</v>
      </c>
      <c r="B259" s="118" t="s">
        <v>6664</v>
      </c>
    </row>
    <row r="260" spans="1:2" hidden="1" x14ac:dyDescent="0.2">
      <c r="A260" s="118" t="s">
        <v>2014</v>
      </c>
      <c r="B260" s="118" t="s">
        <v>6663</v>
      </c>
    </row>
    <row r="261" spans="1:2" hidden="1" x14ac:dyDescent="0.2">
      <c r="A261" s="118" t="s">
        <v>1977</v>
      </c>
      <c r="B261" s="118" t="s">
        <v>6662</v>
      </c>
    </row>
    <row r="262" spans="1:2" hidden="1" x14ac:dyDescent="0.2">
      <c r="A262" s="118" t="s">
        <v>1949</v>
      </c>
      <c r="B262" s="118" t="s">
        <v>6661</v>
      </c>
    </row>
    <row r="263" spans="1:2" hidden="1" x14ac:dyDescent="0.2">
      <c r="A263" s="118" t="s">
        <v>1841</v>
      </c>
      <c r="B263" s="118" t="s">
        <v>6660</v>
      </c>
    </row>
    <row r="264" spans="1:2" hidden="1" x14ac:dyDescent="0.2">
      <c r="A264" s="118" t="s">
        <v>1840</v>
      </c>
      <c r="B264" s="118" t="s">
        <v>6659</v>
      </c>
    </row>
    <row r="265" spans="1:2" hidden="1" x14ac:dyDescent="0.2">
      <c r="A265" s="118" t="s">
        <v>1839</v>
      </c>
      <c r="B265" s="118" t="s">
        <v>6658</v>
      </c>
    </row>
    <row r="266" spans="1:2" hidden="1" x14ac:dyDescent="0.2">
      <c r="A266" s="118" t="s">
        <v>1836</v>
      </c>
      <c r="B266" s="118" t="s">
        <v>6657</v>
      </c>
    </row>
    <row r="267" spans="1:2" hidden="1" x14ac:dyDescent="0.2">
      <c r="A267" s="118" t="s">
        <v>1835</v>
      </c>
      <c r="B267" s="118" t="s">
        <v>6656</v>
      </c>
    </row>
    <row r="268" spans="1:2" hidden="1" x14ac:dyDescent="0.2">
      <c r="A268" s="118" t="s">
        <v>1765</v>
      </c>
      <c r="B268" s="118" t="s">
        <v>6655</v>
      </c>
    </row>
    <row r="269" spans="1:2" hidden="1" x14ac:dyDescent="0.2">
      <c r="A269" s="118" t="s">
        <v>1735</v>
      </c>
      <c r="B269" s="118" t="s">
        <v>90</v>
      </c>
    </row>
    <row r="270" spans="1:2" hidden="1" x14ac:dyDescent="0.2">
      <c r="A270" s="118" t="s">
        <v>1734</v>
      </c>
      <c r="B270" s="118" t="s">
        <v>90</v>
      </c>
    </row>
    <row r="271" spans="1:2" hidden="1" x14ac:dyDescent="0.2">
      <c r="A271" s="118" t="s">
        <v>1733</v>
      </c>
      <c r="B271" s="118" t="s">
        <v>90</v>
      </c>
    </row>
    <row r="272" spans="1:2" hidden="1" x14ac:dyDescent="0.2">
      <c r="A272" s="118" t="s">
        <v>1732</v>
      </c>
      <c r="B272" s="118" t="s">
        <v>90</v>
      </c>
    </row>
    <row r="273" spans="1:2" hidden="1" x14ac:dyDescent="0.2">
      <c r="A273" s="118" t="s">
        <v>1731</v>
      </c>
      <c r="B273" s="118" t="s">
        <v>90</v>
      </c>
    </row>
    <row r="274" spans="1:2" hidden="1" x14ac:dyDescent="0.2">
      <c r="A274" s="118" t="s">
        <v>1730</v>
      </c>
      <c r="B274" s="118" t="s">
        <v>90</v>
      </c>
    </row>
    <row r="275" spans="1:2" hidden="1" x14ac:dyDescent="0.2">
      <c r="A275" s="118" t="s">
        <v>1729</v>
      </c>
      <c r="B275" s="118" t="s">
        <v>90</v>
      </c>
    </row>
    <row r="276" spans="1:2" hidden="1" x14ac:dyDescent="0.2">
      <c r="A276" s="118" t="s">
        <v>1728</v>
      </c>
      <c r="B276" s="118" t="s">
        <v>90</v>
      </c>
    </row>
    <row r="277" spans="1:2" hidden="1" x14ac:dyDescent="0.2">
      <c r="A277" s="118" t="s">
        <v>1686</v>
      </c>
      <c r="B277" s="118" t="s">
        <v>358</v>
      </c>
    </row>
    <row r="278" spans="1:2" hidden="1" x14ac:dyDescent="0.2">
      <c r="A278" s="118" t="s">
        <v>1667</v>
      </c>
      <c r="B278" s="118" t="s">
        <v>6654</v>
      </c>
    </row>
    <row r="279" spans="1:2" hidden="1" x14ac:dyDescent="0.2">
      <c r="A279" s="118" t="s">
        <v>1594</v>
      </c>
      <c r="B279" s="118" t="s">
        <v>6653</v>
      </c>
    </row>
    <row r="280" spans="1:2" hidden="1" x14ac:dyDescent="0.2">
      <c r="A280" s="118" t="s">
        <v>1583</v>
      </c>
      <c r="B280" s="118" t="s">
        <v>6652</v>
      </c>
    </row>
    <row r="281" spans="1:2" hidden="1" x14ac:dyDescent="0.2">
      <c r="A281" s="118" t="s">
        <v>1557</v>
      </c>
      <c r="B281" s="118" t="s">
        <v>6651</v>
      </c>
    </row>
    <row r="282" spans="1:2" hidden="1" x14ac:dyDescent="0.2">
      <c r="A282" s="118" t="s">
        <v>1526</v>
      </c>
      <c r="B282" s="118" t="s">
        <v>6650</v>
      </c>
    </row>
    <row r="283" spans="1:2" hidden="1" x14ac:dyDescent="0.2">
      <c r="A283" s="118" t="s">
        <v>1525</v>
      </c>
      <c r="B283" s="118" t="s">
        <v>6649</v>
      </c>
    </row>
    <row r="284" spans="1:2" hidden="1" x14ac:dyDescent="0.2">
      <c r="A284" s="118" t="s">
        <v>1520</v>
      </c>
      <c r="B284" s="118" t="s">
        <v>6648</v>
      </c>
    </row>
    <row r="285" spans="1:2" hidden="1" x14ac:dyDescent="0.2">
      <c r="A285" s="118" t="s">
        <v>1476</v>
      </c>
      <c r="B285" s="118" t="s">
        <v>6647</v>
      </c>
    </row>
    <row r="286" spans="1:2" hidden="1" x14ac:dyDescent="0.2">
      <c r="A286" s="118" t="s">
        <v>1431</v>
      </c>
      <c r="B286" s="118" t="s">
        <v>6646</v>
      </c>
    </row>
    <row r="287" spans="1:2" hidden="1" x14ac:dyDescent="0.2">
      <c r="A287" s="118" t="s">
        <v>1397</v>
      </c>
      <c r="B287" s="118" t="s">
        <v>6645</v>
      </c>
    </row>
    <row r="288" spans="1:2" hidden="1" x14ac:dyDescent="0.2">
      <c r="A288" s="118" t="s">
        <v>1382</v>
      </c>
      <c r="B288" s="118" t="s">
        <v>6644</v>
      </c>
    </row>
    <row r="289" spans="1:2" hidden="1" x14ac:dyDescent="0.2">
      <c r="A289" s="118" t="s">
        <v>1362</v>
      </c>
      <c r="B289" s="118" t="s">
        <v>6643</v>
      </c>
    </row>
    <row r="290" spans="1:2" hidden="1" x14ac:dyDescent="0.2">
      <c r="A290" s="118" t="s">
        <v>1352</v>
      </c>
      <c r="B290" s="118" t="s">
        <v>6642</v>
      </c>
    </row>
    <row r="291" spans="1:2" hidden="1" x14ac:dyDescent="0.2">
      <c r="A291" s="118" t="s">
        <v>1351</v>
      </c>
      <c r="B291" s="118" t="s">
        <v>57</v>
      </c>
    </row>
    <row r="292" spans="1:2" hidden="1" x14ac:dyDescent="0.2">
      <c r="A292" s="118" t="s">
        <v>1319</v>
      </c>
      <c r="B292" s="118" t="s">
        <v>6641</v>
      </c>
    </row>
    <row r="293" spans="1:2" hidden="1" x14ac:dyDescent="0.2">
      <c r="A293" s="118" t="s">
        <v>1318</v>
      </c>
      <c r="B293" s="118" t="s">
        <v>6641</v>
      </c>
    </row>
    <row r="294" spans="1:2" hidden="1" x14ac:dyDescent="0.2">
      <c r="A294" s="118" t="s">
        <v>1301</v>
      </c>
      <c r="B294" s="118" t="s">
        <v>6098</v>
      </c>
    </row>
    <row r="295" spans="1:2" hidden="1" x14ac:dyDescent="0.2">
      <c r="A295" s="118" t="s">
        <v>1267</v>
      </c>
      <c r="B295" s="118" t="s">
        <v>6093</v>
      </c>
    </row>
    <row r="296" spans="1:2" hidden="1" x14ac:dyDescent="0.2">
      <c r="A296" s="118" t="s">
        <v>1076</v>
      </c>
      <c r="B296" s="118" t="s">
        <v>6640</v>
      </c>
    </row>
    <row r="297" spans="1:2" hidden="1" x14ac:dyDescent="0.2">
      <c r="A297" s="118" t="s">
        <v>1075</v>
      </c>
      <c r="B297" s="118" t="s">
        <v>6639</v>
      </c>
    </row>
    <row r="298" spans="1:2" hidden="1" x14ac:dyDescent="0.2">
      <c r="A298" s="118" t="s">
        <v>1074</v>
      </c>
      <c r="B298" s="118" t="s">
        <v>6638</v>
      </c>
    </row>
    <row r="299" spans="1:2" hidden="1" x14ac:dyDescent="0.2">
      <c r="A299" s="118" t="s">
        <v>1073</v>
      </c>
      <c r="B299" s="118" t="s">
        <v>6637</v>
      </c>
    </row>
    <row r="300" spans="1:2" hidden="1" x14ac:dyDescent="0.2">
      <c r="A300" s="118" t="s">
        <v>1072</v>
      </c>
      <c r="B300" s="118" t="s">
        <v>6636</v>
      </c>
    </row>
    <row r="301" spans="1:2" hidden="1" x14ac:dyDescent="0.2">
      <c r="A301" s="118" t="s">
        <v>1007</v>
      </c>
      <c r="B301" s="118" t="s">
        <v>6635</v>
      </c>
    </row>
    <row r="302" spans="1:2" hidden="1" x14ac:dyDescent="0.2">
      <c r="A302" s="118" t="s">
        <v>925</v>
      </c>
      <c r="B302" s="118" t="s">
        <v>6634</v>
      </c>
    </row>
    <row r="303" spans="1:2" hidden="1" x14ac:dyDescent="0.2">
      <c r="A303" s="118" t="s">
        <v>924</v>
      </c>
      <c r="B303" s="118" t="s">
        <v>6634</v>
      </c>
    </row>
    <row r="304" spans="1:2" hidden="1" x14ac:dyDescent="0.2">
      <c r="A304" s="118" t="s">
        <v>923</v>
      </c>
      <c r="B304" s="118" t="s">
        <v>6633</v>
      </c>
    </row>
    <row r="305" spans="1:2" hidden="1" x14ac:dyDescent="0.2">
      <c r="A305" s="118" t="s">
        <v>919</v>
      </c>
      <c r="B305" s="118" t="s">
        <v>6632</v>
      </c>
    </row>
    <row r="306" spans="1:2" hidden="1" x14ac:dyDescent="0.2">
      <c r="A306" s="118" t="s">
        <v>901</v>
      </c>
      <c r="B306" s="118" t="s">
        <v>6631</v>
      </c>
    </row>
    <row r="307" spans="1:2" hidden="1" x14ac:dyDescent="0.2">
      <c r="A307" s="118" t="s">
        <v>856</v>
      </c>
      <c r="B307" s="118" t="s">
        <v>6630</v>
      </c>
    </row>
    <row r="308" spans="1:2" hidden="1" x14ac:dyDescent="0.2">
      <c r="A308" s="118" t="s">
        <v>808</v>
      </c>
      <c r="B308" s="118" t="s">
        <v>6629</v>
      </c>
    </row>
    <row r="309" spans="1:2" hidden="1" x14ac:dyDescent="0.2">
      <c r="A309" s="118" t="s">
        <v>807</v>
      </c>
      <c r="B309" s="118" t="s">
        <v>6629</v>
      </c>
    </row>
    <row r="310" spans="1:2" hidden="1" x14ac:dyDescent="0.2">
      <c r="A310" s="118" t="s">
        <v>781</v>
      </c>
      <c r="B310" s="118" t="s">
        <v>6628</v>
      </c>
    </row>
    <row r="311" spans="1:2" hidden="1" x14ac:dyDescent="0.2">
      <c r="A311" s="118" t="s">
        <v>780</v>
      </c>
      <c r="B311" s="118" t="s">
        <v>6627</v>
      </c>
    </row>
    <row r="312" spans="1:2" hidden="1" x14ac:dyDescent="0.2">
      <c r="A312" s="118" t="s">
        <v>779</v>
      </c>
      <c r="B312" s="118" t="s">
        <v>6626</v>
      </c>
    </row>
    <row r="313" spans="1:2" hidden="1" x14ac:dyDescent="0.2">
      <c r="A313" s="118" t="s">
        <v>777</v>
      </c>
      <c r="B313" s="118" t="s">
        <v>6625</v>
      </c>
    </row>
    <row r="314" spans="1:2" hidden="1" x14ac:dyDescent="0.2">
      <c r="A314" s="118" t="s">
        <v>704</v>
      </c>
      <c r="B314" s="118" t="s">
        <v>6624</v>
      </c>
    </row>
    <row r="315" spans="1:2" hidden="1" x14ac:dyDescent="0.2">
      <c r="A315" s="118" t="s">
        <v>703</v>
      </c>
      <c r="B315" s="118" t="s">
        <v>6623</v>
      </c>
    </row>
    <row r="316" spans="1:2" hidden="1" x14ac:dyDescent="0.2">
      <c r="A316" s="118" t="s">
        <v>701</v>
      </c>
      <c r="B316" s="118" t="s">
        <v>6622</v>
      </c>
    </row>
    <row r="317" spans="1:2" hidden="1" x14ac:dyDescent="0.2">
      <c r="A317" s="118" t="s">
        <v>660</v>
      </c>
      <c r="B317" s="118" t="s">
        <v>6621</v>
      </c>
    </row>
    <row r="318" spans="1:2" hidden="1" x14ac:dyDescent="0.2">
      <c r="A318" s="118" t="s">
        <v>659</v>
      </c>
      <c r="B318" s="118" t="s">
        <v>6620</v>
      </c>
    </row>
    <row r="319" spans="1:2" hidden="1" x14ac:dyDescent="0.2">
      <c r="A319" s="118" t="s">
        <v>658</v>
      </c>
      <c r="B319" s="118" t="s">
        <v>6619</v>
      </c>
    </row>
    <row r="320" spans="1:2" hidden="1" x14ac:dyDescent="0.2">
      <c r="A320" s="118" t="s">
        <v>637</v>
      </c>
      <c r="B320" s="118" t="s">
        <v>6618</v>
      </c>
    </row>
    <row r="321" spans="1:2" hidden="1" x14ac:dyDescent="0.2">
      <c r="A321" s="118" t="s">
        <v>634</v>
      </c>
      <c r="B321" s="118" t="s">
        <v>6617</v>
      </c>
    </row>
    <row r="322" spans="1:2" hidden="1" x14ac:dyDescent="0.2">
      <c r="A322" s="118" t="s">
        <v>549</v>
      </c>
      <c r="B322" s="118" t="s">
        <v>6616</v>
      </c>
    </row>
    <row r="323" spans="1:2" hidden="1" x14ac:dyDescent="0.2">
      <c r="A323" s="118" t="s">
        <v>527</v>
      </c>
      <c r="B323" s="118" t="s">
        <v>6615</v>
      </c>
    </row>
    <row r="324" spans="1:2" hidden="1" x14ac:dyDescent="0.2">
      <c r="A324" s="117" t="s">
        <v>509</v>
      </c>
      <c r="B324" s="117" t="s">
        <v>6064</v>
      </c>
    </row>
  </sheetData>
  <autoFilter ref="A3:B324" xr:uid="{00000000-0009-0000-0000-00000B000000}">
    <filterColumn colId="1">
      <filters>
        <filter val="HKUST-1"/>
      </filters>
    </filterColumn>
  </autoFilter>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Raw Data</vt:lpstr>
      <vt:lpstr>Clean Table (Backup)</vt:lpstr>
      <vt:lpstr>Clean Table</vt:lpstr>
      <vt:lpstr>Table_S1</vt:lpstr>
      <vt:lpstr>Table_S2</vt:lpstr>
      <vt:lpstr>Table_S3</vt:lpstr>
      <vt:lpstr>Table_S4</vt:lpstr>
      <vt:lpstr>Table_S5</vt:lpstr>
      <vt:lpstr>Table_S6</vt:lpstr>
      <vt:lpstr>Table_S7</vt:lpstr>
      <vt:lpstr>Table_S8</vt:lpstr>
      <vt:lpstr>Table_S9</vt:lpstr>
      <vt:lpstr>Table_S10</vt:lpstr>
      <vt:lpstr>Table_S11</vt:lpstr>
      <vt:lpstr>Table_S12</vt:lpstr>
      <vt:lpstr>'Raw Data'!bbib10</vt:lpstr>
      <vt:lpstr>'Raw Data'!bbib47</vt:lpstr>
      <vt:lpstr>'Raw Data'!bbib48</vt:lpstr>
      <vt:lpstr>'Raw Data'!bbib49</vt:lpstr>
      <vt:lpstr>'Raw Data'!bbib54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Henderson</dc:creator>
  <cp:keywords/>
  <dc:description/>
  <cp:lastModifiedBy>Josh Henderson</cp:lastModifiedBy>
  <cp:revision/>
  <dcterms:created xsi:type="dcterms:W3CDTF">2025-09-25T18:08:47Z</dcterms:created>
  <dcterms:modified xsi:type="dcterms:W3CDTF">2025-11-12T23:10:38Z</dcterms:modified>
  <cp:category/>
  <cp:contentStatus/>
</cp:coreProperties>
</file>